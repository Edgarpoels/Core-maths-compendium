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arameters" sheetId="2" state="visible" r:id="rId2"/>
    <sheet xmlns:r="http://schemas.openxmlformats.org/officeDocument/2006/relationships" name="Class Roster" sheetId="3" state="visible" r:id="rId3"/>
    <sheet xmlns:r="http://schemas.openxmlformats.org/officeDocument/2006/relationships" name="MT 1.1 Results" sheetId="4" state="visible" r:id="rId4"/>
    <sheet xmlns:r="http://schemas.openxmlformats.org/officeDocument/2006/relationships" name="Stickers 1.1" sheetId="5" state="visible" r:id="rId5"/>
    <sheet xmlns:r="http://schemas.openxmlformats.org/officeDocument/2006/relationships" name="MT 1.2 Results" sheetId="6" state="visible" r:id="rId6"/>
    <sheet xmlns:r="http://schemas.openxmlformats.org/officeDocument/2006/relationships" name="Stickers 1.2" sheetId="7" state="visible" r:id="rId7"/>
    <sheet xmlns:r="http://schemas.openxmlformats.org/officeDocument/2006/relationships" name="MT 1.3 Results" sheetId="8" state="visible" r:id="rId8"/>
    <sheet xmlns:r="http://schemas.openxmlformats.org/officeDocument/2006/relationships" name="Stickers 1.3" sheetId="9" state="visible" r:id="rId9"/>
    <sheet xmlns:r="http://schemas.openxmlformats.org/officeDocument/2006/relationships" name="Ch1 EOT Results" sheetId="10" state="visible" r:id="rId10"/>
    <sheet xmlns:r="http://schemas.openxmlformats.org/officeDocument/2006/relationships" name="Stickers Ch1EOT" sheetId="11" state="visible" r:id="rId11"/>
    <sheet xmlns:r="http://schemas.openxmlformats.org/officeDocument/2006/relationships" name="Ch1 EOT2 Results" sheetId="12" state="visible" r:id="rId12"/>
    <sheet xmlns:r="http://schemas.openxmlformats.org/officeDocument/2006/relationships" name="Stickers Ch1EOT2" sheetId="13" state="visible" r:id="rId13"/>
    <sheet xmlns:r="http://schemas.openxmlformats.org/officeDocument/2006/relationships" name="MT 2.1 Results" sheetId="14" state="visible" r:id="rId14"/>
    <sheet xmlns:r="http://schemas.openxmlformats.org/officeDocument/2006/relationships" name="Stickers 2.1" sheetId="15" state="visible" r:id="rId15"/>
    <sheet xmlns:r="http://schemas.openxmlformats.org/officeDocument/2006/relationships" name="MT 2.2 Results" sheetId="16" state="visible" r:id="rId16"/>
    <sheet xmlns:r="http://schemas.openxmlformats.org/officeDocument/2006/relationships" name="Stickers 2.2" sheetId="17" state="visible" r:id="rId17"/>
    <sheet xmlns:r="http://schemas.openxmlformats.org/officeDocument/2006/relationships" name="Ch2 EOT Results" sheetId="18" state="visible" r:id="rId18"/>
    <sheet xmlns:r="http://schemas.openxmlformats.org/officeDocument/2006/relationships" name="Stickers Ch2EOT" sheetId="19" state="visible" r:id="rId19"/>
    <sheet xmlns:r="http://schemas.openxmlformats.org/officeDocument/2006/relationships" name="Ch2 EOT2 Results" sheetId="20" state="visible" r:id="rId20"/>
    <sheet xmlns:r="http://schemas.openxmlformats.org/officeDocument/2006/relationships" name="Stickers Ch2EOT2" sheetId="21" state="visible" r:id="rId21"/>
    <sheet xmlns:r="http://schemas.openxmlformats.org/officeDocument/2006/relationships" name="MT 3.1 Results" sheetId="22" state="visible" r:id="rId22"/>
    <sheet xmlns:r="http://schemas.openxmlformats.org/officeDocument/2006/relationships" name="Stickers 3.1" sheetId="23" state="visible" r:id="rId23"/>
    <sheet xmlns:r="http://schemas.openxmlformats.org/officeDocument/2006/relationships" name="MT 3.2 Results" sheetId="24" state="visible" r:id="rId24"/>
    <sheet xmlns:r="http://schemas.openxmlformats.org/officeDocument/2006/relationships" name="Stickers 3.2" sheetId="25" state="visible" r:id="rId25"/>
    <sheet xmlns:r="http://schemas.openxmlformats.org/officeDocument/2006/relationships" name="Ch3 EOT Results" sheetId="26" state="visible" r:id="rId26"/>
    <sheet xmlns:r="http://schemas.openxmlformats.org/officeDocument/2006/relationships" name="Stickers Ch3EOT" sheetId="27" state="visible" r:id="rId27"/>
    <sheet xmlns:r="http://schemas.openxmlformats.org/officeDocument/2006/relationships" name="Ch3 EOT2 Results" sheetId="28" state="visible" r:id="rId28"/>
    <sheet xmlns:r="http://schemas.openxmlformats.org/officeDocument/2006/relationships" name="Stickers Ch3EOT2" sheetId="29" state="visible" r:id="rId29"/>
    <sheet xmlns:r="http://schemas.openxmlformats.org/officeDocument/2006/relationships" name="MT 4.1 Results" sheetId="30" state="visible" r:id="rId30"/>
    <sheet xmlns:r="http://schemas.openxmlformats.org/officeDocument/2006/relationships" name="Stickers 4.1" sheetId="31" state="visible" r:id="rId31"/>
    <sheet xmlns:r="http://schemas.openxmlformats.org/officeDocument/2006/relationships" name="MT 4.2 Results" sheetId="32" state="visible" r:id="rId32"/>
    <sheet xmlns:r="http://schemas.openxmlformats.org/officeDocument/2006/relationships" name="Stickers 4.2" sheetId="33" state="visible" r:id="rId33"/>
    <sheet xmlns:r="http://schemas.openxmlformats.org/officeDocument/2006/relationships" name="Ch4 EOT Results" sheetId="34" state="visible" r:id="rId34"/>
    <sheet xmlns:r="http://schemas.openxmlformats.org/officeDocument/2006/relationships" name="Stickers Ch4EOT" sheetId="35" state="visible" r:id="rId35"/>
    <sheet xmlns:r="http://schemas.openxmlformats.org/officeDocument/2006/relationships" name="Ch4 EOT2 Results" sheetId="36" state="visible" r:id="rId36"/>
    <sheet xmlns:r="http://schemas.openxmlformats.org/officeDocument/2006/relationships" name="Stickers Ch4EOT2" sheetId="37" state="visible" r:id="rId37"/>
    <sheet xmlns:r="http://schemas.openxmlformats.org/officeDocument/2006/relationships" name="MT 5.1 Results" sheetId="38" state="visible" r:id="rId38"/>
    <sheet xmlns:r="http://schemas.openxmlformats.org/officeDocument/2006/relationships" name="Stickers 5.1" sheetId="39" state="visible" r:id="rId39"/>
    <sheet xmlns:r="http://schemas.openxmlformats.org/officeDocument/2006/relationships" name="MT 5.2 Results" sheetId="40" state="visible" r:id="rId40"/>
    <sheet xmlns:r="http://schemas.openxmlformats.org/officeDocument/2006/relationships" name="Stickers 5.2" sheetId="41" state="visible" r:id="rId41"/>
    <sheet xmlns:r="http://schemas.openxmlformats.org/officeDocument/2006/relationships" name="Ch5 EOT Results" sheetId="42" state="visible" r:id="rId42"/>
    <sheet xmlns:r="http://schemas.openxmlformats.org/officeDocument/2006/relationships" name="Stickers Ch5EOT" sheetId="43" state="visible" r:id="rId43"/>
    <sheet xmlns:r="http://schemas.openxmlformats.org/officeDocument/2006/relationships" name="Ch5 EOT2 Results" sheetId="44" state="visible" r:id="rId44"/>
    <sheet xmlns:r="http://schemas.openxmlformats.org/officeDocument/2006/relationships" name="Stickers Ch5EOT2" sheetId="45" state="visible" r:id="rId45"/>
    <sheet xmlns:r="http://schemas.openxmlformats.org/officeDocument/2006/relationships" name="MT 6.1 Results" sheetId="46" state="visible" r:id="rId46"/>
    <sheet xmlns:r="http://schemas.openxmlformats.org/officeDocument/2006/relationships" name="Stickers 6.1" sheetId="47" state="visible" r:id="rId47"/>
    <sheet xmlns:r="http://schemas.openxmlformats.org/officeDocument/2006/relationships" name="MT 6.2 Results" sheetId="48" state="visible" r:id="rId48"/>
    <sheet xmlns:r="http://schemas.openxmlformats.org/officeDocument/2006/relationships" name="Stickers 6.2" sheetId="49" state="visible" r:id="rId49"/>
    <sheet xmlns:r="http://schemas.openxmlformats.org/officeDocument/2006/relationships" name="Ch6 EOT Results" sheetId="50" state="visible" r:id="rId50"/>
    <sheet xmlns:r="http://schemas.openxmlformats.org/officeDocument/2006/relationships" name="Stickers Ch6EOT" sheetId="51" state="visible" r:id="rId51"/>
    <sheet xmlns:r="http://schemas.openxmlformats.org/officeDocument/2006/relationships" name="Ch6 EOT2 Results" sheetId="52" state="visible" r:id="rId52"/>
    <sheet xmlns:r="http://schemas.openxmlformats.org/officeDocument/2006/relationships" name="Stickers Ch6EOT2" sheetId="53" state="visible" r:id="rId53"/>
    <sheet xmlns:r="http://schemas.openxmlformats.org/officeDocument/2006/relationships" name="MT 7.1 Results" sheetId="54" state="visible" r:id="rId54"/>
    <sheet xmlns:r="http://schemas.openxmlformats.org/officeDocument/2006/relationships" name="Stickers 7.1" sheetId="55" state="visible" r:id="rId55"/>
    <sheet xmlns:r="http://schemas.openxmlformats.org/officeDocument/2006/relationships" name="MT 7.2 Results" sheetId="56" state="visible" r:id="rId56"/>
    <sheet xmlns:r="http://schemas.openxmlformats.org/officeDocument/2006/relationships" name="Stickers 7.2" sheetId="57" state="visible" r:id="rId57"/>
    <sheet xmlns:r="http://schemas.openxmlformats.org/officeDocument/2006/relationships" name="Ch7 EOT Results" sheetId="58" state="visible" r:id="rId58"/>
    <sheet xmlns:r="http://schemas.openxmlformats.org/officeDocument/2006/relationships" name="Stickers Ch7EOT" sheetId="59" state="visible" r:id="rId59"/>
    <sheet xmlns:r="http://schemas.openxmlformats.org/officeDocument/2006/relationships" name="Ch7 EOT2 Results" sheetId="60" state="visible" r:id="rId60"/>
    <sheet xmlns:r="http://schemas.openxmlformats.org/officeDocument/2006/relationships" name="Stickers Ch7EOT2" sheetId="61" state="visible" r:id="rId61"/>
    <sheet xmlns:r="http://schemas.openxmlformats.org/officeDocument/2006/relationships" name="Mock 1 Paper 1 Results" sheetId="62" state="visible" r:id="rId62"/>
    <sheet xmlns:r="http://schemas.openxmlformats.org/officeDocument/2006/relationships" name="Stickers Mock1P1" sheetId="63" state="visible" r:id="rId63"/>
    <sheet xmlns:r="http://schemas.openxmlformats.org/officeDocument/2006/relationships" name="Mock 1 Paper 2A Results" sheetId="64" state="visible" r:id="rId64"/>
    <sheet xmlns:r="http://schemas.openxmlformats.org/officeDocument/2006/relationships" name="Stickers Mock1P2A" sheetId="65" state="visible" r:id="rId65"/>
    <sheet xmlns:r="http://schemas.openxmlformats.org/officeDocument/2006/relationships" name="Student Subskill Progress" sheetId="66" state="visible" r:id="rId6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  <color rgb="00FFFFFF"/>
    </font>
    <font>
      <i val="1"/>
    </font>
    <font>
      <b val="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2F3E4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1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AQA Level 3 Mathematical Studies — Full Course Tracker (Paper 1 &amp; Paper 2A + both mocks)</t>
        </is>
      </c>
    </row>
    <row r="2">
      <c r="A2" s="2" t="inlineStr">
        <is>
          <t>One workbook covering every chapter's mini tests and end-of-topic tests, plus both mock papers. Enter your class once in 'Class Roster' — every test sheet and the summary rollups below pick the name up automatically.</t>
        </is>
      </c>
    </row>
    <row r="4">
      <c r="A4" s="3" t="inlineStr">
        <is>
          <t>CONTENTS</t>
        </is>
      </c>
      <c r="B4" s="3" t="inlineStr">
        <is>
          <t>Description</t>
        </is>
      </c>
    </row>
    <row r="5">
      <c r="A5" t="inlineStr">
        <is>
          <t>Class Roster</t>
        </is>
      </c>
      <c r="B5" t="inlineStr">
        <is>
          <t>Enter your class list ONCE here — every test sheet and rollup below picks it up live.</t>
        </is>
      </c>
    </row>
    <row r="6">
      <c r="A6" t="inlineStr">
        <is>
          <t>Student Subskill Progress</t>
        </is>
      </c>
      <c r="B6" t="inlineStr">
        <is>
          <t>One row per student, one column per subskill (1.1-7.8) — auto-averaged from every mini test / end-of-topic test / mock question tagged to that subskill. Blank = not attempted.</t>
        </is>
      </c>
    </row>
    <row r="7">
      <c r="A7" t="inlineStr">
        <is>
          <t>Parameters</t>
        </is>
      </c>
      <c r="B7" t="inlineStr">
        <is>
          <t>Skill mapping and RAG thresholds for every test in the course (reference only, don't edit).</t>
        </is>
      </c>
    </row>
    <row r="8">
      <c r="A8" t="inlineStr">
        <is>
          <t>Chapter 1-7 test sheets</t>
        </is>
      </c>
      <c r="B8" t="inlineStr">
        <is>
          <t>One Results + Stickers sheet pair per mini test and end-of-topic test, grouped by chapter.</t>
        </is>
      </c>
    </row>
    <row r="9">
      <c r="A9" t="inlineStr">
        <is>
          <t>Mock 1 Paper 1 / Paper 2A</t>
        </is>
      </c>
      <c r="B9" t="inlineStr">
        <is>
          <t>Full mock exam results, marked and banded the same way as the chapter tests.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04"/>
  <sheetViews>
    <sheetView workbookViewId="0">
      <selection activeCell="A1" sqref="A1"/>
    </sheetView>
  </sheetViews>
  <sheetFormatPr baseColWidth="8" defaultRowHeight="15"/>
  <cols>
    <col width="30" customWidth="1" min="1" max="1"/>
    <col width="55" customWidth="1" min="2" max="2"/>
    <col width="70" customWidth="1" min="3" max="3"/>
  </cols>
  <sheetData>
    <row r="1">
      <c r="A1" s="4" t="inlineStr">
        <is>
          <t>Parameters — Full Course Tracker</t>
        </is>
      </c>
      <c r="B1" s="5" t="n"/>
      <c r="C1" s="5" t="n"/>
    </row>
    <row r="2">
      <c r="A2" s="5" t="n"/>
      <c r="B2" s="5" t="n"/>
      <c r="C2" s="5" t="n"/>
    </row>
    <row r="3">
      <c r="A3" s="6" t="inlineStr">
        <is>
          <t>Parameters — Mini Test 1.1 — Analysis of Data</t>
        </is>
      </c>
      <c r="B3" s="5" t="n"/>
      <c r="C3" s="5" t="n"/>
    </row>
    <row r="4">
      <c r="A4" s="5" t="n"/>
      <c r="B4" s="5" t="n"/>
      <c r="C4" s="5" t="n"/>
    </row>
    <row r="5">
      <c r="A5" s="7" t="inlineStr">
        <is>
          <t>Skill mapping (used by the 'Focus for next steps' column)</t>
        </is>
      </c>
      <c r="B5" s="5" t="n"/>
      <c r="C5" s="5" t="n"/>
    </row>
    <row r="6">
      <c r="A6" s="8" t="inlineStr">
        <is>
          <t>Question</t>
        </is>
      </c>
      <c r="B6" s="8" t="inlineStr">
        <is>
          <t>Skill / next step if this is the weakest area</t>
        </is>
      </c>
      <c r="C6" s="5" t="n"/>
    </row>
    <row r="7">
      <c r="A7" s="5" t="inlineStr">
        <is>
          <t>Q1 Data types (qualitative/quantitative, discrete/continuous)</t>
        </is>
      </c>
      <c r="B7" s="5" t="inlineStr">
        <is>
          <t>Revise the difference between qualitative and quantitative data, and between discrete and continuous data — see Mini Test 1.1 Q1 mark scheme.</t>
        </is>
      </c>
      <c r="C7" s="5" t="n"/>
    </row>
    <row r="8">
      <c r="A8" s="5" t="inlineStr">
        <is>
          <t>Q2 Primary &amp; secondary data</t>
        </is>
      </c>
      <c r="B8" s="5" t="inlineStr">
        <is>
          <t>Revise the difference between primary and secondary data, and the advantages and disadvantages of using data someone else has already collected — see Mini Test 1.1 Q2 mark scheme.</t>
        </is>
      </c>
      <c r="C8" s="5" t="n"/>
    </row>
    <row r="9">
      <c r="A9" s="5" t="inlineStr">
        <is>
          <t>Q3 Systematic &amp; stratified sampling</t>
        </is>
      </c>
      <c r="B9" s="5" t="inlineStr">
        <is>
          <t>Revise systematic and stratified sampling methods, including how to calculate the number to sample from each stratum — see Mini Test 1.1 Q3 mark scheme.</t>
        </is>
      </c>
      <c r="C9" s="5" t="n"/>
    </row>
    <row r="10">
      <c r="A10" s="5" t="inlineStr">
        <is>
          <t>Q4 Mean, median &amp; mode</t>
        </is>
      </c>
      <c r="B10" s="5" t="inlineStr">
        <is>
          <t>Revise calculating the mean, median and mode, and explaining why the median can be a better measure than the mean when data contains an outlier — see Mini Test 1.1 Q4 mark scheme.</t>
        </is>
      </c>
      <c r="C10" s="5" t="n"/>
    </row>
    <row r="11">
      <c r="A11" s="5" t="n"/>
      <c r="B11" s="5" t="n"/>
      <c r="C11" s="5" t="n"/>
    </row>
    <row r="12">
      <c r="A12" s="7" t="inlineStr">
        <is>
          <t>Overall RAG thresholds (based on % of 22 marks)</t>
        </is>
      </c>
      <c r="B12" s="5" t="n"/>
      <c r="C12" s="5" t="n"/>
    </row>
    <row r="13">
      <c r="A13" s="8" t="inlineStr">
        <is>
          <t>Band</t>
        </is>
      </c>
      <c r="B13" s="8" t="inlineStr">
        <is>
          <t>Range</t>
        </is>
      </c>
      <c r="C13" s="8" t="inlineStr">
        <is>
          <t>Feedback</t>
        </is>
      </c>
    </row>
    <row r="14">
      <c r="A14" s="5" t="inlineStr">
        <is>
          <t>Red</t>
        </is>
      </c>
      <c r="B14" s="5" t="inlineStr">
        <is>
          <t>0-49%</t>
        </is>
      </c>
      <c r="C14" s="5" t="inlineStr">
        <is>
          <t>This topic needs more work — go back over the Analysis of data materials on the site and use the revision booklet for extra practice. Come and see me if you need help.</t>
        </is>
      </c>
    </row>
    <row r="15">
      <c r="A15" s="5" t="inlineStr">
        <is>
          <t>Yellow</t>
        </is>
      </c>
      <c r="B15" s="5" t="inlineStr">
        <is>
          <t>50-79%</t>
        </is>
      </c>
      <c r="C15" s="5" t="inlineStr">
        <is>
          <t>A generally good understanding, but a few gaps remain — recap the topic(s) listed below.</t>
        </is>
      </c>
    </row>
    <row r="16">
      <c r="A16" s="5" t="inlineStr">
        <is>
          <t>Green</t>
        </is>
      </c>
      <c r="B16" s="5" t="inlineStr">
        <is>
          <t>80-100%</t>
        </is>
      </c>
      <c r="C16" s="5" t="inlineStr">
        <is>
          <t>A strong understanding of this topic. Correct any errors, then move on to Mini Test 1.2.</t>
        </is>
      </c>
    </row>
    <row r="17">
      <c r="A17" s="5" t="n"/>
      <c r="B17" s="5" t="n"/>
      <c r="C17" s="5" t="n"/>
    </row>
    <row r="18">
      <c r="A18" s="6" t="inlineStr">
        <is>
          <t>Parameters — Mini Test 1.2 — Analysis of Data</t>
        </is>
      </c>
      <c r="B18" s="5" t="n"/>
      <c r="C18" s="5" t="n"/>
    </row>
    <row r="19">
      <c r="A19" s="5" t="n"/>
      <c r="B19" s="5" t="n"/>
      <c r="C19" s="5" t="n"/>
    </row>
    <row r="20">
      <c r="A20" s="7" t="inlineStr">
        <is>
          <t>Skill mapping (used by the 'Focus for next steps' column)</t>
        </is>
      </c>
      <c r="B20" s="5" t="n"/>
      <c r="C20" s="5" t="n"/>
    </row>
    <row r="21">
      <c r="A21" s="8" t="inlineStr">
        <is>
          <t>Question</t>
        </is>
      </c>
      <c r="B21" s="8" t="inlineStr">
        <is>
          <t>Skill / next step if this is the weakest area</t>
        </is>
      </c>
      <c r="C21" s="5" t="n"/>
    </row>
    <row r="22">
      <c r="A22" s="5" t="inlineStr">
        <is>
          <t>Q1 Mean &amp; standard deviation (ungrouped data)</t>
        </is>
      </c>
      <c r="B22" s="5" t="inlineStr">
        <is>
          <t>Revise calculating the mean and standard deviation from a small ungrouped data set — see Mini Test 1.2 Q1 mark scheme.</t>
        </is>
      </c>
      <c r="C22" s="5" t="n"/>
    </row>
    <row r="23">
      <c r="A23" s="5" t="inlineStr">
        <is>
          <t>Q2 Estimating the mean from grouped data</t>
        </is>
      </c>
      <c r="B23" s="5" t="inlineStr">
        <is>
          <t>Revise estimating the mean from grouped/continuous data using midpoints — see Mini Test 1.2 Q2 mark scheme.</t>
        </is>
      </c>
      <c r="C23" s="5" t="n"/>
    </row>
    <row r="24">
      <c r="A24" s="5" t="inlineStr">
        <is>
          <t>Q3 Quartiles, IQR &amp; outliers</t>
        </is>
      </c>
      <c r="B24" s="5" t="inlineStr">
        <is>
          <t>Revise finding the median, quartiles and interquartile range, and using the 1.5×IQR rule to identify outliers — see Mini Test 1.2 Q3 mark scheme.</t>
        </is>
      </c>
      <c r="C24" s="5" t="n"/>
    </row>
    <row r="25">
      <c r="A25" s="5" t="inlineStr">
        <is>
          <t>Q4 Comparing distributions (mean &amp; SD)</t>
        </is>
      </c>
      <c r="B25" s="5" t="inlineStr">
        <is>
          <t>Revise comparing two data sets using a measure of average and a measure of spread, and drawing a valid conclusion in context — see Mini Test 1.2 Q4 mark scheme.</t>
        </is>
      </c>
      <c r="C25" s="5" t="n"/>
    </row>
    <row r="26">
      <c r="A26" s="5" t="n"/>
      <c r="B26" s="5" t="n"/>
      <c r="C26" s="5" t="n"/>
    </row>
    <row r="27">
      <c r="A27" s="7" t="inlineStr">
        <is>
          <t>Overall RAG thresholds (based on % of 20 marks)</t>
        </is>
      </c>
      <c r="B27" s="5" t="n"/>
      <c r="C27" s="5" t="n"/>
    </row>
    <row r="28">
      <c r="A28" s="8" t="inlineStr">
        <is>
          <t>Band</t>
        </is>
      </c>
      <c r="B28" s="8" t="inlineStr">
        <is>
          <t>Range</t>
        </is>
      </c>
      <c r="C28" s="8" t="inlineStr">
        <is>
          <t>Feedback</t>
        </is>
      </c>
    </row>
    <row r="29">
      <c r="A29" s="5" t="inlineStr">
        <is>
          <t>Red</t>
        </is>
      </c>
      <c r="B29" s="5" t="inlineStr">
        <is>
          <t>0-49%</t>
        </is>
      </c>
      <c r="C29" s="5" t="inlineStr">
        <is>
          <t>This topic needs more work — go back over the Analysis of data materials on the site and use the revision booklet for extra practice. Come and see me if you need help.</t>
        </is>
      </c>
    </row>
    <row r="30">
      <c r="A30" s="5" t="inlineStr">
        <is>
          <t>Yellow</t>
        </is>
      </c>
      <c r="B30" s="5" t="inlineStr">
        <is>
          <t>50-79%</t>
        </is>
      </c>
      <c r="C30" s="5" t="inlineStr">
        <is>
          <t>A generally good understanding, but a few gaps remain — recap the topic(s) listed below.</t>
        </is>
      </c>
    </row>
    <row r="31">
      <c r="A31" s="5" t="inlineStr">
        <is>
          <t>Green</t>
        </is>
      </c>
      <c r="B31" s="5" t="inlineStr">
        <is>
          <t>80-100%</t>
        </is>
      </c>
      <c r="C31" s="5" t="inlineStr">
        <is>
          <t>A strong understanding of this topic. Correct any errors, then move on to Mini Test 1.3.</t>
        </is>
      </c>
    </row>
    <row r="32">
      <c r="A32" s="5" t="n"/>
      <c r="B32" s="5" t="n"/>
      <c r="C32" s="5" t="n"/>
    </row>
    <row r="33">
      <c r="A33" s="6" t="inlineStr">
        <is>
          <t>Parameters — Mini Test 1.3 — Analysis of Data</t>
        </is>
      </c>
      <c r="B33" s="5" t="n"/>
      <c r="C33" s="5" t="n"/>
    </row>
    <row r="34">
      <c r="A34" s="5" t="n"/>
      <c r="B34" s="5" t="n"/>
      <c r="C34" s="5" t="n"/>
    </row>
    <row r="35">
      <c r="A35" s="7" t="inlineStr">
        <is>
          <t>Skill mapping (used by the 'Focus for next steps' column)</t>
        </is>
      </c>
      <c r="B35" s="5" t="n"/>
      <c r="C35" s="5" t="n"/>
    </row>
    <row r="36">
      <c r="A36" s="8" t="inlineStr">
        <is>
          <t>Question</t>
        </is>
      </c>
      <c r="B36" s="8" t="inlineStr">
        <is>
          <t>Skill / next step if this is the weakest area</t>
        </is>
      </c>
      <c r="C36" s="5" t="n"/>
    </row>
    <row r="37">
      <c r="A37" s="5" t="inlineStr">
        <is>
          <t>Q1 Drawing a box plot &amp; skewness</t>
        </is>
      </c>
      <c r="B37" s="5" t="inlineStr">
        <is>
          <t>Revise drawing a box plot from a five-number summary and describing skewness from the position of the median and the whisker lengths — see Mini Test 1.3 Q1 mark scheme.</t>
        </is>
      </c>
      <c r="C37" s="5" t="n"/>
    </row>
    <row r="38">
      <c r="A38" s="5" t="inlineStr">
        <is>
          <t>Q2 Comparing box plots &amp; IQR</t>
        </is>
      </c>
      <c r="B38" s="5" t="inlineStr">
        <is>
          <t>Revise reading box plots to compare medians and interquartile ranges, and being careful when judging consistency from box width alone — see Mini Test 1.3 Q2 mark scheme.</t>
        </is>
      </c>
      <c r="C38" s="5" t="n"/>
    </row>
    <row r="39">
      <c r="A39" s="5" t="inlineStr">
        <is>
          <t>Q3 Cumulative frequency table &amp; graph</t>
        </is>
      </c>
      <c r="B39" s="5" t="inlineStr">
        <is>
          <t>Revise building a cumulative frequency table and graph, and reading off estimates such as the median from it — see Mini Test 1.3 Q3 mark scheme.</t>
        </is>
      </c>
      <c r="C39" s="5" t="n"/>
    </row>
    <row r="40">
      <c r="A40" s="5" t="inlineStr">
        <is>
          <t>Q4 Sampling bias &amp; misleading pie charts</t>
        </is>
      </c>
      <c r="B40" s="5" t="inlineStr">
        <is>
          <t>Revise identifying opportunity/self-selected samples and explaining how a misleading pie chart (or biased sample) can distort a survey's conclusions — see Mini Test 1.3 Q4 mark scheme.</t>
        </is>
      </c>
      <c r="C40" s="5" t="n"/>
    </row>
    <row r="41">
      <c r="A41" s="5" t="n"/>
      <c r="B41" s="5" t="n"/>
      <c r="C41" s="5" t="n"/>
    </row>
    <row r="42">
      <c r="A42" s="7" t="inlineStr">
        <is>
          <t>Overall RAG thresholds (based on % of 22 marks)</t>
        </is>
      </c>
      <c r="B42" s="5" t="n"/>
      <c r="C42" s="5" t="n"/>
    </row>
    <row r="43">
      <c r="A43" s="8" t="inlineStr">
        <is>
          <t>Band</t>
        </is>
      </c>
      <c r="B43" s="8" t="inlineStr">
        <is>
          <t>Range</t>
        </is>
      </c>
      <c r="C43" s="8" t="inlineStr">
        <is>
          <t>Feedback</t>
        </is>
      </c>
    </row>
    <row r="44">
      <c r="A44" s="5" t="inlineStr">
        <is>
          <t>Red</t>
        </is>
      </c>
      <c r="B44" s="5" t="inlineStr">
        <is>
          <t>0-49%</t>
        </is>
      </c>
      <c r="C44" s="5" t="inlineStr">
        <is>
          <t>This topic needs more work — go back over the Analysis of data materials on the site and use the revision booklet for extra practice. Come and see me if you need help.</t>
        </is>
      </c>
    </row>
    <row r="45">
      <c r="A45" s="5" t="inlineStr">
        <is>
          <t>Yellow</t>
        </is>
      </c>
      <c r="B45" s="5" t="inlineStr">
        <is>
          <t>50-79%</t>
        </is>
      </c>
      <c r="C45" s="5" t="inlineStr">
        <is>
          <t>A generally good understanding, but a few gaps remain — recap the topic(s) listed below.</t>
        </is>
      </c>
    </row>
    <row r="46">
      <c r="A46" s="5" t="inlineStr">
        <is>
          <t>Green</t>
        </is>
      </c>
      <c r="B46" s="5" t="inlineStr">
        <is>
          <t>80-100%</t>
        </is>
      </c>
      <c r="C46" s="5" t="inlineStr">
        <is>
          <t>A strong understanding of this topic. Correct any errors, then move on to the Chapter 1 End of Topic Test.</t>
        </is>
      </c>
    </row>
    <row r="47">
      <c r="A47" s="5" t="n"/>
      <c r="B47" s="5" t="n"/>
      <c r="C47" s="5" t="n"/>
    </row>
    <row r="48">
      <c r="A48" s="6" t="inlineStr">
        <is>
          <t>Parameters — Chapter 1 End of Topic Test — Analysis of Data</t>
        </is>
      </c>
      <c r="B48" s="5" t="n"/>
      <c r="C48" s="5" t="n"/>
    </row>
    <row r="49">
      <c r="A49" s="5" t="n"/>
      <c r="B49" s="5" t="n"/>
      <c r="C49" s="5" t="n"/>
    </row>
    <row r="50">
      <c r="A50" s="7" t="inlineStr">
        <is>
          <t>Skill mapping (used by the 'Focus for next steps' column)</t>
        </is>
      </c>
      <c r="B50" s="5" t="n"/>
      <c r="C50" s="5" t="n"/>
    </row>
    <row r="51">
      <c r="A51" s="8" t="inlineStr">
        <is>
          <t>Question</t>
        </is>
      </c>
      <c r="B51" s="8" t="inlineStr">
        <is>
          <t>Skill / next step if this is the weakest area</t>
        </is>
      </c>
      <c r="C51" s="5" t="n"/>
    </row>
    <row r="52">
      <c r="A52" s="5" t="inlineStr">
        <is>
          <t>Q1 Types of data</t>
        </is>
      </c>
      <c r="B52" s="5" t="inlineStr">
        <is>
          <t>Revise identifying categorical, discrete and continuous variables, including cases like age that could be treated either way depending on context — see End of Topic Test 1 Q1 mark scheme.</t>
        </is>
      </c>
      <c r="C52" s="5" t="n"/>
    </row>
    <row r="53">
      <c r="A53" s="5" t="inlineStr">
        <is>
          <t>Q2 Averages &amp; spread (mean, median, range)</t>
        </is>
      </c>
      <c r="B53" s="5" t="inlineStr">
        <is>
          <t>Revise calculating the mean, median and range, and explaining when the median is more appropriate than the mean for skewed data — see End of Topic Test 1 Q2 mark scheme.</t>
        </is>
      </c>
      <c r="C53" s="5" t="n"/>
    </row>
    <row r="54">
      <c r="A54" s="5" t="inlineStr">
        <is>
          <t>Q3 Interpreting a bar chart</t>
        </is>
      </c>
      <c r="B54" s="5" t="inlineStr">
        <is>
          <t>Revise reading values from a bar chart and identifying limitations of using one to display this type of data — see End of Topic Test 1 Q3 mark scheme.</t>
        </is>
      </c>
      <c r="C54" s="5" t="n"/>
    </row>
    <row r="55">
      <c r="A55" s="5" t="inlineStr">
        <is>
          <t>Q4 Stem-and-leaf diagram</t>
        </is>
      </c>
      <c r="B55" s="5" t="inlineStr">
        <is>
          <t>Revise reading a stem-and-leaf diagram to find the median and modal class, and its advantages over a bar chart — see End of Topic Test 1 Q4 mark scheme.</t>
        </is>
      </c>
      <c r="C55" s="5" t="n"/>
    </row>
    <row r="56">
      <c r="A56" s="5" t="inlineStr">
        <is>
          <t>Q5 Pie chart interpretation</t>
        </is>
      </c>
      <c r="B56" s="5" t="inlineStr">
        <is>
          <t>Revise reading proportions and angles from a pie chart and when a pie chart is an appropriate choice of diagram — see End of Topic Test 1 Q5 mark scheme.</t>
        </is>
      </c>
      <c r="C56" s="5" t="n"/>
    </row>
    <row r="57">
      <c r="A57" s="5" t="inlineStr">
        <is>
          <t>Q6 Stratified sampling (two-way)</t>
        </is>
      </c>
      <c r="B57" s="5" t="inlineStr">
        <is>
          <t>Revise carrying out proportional stratified sampling across two combined categories, selecting samples at random within each stratum, and weighing up the advantages and practical difficulties of stratified sampling — see End of Topic Test 1 Q6 mark scheme.</t>
        </is>
      </c>
      <c r="C57" s="5" t="n"/>
    </row>
    <row r="58">
      <c r="A58" s="5" t="n"/>
      <c r="B58" s="5" t="n"/>
      <c r="C58" s="5" t="n"/>
    </row>
    <row r="59">
      <c r="A59" s="7" t="inlineStr">
        <is>
          <t>Overall RAG thresholds (based on % of 47 marks)</t>
        </is>
      </c>
      <c r="B59" s="5" t="n"/>
      <c r="C59" s="5" t="n"/>
    </row>
    <row r="60">
      <c r="A60" s="8" t="inlineStr">
        <is>
          <t>Band</t>
        </is>
      </c>
      <c r="B60" s="8" t="inlineStr">
        <is>
          <t>Range</t>
        </is>
      </c>
      <c r="C60" s="8" t="inlineStr">
        <is>
          <t>Feedback</t>
        </is>
      </c>
    </row>
    <row r="61">
      <c r="A61" s="5" t="inlineStr">
        <is>
          <t>Red</t>
        </is>
      </c>
      <c r="B61" s="5" t="inlineStr">
        <is>
          <t>0-49%</t>
        </is>
      </c>
      <c r="C61" s="5" t="inlineStr">
        <is>
          <t>This topic needs more work — go back over the Analysis of data materials on the site and use the revision booklet for extra practice. Come and see me if you need help.</t>
        </is>
      </c>
    </row>
    <row r="62">
      <c r="A62" s="5" t="inlineStr">
        <is>
          <t>Yellow</t>
        </is>
      </c>
      <c r="B62" s="5" t="inlineStr">
        <is>
          <t>50-79%</t>
        </is>
      </c>
      <c r="C62" s="5" t="inlineStr">
        <is>
          <t>A generally good understanding, but a few gaps remain — recap the topic(s) listed below.</t>
        </is>
      </c>
    </row>
    <row r="63">
      <c r="A63" s="5" t="inlineStr">
        <is>
          <t>Green</t>
        </is>
      </c>
      <c r="B63" s="5" t="inlineStr">
        <is>
          <t>80-100%</t>
        </is>
      </c>
      <c r="C63" s="5" t="inlineStr">
        <is>
          <t>A strong understanding of this topic. Correct any errors, then move on to Chapter 1 End of Topic Test 2.</t>
        </is>
      </c>
    </row>
    <row r="64">
      <c r="A64" s="5" t="n"/>
      <c r="B64" s="5" t="n"/>
      <c r="C64" s="5" t="n"/>
    </row>
    <row r="65">
      <c r="A65" s="6" t="inlineStr">
        <is>
          <t>Parameters — Chapter 1 End of Topic Test 2 — Analysis of Data</t>
        </is>
      </c>
      <c r="B65" s="5" t="n"/>
      <c r="C65" s="5" t="n"/>
    </row>
    <row r="66">
      <c r="A66" s="5" t="n"/>
      <c r="B66" s="5" t="n"/>
      <c r="C66" s="5" t="n"/>
    </row>
    <row r="67">
      <c r="A67" s="7" t="inlineStr">
        <is>
          <t>Skill mapping (used by the 'Focus for next steps' column)</t>
        </is>
      </c>
      <c r="B67" s="5" t="n"/>
      <c r="C67" s="5" t="n"/>
    </row>
    <row r="68">
      <c r="A68" s="8" t="inlineStr">
        <is>
          <t>Question</t>
        </is>
      </c>
      <c r="B68" s="8" t="inlineStr">
        <is>
          <t>Skill / next step if this is the weakest area</t>
        </is>
      </c>
      <c r="C68" s="5" t="n"/>
    </row>
    <row r="69">
      <c r="A69" s="5" t="inlineStr">
        <is>
          <t>Q1 Comparing distributions using box plots</t>
        </is>
      </c>
      <c r="B69" s="5" t="inlineStr">
        <is>
          <t>Revise comparing box plots using median and interquartile range, and critically evaluating claims that rely on a single extreme value (e.g. the maximum) rather than the overall spread — see End of Topic Test 2 Q1 mark scheme.</t>
        </is>
      </c>
      <c r="C69" s="5" t="n"/>
    </row>
    <row r="70">
      <c r="A70" s="5" t="inlineStr">
        <is>
          <t>Q2 Grouped mean &amp; median (interpolation)</t>
        </is>
      </c>
      <c r="B70" s="5" t="inlineStr">
        <is>
          <t>Revise estimating the mean and median from grouped data using midpoints and linear interpolation, and the limitations of grouped-data estimates — see End of Topic Test 2 Q2 mark scheme.</t>
        </is>
      </c>
      <c r="C70" s="5" t="n"/>
    </row>
    <row r="71">
      <c r="A71" s="5" t="inlineStr">
        <is>
          <t>Q3 Histograms &amp; frequency density</t>
        </is>
      </c>
      <c r="B71" s="5" t="inlineStr">
        <is>
          <t>Revise calculating frequency density for unequal class widths, drawing a histogram, and using frequency density to estimate frequencies above or below a given value — see End of Topic Test 2 Q3 mark scheme.</t>
        </is>
      </c>
      <c r="C71" s="5" t="n"/>
    </row>
    <row r="72">
      <c r="A72" s="5" t="inlineStr">
        <is>
          <t>Q4 Cumulative frequency graph &amp; percentiles</t>
        </is>
      </c>
      <c r="B72" s="5" t="inlineStr">
        <is>
          <t>Revise reading medians and percentiles from a cumulative frequency graph, and drawing and comparing a box plot from those readings — see End of Topic Test 2 Q4 mark scheme.</t>
        </is>
      </c>
      <c r="C72" s="5" t="n"/>
    </row>
    <row r="73">
      <c r="A73" s="5" t="inlineStr">
        <is>
          <t>Q5 Interpreting survey results &amp; sampling bias</t>
        </is>
      </c>
      <c r="B73" s="5" t="inlineStr">
        <is>
          <t>Revise how the sampling method used for a survey (e.g. online panel vs. face-to-face at a specific location) can bias results, and how to make two surveys more comparable — see End of Topic Test 2 Q5 mark scheme.</t>
        </is>
      </c>
      <c r="C73" s="5" t="n"/>
    </row>
    <row r="74">
      <c r="A74" s="5" t="n"/>
      <c r="B74" s="5" t="n"/>
      <c r="C74" s="5" t="n"/>
    </row>
    <row r="75">
      <c r="A75" s="7" t="inlineStr">
        <is>
          <t>Overall RAG thresholds (based on % of 43 marks)</t>
        </is>
      </c>
      <c r="B75" s="5" t="n"/>
      <c r="C75" s="5" t="n"/>
    </row>
    <row r="76">
      <c r="A76" s="8" t="inlineStr">
        <is>
          <t>Band</t>
        </is>
      </c>
      <c r="B76" s="8" t="inlineStr">
        <is>
          <t>Range</t>
        </is>
      </c>
      <c r="C76" s="8" t="inlineStr">
        <is>
          <t>Feedback</t>
        </is>
      </c>
    </row>
    <row r="77">
      <c r="A77" s="5" t="inlineStr">
        <is>
          <t>Red</t>
        </is>
      </c>
      <c r="B77" s="5" t="inlineStr">
        <is>
          <t>0-49%</t>
        </is>
      </c>
      <c r="C77" s="5" t="inlineStr">
        <is>
          <t>This topic needs more work — go back over the Analysis of data materials on the site and use the revision booklet for extra practice. Come and see me if you need help.</t>
        </is>
      </c>
    </row>
    <row r="78">
      <c r="A78" s="5" t="inlineStr">
        <is>
          <t>Yellow</t>
        </is>
      </c>
      <c r="B78" s="5" t="inlineStr">
        <is>
          <t>50-79%</t>
        </is>
      </c>
      <c r="C78" s="5" t="inlineStr">
        <is>
          <t>A generally good understanding, but a few gaps remain — recap the topic(s) listed below.</t>
        </is>
      </c>
    </row>
    <row r="79">
      <c r="A79" s="5" t="inlineStr">
        <is>
          <t>Green</t>
        </is>
      </c>
      <c r="B79" s="5" t="inlineStr">
        <is>
          <t>80-100%</t>
        </is>
      </c>
      <c r="C79" s="5" t="inlineStr">
        <is>
          <t>A strong understanding of this topic. Correct any errors, then move on to Chapter 2's Mini Tests.</t>
        </is>
      </c>
    </row>
    <row r="80">
      <c r="A80" s="5" t="n"/>
      <c r="B80" s="5" t="n"/>
      <c r="C80" s="5" t="n"/>
    </row>
    <row r="81">
      <c r="A81" s="6" t="inlineStr">
        <is>
          <t>Parameters — Mini Test 2.1 — Personal finance</t>
        </is>
      </c>
      <c r="B81" s="5" t="n"/>
      <c r="C81" s="5" t="n"/>
    </row>
    <row r="82">
      <c r="A82" s="5" t="n"/>
      <c r="B82" s="5" t="n"/>
      <c r="C82" s="5" t="n"/>
    </row>
    <row r="83">
      <c r="A83" s="7" t="inlineStr">
        <is>
          <t>Skill mapping (used by the 'Focus for next steps' column)</t>
        </is>
      </c>
      <c r="B83" s="5" t="n"/>
      <c r="C83" s="5" t="n"/>
    </row>
    <row r="84">
      <c r="A84" s="8" t="inlineStr">
        <is>
          <t>Question</t>
        </is>
      </c>
      <c r="B84" s="8" t="inlineStr">
        <is>
          <t>Skill / next step if this is the weakest area</t>
        </is>
      </c>
      <c r="C84" s="5" t="n"/>
    </row>
    <row r="85">
      <c r="A85" s="5" t="inlineStr">
        <is>
          <t>Q1 Income tax &amp; National Insurance</t>
        </is>
      </c>
      <c r="B85" s="5" t="inlineStr">
        <is>
          <t>Revise calculating income tax across more than one tax band and applying a National Insurance threshold and rate — see Mini Test 2.1 Q1 mark scheme.</t>
        </is>
      </c>
      <c r="C85" s="5" t="n"/>
    </row>
    <row r="86">
      <c r="A86" s="5" t="inlineStr">
        <is>
          <t>Q2 Budgeting</t>
        </is>
      </c>
      <c r="B86" s="5" t="inlineStr">
        <is>
          <t>Revise totalling income and expenditure from a simple budget and expressing the monthly saving as a percentage of income — see Mini Test 2.1 Q2 mark scheme.</t>
        </is>
      </c>
      <c r="C86" s="5" t="n"/>
    </row>
    <row r="87">
      <c r="A87" s="5" t="inlineStr">
        <is>
          <t>Q3 Simple &amp; compound interest</t>
        </is>
      </c>
      <c r="B87" s="5" t="inlineStr">
        <is>
          <t>Revise calculating simple interest and compound interest on a savings account and comparing which account gives the better return — see Mini Test 2.1 Q3 mark scheme.</t>
        </is>
      </c>
      <c r="C87" s="5" t="n"/>
    </row>
    <row r="88">
      <c r="A88" s="5" t="n"/>
      <c r="B88" s="5" t="n"/>
      <c r="C88" s="5" t="n"/>
    </row>
    <row r="89">
      <c r="A89" s="7" t="inlineStr">
        <is>
          <t>Overall RAG thresholds (based on % of 22 marks)</t>
        </is>
      </c>
      <c r="B89" s="5" t="n"/>
      <c r="C89" s="5" t="n"/>
    </row>
    <row r="90">
      <c r="A90" s="8" t="inlineStr">
        <is>
          <t>Band</t>
        </is>
      </c>
      <c r="B90" s="8" t="inlineStr">
        <is>
          <t>Range</t>
        </is>
      </c>
      <c r="C90" s="8" t="inlineStr">
        <is>
          <t>Feedback</t>
        </is>
      </c>
    </row>
    <row r="91">
      <c r="A91" s="5" t="inlineStr">
        <is>
          <t>Red</t>
        </is>
      </c>
      <c r="B91" s="5" t="inlineStr">
        <is>
          <t>0-49%</t>
        </is>
      </c>
      <c r="C91" s="5" t="inlineStr">
        <is>
          <t>This topic needs more work — go back over the Personal finance materials on the site and use the revision booklet for extra practice. Come and see me if you need help.</t>
        </is>
      </c>
    </row>
    <row r="92">
      <c r="A92" s="5" t="inlineStr">
        <is>
          <t>Yellow</t>
        </is>
      </c>
      <c r="B92" s="5" t="inlineStr">
        <is>
          <t>50-79%</t>
        </is>
      </c>
      <c r="C92" s="5" t="inlineStr">
        <is>
          <t>A generally good understanding, but a few gaps remain — recap the topic(s) listed below.</t>
        </is>
      </c>
    </row>
    <row r="93">
      <c r="A93" s="5" t="inlineStr">
        <is>
          <t>Green</t>
        </is>
      </c>
      <c r="B93" s="5" t="inlineStr">
        <is>
          <t>80-100%</t>
        </is>
      </c>
      <c r="C93" s="5" t="inlineStr">
        <is>
          <t>A strong understanding of this topic. Correct any errors, then move on to Mini Test 2.2.</t>
        </is>
      </c>
    </row>
    <row r="94">
      <c r="A94" s="5" t="n"/>
      <c r="B94" s="5" t="n"/>
      <c r="C94" s="5" t="n"/>
    </row>
    <row r="95">
      <c r="A95" s="6" t="inlineStr">
        <is>
          <t>Parameters — Mini Test 2.2 — Personal finance</t>
        </is>
      </c>
      <c r="B95" s="5" t="n"/>
      <c r="C95" s="5" t="n"/>
    </row>
    <row r="96">
      <c r="A96" s="5" t="n"/>
      <c r="B96" s="5" t="n"/>
      <c r="C96" s="5" t="n"/>
    </row>
    <row r="97">
      <c r="A97" s="7" t="inlineStr">
        <is>
          <t>Skill mapping (used by the 'Focus for next steps' column)</t>
        </is>
      </c>
      <c r="B97" s="5" t="n"/>
      <c r="C97" s="5" t="n"/>
    </row>
    <row r="98">
      <c r="A98" s="8" t="inlineStr">
        <is>
          <t>Question</t>
        </is>
      </c>
      <c r="B98" s="8" t="inlineStr">
        <is>
          <t>Skill / next step if this is the weakest area</t>
        </is>
      </c>
      <c r="C98" s="5" t="n"/>
    </row>
    <row r="99">
      <c r="A99" s="5" t="inlineStr">
        <is>
          <t>Q1 Comparing loans</t>
        </is>
      </c>
      <c r="B99" s="5" t="inlineStr">
        <is>
          <t>Revise comparing loan offers using the total amount repaid and total interest charged, not just the size of the monthly instalment — see Mini Test 2.2 Q1 mark scheme.</t>
        </is>
      </c>
      <c r="C99" s="5" t="n"/>
    </row>
    <row r="100">
      <c r="A100" s="5" t="inlineStr">
        <is>
          <t>Q2 Exchange rates</t>
        </is>
      </c>
      <c r="B100" s="5" t="inlineStr">
        <is>
          <t>Revise converting between currencies using an exchange rate in both directions and comparing amounts when the rate changes — see Mini Test 2.2 Q2 mark scheme.</t>
        </is>
      </c>
      <c r="C100" s="5" t="n"/>
    </row>
    <row r="101">
      <c r="A101" s="5" t="inlineStr">
        <is>
          <t>Q3 Depreciation</t>
        </is>
      </c>
      <c r="B101" s="5" t="inlineStr">
        <is>
          <t>Revise calculating reducing-balance (compound) depreciation and comparing it with straight-line depreciation over the same period — see Mini Test 2.2 Q3 mark scheme.</t>
        </is>
      </c>
      <c r="C101" s="5" t="n"/>
    </row>
    <row r="102">
      <c r="A102" s="5" t="inlineStr">
        <is>
          <t>Q4 Price indices &amp; inflation</t>
        </is>
      </c>
      <c r="B102" s="5" t="inlineStr">
        <is>
          <t>Revise calculating and interpreting a price index, and comparing a wage index with a price index to judge whether income has kept up with inflation — see Mini Test 2.2 Q4 mark scheme.</t>
        </is>
      </c>
      <c r="C102" s="5" t="n"/>
    </row>
    <row r="103">
      <c r="A103" s="5" t="n"/>
      <c r="B103" s="5" t="n"/>
      <c r="C103" s="5" t="n"/>
    </row>
    <row r="104">
      <c r="A104" s="7" t="inlineStr">
        <is>
          <t>Overall RAG thresholds (based on % of 26 marks)</t>
        </is>
      </c>
      <c r="B104" s="5" t="n"/>
      <c r="C104" s="5" t="n"/>
    </row>
    <row r="105">
      <c r="A105" s="8" t="inlineStr">
        <is>
          <t>Band</t>
        </is>
      </c>
      <c r="B105" s="8" t="inlineStr">
        <is>
          <t>Range</t>
        </is>
      </c>
      <c r="C105" s="8" t="inlineStr">
        <is>
          <t>Feedback</t>
        </is>
      </c>
    </row>
    <row r="106">
      <c r="A106" s="5" t="inlineStr">
        <is>
          <t>Red</t>
        </is>
      </c>
      <c r="B106" s="5" t="inlineStr">
        <is>
          <t>0-49%</t>
        </is>
      </c>
      <c r="C106" s="5" t="inlineStr">
        <is>
          <t>This topic needs more work — go back over the Personal finance materials on the site and use the revision booklet for extra practice. Come and see me if you need help.</t>
        </is>
      </c>
    </row>
    <row r="107">
      <c r="A107" s="5" t="inlineStr">
        <is>
          <t>Yellow</t>
        </is>
      </c>
      <c r="B107" s="5" t="inlineStr">
        <is>
          <t>50-79%</t>
        </is>
      </c>
      <c r="C107" s="5" t="inlineStr">
        <is>
          <t>A generally good understanding, but a few gaps remain — recap the topic(s) listed below.</t>
        </is>
      </c>
    </row>
    <row r="108">
      <c r="A108" s="5" t="inlineStr">
        <is>
          <t>Green</t>
        </is>
      </c>
      <c r="B108" s="5" t="inlineStr">
        <is>
          <t>80-100%</t>
        </is>
      </c>
      <c r="C108" s="5" t="inlineStr">
        <is>
          <t>A strong understanding of this topic. Correct any errors, then move on to the Chapter 2 End of Topic Test.</t>
        </is>
      </c>
    </row>
    <row r="109">
      <c r="A109" s="5" t="n"/>
      <c r="B109" s="5" t="n"/>
      <c r="C109" s="5" t="n"/>
    </row>
    <row r="110">
      <c r="A110" s="6" t="inlineStr">
        <is>
          <t>Parameters — Chapter 2 End of Topic Test — Personal finance</t>
        </is>
      </c>
      <c r="B110" s="5" t="n"/>
      <c r="C110" s="5" t="n"/>
    </row>
    <row r="111">
      <c r="A111" s="5" t="n"/>
      <c r="B111" s="5" t="n"/>
      <c r="C111" s="5" t="n"/>
    </row>
    <row r="112">
      <c r="A112" s="7" t="inlineStr">
        <is>
          <t>Skill mapping (used by the 'Focus for next steps' column)</t>
        </is>
      </c>
      <c r="B112" s="5" t="n"/>
      <c r="C112" s="5" t="n"/>
    </row>
    <row r="113">
      <c r="A113" s="8" t="inlineStr">
        <is>
          <t>Question</t>
        </is>
      </c>
      <c r="B113" s="8" t="inlineStr">
        <is>
          <t>Skill / next step if this is the weakest area</t>
        </is>
      </c>
      <c r="C113" s="5" t="n"/>
    </row>
    <row r="114">
      <c r="A114" s="5" t="inlineStr">
        <is>
          <t>Q1 Budgeting &amp; current accounts</t>
        </is>
      </c>
      <c r="B114" s="5" t="inlineStr">
        <is>
          <t>Revise reading entries on a bank statement, calculating total income and total expenditure, and suggesting realistic changes to avoid overdraft charges.</t>
        </is>
      </c>
      <c r="C114" s="5" t="n"/>
    </row>
    <row r="115">
      <c r="A115" s="5" t="inlineStr">
        <is>
          <t>Q2 Income tax bands</t>
        </is>
      </c>
      <c r="B115" s="5" t="inlineStr">
        <is>
          <t>Revise calculating income tax using a personal allowance and more than one tax band, and finding an average (overall) tax rate.</t>
        </is>
      </c>
      <c r="C115" s="5" t="n"/>
    </row>
    <row r="116">
      <c r="A116" s="5" t="inlineStr">
        <is>
          <t>Q3 Payslips &amp; deductions</t>
        </is>
      </c>
      <c r="B116" s="5" t="inlineStr">
        <is>
          <t>Revise the difference between gross and net pay, calculating net pay from a list of payslip deductions, and checking a deduction against a stated rule.</t>
        </is>
      </c>
      <c r="C116" s="5" t="n"/>
    </row>
    <row r="117">
      <c r="A117" s="5" t="inlineStr">
        <is>
          <t>Q4 Loans &amp; APR</t>
        </is>
      </c>
      <c r="B117" s="5" t="inlineStr">
        <is>
          <t>Revise setting up a present-value equation for a credit deal, estimating the APR by trial and improvement, and spotting misleading 'no interest' claims.</t>
        </is>
      </c>
      <c r="C117" s="5" t="n"/>
    </row>
    <row r="118">
      <c r="A118" s="5" t="inlineStr">
        <is>
          <t>Q5 Savings &amp; AER</t>
        </is>
      </c>
      <c r="B118" s="5" t="inlineStr">
        <is>
          <t>Revise converting an annual interest rate to a monthly rate, building up monthly compound interest month by month, and using the AER formula.</t>
        </is>
      </c>
      <c r="C118" s="5" t="n"/>
    </row>
    <row r="119">
      <c r="A119" s="5" t="inlineStr">
        <is>
          <t>Q6 VAT &amp; multipliers</t>
        </is>
      </c>
      <c r="B119" s="5" t="inlineStr">
        <is>
          <t>Revise using multiplying factors to add or remove VAT from a price, and calculating a percentage reduction from a VAT-inclusive price.</t>
        </is>
      </c>
      <c r="C119" s="5" t="n"/>
    </row>
    <row r="120">
      <c r="A120" s="5" t="inlineStr">
        <is>
          <t>Q7 Inflation &amp; real value</t>
        </is>
      </c>
      <c r="B120" s="5" t="inlineStr">
        <is>
          <t>Revise projecting a future value using compound growth, and calculating a real growth factor and real percentage change once inflation is accounted for.</t>
        </is>
      </c>
      <c r="C120" s="5" t="n"/>
    </row>
    <row r="121">
      <c r="A121" s="5" t="inlineStr">
        <is>
          <t>Q8 Mortgages &amp; recurrence</t>
        </is>
      </c>
      <c r="B121" s="5" t="inlineStr">
        <is>
          <t>Revise writing and using a recurrence relation for a mortgage balance, and explaining how a spreadsheet could be set up to model it over time.</t>
        </is>
      </c>
      <c r="C121" s="5" t="n"/>
    </row>
    <row r="122">
      <c r="A122" s="5" t="n"/>
      <c r="B122" s="5" t="n"/>
      <c r="C122" s="5" t="n"/>
    </row>
    <row r="123">
      <c r="A123" s="7" t="inlineStr">
        <is>
          <t>Overall RAG thresholds (based on % of 71 marks)</t>
        </is>
      </c>
      <c r="B123" s="5" t="n"/>
      <c r="C123" s="5" t="n"/>
    </row>
    <row r="124">
      <c r="A124" s="8" t="inlineStr">
        <is>
          <t>Band</t>
        </is>
      </c>
      <c r="B124" s="8" t="inlineStr">
        <is>
          <t>Range</t>
        </is>
      </c>
      <c r="C124" s="8" t="inlineStr">
        <is>
          <t>Feedback</t>
        </is>
      </c>
    </row>
    <row r="125">
      <c r="A125" s="5" t="inlineStr">
        <is>
          <t>Red</t>
        </is>
      </c>
      <c r="B125" s="5" t="inlineStr">
        <is>
          <t>0-49%</t>
        </is>
      </c>
      <c r="C125" s="5" t="inlineStr">
        <is>
          <t>This topic needs more work — go back over the Personal finance materials on the site and use the revision booklet for extra practice. Come and see me if you need help.</t>
        </is>
      </c>
    </row>
    <row r="126">
      <c r="A126" s="5" t="inlineStr">
        <is>
          <t>Yellow</t>
        </is>
      </c>
      <c r="B126" s="5" t="inlineStr">
        <is>
          <t>50-79%</t>
        </is>
      </c>
      <c r="C126" s="5" t="inlineStr">
        <is>
          <t>A generally good understanding, but a few gaps remain — recap the topic(s) listed below.</t>
        </is>
      </c>
    </row>
    <row r="127">
      <c r="A127" s="5" t="inlineStr">
        <is>
          <t>Green</t>
        </is>
      </c>
      <c r="B127" s="5" t="inlineStr">
        <is>
          <t>80-100%</t>
        </is>
      </c>
      <c r="C127" s="5" t="inlineStr">
        <is>
          <t>A strong understanding of this topic. Correct any errors, then move on to Chapter 2 End of Topic Test 2.</t>
        </is>
      </c>
    </row>
    <row r="128">
      <c r="A128" s="5" t="n"/>
      <c r="B128" s="5" t="n"/>
      <c r="C128" s="5" t="n"/>
    </row>
    <row r="129">
      <c r="A129" s="6" t="inlineStr">
        <is>
          <t>Parameters — Chapter 2 End of Topic Test 2 — Personal finance</t>
        </is>
      </c>
      <c r="B129" s="5" t="n"/>
      <c r="C129" s="5" t="n"/>
    </row>
    <row r="130">
      <c r="A130" s="5" t="n"/>
      <c r="B130" s="5" t="n"/>
      <c r="C130" s="5" t="n"/>
    </row>
    <row r="131">
      <c r="A131" s="7" t="inlineStr">
        <is>
          <t>Skill mapping (used by the 'Focus for next steps' column)</t>
        </is>
      </c>
      <c r="B131" s="5" t="n"/>
      <c r="C131" s="5" t="n"/>
    </row>
    <row r="132">
      <c r="A132" s="8" t="inlineStr">
        <is>
          <t>Question</t>
        </is>
      </c>
      <c r="B132" s="8" t="inlineStr">
        <is>
          <t>Skill / next step if this is the weakest area</t>
        </is>
      </c>
      <c r="C132" s="5" t="n"/>
    </row>
    <row r="133">
      <c r="A133" s="5" t="inlineStr">
        <is>
          <t>Q1 Budgeting &amp; current accounts</t>
        </is>
      </c>
      <c r="B133" s="5" t="inlineStr">
        <is>
          <t>Revise reading entries on a bank statement, calculating total income and total expenditure, and suggesting realistic changes to avoid overdraft charges.</t>
        </is>
      </c>
      <c r="C133" s="5" t="n"/>
    </row>
    <row r="134">
      <c r="A134" s="5" t="inlineStr">
        <is>
          <t>Q2 Income tax bands</t>
        </is>
      </c>
      <c r="B134" s="5" t="inlineStr">
        <is>
          <t>Revise calculating income tax using a personal allowance and more than one tax band, and finding an average (overall) tax rate.</t>
        </is>
      </c>
      <c r="C134" s="5" t="n"/>
    </row>
    <row r="135">
      <c r="A135" s="5" t="inlineStr">
        <is>
          <t>Q3 Payslips &amp; deductions</t>
        </is>
      </c>
      <c r="B135" s="5" t="inlineStr">
        <is>
          <t>Revise the difference between gross and net pay, calculating net pay from a list of payslip deductions, and checking a deduction against a stated rule.</t>
        </is>
      </c>
      <c r="C135" s="5" t="n"/>
    </row>
    <row r="136">
      <c r="A136" s="5" t="inlineStr">
        <is>
          <t>Q4 Exchange rates</t>
        </is>
      </c>
      <c r="B136" s="5" t="inlineStr">
        <is>
          <t>Revise converting an amount into a foreign currency after a flat fee or a percentage commission has been deducted, and comparing two providers' value.</t>
        </is>
      </c>
      <c r="C136" s="5" t="n"/>
    </row>
    <row r="137">
      <c r="A137" s="5" t="inlineStr">
        <is>
          <t>Q5 Loans &amp; APR</t>
        </is>
      </c>
      <c r="B137" s="5" t="inlineStr">
        <is>
          <t>Revise setting up a present-value equation for a credit deal, estimating the APR by trial and improvement, and spotting misleading 'interest-free' claims.</t>
        </is>
      </c>
      <c r="C137" s="5" t="n"/>
    </row>
    <row r="138">
      <c r="A138" s="5" t="inlineStr">
        <is>
          <t>Q6 Savings &amp; AER</t>
        </is>
      </c>
      <c r="B138" s="5" t="inlineStr">
        <is>
          <t>Revise converting an annual interest rate to a monthly rate, building up monthly compound interest month by month, and using the AER formula.</t>
        </is>
      </c>
      <c r="C138" s="5" t="n"/>
    </row>
    <row r="139">
      <c r="A139" s="5" t="inlineStr">
        <is>
          <t>Q7 Depreciation</t>
        </is>
      </c>
      <c r="B139" s="5" t="inlineStr">
        <is>
          <t>Revise calculating reducing-balance (compound) depreciation and comparing it with straight-line depreciation, including which model is more realistic long-term.</t>
        </is>
      </c>
      <c r="C139" s="5" t="n"/>
    </row>
    <row r="140">
      <c r="A140" s="5" t="inlineStr">
        <is>
          <t>Q8 Inflation &amp; real value</t>
        </is>
      </c>
      <c r="B140" s="5" t="inlineStr">
        <is>
          <t>Revise projecting a future value using compound growth, and calculating a real growth factor and real percentage change once inflation is accounted for.</t>
        </is>
      </c>
      <c r="C140" s="5" t="n"/>
    </row>
    <row r="141">
      <c r="A141" s="5" t="n"/>
      <c r="B141" s="5" t="n"/>
      <c r="C141" s="5" t="n"/>
    </row>
    <row r="142">
      <c r="A142" s="7" t="inlineStr">
        <is>
          <t>Overall RAG thresholds (based on % of 71 marks)</t>
        </is>
      </c>
      <c r="B142" s="5" t="n"/>
      <c r="C142" s="5" t="n"/>
    </row>
    <row r="143">
      <c r="A143" s="8" t="inlineStr">
        <is>
          <t>Band</t>
        </is>
      </c>
      <c r="B143" s="8" t="inlineStr">
        <is>
          <t>Range</t>
        </is>
      </c>
      <c r="C143" s="8" t="inlineStr">
        <is>
          <t>Feedback</t>
        </is>
      </c>
    </row>
    <row r="144">
      <c r="A144" s="5" t="inlineStr">
        <is>
          <t>Red</t>
        </is>
      </c>
      <c r="B144" s="5" t="inlineStr">
        <is>
          <t>0-49%</t>
        </is>
      </c>
      <c r="C144" s="5" t="inlineStr">
        <is>
          <t>This topic needs more work — go back over the Personal finance materials on the site and use the revision booklet for extra practice. Come and see me if you need help.</t>
        </is>
      </c>
    </row>
    <row r="145">
      <c r="A145" s="5" t="inlineStr">
        <is>
          <t>Yellow</t>
        </is>
      </c>
      <c r="B145" s="5" t="inlineStr">
        <is>
          <t>50-79%</t>
        </is>
      </c>
      <c r="C145" s="5" t="inlineStr">
        <is>
          <t>A generally good understanding, but a few gaps remain — recap the topic(s) listed below.</t>
        </is>
      </c>
    </row>
    <row r="146">
      <c r="A146" s="5" t="inlineStr">
        <is>
          <t>Green</t>
        </is>
      </c>
      <c r="B146" s="5" t="inlineStr">
        <is>
          <t>80-100%</t>
        </is>
      </c>
      <c r="C146" s="5" t="inlineStr">
        <is>
          <t>A strong understanding of this topic. Correct any errors, then move on to Chapter 3's Mini Tests.</t>
        </is>
      </c>
    </row>
    <row r="147">
      <c r="A147" s="5" t="n"/>
      <c r="B147" s="5" t="n"/>
      <c r="C147" s="5" t="n"/>
    </row>
    <row r="148">
      <c r="A148" s="6" t="inlineStr">
        <is>
          <t>Parameters — Mini Test 3.1 — Modelling and Estimation</t>
        </is>
      </c>
      <c r="B148" s="5" t="n"/>
      <c r="C148" s="5" t="n"/>
    </row>
    <row r="149">
      <c r="A149" s="5" t="n"/>
      <c r="B149" s="5" t="n"/>
      <c r="C149" s="5" t="n"/>
    </row>
    <row r="150">
      <c r="A150" s="7" t="inlineStr">
        <is>
          <t>Skill mapping (used by the 'Focus for next steps' column)</t>
        </is>
      </c>
      <c r="B150" s="5" t="n"/>
      <c r="C150" s="5" t="n"/>
    </row>
    <row r="151">
      <c r="A151" s="8" t="inlineStr">
        <is>
          <t>Question</t>
        </is>
      </c>
      <c r="B151" s="8" t="inlineStr">
        <is>
          <t>Skill / next step if this is the weakest area</t>
        </is>
      </c>
      <c r="C151" s="5" t="n"/>
    </row>
    <row r="152">
      <c r="A152" s="5" t="inlineStr">
        <is>
          <t>Q1 Fermi estimate (assumptions)</t>
        </is>
      </c>
      <c r="B152" s="5" t="inlineStr">
        <is>
          <t>Revise stating clear, quantified assumptions and using them to produce a Fermi estimate, then identifying a genuine limitation of the estimate — see Mini Test 3.1 Q1 mark scheme.</t>
        </is>
      </c>
      <c r="C152" s="5" t="n"/>
    </row>
    <row r="153">
      <c r="A153" s="5" t="inlineStr">
        <is>
          <t>Q2 Degree of accuracy</t>
        </is>
      </c>
      <c r="B153" s="5" t="inlineStr">
        <is>
          <t>Revise choosing a sensible degree of accuracy for a calculated answer, and explaining why quoting more precision than the original data supports gives a false impression of accuracy — see Mini Test 3.1 Q2 mark scheme.</t>
        </is>
      </c>
      <c r="C153" s="5" t="n"/>
    </row>
    <row r="154">
      <c r="A154" s="5" t="inlineStr">
        <is>
          <t>Q3 Upper/lower bounds</t>
        </is>
      </c>
      <c r="B154" s="5" t="inlineStr">
        <is>
          <t>Revise finding upper and lower bounds from a rounded measurement, and using them correctly to bound a calculated area or perimeter — see Mini Test 3.1 Q3 mark scheme.</t>
        </is>
      </c>
      <c r="C154" s="5" t="n"/>
    </row>
    <row r="155">
      <c r="A155" s="5" t="inlineStr">
        <is>
          <t>Q4 Estimating capacity</t>
        </is>
      </c>
      <c r="B155" s="5" t="inlineStr">
        <is>
          <t>Revise selecting and applying the correct formula (with consistent units) to estimate a real-world quantity, and rounding the final answer appropriately — see Mini Test 3.1 Q4 mark scheme.</t>
        </is>
      </c>
      <c r="C155" s="5" t="n"/>
    </row>
    <row r="156">
      <c r="A156" s="5" t="n"/>
      <c r="B156" s="5" t="n"/>
      <c r="C156" s="5" t="n"/>
    </row>
    <row r="157">
      <c r="A157" s="7" t="inlineStr">
        <is>
          <t>Overall RAG thresholds (based on % of 22 marks)</t>
        </is>
      </c>
      <c r="B157" s="5" t="n"/>
      <c r="C157" s="5" t="n"/>
    </row>
    <row r="158">
      <c r="A158" s="8" t="inlineStr">
        <is>
          <t>Band</t>
        </is>
      </c>
      <c r="B158" s="8" t="inlineStr">
        <is>
          <t>Range</t>
        </is>
      </c>
      <c r="C158" s="8" t="inlineStr">
        <is>
          <t>Feedback</t>
        </is>
      </c>
    </row>
    <row r="159">
      <c r="A159" s="5" t="inlineStr">
        <is>
          <t>Red</t>
        </is>
      </c>
      <c r="B159" s="5" t="inlineStr">
        <is>
          <t>0-49%</t>
        </is>
      </c>
      <c r="C159" s="5" t="inlineStr">
        <is>
          <t>This topic needs more work — go back over the Modelling and estimation materials on the site and use the revision booklet for extra practice. Come and see me if you need help.</t>
        </is>
      </c>
    </row>
    <row r="160">
      <c r="A160" s="5" t="inlineStr">
        <is>
          <t>Yellow</t>
        </is>
      </c>
      <c r="B160" s="5" t="inlineStr">
        <is>
          <t>50-79%</t>
        </is>
      </c>
      <c r="C160" s="5" t="inlineStr">
        <is>
          <t>A generally good understanding, but a few gaps remain — recap the topic(s) listed below.</t>
        </is>
      </c>
    </row>
    <row r="161">
      <c r="A161" s="5" t="inlineStr">
        <is>
          <t>Green</t>
        </is>
      </c>
      <c r="B161" s="5" t="inlineStr">
        <is>
          <t>80-100%</t>
        </is>
      </c>
      <c r="C161" s="5" t="inlineStr">
        <is>
          <t>A strong understanding of this topic. Correct any errors, then move on to Mini Test 3.2.</t>
        </is>
      </c>
    </row>
    <row r="162">
      <c r="A162" s="5" t="n"/>
      <c r="B162" s="5" t="n"/>
      <c r="C162" s="5" t="n"/>
    </row>
    <row r="163">
      <c r="A163" s="6" t="inlineStr">
        <is>
          <t>Parameters — Mini Test 3.2 — Modelling and Estimation</t>
        </is>
      </c>
      <c r="B163" s="5" t="n"/>
      <c r="C163" s="5" t="n"/>
    </row>
    <row r="164">
      <c r="A164" s="5" t="n"/>
      <c r="B164" s="5" t="n"/>
      <c r="C164" s="5" t="n"/>
    </row>
    <row r="165">
      <c r="A165" s="7" t="inlineStr">
        <is>
          <t>Skill mapping (used by the 'Focus for next steps' column)</t>
        </is>
      </c>
      <c r="B165" s="5" t="n"/>
      <c r="C165" s="5" t="n"/>
    </row>
    <row r="166">
      <c r="A166" s="8" t="inlineStr">
        <is>
          <t>Question</t>
        </is>
      </c>
      <c r="B166" s="8" t="inlineStr">
        <is>
          <t>Skill / next step if this is the weakest area</t>
        </is>
      </c>
      <c r="C166" s="5" t="n"/>
    </row>
    <row r="167">
      <c r="A167" s="5" t="inlineStr">
        <is>
          <t>Q1 Bounds &amp; speed</t>
        </is>
      </c>
      <c r="B167" s="5" t="inlineStr">
        <is>
          <t>Revise finding bounds for rounded measurements and combining them correctly to find the upper or lower bound of a calculated quantity such as speed — see Mini Test 3.2 Q1 mark scheme.</t>
        </is>
      </c>
      <c r="C167" s="5" t="n"/>
    </row>
    <row r="168">
      <c r="A168" s="5" t="inlineStr">
        <is>
          <t>Q2 Area &amp; practical rounding</t>
        </is>
      </c>
      <c r="B168" s="5" t="inlineStr">
        <is>
          <t>Revise calculating an area in a practical context and rounding a calculated answer sensibly to fit a real-world constraint, such as only being able to buy whole tins of paint — see Mini Test 3.2 Q2 mark scheme.</t>
        </is>
      </c>
      <c r="C168" s="5" t="n"/>
    </row>
    <row r="169">
      <c r="A169" s="5" t="inlineStr">
        <is>
          <t>Q3 Scaling a recipe</t>
        </is>
      </c>
      <c r="B169" s="5" t="inlineStr">
        <is>
          <t>Revise scaling a recipe or formula using a scale factor, and rounding the result appropriately with a clear reason for the direction of rounding — see Mini Test 3.2 Q3 mark scheme.</t>
        </is>
      </c>
      <c r="C169" s="5" t="n"/>
    </row>
    <row r="170">
      <c r="A170" s="5" t="inlineStr">
        <is>
          <t>Q4 Fermi estimate (library)</t>
        </is>
      </c>
      <c r="B170" s="5" t="inlineStr">
        <is>
          <t>Revise making quantified assumptions and combining them to produce a Fermi estimate, then suggesting a realistic way to improve it — see Mini Test 3.2 Q4 mark scheme.</t>
        </is>
      </c>
      <c r="C170" s="5" t="n"/>
    </row>
    <row r="171">
      <c r="A171" s="5" t="n"/>
      <c r="B171" s="5" t="n"/>
      <c r="C171" s="5" t="n"/>
    </row>
    <row r="172">
      <c r="A172" s="7" t="inlineStr">
        <is>
          <t>Overall RAG thresholds (based on % of 22 marks)</t>
        </is>
      </c>
      <c r="B172" s="5" t="n"/>
      <c r="C172" s="5" t="n"/>
    </row>
    <row r="173">
      <c r="A173" s="8" t="inlineStr">
        <is>
          <t>Band</t>
        </is>
      </c>
      <c r="B173" s="8" t="inlineStr">
        <is>
          <t>Range</t>
        </is>
      </c>
      <c r="C173" s="8" t="inlineStr">
        <is>
          <t>Feedback</t>
        </is>
      </c>
    </row>
    <row r="174">
      <c r="A174" s="5" t="inlineStr">
        <is>
          <t>Red</t>
        </is>
      </c>
      <c r="B174" s="5" t="inlineStr">
        <is>
          <t>0-49%</t>
        </is>
      </c>
      <c r="C174" s="5" t="inlineStr">
        <is>
          <t>This topic needs more work — go back over the Modelling and estimation materials on the site and use the revision booklet for extra practice. Come and see me if you need help.</t>
        </is>
      </c>
    </row>
    <row r="175">
      <c r="A175" s="5" t="inlineStr">
        <is>
          <t>Yellow</t>
        </is>
      </c>
      <c r="B175" s="5" t="inlineStr">
        <is>
          <t>50-79%</t>
        </is>
      </c>
      <c r="C175" s="5" t="inlineStr">
        <is>
          <t>A generally good understanding, but a few gaps remain — recap the topic(s) listed below.</t>
        </is>
      </c>
    </row>
    <row r="176">
      <c r="A176" s="5" t="inlineStr">
        <is>
          <t>Green</t>
        </is>
      </c>
      <c r="B176" s="5" t="inlineStr">
        <is>
          <t>80-100%</t>
        </is>
      </c>
      <c r="C176" s="5" t="inlineStr">
        <is>
          <t>A strong understanding of this topic. Correct any errors, then move on to the Chapter 3 End of Topic Test.</t>
        </is>
      </c>
    </row>
    <row r="177">
      <c r="A177" s="5" t="n"/>
      <c r="B177" s="5" t="n"/>
      <c r="C177" s="5" t="n"/>
    </row>
    <row r="178">
      <c r="A178" s="6" t="inlineStr">
        <is>
          <t>Parameters — Chapter 3 End of Topic Test — Modelling and Estimation</t>
        </is>
      </c>
      <c r="B178" s="5" t="n"/>
      <c r="C178" s="5" t="n"/>
    </row>
    <row r="179">
      <c r="A179" s="5" t="n"/>
      <c r="B179" s="5" t="n"/>
      <c r="C179" s="5" t="n"/>
    </row>
    <row r="180">
      <c r="A180" s="7" t="inlineStr">
        <is>
          <t>Skill mapping (used by the 'Focus for next steps' column)</t>
        </is>
      </c>
      <c r="B180" s="5" t="n"/>
      <c r="C180" s="5" t="n"/>
    </row>
    <row r="181">
      <c r="A181" s="8" t="inlineStr">
        <is>
          <t>Question</t>
        </is>
      </c>
      <c r="B181" s="8" t="inlineStr">
        <is>
          <t>Skill / next step if this is the weakest area</t>
        </is>
      </c>
      <c r="C181" s="5" t="n"/>
    </row>
    <row r="182">
      <c r="A182" s="5" t="inlineStr">
        <is>
          <t>Q1 Fermi estimate: mobile phones</t>
        </is>
      </c>
      <c r="B182" s="5" t="inlineStr">
        <is>
          <t>Revise stating quantified assumptions, using them to build a Fermi estimate (mobile phones at a festival), and explaining a genuine limitation of the result.</t>
        </is>
      </c>
      <c r="C182" s="5" t="n"/>
    </row>
    <row r="183">
      <c r="A183" s="5" t="inlineStr">
        <is>
          <t>Q2 Standard form &amp; scaling</t>
        </is>
      </c>
      <c r="B183" s="5" t="inlineStr">
        <is>
          <t>Revise using standard form in a formula (time = distance ÷ speed) and applying direct proportion to scale a result when the distance changes.</t>
        </is>
      </c>
      <c r="C183" s="5" t="n"/>
    </row>
    <row r="184">
      <c r="A184" s="5" t="inlineStr">
        <is>
          <t>Q3 Subdividing: streetlights</t>
        </is>
      </c>
      <c r="B184" s="5" t="inlineStr">
        <is>
          <t>Revise the subdividing strategy for Fermi estimation — using a diagram to estimate a total length or area, then scaling up (e.g. streetlights per metre of road) while stating the assumptions this relies on.</t>
        </is>
      </c>
      <c r="C184" s="5" t="n"/>
    </row>
    <row r="185">
      <c r="A185" s="5" t="inlineStr">
        <is>
          <t>Q4 Modelling cycle: water usage</t>
        </is>
      </c>
      <c r="B185" s="5" t="inlineStr">
        <is>
          <t>Revise the full modelling cycle — stating assumptions, building a mathematical model of water usage, calculating a result, and suggesting how the model could be improved.</t>
        </is>
      </c>
      <c r="C185" s="5" t="n"/>
    </row>
    <row r="186">
      <c r="A186" s="5" t="inlineStr">
        <is>
          <t>Q5 Volume estimate &amp; model limitations</t>
        </is>
      </c>
      <c r="B186" s="5" t="inlineStr">
        <is>
          <t>Revise applying the volume of a cylinder formula to a real object (a tree trunk), and evaluating a genuine limitation of modelling it as a perfect cylinder.</t>
        </is>
      </c>
      <c r="C186" s="5" t="n"/>
    </row>
    <row r="187">
      <c r="A187" s="5" t="inlineStr">
        <is>
          <t>Q6 Standard form: density</t>
        </is>
      </c>
      <c r="B187" s="5" t="inlineStr">
        <is>
          <t>Revise calculating density from mass and volume given in standard form (density of the Earth), and explaining why standard form suits very large or small quantities.</t>
        </is>
      </c>
      <c r="C187" s="5" t="n"/>
    </row>
    <row r="188">
      <c r="A188" s="5" t="inlineStr">
        <is>
          <t>Q7 Fermi estimate: fish in a lake</t>
        </is>
      </c>
      <c r="B188" s="5" t="inlineStr">
        <is>
          <t>Revise stating assumptions for a density-based Fermi estimate (fish in a lake), carrying out the calculation clearly, and suggesting a genuine way to improve the model.</t>
        </is>
      </c>
      <c r="C188" s="5" t="n"/>
    </row>
    <row r="189">
      <c r="A189" s="5" t="n"/>
      <c r="B189" s="5" t="n"/>
      <c r="C189" s="5" t="n"/>
    </row>
    <row r="190">
      <c r="A190" s="7" t="inlineStr">
        <is>
          <t>Overall RAG thresholds (based on % of 47 marks)</t>
        </is>
      </c>
      <c r="B190" s="5" t="n"/>
      <c r="C190" s="5" t="n"/>
    </row>
    <row r="191">
      <c r="A191" s="8" t="inlineStr">
        <is>
          <t>Band</t>
        </is>
      </c>
      <c r="B191" s="8" t="inlineStr">
        <is>
          <t>Range</t>
        </is>
      </c>
      <c r="C191" s="8" t="inlineStr">
        <is>
          <t>Feedback</t>
        </is>
      </c>
    </row>
    <row r="192">
      <c r="A192" s="5" t="inlineStr">
        <is>
          <t>Red</t>
        </is>
      </c>
      <c r="B192" s="5" t="inlineStr">
        <is>
          <t>0-49%</t>
        </is>
      </c>
      <c r="C192" s="5" t="inlineStr">
        <is>
          <t>This topic needs more work — go back over the Modelling and estimation materials on the site and use the revision booklet for extra practice. Come and see me if you need help.</t>
        </is>
      </c>
    </row>
    <row r="193">
      <c r="A193" s="5" t="inlineStr">
        <is>
          <t>Yellow</t>
        </is>
      </c>
      <c r="B193" s="5" t="inlineStr">
        <is>
          <t>50-79%</t>
        </is>
      </c>
      <c r="C193" s="5" t="inlineStr">
        <is>
          <t>A generally good understanding, but a few gaps remain — recap the topic(s) listed below.</t>
        </is>
      </c>
    </row>
    <row r="194">
      <c r="A194" s="5" t="inlineStr">
        <is>
          <t>Green</t>
        </is>
      </c>
      <c r="B194" s="5" t="inlineStr">
        <is>
          <t>80-100%</t>
        </is>
      </c>
      <c r="C194" s="5" t="inlineStr">
        <is>
          <t>A strong understanding of this topic. Correct any errors, then move on to Chapter 3 End of Topic Test 2.</t>
        </is>
      </c>
    </row>
    <row r="195">
      <c r="A195" s="5" t="n"/>
      <c r="B195" s="5" t="n"/>
      <c r="C195" s="5" t="n"/>
    </row>
    <row r="196">
      <c r="A196" s="6" t="inlineStr">
        <is>
          <t>Parameters — Chapter 3 End of Topic Test 2 — Modelling and Estimation</t>
        </is>
      </c>
      <c r="B196" s="5" t="n"/>
      <c r="C196" s="5" t="n"/>
    </row>
    <row r="197">
      <c r="A197" s="5" t="n"/>
      <c r="B197" s="5" t="n"/>
      <c r="C197" s="5" t="n"/>
    </row>
    <row r="198">
      <c r="A198" s="7" t="inlineStr">
        <is>
          <t>Skill mapping (used by the 'Focus for next steps' column)</t>
        </is>
      </c>
      <c r="B198" s="5" t="n"/>
      <c r="C198" s="5" t="n"/>
    </row>
    <row r="199">
      <c r="A199" s="8" t="inlineStr">
        <is>
          <t>Question</t>
        </is>
      </c>
      <c r="B199" s="8" t="inlineStr">
        <is>
          <t>Skill / next step if this is the weakest area</t>
        </is>
      </c>
      <c r="C199" s="5" t="n"/>
    </row>
    <row r="200">
      <c r="A200" s="5" t="inlineStr">
        <is>
          <t>Q1 Fermi estimate: umbrellas</t>
        </is>
      </c>
      <c r="B200" s="5" t="inlineStr">
        <is>
          <t>Revise stating quantified assumptions, using them to build a Fermi estimate (umbrellas on a rainy high street), and explaining a genuine limitation of the result.</t>
        </is>
      </c>
      <c r="C200" s="5" t="n"/>
    </row>
    <row r="201">
      <c r="A201" s="5" t="inlineStr">
        <is>
          <t>Q2 Standard form &amp; scaling</t>
        </is>
      </c>
      <c r="B201" s="5" t="inlineStr">
        <is>
          <t>Revise using standard form in a formula (time = distance ÷ speed) and applying direct proportion to scale a result when the distance changes.</t>
        </is>
      </c>
      <c r="C201" s="5" t="n"/>
    </row>
    <row r="202">
      <c r="A202" s="5" t="inlineStr">
        <is>
          <t>Q3 Subdividing: trees in a park</t>
        </is>
      </c>
      <c r="B202" s="5" t="inlineStr">
        <is>
          <t>Revise the subdividing strategy for Fermi estimation — using a sample plot from a grid to estimate a density, then scaling up to the whole area while stating the assumptions this relies on.</t>
        </is>
      </c>
      <c r="C202" s="5" t="n"/>
    </row>
    <row r="203">
      <c r="A203" s="5" t="inlineStr">
        <is>
          <t>Q4 Modelling cycle: paper usage</t>
        </is>
      </c>
      <c r="B203" s="5" t="inlineStr">
        <is>
          <t>Revise the full modelling cycle — stating assumptions, building a mathematical model of resource usage, calculating a result, and suggesting how the model could be improved.</t>
        </is>
      </c>
      <c r="C203" s="5" t="n"/>
    </row>
    <row r="204">
      <c r="A204" s="5" t="inlineStr">
        <is>
          <t>Q5 Volume estimate &amp; model limitations</t>
        </is>
      </c>
      <c r="B204" s="5" t="inlineStr">
        <is>
          <t>Revise applying the volume of a cylinder formula to a real object (a grain silo), and evaluating a genuine limitation of modelling it as a perfect cylinder.</t>
        </is>
      </c>
      <c r="C204" s="5" t="n"/>
    </row>
    <row r="205">
      <c r="A205" s="5" t="inlineStr">
        <is>
          <t>Q6 Standard form: density</t>
        </is>
      </c>
      <c r="B205" s="5" t="inlineStr">
        <is>
          <t>Revise calculating density from mass and volume given in standard form (density of Jupiter), and explaining why standard form suits very large or small quantities.</t>
        </is>
      </c>
      <c r="C205" s="5" t="n"/>
    </row>
    <row r="206">
      <c r="A206" s="5" t="inlineStr">
        <is>
          <t>Q7 Fermi estimate: birds in a reserve</t>
        </is>
      </c>
      <c r="B206" s="5" t="inlineStr">
        <is>
          <t>Revise stating assumptions for a density-based Fermi estimate (birds in a nature reserve), carrying out the calculation clearly, and suggesting a genuine way to improve the model.</t>
        </is>
      </c>
      <c r="C206" s="5" t="n"/>
    </row>
    <row r="207">
      <c r="A207" s="5" t="n"/>
      <c r="B207" s="5" t="n"/>
      <c r="C207" s="5" t="n"/>
    </row>
    <row r="208">
      <c r="A208" s="7" t="inlineStr">
        <is>
          <t>Overall RAG thresholds (based on % of 47 marks)</t>
        </is>
      </c>
      <c r="B208" s="5" t="n"/>
      <c r="C208" s="5" t="n"/>
    </row>
    <row r="209">
      <c r="A209" s="8" t="inlineStr">
        <is>
          <t>Band</t>
        </is>
      </c>
      <c r="B209" s="8" t="inlineStr">
        <is>
          <t>Range</t>
        </is>
      </c>
      <c r="C209" s="8" t="inlineStr">
        <is>
          <t>Feedback</t>
        </is>
      </c>
    </row>
    <row r="210">
      <c r="A210" s="5" t="inlineStr">
        <is>
          <t>Red</t>
        </is>
      </c>
      <c r="B210" s="5" t="inlineStr">
        <is>
          <t>0-49%</t>
        </is>
      </c>
      <c r="C210" s="5" t="inlineStr">
        <is>
          <t>This topic needs more work — go back over the Modelling and estimation materials on the site and use the revision booklet for extra practice. Come and see me if you need help.</t>
        </is>
      </c>
    </row>
    <row r="211">
      <c r="A211" s="5" t="inlineStr">
        <is>
          <t>Yellow</t>
        </is>
      </c>
      <c r="B211" s="5" t="inlineStr">
        <is>
          <t>50-79%</t>
        </is>
      </c>
      <c r="C211" s="5" t="inlineStr">
        <is>
          <t>A generally good understanding, but a few gaps remain — recap the topic(s) listed below.</t>
        </is>
      </c>
    </row>
    <row r="212">
      <c r="A212" s="5" t="inlineStr">
        <is>
          <t>Green</t>
        </is>
      </c>
      <c r="B212" s="5" t="inlineStr">
        <is>
          <t>80-100%</t>
        </is>
      </c>
      <c r="C212" s="5" t="inlineStr">
        <is>
          <t>A strong understanding of this topic. Correct any errors, then move on to Chapter 4's Mini Tests.</t>
        </is>
      </c>
    </row>
    <row r="213">
      <c r="A213" s="5" t="n"/>
      <c r="B213" s="5" t="n"/>
      <c r="C213" s="5" t="n"/>
    </row>
    <row r="214">
      <c r="A214" s="6" t="inlineStr">
        <is>
          <t>Parameters — Mini Test 4.1 — Critical Analysis of Data &amp; Models</t>
        </is>
      </c>
      <c r="B214" s="5" t="n"/>
      <c r="C214" s="5" t="n"/>
    </row>
    <row r="215">
      <c r="A215" s="5" t="n"/>
      <c r="B215" s="5" t="n"/>
      <c r="C215" s="5" t="n"/>
    </row>
    <row r="216">
      <c r="A216" s="7" t="inlineStr">
        <is>
          <t>Skill mapping (used by the 'Focus for next steps' column)</t>
        </is>
      </c>
      <c r="B216" s="5" t="n"/>
      <c r="C216" s="5" t="n"/>
    </row>
    <row r="217">
      <c r="A217" s="8" t="inlineStr">
        <is>
          <t>Question</t>
        </is>
      </c>
      <c r="B217" s="8" t="inlineStr">
        <is>
          <t>Skill / next step if this is the weakest area</t>
        </is>
      </c>
      <c r="C217" s="5" t="n"/>
    </row>
    <row r="218">
      <c r="A218" s="5" t="inlineStr">
        <is>
          <t>Q1 Misleading bar chart (truncated axis)</t>
        </is>
      </c>
      <c r="B218" s="5" t="inlineStr">
        <is>
          <t>Revise how starting a bar chart's vertical axis above zero can exaggerate a genuinely small change, and how to judge whether a headline description like 'skyrocketed' is a fair reflection of the actual numbers — see Mini Test 4.1 Q1 mark scheme.</t>
        </is>
      </c>
      <c r="C218" s="5" t="n"/>
    </row>
    <row r="219">
      <c r="A219" s="5" t="inlineStr">
        <is>
          <t>Q2 Cherry-picked time window (house prices)</t>
        </is>
      </c>
      <c r="B219" s="5" t="inlineStr">
        <is>
          <t>Revise why showing only a short recent window of a graph can misrepresent an overall long-term trend, and how to calculate and use a longer-term percentage change to give a fairer picture — see Mini Test 4.1 Q2 mark scheme.</t>
        </is>
      </c>
      <c r="C219" s="5" t="n"/>
    </row>
    <row r="220">
      <c r="A220" s="5" t="inlineStr">
        <is>
          <t>Q3 Convenience sampling &amp; a better alternative</t>
        </is>
      </c>
      <c r="B220" s="5" t="inlineStr">
        <is>
          <t>Revise identifying convenience/opportunity sampling, explaining why it may not be representative, and suggesting and describing a more appropriate method such as stratified sampling — see Mini Test 4.1 Q3 mark scheme.</t>
        </is>
      </c>
      <c r="C220" s="5" t="n"/>
    </row>
    <row r="221">
      <c r="A221" s="5" t="inlineStr">
        <is>
          <t>Q4 Mean vs median in an advertising claim</t>
        </is>
      </c>
      <c r="B221" s="5" t="inlineStr">
        <is>
          <t>Revise calculating the mean and median of a small data set, explaining why the median can be a fairer measure than the mean when an outlier is present, and spotting other weaknesses in a small-sample marketing claim — see Mini Test 4.1 Q4 mark scheme.</t>
        </is>
      </c>
      <c r="C221" s="5" t="n"/>
    </row>
    <row r="222">
      <c r="A222" s="5" t="n"/>
      <c r="B222" s="5" t="n"/>
      <c r="C222" s="5" t="n"/>
    </row>
    <row r="223">
      <c r="A223" s="7" t="inlineStr">
        <is>
          <t>Overall RAG thresholds (based on % of 22 marks)</t>
        </is>
      </c>
      <c r="B223" s="5" t="n"/>
      <c r="C223" s="5" t="n"/>
    </row>
    <row r="224">
      <c r="A224" s="8" t="inlineStr">
        <is>
          <t>Band</t>
        </is>
      </c>
      <c r="B224" s="8" t="inlineStr">
        <is>
          <t>Range</t>
        </is>
      </c>
      <c r="C224" s="8" t="inlineStr">
        <is>
          <t>Feedback</t>
        </is>
      </c>
    </row>
    <row r="225">
      <c r="A225" s="5" t="inlineStr">
        <is>
          <t>Red</t>
        </is>
      </c>
      <c r="B225" s="5" t="inlineStr">
        <is>
          <t>0-49%</t>
        </is>
      </c>
      <c r="C225" s="5" t="inlineStr">
        <is>
          <t>This topic needs more work — go back over the Critical analysis materials on the site and use the revision booklet for extra practice. Come and see me if you need help.</t>
        </is>
      </c>
    </row>
    <row r="226">
      <c r="A226" s="5" t="inlineStr">
        <is>
          <t>Yellow</t>
        </is>
      </c>
      <c r="B226" s="5" t="inlineStr">
        <is>
          <t>50-79%</t>
        </is>
      </c>
      <c r="C226" s="5" t="inlineStr">
        <is>
          <t>A generally good understanding, but a few gaps remain — recap the topic(s) listed below.</t>
        </is>
      </c>
    </row>
    <row r="227">
      <c r="A227" s="5" t="inlineStr">
        <is>
          <t>Green</t>
        </is>
      </c>
      <c r="B227" s="5" t="inlineStr">
        <is>
          <t>80-100%</t>
        </is>
      </c>
      <c r="C227" s="5" t="inlineStr">
        <is>
          <t>A strong understanding of this topic. Correct any errors, then move on to Mini Test 4.2.</t>
        </is>
      </c>
    </row>
    <row r="228">
      <c r="A228" s="5" t="n"/>
      <c r="B228" s="5" t="n"/>
      <c r="C228" s="5" t="n"/>
    </row>
    <row r="229">
      <c r="A229" s="6" t="inlineStr">
        <is>
          <t>Parameters — Mini Test 4.2 — Critical Analysis of Data &amp; Models</t>
        </is>
      </c>
      <c r="B229" s="5" t="n"/>
      <c r="C229" s="5" t="n"/>
    </row>
    <row r="230">
      <c r="A230" s="5" t="n"/>
      <c r="B230" s="5" t="n"/>
      <c r="C230" s="5" t="n"/>
    </row>
    <row r="231">
      <c r="A231" s="7" t="inlineStr">
        <is>
          <t>Skill mapping (used by the 'Focus for next steps' column)</t>
        </is>
      </c>
      <c r="B231" s="5" t="n"/>
      <c r="C231" s="5" t="n"/>
    </row>
    <row r="232">
      <c r="A232" s="8" t="inlineStr">
        <is>
          <t>Question</t>
        </is>
      </c>
      <c r="B232" s="8" t="inlineStr">
        <is>
          <t>Skill / next step if this is the weakest area</t>
        </is>
      </c>
      <c r="C232" s="5" t="n"/>
    </row>
    <row r="233">
      <c r="A233" s="5" t="inlineStr">
        <is>
          <t>Q1 Correlation vs causation (scatter graph)</t>
        </is>
      </c>
      <c r="B233" s="5" t="inlineStr">
        <is>
          <t>Revise describing correlation from a scatter graph, explaining why correlation alone does not prove causation (confounding variables, reverse causality), and suggesting how a study could investigate whether a relationship is actually causal — see Mini Test 4.2 Q1 mark scheme.</t>
        </is>
      </c>
      <c r="C233" s="5" t="n"/>
    </row>
    <row r="234">
      <c r="A234" s="5" t="inlineStr">
        <is>
          <t>Q2 Evaluating evidence for a health claim</t>
        </is>
      </c>
      <c r="B234" s="5" t="inlineStr">
        <is>
          <t>Revise identifying the evidence and conclusion in a claim, giving reasons why a small self-selected sample doesn't strongly support that conclusion, and suggesting an improvement such as a control group — see Mini Test 4.2 Q2 mark scheme.</t>
        </is>
      </c>
      <c r="C234" s="5" t="n"/>
    </row>
    <row r="235">
      <c r="A235" s="5" t="inlineStr">
        <is>
          <t>Q3 Linear model predictions vs real data</t>
        </is>
      </c>
      <c r="B235" s="5" t="inlineStr">
        <is>
          <t>Revise using a linear model to make predictions, and explaining why interpolation (within the range of the data) is more reliable than extrapolation (far beyond it) — see Mini Test 4.2 Q3 mark scheme.</t>
        </is>
      </c>
      <c r="C235" s="5" t="n"/>
    </row>
    <row r="236">
      <c r="A236" s="5" t="inlineStr">
        <is>
          <t>Q4 Assumptions of a linear growth model</t>
        </is>
      </c>
      <c r="B236" s="5" t="inlineStr">
        <is>
          <t>Revise stating the assumption behind a constant linear growth model, explaining a real-world factor it ignores, and suggesting how the model could be improved (e.g. a capacity limit) — see Mini Test 4.2 Q4 mark scheme.</t>
        </is>
      </c>
      <c r="C236" s="5" t="n"/>
    </row>
    <row r="237">
      <c r="A237" s="5" t="n"/>
      <c r="B237" s="5" t="n"/>
      <c r="C237" s="5" t="n"/>
    </row>
    <row r="238">
      <c r="A238" s="7" t="inlineStr">
        <is>
          <t>Overall RAG thresholds (based on % of 23 marks)</t>
        </is>
      </c>
      <c r="B238" s="5" t="n"/>
      <c r="C238" s="5" t="n"/>
    </row>
    <row r="239">
      <c r="A239" s="8" t="inlineStr">
        <is>
          <t>Band</t>
        </is>
      </c>
      <c r="B239" s="8" t="inlineStr">
        <is>
          <t>Range</t>
        </is>
      </c>
      <c r="C239" s="8" t="inlineStr">
        <is>
          <t>Feedback</t>
        </is>
      </c>
    </row>
    <row r="240">
      <c r="A240" s="5" t="inlineStr">
        <is>
          <t>Red</t>
        </is>
      </c>
      <c r="B240" s="5" t="inlineStr">
        <is>
          <t>0-49%</t>
        </is>
      </c>
      <c r="C240" s="5" t="inlineStr">
        <is>
          <t>This topic needs more work — go back over the Critical analysis materials on the site and use the revision booklet for extra practice. Come and see me if you need help.</t>
        </is>
      </c>
    </row>
    <row r="241">
      <c r="A241" s="5" t="inlineStr">
        <is>
          <t>Yellow</t>
        </is>
      </c>
      <c r="B241" s="5" t="inlineStr">
        <is>
          <t>50-79%</t>
        </is>
      </c>
      <c r="C241" s="5" t="inlineStr">
        <is>
          <t>A generally good understanding, but a few gaps remain — recap the topic(s) listed below.</t>
        </is>
      </c>
    </row>
    <row r="242">
      <c r="A242" s="5" t="inlineStr">
        <is>
          <t>Green</t>
        </is>
      </c>
      <c r="B242" s="5" t="inlineStr">
        <is>
          <t>80-100%</t>
        </is>
      </c>
      <c r="C242" s="5" t="inlineStr">
        <is>
          <t>A strong understanding of this topic. Correct any errors, then move on to the Chapter 4 End of Topic Test.</t>
        </is>
      </c>
    </row>
    <row r="243">
      <c r="A243" s="5" t="n"/>
      <c r="B243" s="5" t="n"/>
      <c r="C243" s="5" t="n"/>
    </row>
    <row r="244">
      <c r="A244" s="6" t="inlineStr">
        <is>
          <t>Parameters — Chapter 4 End of Topic Test — Critical Analysis of Data &amp; Models</t>
        </is>
      </c>
      <c r="B244" s="5" t="n"/>
      <c r="C244" s="5" t="n"/>
    </row>
    <row r="245">
      <c r="A245" s="5" t="n"/>
      <c r="B245" s="5" t="n"/>
      <c r="C245" s="5" t="n"/>
    </row>
    <row r="246">
      <c r="A246" s="7" t="inlineStr">
        <is>
          <t>Skill mapping (used by the 'Focus for next steps' column)</t>
        </is>
      </c>
      <c r="B246" s="5" t="n"/>
      <c r="C246" s="5" t="n"/>
    </row>
    <row r="247">
      <c r="A247" s="8" t="inlineStr">
        <is>
          <t>Question</t>
        </is>
      </c>
      <c r="B247" s="8" t="inlineStr">
        <is>
          <t>Skill / next step if this is the weakest area</t>
        </is>
      </c>
      <c r="C247" s="5" t="n"/>
    </row>
    <row r="248">
      <c r="A248" s="5" t="inlineStr">
        <is>
          <t>Q1 Identifying &amp; criticising an argument (cycling lanes)</t>
        </is>
      </c>
      <c r="B248" s="5" t="inlineStr">
        <is>
          <t>Revise identifying the evidence, reasoning and conclusion in a written argument, and criticising it by considering sample representativeness, unstated assumptions and logical leaps between the evidence and the conclusion.</t>
        </is>
      </c>
      <c r="C248" s="5" t="n"/>
    </row>
    <row r="249">
      <c r="A249" s="5" t="inlineStr">
        <is>
          <t>Q2 Evaluating a claim using two sources</t>
        </is>
      </c>
      <c r="B249" s="5" t="inlineStr">
        <is>
          <t>Revise weighing up two pieces of quoted evidence (one supporting, one weakening a claim) and writing a balanced, evidenced evaluation of how strong the overall claim really is.</t>
        </is>
      </c>
      <c r="C249" s="5" t="n"/>
    </row>
    <row r="250">
      <c r="A250" s="5" t="inlineStr">
        <is>
          <t>Q3 Short-term headline vs long-term trend</t>
        </is>
      </c>
      <c r="B250" s="5" t="inlineStr">
        <is>
          <t>Revise explaining why a short-term rise or fall reported in a headline can be misleading when set against a long-term chart, and identifying what extra information would help judge whether a change is genuine.</t>
        </is>
      </c>
      <c r="C250" s="5" t="n"/>
    </row>
    <row r="251">
      <c r="A251" s="5" t="inlineStr">
        <is>
          <t>Q4 Sampling method, bias &amp; a better alternative</t>
        </is>
      </c>
      <c r="B251" s="5" t="inlineStr">
        <is>
          <t>Revise identifying a convenience sample, giving distinct reasons why it may be biased, and suggesting and justifying a more appropriate sampling method such as stratified sampling.</t>
        </is>
      </c>
      <c r="C251" s="5" t="n"/>
    </row>
    <row r="252">
      <c r="A252" s="5" t="inlineStr">
        <is>
          <t>Q5 Correlation vs causation (social media &amp; anxiety)</t>
        </is>
      </c>
      <c r="B252" s="5" t="inlineStr">
        <is>
          <t>Revise explaining what correlation means, why it doesn't establish causation (confounding variables, reverse causality), and suggesting further data or research that could help investigate the true cause.</t>
        </is>
      </c>
      <c r="C252" s="5" t="n"/>
    </row>
    <row r="253">
      <c r="A253" s="5" t="inlineStr">
        <is>
          <t>Q6 Reasoning flaws in a marketing claim</t>
        </is>
      </c>
      <c r="B253" s="5" t="inlineStr">
        <is>
          <t>Revise spotting flawed reasoning in a marketing-style claim (treating one fact as proof, using growth figures as if they were evidence, vague unquantified claims), and suggesting alternative explanations the claim ignores.</t>
        </is>
      </c>
      <c r="C253" s="5" t="n"/>
    </row>
    <row r="254">
      <c r="A254" s="5" t="n"/>
      <c r="B254" s="5" t="n"/>
      <c r="C254" s="5" t="n"/>
    </row>
    <row r="255">
      <c r="A255" s="7" t="inlineStr">
        <is>
          <t>Overall RAG thresholds (based on % of 51 marks)</t>
        </is>
      </c>
      <c r="B255" s="5" t="n"/>
      <c r="C255" s="5" t="n"/>
    </row>
    <row r="256">
      <c r="A256" s="8" t="inlineStr">
        <is>
          <t>Band</t>
        </is>
      </c>
      <c r="B256" s="8" t="inlineStr">
        <is>
          <t>Range</t>
        </is>
      </c>
      <c r="C256" s="8" t="inlineStr">
        <is>
          <t>Feedback</t>
        </is>
      </c>
    </row>
    <row r="257">
      <c r="A257" s="5" t="inlineStr">
        <is>
          <t>Red</t>
        </is>
      </c>
      <c r="B257" s="5" t="inlineStr">
        <is>
          <t>0-49%</t>
        </is>
      </c>
      <c r="C257" s="5" t="inlineStr">
        <is>
          <t>This topic needs more work — go back over the Critical analysis materials on the site and use the revision booklet for extra practice. Come and see me if you need help.</t>
        </is>
      </c>
    </row>
    <row r="258">
      <c r="A258" s="5" t="inlineStr">
        <is>
          <t>Yellow</t>
        </is>
      </c>
      <c r="B258" s="5" t="inlineStr">
        <is>
          <t>50-79%</t>
        </is>
      </c>
      <c r="C258" s="5" t="inlineStr">
        <is>
          <t>A generally good understanding, but a few gaps remain — recap the topic(s) listed below.</t>
        </is>
      </c>
    </row>
    <row r="259">
      <c r="A259" s="5" t="inlineStr">
        <is>
          <t>Green</t>
        </is>
      </c>
      <c r="B259" s="5" t="inlineStr">
        <is>
          <t>80-100%</t>
        </is>
      </c>
      <c r="C259" s="5" t="inlineStr">
        <is>
          <t>A strong understanding of this topic. Correct any errors, then move on to Chapter 4 End of Topic Test 2.</t>
        </is>
      </c>
    </row>
    <row r="260">
      <c r="A260" s="5" t="n"/>
      <c r="B260" s="5" t="n"/>
      <c r="C260" s="5" t="n"/>
    </row>
    <row r="261">
      <c r="A261" s="6" t="inlineStr">
        <is>
          <t>Parameters — Chapter 4 End of Topic Test 2 — Critical Analysis of Data &amp; Models</t>
        </is>
      </c>
      <c r="B261" s="5" t="n"/>
      <c r="C261" s="5" t="n"/>
    </row>
    <row r="262">
      <c r="A262" s="5" t="n"/>
      <c r="B262" s="5" t="n"/>
      <c r="C262" s="5" t="n"/>
    </row>
    <row r="263">
      <c r="A263" s="7" t="inlineStr">
        <is>
          <t>Skill mapping (used by the 'Focus for next steps' column)</t>
        </is>
      </c>
      <c r="B263" s="5" t="n"/>
      <c r="C263" s="5" t="n"/>
    </row>
    <row r="264">
      <c r="A264" s="8" t="inlineStr">
        <is>
          <t>Question</t>
        </is>
      </c>
      <c r="B264" s="8" t="inlineStr">
        <is>
          <t>Skill / next step if this is the weakest area</t>
        </is>
      </c>
      <c r="C264" s="5" t="n"/>
    </row>
    <row r="265">
      <c r="A265" s="5" t="inlineStr">
        <is>
          <t>Q1 Identifying &amp; criticising an argument (speed cameras)</t>
        </is>
      </c>
      <c r="B265" s="5" t="inlineStr">
        <is>
          <t>Revise identifying the evidence, reasoning and conclusion in a written argument, and criticising it by considering sample representativeness, unstated assumptions and logical leaps between the evidence and the conclusion.</t>
        </is>
      </c>
      <c r="C265" s="5" t="n"/>
    </row>
    <row r="266">
      <c r="A266" s="5" t="inlineStr">
        <is>
          <t>Q2 Evaluating a claim using two sources</t>
        </is>
      </c>
      <c r="B266" s="5" t="inlineStr">
        <is>
          <t>Revise weighing up two pieces of quoted evidence (one supporting, one weakening a claim) and writing a balanced, evidenced evaluation of how strong the overall claim really is.</t>
        </is>
      </c>
      <c r="C266" s="5" t="n"/>
    </row>
    <row r="267">
      <c r="A267" s="5" t="inlineStr">
        <is>
          <t>Q3 Short-term headline vs long-term trend</t>
        </is>
      </c>
      <c r="B267" s="5" t="inlineStr">
        <is>
          <t>Revise explaining why a short-term rise or fall reported in a headline can be misleading when set against a long-term chart, and identifying what extra information would help judge whether a change is genuine.</t>
        </is>
      </c>
      <c r="C267" s="5" t="n"/>
    </row>
    <row r="268">
      <c r="A268" s="5" t="inlineStr">
        <is>
          <t>Q4 Sampling method, bias &amp; a better alternative</t>
        </is>
      </c>
      <c r="B268" s="5" t="inlineStr">
        <is>
          <t>Revise identifying a convenience sample, giving distinct reasons why it may be biased, and suggesting and justifying a more appropriate sampling method such as stratified sampling.</t>
        </is>
      </c>
      <c r="C268" s="5" t="n"/>
    </row>
    <row r="269">
      <c r="A269" s="5" t="inlineStr">
        <is>
          <t>Q5 Correlation vs causation (ice cream sales &amp; drownings)</t>
        </is>
      </c>
      <c r="B269" s="5" t="inlineStr">
        <is>
          <t>Revise explaining what correlation means, why it doesn't establish causation (confounding variables, reverse causality), and suggesting further data or research that could help investigate the true cause.</t>
        </is>
      </c>
      <c r="C269" s="5" t="n"/>
    </row>
    <row r="270">
      <c r="A270" s="5" t="inlineStr">
        <is>
          <t>Q6 Reasoning flaws in a marketing claim</t>
        </is>
      </c>
      <c r="B270" s="5" t="inlineStr">
        <is>
          <t>Revise spotting flawed reasoning in a marketing-style claim (treating one fact as proof, using growth figures as if they were evidence, vague unquantified claims), and suggesting alternative explanations the claim ignores.</t>
        </is>
      </c>
      <c r="C270" s="5" t="n"/>
    </row>
    <row r="271">
      <c r="A271" s="5" t="n"/>
      <c r="B271" s="5" t="n"/>
      <c r="C271" s="5" t="n"/>
    </row>
    <row r="272">
      <c r="A272" s="7" t="inlineStr">
        <is>
          <t>Overall RAG thresholds (based on % of 51 marks)</t>
        </is>
      </c>
      <c r="B272" s="5" t="n"/>
      <c r="C272" s="5" t="n"/>
    </row>
    <row r="273">
      <c r="A273" s="8" t="inlineStr">
        <is>
          <t>Band</t>
        </is>
      </c>
      <c r="B273" s="8" t="inlineStr">
        <is>
          <t>Range</t>
        </is>
      </c>
      <c r="C273" s="8" t="inlineStr">
        <is>
          <t>Feedback</t>
        </is>
      </c>
    </row>
    <row r="274">
      <c r="A274" s="5" t="inlineStr">
        <is>
          <t>Red</t>
        </is>
      </c>
      <c r="B274" s="5" t="inlineStr">
        <is>
          <t>0-49%</t>
        </is>
      </c>
      <c r="C274" s="5" t="inlineStr">
        <is>
          <t>This topic needs more work — go back over the Critical analysis materials on the site and use the revision booklet for extra practice. Come and see me if you need help.</t>
        </is>
      </c>
    </row>
    <row r="275">
      <c r="A275" s="5" t="inlineStr">
        <is>
          <t>Yellow</t>
        </is>
      </c>
      <c r="B275" s="5" t="inlineStr">
        <is>
          <t>50-79%</t>
        </is>
      </c>
      <c r="C275" s="5" t="inlineStr">
        <is>
          <t>A generally good understanding, but a few gaps remain — recap the topic(s) listed below.</t>
        </is>
      </c>
    </row>
    <row r="276">
      <c r="A276" s="5" t="inlineStr">
        <is>
          <t>Green</t>
        </is>
      </c>
      <c r="B276" s="5" t="inlineStr">
        <is>
          <t>80-100%</t>
        </is>
      </c>
      <c r="C276" s="5" t="inlineStr">
        <is>
          <t>A strong understanding of this topic. Correct any errors, then move on to Chapter 5's Mini Tests.</t>
        </is>
      </c>
    </row>
    <row r="277">
      <c r="A277" s="5" t="n"/>
      <c r="B277" s="5" t="n"/>
      <c r="C277" s="5" t="n"/>
    </row>
    <row r="278">
      <c r="A278" s="6" t="inlineStr">
        <is>
          <t>Parameters — Mini Test 5.1 — The Normal Distribution</t>
        </is>
      </c>
      <c r="B278" s="5" t="n"/>
      <c r="C278" s="5" t="n"/>
    </row>
    <row r="279">
      <c r="A279" s="5" t="n"/>
      <c r="B279" s="5" t="n"/>
      <c r="C279" s="5" t="n"/>
    </row>
    <row r="280">
      <c r="A280" s="7" t="inlineStr">
        <is>
          <t>Skill mapping (used by the 'Focus for next steps' column)</t>
        </is>
      </c>
      <c r="B280" s="5" t="n"/>
      <c r="C280" s="5" t="n"/>
    </row>
    <row r="281">
      <c r="A281" s="8" t="inlineStr">
        <is>
          <t>Question</t>
        </is>
      </c>
      <c r="B281" s="8" t="inlineStr">
        <is>
          <t>Skill / next step if this is the weakest area</t>
        </is>
      </c>
      <c r="C281" s="5" t="n"/>
    </row>
    <row r="282">
      <c r="A282" s="5" t="inlineStr">
        <is>
          <t>Q1 Properties, sketching a curve &amp; the 68-95-99.7 rule</t>
        </is>
      </c>
      <c r="B282" s="5" t="inlineStr">
        <is>
          <t>Revise the key features of a normal distribution (symmetry, bell shape, area under the curve = 1), how to sketch and label a curve showing the mean and standard deviations either side, and the 68-95-99.7 rule — see Mini Test 5.1 Q1 mark scheme.</t>
        </is>
      </c>
      <c r="C282" s="5" t="n"/>
    </row>
    <row r="283">
      <c r="A283" s="5" t="inlineStr">
        <is>
          <t>Q2 Standardising to find a z-value</t>
        </is>
      </c>
      <c r="B283" s="5" t="inlineStr">
        <is>
          <t>Revise converting a normal variable to a z-value using z = (x - mean)/standard deviation, and using Phi notation to state and interpret a standard normal probability — see Mini Test 5.1 Q2 mark scheme.</t>
        </is>
      </c>
      <c r="C283" s="5" t="n"/>
    </row>
    <row r="284">
      <c r="A284" s="5" t="inlineStr">
        <is>
          <t>Q3 Finding probabilities from a normal model</t>
        </is>
      </c>
      <c r="B284" s="5" t="inlineStr">
        <is>
          <t>Revise using the standard normal table (or calculator) to find P(X &lt; a), P(X &gt; a) and P(a &lt; X &lt; b) for a normal variable, including using symmetry for negative z-values — see Mini Test 5.1 Q3 mark scheme.</t>
        </is>
      </c>
      <c r="C284" s="5" t="n"/>
    </row>
    <row r="285">
      <c r="A285" s="5" t="inlineStr">
        <is>
          <t>Q4 Limitations of the normal model</t>
        </is>
      </c>
      <c r="B285" s="5" t="inlineStr">
        <is>
          <t>Revise discussing why the normal distribution is only an approximate model in a given context (e.g. a bounded quantity vs. the normal distribution's infinite tails), and stating a practical advantage of using it despite this — see Mini Test 5.1 Q4 mark scheme.</t>
        </is>
      </c>
      <c r="C285" s="5" t="n"/>
    </row>
    <row r="286">
      <c r="A286" s="5" t="n"/>
      <c r="B286" s="5" t="n"/>
      <c r="C286" s="5" t="n"/>
    </row>
    <row r="287">
      <c r="A287" s="7" t="inlineStr">
        <is>
          <t>Overall RAG thresholds (based on % of 24 marks)</t>
        </is>
      </c>
      <c r="B287" s="5" t="n"/>
      <c r="C287" s="5" t="n"/>
    </row>
    <row r="288">
      <c r="A288" s="8" t="inlineStr">
        <is>
          <t>Band</t>
        </is>
      </c>
      <c r="B288" s="8" t="inlineStr">
        <is>
          <t>Range</t>
        </is>
      </c>
      <c r="C288" s="8" t="inlineStr">
        <is>
          <t>Feedback</t>
        </is>
      </c>
    </row>
    <row r="289">
      <c r="A289" s="5" t="inlineStr">
        <is>
          <t>Red</t>
        </is>
      </c>
      <c r="B289" s="5" t="inlineStr">
        <is>
          <t>0-49%</t>
        </is>
      </c>
      <c r="C289" s="5" t="inlineStr">
        <is>
          <t>This topic needs more work — go back over the The normal distribution materials on the site and use the revision booklet for extra practice. Come and see me if you need help.</t>
        </is>
      </c>
    </row>
    <row r="290">
      <c r="A290" s="5" t="inlineStr">
        <is>
          <t>Yellow</t>
        </is>
      </c>
      <c r="B290" s="5" t="inlineStr">
        <is>
          <t>50-79%</t>
        </is>
      </c>
      <c r="C290" s="5" t="inlineStr">
        <is>
          <t>A generally good understanding, but a few gaps remain — recap the topic(s) listed below.</t>
        </is>
      </c>
    </row>
    <row r="291">
      <c r="A291" s="5" t="inlineStr">
        <is>
          <t>Green</t>
        </is>
      </c>
      <c r="B291" s="5" t="inlineStr">
        <is>
          <t>80-100%</t>
        </is>
      </c>
      <c r="C291" s="5" t="inlineStr">
        <is>
          <t>A strong understanding of this topic. Correct any errors, then move on to Mini Test 5.2.</t>
        </is>
      </c>
    </row>
    <row r="292">
      <c r="A292" s="5" t="n"/>
      <c r="B292" s="5" t="n"/>
      <c r="C292" s="5" t="n"/>
    </row>
    <row r="293">
      <c r="A293" s="6" t="inlineStr">
        <is>
          <t>Parameters — Mini Test 5.2 — The Normal Distribution</t>
        </is>
      </c>
      <c r="B293" s="5" t="n"/>
      <c r="C293" s="5" t="n"/>
    </row>
    <row r="294">
      <c r="A294" s="5" t="n"/>
      <c r="B294" s="5" t="n"/>
      <c r="C294" s="5" t="n"/>
    </row>
    <row r="295">
      <c r="A295" s="7" t="inlineStr">
        <is>
          <t>Skill mapping (used by the 'Focus for next steps' column)</t>
        </is>
      </c>
      <c r="B295" s="5" t="n"/>
      <c r="C295" s="5" t="n"/>
    </row>
    <row r="296">
      <c r="A296" s="8" t="inlineStr">
        <is>
          <t>Question</t>
        </is>
      </c>
      <c r="B296" s="8" t="inlineStr">
        <is>
          <t>Skill / next step if this is the weakest area</t>
        </is>
      </c>
      <c r="C296" s="5" t="n"/>
    </row>
    <row r="297">
      <c r="A297" s="5" t="inlineStr">
        <is>
          <t>Q1 Standardising &amp; finding probabilities</t>
        </is>
      </c>
      <c r="B297" s="5" t="inlineStr">
        <is>
          <t>Revise standardising a normal variable and using the table/calculator to find P(X &gt; a) and P(a &lt; X &lt; b) — see Mini Test 5.2 Q1 mark scheme.</t>
        </is>
      </c>
      <c r="C297" s="5" t="n"/>
    </row>
    <row r="298">
      <c r="A298" s="5" t="inlineStr">
        <is>
          <t>Q2 Inverse normal problems using percentage points</t>
        </is>
      </c>
      <c r="B298" s="5" t="inlineStr">
        <is>
          <t>Revise using a percentage-points table (or the calculator's inverse normal function) to find the z-value for a given tail probability, then converting back to find the corresponding x-value, to nearest whole number where asked — see Mini Test 5.2 Q2 mark scheme.</t>
        </is>
      </c>
      <c r="C298" s="5" t="n"/>
    </row>
    <row r="299">
      <c r="A299" s="5" t="inlineStr">
        <is>
          <t>Q3 Standardising and reading probabilities from a diagram</t>
        </is>
      </c>
      <c r="B299" s="5" t="inlineStr">
        <is>
          <t>Revise standardising given values, using the table/calculator for Phi(z), and interpreting a shaded region on a normal-curve diagram as a probability — see Mini Test 5.2 Q3 mark scheme.</t>
        </is>
      </c>
      <c r="C299" s="5" t="n"/>
    </row>
    <row r="300">
      <c r="A300" s="5" t="inlineStr">
        <is>
          <t>Q4 Limitations &amp; practical implications of the model</t>
        </is>
      </c>
      <c r="B300" s="5" t="inlineStr">
        <is>
          <t>Revise explaining why the normal distribution only approximates a real context, and suggesting a practical implication of this for decision-making — see Mini Test 5.2 Q4 mark scheme.</t>
        </is>
      </c>
      <c r="C300" s="5" t="n"/>
    </row>
    <row r="301">
      <c r="A301" s="5" t="n"/>
      <c r="B301" s="5" t="n"/>
      <c r="C301" s="5" t="n"/>
    </row>
    <row r="302">
      <c r="A302" s="7" t="inlineStr">
        <is>
          <t>Overall RAG thresholds (based on % of 26 marks)</t>
        </is>
      </c>
      <c r="B302" s="5" t="n"/>
      <c r="C302" s="5" t="n"/>
    </row>
    <row r="303">
      <c r="A303" s="8" t="inlineStr">
        <is>
          <t>Band</t>
        </is>
      </c>
      <c r="B303" s="8" t="inlineStr">
        <is>
          <t>Range</t>
        </is>
      </c>
      <c r="C303" s="8" t="inlineStr">
        <is>
          <t>Feedback</t>
        </is>
      </c>
    </row>
    <row r="304">
      <c r="A304" s="5" t="inlineStr">
        <is>
          <t>Red</t>
        </is>
      </c>
      <c r="B304" s="5" t="inlineStr">
        <is>
          <t>0-49%</t>
        </is>
      </c>
      <c r="C304" s="5" t="inlineStr">
        <is>
          <t>This topic needs more work — go back over the The normal distribution materials on the site and use the revision booklet for extra practice. Come and see me if you need help.</t>
        </is>
      </c>
    </row>
    <row r="305">
      <c r="A305" s="5" t="inlineStr">
        <is>
          <t>Yellow</t>
        </is>
      </c>
      <c r="B305" s="5" t="inlineStr">
        <is>
          <t>50-79%</t>
        </is>
      </c>
      <c r="C305" s="5" t="inlineStr">
        <is>
          <t>A generally good understanding, but a few gaps remain — recap the topic(s) listed below.</t>
        </is>
      </c>
    </row>
    <row r="306">
      <c r="A306" s="5" t="inlineStr">
        <is>
          <t>Green</t>
        </is>
      </c>
      <c r="B306" s="5" t="inlineStr">
        <is>
          <t>80-100%</t>
        </is>
      </c>
      <c r="C306" s="5" t="inlineStr">
        <is>
          <t>A strong understanding of this topic. Correct any errors, then move on to the Chapter 5 End of Topic Test.</t>
        </is>
      </c>
    </row>
    <row r="307">
      <c r="A307" s="5" t="n"/>
      <c r="B307" s="5" t="n"/>
      <c r="C307" s="5" t="n"/>
    </row>
    <row r="308">
      <c r="A308" s="6" t="inlineStr">
        <is>
          <t>Parameters — Chapter 5 End of Topic Test — The Normal Distribution</t>
        </is>
      </c>
      <c r="B308" s="5" t="n"/>
      <c r="C308" s="5" t="n"/>
    </row>
    <row r="309">
      <c r="A309" s="5" t="n"/>
      <c r="B309" s="5" t="n"/>
      <c r="C309" s="5" t="n"/>
    </row>
    <row r="310">
      <c r="A310" s="7" t="inlineStr">
        <is>
          <t>Skill mapping (used by the 'Focus for next steps' column)</t>
        </is>
      </c>
      <c r="B310" s="5" t="n"/>
      <c r="C310" s="5" t="n"/>
    </row>
    <row r="311">
      <c r="A311" s="8" t="inlineStr">
        <is>
          <t>Question</t>
        </is>
      </c>
      <c r="B311" s="8" t="inlineStr">
        <is>
          <t>Skill / next step if this is the weakest area</t>
        </is>
      </c>
      <c r="C311" s="5" t="n"/>
    </row>
    <row r="312">
      <c r="A312" s="5" t="inlineStr">
        <is>
          <t>Q1 Properties, sketching a curve &amp; suitability of the model</t>
        </is>
      </c>
      <c r="B312" s="5" t="inlineStr">
        <is>
          <t>Revise the key features of a normal distribution, sketching and labelling a curve with the mean and one standard deviation either side marked, and explaining why a normal model suits a given context.</t>
        </is>
      </c>
      <c r="C312" s="5" t="n"/>
    </row>
    <row r="313">
      <c r="A313" s="5" t="inlineStr">
        <is>
          <t>Q2 Standardising &amp; finding probabilities in context</t>
        </is>
      </c>
      <c r="B313" s="5" t="inlineStr">
        <is>
          <t>Revise standardising a normal variable, using the table/calculator to find P(X &gt; a) and P(a &lt; X &lt; b), and interpreting the result in the context of the question.</t>
        </is>
      </c>
      <c r="C313" s="5" t="n"/>
    </row>
    <row r="314">
      <c r="A314" s="5" t="inlineStr">
        <is>
          <t>Q3 Probability, an inverse normal threshold &amp; model limitations</t>
        </is>
      </c>
      <c r="B314" s="5" t="inlineStr">
        <is>
          <t>Revise finding a probability from a normal model using the table/calculator, using the inverse normal function to find a threshold for a given tail percentage, and discussing where the model may not fit real data perfectly.</t>
        </is>
      </c>
      <c r="C314" s="5" t="n"/>
    </row>
    <row r="315">
      <c r="A315" s="5" t="inlineStr">
        <is>
          <t>Q4 Interpreting a normal curve diagram</t>
        </is>
      </c>
      <c r="B315" s="5" t="inlineStr">
        <is>
          <t>Revise reading a normal-curve diagram to apply the 68-95-99.7 rule, then finding a probability further into the tail using the table/calculator.</t>
        </is>
      </c>
      <c r="C315" s="5" t="n"/>
    </row>
    <row r="316">
      <c r="A316" s="5" t="inlineStr">
        <is>
          <t>Q5 Notation, probability &amp; critiquing a normal model</t>
        </is>
      </c>
      <c r="B316" s="5" t="inlineStr">
        <is>
          <t>Revise what N(mean, variance) notation means, calculating a probability from it, and critically evaluating claims about how well a normal model fits real data (especially in the tails).</t>
        </is>
      </c>
      <c r="C316" s="5" t="n"/>
    </row>
    <row r="317">
      <c r="A317" s="5" t="n"/>
      <c r="B317" s="5" t="n"/>
      <c r="C317" s="5" t="n"/>
    </row>
    <row r="318">
      <c r="A318" s="7" t="inlineStr">
        <is>
          <t>Overall RAG thresholds (based on % of 39 marks)</t>
        </is>
      </c>
      <c r="B318" s="5" t="n"/>
      <c r="C318" s="5" t="n"/>
    </row>
    <row r="319">
      <c r="A319" s="8" t="inlineStr">
        <is>
          <t>Band</t>
        </is>
      </c>
      <c r="B319" s="8" t="inlineStr">
        <is>
          <t>Range</t>
        </is>
      </c>
      <c r="C319" s="8" t="inlineStr">
        <is>
          <t>Feedback</t>
        </is>
      </c>
    </row>
    <row r="320">
      <c r="A320" s="5" t="inlineStr">
        <is>
          <t>Red</t>
        </is>
      </c>
      <c r="B320" s="5" t="inlineStr">
        <is>
          <t>0-49%</t>
        </is>
      </c>
      <c r="C320" s="5" t="inlineStr">
        <is>
          <t>This topic needs more work — go back over the The normal distribution materials on the site and use the revision booklet for extra practice. Come and see me if you need help.</t>
        </is>
      </c>
    </row>
    <row r="321">
      <c r="A321" s="5" t="inlineStr">
        <is>
          <t>Yellow</t>
        </is>
      </c>
      <c r="B321" s="5" t="inlineStr">
        <is>
          <t>50-79%</t>
        </is>
      </c>
      <c r="C321" s="5" t="inlineStr">
        <is>
          <t>A generally good understanding, but a few gaps remain — recap the topic(s) listed below.</t>
        </is>
      </c>
    </row>
    <row r="322">
      <c r="A322" s="5" t="inlineStr">
        <is>
          <t>Green</t>
        </is>
      </c>
      <c r="B322" s="5" t="inlineStr">
        <is>
          <t>80-100%</t>
        </is>
      </c>
      <c r="C322" s="5" t="inlineStr">
        <is>
          <t>A strong understanding of this topic. Correct any errors, then move on to Chapter 5 End of Topic Test 2.</t>
        </is>
      </c>
    </row>
    <row r="323">
      <c r="A323" s="5" t="n"/>
      <c r="B323" s="5" t="n"/>
      <c r="C323" s="5" t="n"/>
    </row>
    <row r="324">
      <c r="A324" s="6" t="inlineStr">
        <is>
          <t>Parameters — Chapter 5 End of Topic Test 2 — The Normal Distribution</t>
        </is>
      </c>
      <c r="B324" s="5" t="n"/>
      <c r="C324" s="5" t="n"/>
    </row>
    <row r="325">
      <c r="A325" s="5" t="n"/>
      <c r="B325" s="5" t="n"/>
      <c r="C325" s="5" t="n"/>
    </row>
    <row r="326">
      <c r="A326" s="7" t="inlineStr">
        <is>
          <t>Skill mapping (used by the 'Focus for next steps' column)</t>
        </is>
      </c>
      <c r="B326" s="5" t="n"/>
      <c r="C326" s="5" t="n"/>
    </row>
    <row r="327">
      <c r="A327" s="8" t="inlineStr">
        <is>
          <t>Question</t>
        </is>
      </c>
      <c r="B327" s="8" t="inlineStr">
        <is>
          <t>Skill / next step if this is the weakest area</t>
        </is>
      </c>
      <c r="C327" s="5" t="n"/>
    </row>
    <row r="328">
      <c r="A328" s="5" t="inlineStr">
        <is>
          <t>Q1 Properties, sketching a curve &amp; suitability of the model</t>
        </is>
      </c>
      <c r="B328" s="5" t="inlineStr">
        <is>
          <t>Revise the key features of a normal distribution, sketching and labelling a curve with the mean and one standard deviation either side marked, and explaining why a normal model suits a given context.</t>
        </is>
      </c>
      <c r="C328" s="5" t="n"/>
    </row>
    <row r="329">
      <c r="A329" s="5" t="inlineStr">
        <is>
          <t>Q2 Standardising &amp; finding probabilities in context</t>
        </is>
      </c>
      <c r="B329" s="5" t="inlineStr">
        <is>
          <t>Revise standardising a normal variable, using the table/calculator to find P(X &gt; a) and P(a &lt; X &lt; b), and interpreting the result in the context of the question.</t>
        </is>
      </c>
      <c r="C329" s="5" t="n"/>
    </row>
    <row r="330">
      <c r="A330" s="5" t="inlineStr">
        <is>
          <t>Q3 Probability, an inverse normal threshold &amp; model limitations</t>
        </is>
      </c>
      <c r="B330" s="5" t="inlineStr">
        <is>
          <t>Revise finding a probability from a normal model using the table/calculator, using a given z-value to find a threshold score for a stated tail percentage, and discussing where the model may not fit real data perfectly.</t>
        </is>
      </c>
      <c r="C330" s="5" t="n"/>
    </row>
    <row r="331">
      <c r="A331" s="5" t="inlineStr">
        <is>
          <t>Q4 Interpreting a normal curve diagram</t>
        </is>
      </c>
      <c r="B331" s="5" t="inlineStr">
        <is>
          <t>Revise reading a normal-curve diagram to apply the 68-95-99.7 rule, then finding a probability further into the tail using the table/calculator.</t>
        </is>
      </c>
      <c r="C331" s="5" t="n"/>
    </row>
    <row r="332">
      <c r="A332" s="5" t="inlineStr">
        <is>
          <t>Q5 Notation, probability &amp; critiquing a normal model</t>
        </is>
      </c>
      <c r="B332" s="5" t="inlineStr">
        <is>
          <t>Revise what N(mean, variance) notation means, calculating a probability from it, and critically evaluating claims about how well a normal model fits real data (especially in the tails).</t>
        </is>
      </c>
      <c r="C332" s="5" t="n"/>
    </row>
    <row r="333">
      <c r="A333" s="5" t="n"/>
      <c r="B333" s="5" t="n"/>
      <c r="C333" s="5" t="n"/>
    </row>
    <row r="334">
      <c r="A334" s="7" t="inlineStr">
        <is>
          <t>Overall RAG thresholds (based on % of 39 marks)</t>
        </is>
      </c>
      <c r="B334" s="5" t="n"/>
      <c r="C334" s="5" t="n"/>
    </row>
    <row r="335">
      <c r="A335" s="8" t="inlineStr">
        <is>
          <t>Band</t>
        </is>
      </c>
      <c r="B335" s="8" t="inlineStr">
        <is>
          <t>Range</t>
        </is>
      </c>
      <c r="C335" s="8" t="inlineStr">
        <is>
          <t>Feedback</t>
        </is>
      </c>
    </row>
    <row r="336">
      <c r="A336" s="5" t="inlineStr">
        <is>
          <t>Red</t>
        </is>
      </c>
      <c r="B336" s="5" t="inlineStr">
        <is>
          <t>0-49%</t>
        </is>
      </c>
      <c r="C336" s="5" t="inlineStr">
        <is>
          <t>This topic needs more work — go back over the The normal distribution materials on the site and use the revision booklet for extra practice. Come and see me if you need help.</t>
        </is>
      </c>
    </row>
    <row r="337">
      <c r="A337" s="5" t="inlineStr">
        <is>
          <t>Yellow</t>
        </is>
      </c>
      <c r="B337" s="5" t="inlineStr">
        <is>
          <t>50-79%</t>
        </is>
      </c>
      <c r="C337" s="5" t="inlineStr">
        <is>
          <t>A generally good understanding, but a few gaps remain — recap the topic(s) listed below.</t>
        </is>
      </c>
    </row>
    <row r="338">
      <c r="A338" s="5" t="inlineStr">
        <is>
          <t>Green</t>
        </is>
      </c>
      <c r="B338" s="5" t="inlineStr">
        <is>
          <t>80-100%</t>
        </is>
      </c>
      <c r="C338" s="5" t="inlineStr">
        <is>
          <t>A strong understanding of this topic. Correct any errors, then move on to Chapter 6's Mini Tests.</t>
        </is>
      </c>
    </row>
    <row r="339">
      <c r="A339" s="5" t="n"/>
      <c r="B339" s="5" t="n"/>
      <c r="C339" s="5" t="n"/>
    </row>
    <row r="340">
      <c r="A340" s="6" t="inlineStr">
        <is>
          <t>Parameters — Mini Test 6.1 — Probabilities &amp; Estimation</t>
        </is>
      </c>
      <c r="B340" s="5" t="n"/>
      <c r="C340" s="5" t="n"/>
    </row>
    <row r="341">
      <c r="A341" s="5" t="n"/>
      <c r="B341" s="5" t="n"/>
      <c r="C341" s="5" t="n"/>
    </row>
    <row r="342">
      <c r="A342" s="7" t="inlineStr">
        <is>
          <t>Skill mapping (used by the 'Focus for next steps' column)</t>
        </is>
      </c>
      <c r="B342" s="5" t="n"/>
      <c r="C342" s="5" t="n"/>
    </row>
    <row r="343">
      <c r="A343" s="8" t="inlineStr">
        <is>
          <t>Question</t>
        </is>
      </c>
      <c r="B343" s="8" t="inlineStr">
        <is>
          <t>Skill / next step if this is the weakest area</t>
        </is>
      </c>
      <c r="C343" s="5" t="n"/>
    </row>
    <row r="344">
      <c r="A344" s="5" t="inlineStr">
        <is>
          <t>Q1 Point estimates</t>
        </is>
      </c>
      <c r="B344" s="5" t="inlineStr">
        <is>
          <t>Revise what a point estimate is and why larger samples give more reliable estimates — see Mini Test 6.1 Q1 mark scheme.</t>
        </is>
      </c>
      <c r="C344" s="5" t="n"/>
    </row>
    <row r="345">
      <c r="A345" s="5" t="inlineStr">
        <is>
          <t>Q2 Standard error</t>
        </is>
      </c>
      <c r="B345" s="5" t="inlineStr">
        <is>
          <t>Revise calculating the standard error of the sample mean and how sample size affects the spread of the sampling distribution — see Mini Test 6.1 Q2 mark scheme.</t>
        </is>
      </c>
      <c r="C345" s="5" t="n"/>
    </row>
    <row r="346">
      <c r="A346" s="5" t="inlineStr">
        <is>
          <t>Q3 CI for a mean</t>
        </is>
      </c>
      <c r="B346" s="5" t="inlineStr">
        <is>
          <t>Revise calculating and interpreting a confidence interval for a population mean using z — see Mini Test 6.1 Q3 mark scheme.</t>
        </is>
      </c>
      <c r="C346" s="5" t="n"/>
    </row>
    <row r="347">
      <c r="A347" s="5" t="inlineStr">
        <is>
          <t>Q4 Comparing CIs</t>
        </is>
      </c>
      <c r="B347" s="5" t="inlineStr">
        <is>
          <t>Revise how sample size and confidence level affect the width of a confidence interval — see Mini Test 6.1 Q4 mark scheme.</t>
        </is>
      </c>
      <c r="C347" s="5" t="n"/>
    </row>
    <row r="348">
      <c r="A348" s="5" t="n"/>
      <c r="B348" s="5" t="n"/>
      <c r="C348" s="5" t="n"/>
    </row>
    <row r="349">
      <c r="A349" s="7" t="inlineStr">
        <is>
          <t>Overall RAG thresholds (based on % of 22 marks)</t>
        </is>
      </c>
      <c r="B349" s="5" t="n"/>
      <c r="C349" s="5" t="n"/>
    </row>
    <row r="350">
      <c r="A350" s="8" t="inlineStr">
        <is>
          <t>Band</t>
        </is>
      </c>
      <c r="B350" s="8" t="inlineStr">
        <is>
          <t>Range</t>
        </is>
      </c>
      <c r="C350" s="8" t="inlineStr">
        <is>
          <t>Feedback</t>
        </is>
      </c>
    </row>
    <row r="351">
      <c r="A351" s="5" t="inlineStr">
        <is>
          <t>Red</t>
        </is>
      </c>
      <c r="B351" s="5" t="inlineStr">
        <is>
          <t>0-49%</t>
        </is>
      </c>
      <c r="C351" s="5" t="inlineStr">
        <is>
          <t>This topic needs more work — go back over the Probabilities &amp; Estimation materials on the site and use the revision booklet for extra practice. Come and see me if you need help.</t>
        </is>
      </c>
    </row>
    <row r="352">
      <c r="A352" s="5" t="inlineStr">
        <is>
          <t>Yellow</t>
        </is>
      </c>
      <c r="B352" s="5" t="inlineStr">
        <is>
          <t>50-79%</t>
        </is>
      </c>
      <c r="C352" s="5" t="inlineStr">
        <is>
          <t>A generally good understanding, but a few gaps remain — recap the topic(s) listed below.</t>
        </is>
      </c>
    </row>
    <row r="353">
      <c r="A353" s="5" t="inlineStr">
        <is>
          <t>Green</t>
        </is>
      </c>
      <c r="B353" s="5" t="inlineStr">
        <is>
          <t>80-100%</t>
        </is>
      </c>
      <c r="C353" s="5" t="inlineStr">
        <is>
          <t>A strong understanding of this topic. Correct any errors, then move on to Mini Test 6.2.</t>
        </is>
      </c>
    </row>
    <row r="354">
      <c r="A354" s="5" t="n"/>
      <c r="B354" s="5" t="n"/>
      <c r="C354" s="5" t="n"/>
    </row>
    <row r="355">
      <c r="A355" s="6" t="inlineStr">
        <is>
          <t>Parameters — Mini Test 6.2 — Probabilities &amp; Estimation</t>
        </is>
      </c>
      <c r="B355" s="5" t="n"/>
      <c r="C355" s="5" t="n"/>
    </row>
    <row r="356">
      <c r="A356" s="5" t="n"/>
      <c r="B356" s="5" t="n"/>
      <c r="C356" s="5" t="n"/>
    </row>
    <row r="357">
      <c r="A357" s="7" t="inlineStr">
        <is>
          <t>Skill mapping (used by the 'Focus for next steps' column)</t>
        </is>
      </c>
      <c r="B357" s="5" t="n"/>
      <c r="C357" s="5" t="n"/>
    </row>
    <row r="358">
      <c r="A358" s="8" t="inlineStr">
        <is>
          <t>Question</t>
        </is>
      </c>
      <c r="B358" s="8" t="inlineStr">
        <is>
          <t>Skill / next step if this is the weakest area</t>
        </is>
      </c>
      <c r="C358" s="5" t="n"/>
    </row>
    <row r="359">
      <c r="A359" s="5" t="inlineStr">
        <is>
          <t>Q1 CI for a proportion</t>
        </is>
      </c>
      <c r="B359" s="5" t="inlineStr">
        <is>
          <t>Revise calculating a confidence interval for a proportion and checking the Normal-approximation condition — see Mini Test 6.2 Q1 mark scheme.</t>
        </is>
      </c>
      <c r="C359" s="5" t="n"/>
    </row>
    <row r="360">
      <c r="A360" s="5" t="inlineStr">
        <is>
          <t>Q2 Sample size</t>
        </is>
      </c>
      <c r="B360" s="5" t="inlineStr">
        <is>
          <t>Revise finding the minimum sample size needed for a target margin of error — see Mini Test 6.2 Q2 mark scheme.</t>
        </is>
      </c>
      <c r="C360" s="5" t="n"/>
    </row>
    <row r="361">
      <c r="A361" s="5" t="inlineStr">
        <is>
          <t>Q3 Critical values &amp; misconceptions</t>
        </is>
      </c>
      <c r="B361" s="5" t="inlineStr">
        <is>
          <t>Revise critical z-values and common misconceptions about what a confidence interval means — see Mini Test 6.2 Q3 mark scheme.</t>
        </is>
      </c>
      <c r="C361" s="5" t="n"/>
    </row>
    <row r="362">
      <c r="A362" s="5" t="inlineStr">
        <is>
          <t>Q4 CIs for decisions</t>
        </is>
      </c>
      <c r="B362" s="5" t="inlineStr">
        <is>
          <t>Revise using a confidence interval to support a conclusion against a target value — see Mini Test 6.2 Q4 mark scheme.</t>
        </is>
      </c>
      <c r="C362" s="5" t="n"/>
    </row>
    <row r="363">
      <c r="A363" s="5" t="n"/>
      <c r="B363" s="5" t="n"/>
      <c r="C363" s="5" t="n"/>
    </row>
    <row r="364">
      <c r="A364" s="7" t="inlineStr">
        <is>
          <t>Overall RAG thresholds (based on % of 24 marks)</t>
        </is>
      </c>
      <c r="B364" s="5" t="n"/>
      <c r="C364" s="5" t="n"/>
    </row>
    <row r="365">
      <c r="A365" s="8" t="inlineStr">
        <is>
          <t>Band</t>
        </is>
      </c>
      <c r="B365" s="8" t="inlineStr">
        <is>
          <t>Range</t>
        </is>
      </c>
      <c r="C365" s="8" t="inlineStr">
        <is>
          <t>Feedback</t>
        </is>
      </c>
    </row>
    <row r="366">
      <c r="A366" s="5" t="inlineStr">
        <is>
          <t>Red</t>
        </is>
      </c>
      <c r="B366" s="5" t="inlineStr">
        <is>
          <t>0-49%</t>
        </is>
      </c>
      <c r="C366" s="5" t="inlineStr">
        <is>
          <t>This topic needs more work — go back over the Probabilities &amp; Estimation materials on the site and use the revision booklet for extra practice. Come and see me if you need help.</t>
        </is>
      </c>
    </row>
    <row r="367">
      <c r="A367" s="5" t="inlineStr">
        <is>
          <t>Yellow</t>
        </is>
      </c>
      <c r="B367" s="5" t="inlineStr">
        <is>
          <t>50-79%</t>
        </is>
      </c>
      <c r="C367" s="5" t="inlineStr">
        <is>
          <t>A generally good understanding, but a few gaps remain — recap the topic(s) listed below.</t>
        </is>
      </c>
    </row>
    <row r="368">
      <c r="A368" s="5" t="inlineStr">
        <is>
          <t>Green</t>
        </is>
      </c>
      <c r="B368" s="5" t="inlineStr">
        <is>
          <t>80-100%</t>
        </is>
      </c>
      <c r="C368" s="5" t="inlineStr">
        <is>
          <t>A strong understanding of this topic. Correct any errors, then move on to the Chapter 6 End of Topic Test.</t>
        </is>
      </c>
    </row>
    <row r="369">
      <c r="A369" s="5" t="n"/>
      <c r="B369" s="5" t="n"/>
      <c r="C369" s="5" t="n"/>
    </row>
    <row r="370">
      <c r="A370" s="6" t="inlineStr">
        <is>
          <t>Parameters — Chapter 6 End of Topic Test — Probabilities &amp; Estimation</t>
        </is>
      </c>
      <c r="B370" s="5" t="n"/>
      <c r="C370" s="5" t="n"/>
    </row>
    <row r="371">
      <c r="A371" s="5" t="n"/>
      <c r="B371" s="5" t="n"/>
      <c r="C371" s="5" t="n"/>
    </row>
    <row r="372">
      <c r="A372" s="7" t="inlineStr">
        <is>
          <t>Skill mapping (used by the 'Focus for next steps' column)</t>
        </is>
      </c>
      <c r="B372" s="5" t="n"/>
      <c r="C372" s="5" t="n"/>
    </row>
    <row r="373">
      <c r="A373" s="8" t="inlineStr">
        <is>
          <t>Question</t>
        </is>
      </c>
      <c r="B373" s="8" t="inlineStr">
        <is>
          <t>Skill / next step if this is the weakest area</t>
        </is>
      </c>
      <c r="C373" s="5" t="n"/>
    </row>
    <row r="374">
      <c r="A374" s="5" t="inlineStr">
        <is>
          <t>Q1 CI for a mean (t-distribution)</t>
        </is>
      </c>
      <c r="B374" s="5" t="inlineStr">
        <is>
          <t>Revise constructing a confidence interval for a mean using the t-distribution, and interpreting it in context.</t>
        </is>
      </c>
      <c r="C374" s="5" t="n"/>
    </row>
    <row r="375">
      <c r="A375" s="5" t="inlineStr">
        <is>
          <t>Q2 CI for a proportion</t>
        </is>
      </c>
      <c r="B375" s="5" t="inlineStr">
        <is>
          <t>Revise confidence intervals for a proportion, including checking the Normal-approximation condition.</t>
        </is>
      </c>
      <c r="C375" s="5" t="n"/>
    </row>
    <row r="376">
      <c r="A376" s="5" t="inlineStr">
        <is>
          <t>Q3 Sample size</t>
        </is>
      </c>
      <c r="B376" s="5" t="inlineStr">
        <is>
          <t>Revise finding the minimum sample size for a desired margin of error, and how confidence level affects it.</t>
        </is>
      </c>
      <c r="C376" s="5" t="n"/>
    </row>
    <row r="377">
      <c r="A377" s="5" t="inlineStr">
        <is>
          <t>Q4 Critical values &amp; confidence levels</t>
        </is>
      </c>
      <c r="B377" s="5" t="inlineStr">
        <is>
          <t>Revise critical z-values and how they are used to construct confidence intervals of different widths.</t>
        </is>
      </c>
      <c r="C377" s="5" t="n"/>
    </row>
    <row r="378">
      <c r="A378" s="5" t="inlineStr">
        <is>
          <t>Q5 Interpretation and misconceptions</t>
        </is>
      </c>
      <c r="B378" s="5" t="inlineStr">
        <is>
          <t>Revise correctly interpreting a confidence interval and avoiding common probability misconceptions.</t>
        </is>
      </c>
      <c r="C378" s="5" t="n"/>
    </row>
    <row r="379">
      <c r="A379" s="5" t="inlineStr">
        <is>
          <t>Q6 Applying CIs to decision making</t>
        </is>
      </c>
      <c r="B379" s="5" t="inlineStr">
        <is>
          <t>Revise using confidence intervals to make and justify decisions against a target or criterion.</t>
        </is>
      </c>
      <c r="C379" s="5" t="n"/>
    </row>
    <row r="380">
      <c r="A380" s="5" t="n"/>
      <c r="B380" s="5" t="n"/>
      <c r="C380" s="5" t="n"/>
    </row>
    <row r="381">
      <c r="A381" s="7" t="inlineStr">
        <is>
          <t>Overall RAG thresholds (based on % of 48 marks)</t>
        </is>
      </c>
      <c r="B381" s="5" t="n"/>
      <c r="C381" s="5" t="n"/>
    </row>
    <row r="382">
      <c r="A382" s="8" t="inlineStr">
        <is>
          <t>Band</t>
        </is>
      </c>
      <c r="B382" s="8" t="inlineStr">
        <is>
          <t>Range</t>
        </is>
      </c>
      <c r="C382" s="8" t="inlineStr">
        <is>
          <t>Feedback</t>
        </is>
      </c>
    </row>
    <row r="383">
      <c r="A383" s="5" t="inlineStr">
        <is>
          <t>Red</t>
        </is>
      </c>
      <c r="B383" s="5" t="inlineStr">
        <is>
          <t>0-49%</t>
        </is>
      </c>
      <c r="C383" s="5" t="inlineStr">
        <is>
          <t>This topic needs more work — go back over the Probabilities &amp; Estimation materials on the site and use the revision booklet for extra practice. Come and see me if you need help.</t>
        </is>
      </c>
    </row>
    <row r="384">
      <c r="A384" s="5" t="inlineStr">
        <is>
          <t>Yellow</t>
        </is>
      </c>
      <c r="B384" s="5" t="inlineStr">
        <is>
          <t>50-79%</t>
        </is>
      </c>
      <c r="C384" s="5" t="inlineStr">
        <is>
          <t>A generally good understanding, but a few gaps remain — recap the topic(s) listed below.</t>
        </is>
      </c>
    </row>
    <row r="385">
      <c r="A385" s="5" t="inlineStr">
        <is>
          <t>Green</t>
        </is>
      </c>
      <c r="B385" s="5" t="inlineStr">
        <is>
          <t>80-100%</t>
        </is>
      </c>
      <c r="C385" s="5" t="inlineStr">
        <is>
          <t>A strong understanding of this topic. Correct any errors, then move on to Chapter 6 End of Topic Test 2.</t>
        </is>
      </c>
    </row>
    <row r="386">
      <c r="A386" s="5" t="n"/>
      <c r="B386" s="5" t="n"/>
      <c r="C386" s="5" t="n"/>
    </row>
    <row r="387">
      <c r="A387" s="6" t="inlineStr">
        <is>
          <t>Parameters — Chapter 6 End of Topic Test 2 — Probabilities &amp; Estimation</t>
        </is>
      </c>
      <c r="B387" s="5" t="n"/>
      <c r="C387" s="5" t="n"/>
    </row>
    <row r="388">
      <c r="A388" s="5" t="n"/>
      <c r="B388" s="5" t="n"/>
      <c r="C388" s="5" t="n"/>
    </row>
    <row r="389">
      <c r="A389" s="7" t="inlineStr">
        <is>
          <t>Skill mapping (used by the 'Focus for next steps' column)</t>
        </is>
      </c>
      <c r="B389" s="5" t="n"/>
      <c r="C389" s="5" t="n"/>
    </row>
    <row r="390">
      <c r="A390" s="8" t="inlineStr">
        <is>
          <t>Question</t>
        </is>
      </c>
      <c r="B390" s="8" t="inlineStr">
        <is>
          <t>Skill / next step if this is the weakest area</t>
        </is>
      </c>
      <c r="C390" s="5" t="n"/>
    </row>
    <row r="391">
      <c r="A391" s="5" t="inlineStr">
        <is>
          <t>Q1 CI for a mean</t>
        </is>
      </c>
      <c r="B391" s="5" t="inlineStr">
        <is>
          <t>Revise constructing a confidence interval for a mean using the t-distribution, including degrees of freedom and interpretation — see Chapter 6 End of Topic Test 2 Q1 mark scheme.</t>
        </is>
      </c>
      <c r="C391" s="5" t="n"/>
    </row>
    <row r="392">
      <c r="A392" s="5" t="inlineStr">
        <is>
          <t>Q2 CI for a proportion</t>
        </is>
      </c>
      <c r="B392" s="5" t="inlineStr">
        <is>
          <t>Revise constructing a confidence interval for a proportion, testing a claim against it, and checking the Normal-approximation condition — see Chapter 6 End of Topic Test 2 Q2 mark scheme.</t>
        </is>
      </c>
      <c r="C392" s="5" t="n"/>
    </row>
    <row r="393">
      <c r="A393" s="5" t="inlineStr">
        <is>
          <t>Q3 Sample size</t>
        </is>
      </c>
      <c r="B393" s="5" t="inlineStr">
        <is>
          <t>Revise calculating the minimum sample size needed for a target margin of error, and how confidence level affects it — see Chapter 6 End of Topic Test 2 Q3 mark scheme.</t>
        </is>
      </c>
      <c r="C393" s="5" t="n"/>
    </row>
    <row r="394">
      <c r="A394" s="5" t="inlineStr">
        <is>
          <t>Q4 Critical values</t>
        </is>
      </c>
      <c r="B394" s="5" t="inlineStr">
        <is>
          <t>Revise critical values (z) and how they relate to confidence level and interval width — see Chapter 6 End of Topic Test 2 Q4 mark scheme.</t>
        </is>
      </c>
      <c r="C394" s="5" t="n"/>
    </row>
    <row r="395">
      <c r="A395" s="5" t="inlineStr">
        <is>
          <t>Q5 Interpretation &amp; misconceptions</t>
        </is>
      </c>
      <c r="B395" s="5" t="inlineStr">
        <is>
          <t>Revise how to correctly interpret a confidence interval and common misconceptions about probability statements — see Chapter 6 End of Topic Test 2 Q5 mark scheme.</t>
        </is>
      </c>
      <c r="C395" s="5" t="n"/>
    </row>
    <row r="396">
      <c r="A396" s="5" t="inlineStr">
        <is>
          <t>Q6 Applying CIs to decisions</t>
        </is>
      </c>
      <c r="B396" s="5" t="inlineStr">
        <is>
          <t>Revise using a confidence interval to assess a target or criterion and draw a conclusion in context — see Chapter 6 End of Topic Test 2 Q6 mark scheme.</t>
        </is>
      </c>
      <c r="C396" s="5" t="n"/>
    </row>
    <row r="397">
      <c r="A397" s="5" t="n"/>
      <c r="B397" s="5" t="n"/>
      <c r="C397" s="5" t="n"/>
    </row>
    <row r="398">
      <c r="A398" s="7" t="inlineStr">
        <is>
          <t>Overall RAG thresholds (based on % of 48 marks)</t>
        </is>
      </c>
      <c r="B398" s="5" t="n"/>
      <c r="C398" s="5" t="n"/>
    </row>
    <row r="399">
      <c r="A399" s="8" t="inlineStr">
        <is>
          <t>Band</t>
        </is>
      </c>
      <c r="B399" s="8" t="inlineStr">
        <is>
          <t>Range</t>
        </is>
      </c>
      <c r="C399" s="8" t="inlineStr">
        <is>
          <t>Feedback</t>
        </is>
      </c>
    </row>
    <row r="400">
      <c r="A400" s="5" t="inlineStr">
        <is>
          <t>Red</t>
        </is>
      </c>
      <c r="B400" s="5" t="inlineStr">
        <is>
          <t>0-49%</t>
        </is>
      </c>
      <c r="C400" s="5" t="inlineStr">
        <is>
          <t>This topic needs more work — go back over the Probabilities &amp; Estimation materials on the site and use the revision booklet for extra practice. Come and see me if you need help.</t>
        </is>
      </c>
    </row>
    <row r="401">
      <c r="A401" s="5" t="inlineStr">
        <is>
          <t>Yellow</t>
        </is>
      </c>
      <c r="B401" s="5" t="inlineStr">
        <is>
          <t>50-79%</t>
        </is>
      </c>
      <c r="C401" s="5" t="inlineStr">
        <is>
          <t>A generally good understanding, but a few gaps remain — recap the topic(s) listed below.</t>
        </is>
      </c>
    </row>
    <row r="402">
      <c r="A402" s="5" t="inlineStr">
        <is>
          <t>Green</t>
        </is>
      </c>
      <c r="B402" s="5" t="inlineStr">
        <is>
          <t>80-100%</t>
        </is>
      </c>
      <c r="C402" s="5" t="inlineStr">
        <is>
          <t>A strong understanding of this topic. Correct any errors, then move on to Chapter 7's Mini Tests.</t>
        </is>
      </c>
    </row>
    <row r="403">
      <c r="A403" s="5" t="n"/>
      <c r="B403" s="5" t="n"/>
      <c r="C403" s="5" t="n"/>
    </row>
    <row r="404">
      <c r="A404" s="6" t="inlineStr">
        <is>
          <t>Parameters — Mini Test 7.1 — Correlation and Regression</t>
        </is>
      </c>
      <c r="B404" s="5" t="n"/>
      <c r="C404" s="5" t="n"/>
    </row>
    <row r="405">
      <c r="A405" s="5" t="n"/>
      <c r="B405" s="5" t="n"/>
      <c r="C405" s="5" t="n"/>
    </row>
    <row r="406">
      <c r="A406" s="7" t="inlineStr">
        <is>
          <t>Skill mapping (used by the 'Focus for next steps' column)</t>
        </is>
      </c>
      <c r="B406" s="5" t="n"/>
      <c r="C406" s="5" t="n"/>
    </row>
    <row r="407">
      <c r="A407" s="8" t="inlineStr">
        <is>
          <t>Question</t>
        </is>
      </c>
      <c r="B407" s="8" t="inlineStr">
        <is>
          <t>Skill / next step if this is the weakest area</t>
        </is>
      </c>
      <c r="C407" s="5" t="n"/>
    </row>
    <row r="408">
      <c r="A408" s="5" t="inlineStr">
        <is>
          <t>Q1 Scatter graphs &amp; correlation type</t>
        </is>
      </c>
      <c r="B408" s="5" t="inlineStr">
        <is>
          <t>Revise reading and plotting points on a scatter graph, describing the type and strength of correlation shown, and deciding whether a particular point fits the general trend — see Mini Test 7.1 Q1 mark scheme.</t>
        </is>
      </c>
      <c r="C408" s="5" t="n"/>
    </row>
    <row r="409">
      <c r="A409" s="5" t="inlineStr">
        <is>
          <t>Q2 Calculating &amp; interpreting PMCC</t>
        </is>
      </c>
      <c r="B409" s="5" t="inlineStr">
        <is>
          <t>Revise calculating r from summary statistics Sxx, Syy and Sxy, interpreting its value in context, and why a strong value of r alone cannot prove causation — see Mini Test 7.1 Q2 mark scheme.</t>
        </is>
      </c>
      <c r="C409" s="5" t="n"/>
    </row>
    <row r="410">
      <c r="A410" s="5" t="inlineStr">
        <is>
          <t>Q3 Correlation vs causation</t>
        </is>
      </c>
      <c r="B410" s="5" t="inlineStr">
        <is>
          <t>Revise why correlation does not imply causation, and how to suggest and explain a confounding variable that could account for a correlation between two variables — see Mini Test 7.1 Q3 mark scheme.</t>
        </is>
      </c>
      <c r="C410" s="5" t="n"/>
    </row>
    <row r="411">
      <c r="A411" s="5" t="inlineStr">
        <is>
          <t>Q4 Comparing PMCC values</t>
        </is>
      </c>
      <c r="B411" s="5" t="inlineStr">
        <is>
          <t>Revise comparing product moment correlation coefficients to judge strength and direction, and why a value of r close to 0 doesn't rule out a non-linear relationship — see Mini Test 7.1 Q4 mark scheme.</t>
        </is>
      </c>
      <c r="C411" s="5" t="n"/>
    </row>
    <row r="412">
      <c r="A412" s="5" t="n"/>
      <c r="B412" s="5" t="n"/>
      <c r="C412" s="5" t="n"/>
    </row>
    <row r="413">
      <c r="A413" s="7" t="inlineStr">
        <is>
          <t>Overall RAG thresholds (based on % of 22 marks)</t>
        </is>
      </c>
      <c r="B413" s="5" t="n"/>
      <c r="C413" s="5" t="n"/>
    </row>
    <row r="414">
      <c r="A414" s="8" t="inlineStr">
        <is>
          <t>Band</t>
        </is>
      </c>
      <c r="B414" s="8" t="inlineStr">
        <is>
          <t>Range</t>
        </is>
      </c>
      <c r="C414" s="8" t="inlineStr">
        <is>
          <t>Feedback</t>
        </is>
      </c>
    </row>
    <row r="415">
      <c r="A415" s="5" t="inlineStr">
        <is>
          <t>Red</t>
        </is>
      </c>
      <c r="B415" s="5" t="inlineStr">
        <is>
          <t>0-49%</t>
        </is>
      </c>
      <c r="C415" s="5" t="inlineStr">
        <is>
          <t>This topic needs more work — go back over the Correlation and regression materials on the site and use the revision booklet for extra practice. Come and see me if you need help.</t>
        </is>
      </c>
    </row>
    <row r="416">
      <c r="A416" s="5" t="inlineStr">
        <is>
          <t>Yellow</t>
        </is>
      </c>
      <c r="B416" s="5" t="inlineStr">
        <is>
          <t>50-79%</t>
        </is>
      </c>
      <c r="C416" s="5" t="inlineStr">
        <is>
          <t>A generally good understanding, but a few gaps remain — recap the topic(s) listed below.</t>
        </is>
      </c>
    </row>
    <row r="417">
      <c r="A417" s="5" t="inlineStr">
        <is>
          <t>Green</t>
        </is>
      </c>
      <c r="B417" s="5" t="inlineStr">
        <is>
          <t>80-100%</t>
        </is>
      </c>
      <c r="C417" s="5" t="inlineStr">
        <is>
          <t>A strong understanding of this topic. Correct any errors, then move on to Mini Test 7.2.</t>
        </is>
      </c>
    </row>
    <row r="418">
      <c r="A418" s="5" t="n"/>
      <c r="B418" s="5" t="n"/>
      <c r="C418" s="5" t="n"/>
    </row>
    <row r="419">
      <c r="A419" s="6" t="inlineStr">
        <is>
          <t>Parameters — Mini Test 7.2 — Correlation and Regression</t>
        </is>
      </c>
      <c r="B419" s="5" t="n"/>
      <c r="C419" s="5" t="n"/>
    </row>
    <row r="420">
      <c r="A420" s="5" t="n"/>
      <c r="B420" s="5" t="n"/>
      <c r="C420" s="5" t="n"/>
    </row>
    <row r="421">
      <c r="A421" s="7" t="inlineStr">
        <is>
          <t>Skill mapping (used by the 'Focus for next steps' column)</t>
        </is>
      </c>
      <c r="B421" s="5" t="n"/>
      <c r="C421" s="5" t="n"/>
    </row>
    <row r="422">
      <c r="A422" s="8" t="inlineStr">
        <is>
          <t>Question</t>
        </is>
      </c>
      <c r="B422" s="8" t="inlineStr">
        <is>
          <t>Skill / next step if this is the weakest area</t>
        </is>
      </c>
      <c r="C422" s="5" t="n"/>
    </row>
    <row r="423">
      <c r="A423" s="5" t="inlineStr">
        <is>
          <t>Q1 Mean point &amp; line of best fit</t>
        </is>
      </c>
      <c r="B423" s="5" t="inlineStr">
        <is>
          <t>Revise identifying the mean point on a scatter graph, reading estimates from a line of best fit, and why extrapolating far beyond the data would be inappropriate — see Mini Test 7.2 Q1 mark scheme.</t>
        </is>
      </c>
      <c r="C423" s="5" t="n"/>
    </row>
    <row r="424">
      <c r="A424" s="5" t="inlineStr">
        <is>
          <t>Q2 Finding the regression equation</t>
        </is>
      </c>
      <c r="B424" s="5" t="inlineStr">
        <is>
          <t>Revise calculating the gradient and intercept of a regression line from summary statistics, interpreting the gradient in context, and identifying when a prediction counts as interpolation — see Mini Test 7.2 Q2 mark scheme.</t>
        </is>
      </c>
      <c r="C424" s="5" t="n"/>
    </row>
    <row r="425">
      <c r="A425" s="5" t="inlineStr">
        <is>
          <t>Q3 Problems with extrapolation</t>
        </is>
      </c>
      <c r="B425" s="5" t="inlineStr">
        <is>
          <t>Revise why predictions made well outside the range of the original data should be treated with caution, and how a company could improve the reliability of predictions for extreme values — see Mini Test 7.2 Q3 mark scheme.</t>
        </is>
      </c>
      <c r="C425" s="5" t="n"/>
    </row>
    <row r="426">
      <c r="A426" s="5" t="inlineStr">
        <is>
          <t>Q4 Interpreting &amp; comparing regression lines</t>
        </is>
      </c>
      <c r="B426" s="5" t="inlineStr">
        <is>
          <t>Revise interpreting the intercept and gradient of a regression equation in context, and using two regression equations to compare predictions — see Mini Test 7.2 Q4 mark scheme.</t>
        </is>
      </c>
      <c r="C426" s="5" t="n"/>
    </row>
    <row r="427">
      <c r="A427" s="5" t="n"/>
      <c r="B427" s="5" t="n"/>
      <c r="C427" s="5" t="n"/>
    </row>
    <row r="428">
      <c r="A428" s="7" t="inlineStr">
        <is>
          <t>Overall RAG thresholds (based on % of 22 marks)</t>
        </is>
      </c>
      <c r="B428" s="5" t="n"/>
      <c r="C428" s="5" t="n"/>
    </row>
    <row r="429">
      <c r="A429" s="8" t="inlineStr">
        <is>
          <t>Band</t>
        </is>
      </c>
      <c r="B429" s="8" t="inlineStr">
        <is>
          <t>Range</t>
        </is>
      </c>
      <c r="C429" s="8" t="inlineStr">
        <is>
          <t>Feedback</t>
        </is>
      </c>
    </row>
    <row r="430">
      <c r="A430" s="5" t="inlineStr">
        <is>
          <t>Red</t>
        </is>
      </c>
      <c r="B430" s="5" t="inlineStr">
        <is>
          <t>0-49%</t>
        </is>
      </c>
      <c r="C430" s="5" t="inlineStr">
        <is>
          <t>This topic needs more work — go back over the Correlation and regression materials on the site and use the revision booklet for extra practice. Come and see me if you need help.</t>
        </is>
      </c>
    </row>
    <row r="431">
      <c r="A431" s="5" t="inlineStr">
        <is>
          <t>Yellow</t>
        </is>
      </c>
      <c r="B431" s="5" t="inlineStr">
        <is>
          <t>50-79%</t>
        </is>
      </c>
      <c r="C431" s="5" t="inlineStr">
        <is>
          <t>A generally good understanding, but a few gaps remain — recap the topic(s) listed below.</t>
        </is>
      </c>
    </row>
    <row r="432">
      <c r="A432" s="5" t="inlineStr">
        <is>
          <t>Green</t>
        </is>
      </c>
      <c r="B432" s="5" t="inlineStr">
        <is>
          <t>80-100%</t>
        </is>
      </c>
      <c r="C432" s="5" t="inlineStr">
        <is>
          <t>A strong understanding of this topic. Correct any errors, then move on to the Chapter 7 End of Topic Test.</t>
        </is>
      </c>
    </row>
    <row r="433">
      <c r="A433" s="5" t="n"/>
      <c r="B433" s="5" t="n"/>
      <c r="C433" s="5" t="n"/>
    </row>
    <row r="434">
      <c r="A434" s="6" t="inlineStr">
        <is>
          <t>Parameters — Chapter 7 End of Topic Test — Correlation and Regression</t>
        </is>
      </c>
      <c r="B434" s="5" t="n"/>
      <c r="C434" s="5" t="n"/>
    </row>
    <row r="435">
      <c r="A435" s="5" t="n"/>
      <c r="B435" s="5" t="n"/>
      <c r="C435" s="5" t="n"/>
    </row>
    <row r="436">
      <c r="A436" s="7" t="inlineStr">
        <is>
          <t>Skill mapping (used by the 'Focus for next steps' column)</t>
        </is>
      </c>
      <c r="B436" s="5" t="n"/>
      <c r="C436" s="5" t="n"/>
    </row>
    <row r="437">
      <c r="A437" s="8" t="inlineStr">
        <is>
          <t>Question</t>
        </is>
      </c>
      <c r="B437" s="8" t="inlineStr">
        <is>
          <t>Skill / next step if this is the weakest area</t>
        </is>
      </c>
      <c r="C437" s="5" t="n"/>
    </row>
    <row r="438">
      <c r="A438" s="5" t="inlineStr">
        <is>
          <t>Q1 Scatter, PMCC &amp; regression prediction</t>
        </is>
      </c>
      <c r="B438" s="5" t="inlineStr">
        <is>
          <t>Revise the full process from a scatter graph: describing direction and strength of correlation, calculating and interpreting r, finding a regression equation, using it to predict within the data range, and explaining why real data doesn't fit a line perfectly — see End of Topic Test 1 Q1 mark scheme.</t>
        </is>
      </c>
      <c r="C438" s="5" t="n"/>
    </row>
    <row r="439">
      <c r="A439" s="5" t="inlineStr">
        <is>
          <t>Q2 Scatter graphs &amp; comparing PMCC values</t>
        </is>
      </c>
      <c r="B439" s="5" t="inlineStr">
        <is>
          <t>Revise plotting several scatter graphs, calculating and comparing multiple PMCC values, using those results as statistical evidence in an argument, and the limits of correlation as a measure of fairness/agreement — see End of Topic Test 1 Q2 mark scheme.</t>
        </is>
      </c>
      <c r="C439" s="5" t="n"/>
    </row>
    <row r="440">
      <c r="A440" s="5" t="inlineStr">
        <is>
          <t>Q3 Outliers, PMCC &amp; regression</t>
        </is>
      </c>
      <c r="B440" s="5" t="inlineStr">
        <is>
          <t>Revise how one extreme outlier can distort both the PMCC and the fitted regression line, making a relationship look stronger than it really is, and why predictions from a model dominated by an outlier need extra caution — see End of Topic Test 1 Q3 mark scheme.</t>
        </is>
      </c>
      <c r="C440" s="5" t="n"/>
    </row>
    <row r="441">
      <c r="A441" s="5" t="inlineStr">
        <is>
          <t>Q4 Interpreting regression lines &amp; residuals</t>
        </is>
      </c>
      <c r="B441" s="5" t="inlineStr">
        <is>
          <t>Revise interpreting and comparing the intercept and gradient of two regression equations, calculating a residual to see how well a model fits an individual result, and suggesting reasons why two models might differ — see End of Topic Test 1 Q4 mark scheme.</t>
        </is>
      </c>
      <c r="C441" s="5" t="n"/>
    </row>
    <row r="442">
      <c r="A442" s="5" t="inlineStr">
        <is>
          <t>Q5 Extrapolation &amp; model limitations</t>
        </is>
      </c>
      <c r="B442" s="5" t="inlineStr">
        <is>
          <t>Revise the dangers of extrapolating a regression equation well beyond the sampled range, and identifying limitations of a simple one-predictor linear model along with ways it could be improved — see End of Topic Test 1 Q5 mark scheme.</t>
        </is>
      </c>
      <c r="C442" s="5" t="n"/>
    </row>
    <row r="443">
      <c r="A443" s="5" t="n"/>
      <c r="B443" s="5" t="n"/>
      <c r="C443" s="5" t="n"/>
    </row>
    <row r="444">
      <c r="A444" s="7" t="inlineStr">
        <is>
          <t>Overall RAG thresholds (based on % of 92 marks)</t>
        </is>
      </c>
      <c r="B444" s="5" t="n"/>
      <c r="C444" s="5" t="n"/>
    </row>
    <row r="445">
      <c r="A445" s="8" t="inlineStr">
        <is>
          <t>Band</t>
        </is>
      </c>
      <c r="B445" s="8" t="inlineStr">
        <is>
          <t>Range</t>
        </is>
      </c>
      <c r="C445" s="8" t="inlineStr">
        <is>
          <t>Feedback</t>
        </is>
      </c>
    </row>
    <row r="446">
      <c r="A446" s="5" t="inlineStr">
        <is>
          <t>Red</t>
        </is>
      </c>
      <c r="B446" s="5" t="inlineStr">
        <is>
          <t>0-49%</t>
        </is>
      </c>
      <c r="C446" s="5" t="inlineStr">
        <is>
          <t>This topic needs more work — go back over the Correlation and regression materials on the site and use the revision booklet for extra practice. Come and see me if you need help.</t>
        </is>
      </c>
    </row>
    <row r="447">
      <c r="A447" s="5" t="inlineStr">
        <is>
          <t>Yellow</t>
        </is>
      </c>
      <c r="B447" s="5" t="inlineStr">
        <is>
          <t>50-79%</t>
        </is>
      </c>
      <c r="C447" s="5" t="inlineStr">
        <is>
          <t>A generally good understanding, but a few gaps remain — recap the topic(s) listed below.</t>
        </is>
      </c>
    </row>
    <row r="448">
      <c r="A448" s="5" t="inlineStr">
        <is>
          <t>Green</t>
        </is>
      </c>
      <c r="B448" s="5" t="inlineStr">
        <is>
          <t>80-100%</t>
        </is>
      </c>
      <c r="C448" s="5" t="inlineStr">
        <is>
          <t>A strong understanding of this topic. Correct any errors, then move on to Chapter 7 End of Topic Test 2.</t>
        </is>
      </c>
    </row>
    <row r="449">
      <c r="A449" s="5" t="n"/>
      <c r="B449" s="5" t="n"/>
      <c r="C449" s="5" t="n"/>
    </row>
    <row r="450">
      <c r="A450" s="6" t="inlineStr">
        <is>
          <t>Parameters — Chapter 7 End of Topic Test 2 — Correlation and Regression</t>
        </is>
      </c>
      <c r="B450" s="5" t="n"/>
      <c r="C450" s="5" t="n"/>
    </row>
    <row r="451">
      <c r="A451" s="5" t="n"/>
      <c r="B451" s="5" t="n"/>
      <c r="C451" s="5" t="n"/>
    </row>
    <row r="452">
      <c r="A452" s="7" t="inlineStr">
        <is>
          <t>Skill mapping (used by the 'Focus for next steps' column)</t>
        </is>
      </c>
      <c r="B452" s="5" t="n"/>
      <c r="C452" s="5" t="n"/>
    </row>
    <row r="453">
      <c r="A453" s="8" t="inlineStr">
        <is>
          <t>Question</t>
        </is>
      </c>
      <c r="B453" s="8" t="inlineStr">
        <is>
          <t>Skill / next step if this is the weakest area</t>
        </is>
      </c>
      <c r="C453" s="5" t="n"/>
    </row>
    <row r="454">
      <c r="A454" s="5" t="inlineStr">
        <is>
          <t>Q1 Scatter, PMCC &amp; regression prediction</t>
        </is>
      </c>
      <c r="B454" s="5" t="inlineStr">
        <is>
          <t>Revise describing correlation from a scatter graph, calculating and interpreting r, finding a regression equation, predicting within the data range (interpolation), and explaining why real data doesn't fit a line perfectly — see End of Topic Test 2 Q1 mark scheme.</t>
        </is>
      </c>
      <c r="C454" s="5" t="n"/>
    </row>
    <row r="455">
      <c r="A455" s="5" t="inlineStr">
        <is>
          <t>Q2 Correlation vs causation</t>
        </is>
      </c>
      <c r="B455" s="5" t="inlineStr">
        <is>
          <t>Revise describing and comparing the strength of two correlations, and why a strong correlation does not prove causation — including suggesting a confounding variable or reverse-causation explanation, and how a study could be redesigned to test for causation — see End of Topic Test 2 Q2 mark scheme.</t>
        </is>
      </c>
      <c r="C455" s="5" t="n"/>
    </row>
    <row r="456">
      <c r="A456" s="5" t="inlineStr">
        <is>
          <t>Q3 Interpreting &amp; comparing regression lines</t>
        </is>
      </c>
      <c r="B456" s="5" t="inlineStr">
        <is>
          <t>Revise interpreting and comparing the intercept and gradient of two regression equations, calculating a residual to judge how well each model fits a result, and suggesting reasons the two models might differ — see End of Topic Test 2 Q3 mark scheme.</t>
        </is>
      </c>
      <c r="C456" s="5" t="n"/>
    </row>
    <row r="457">
      <c r="A457" s="5" t="inlineStr">
        <is>
          <t>Q4 Outliers, extrapolation &amp; causation</t>
        </is>
      </c>
      <c r="B457" s="5" t="inlineStr">
        <is>
          <t>Revise how an outlier can inflate the PMCC and pull a regression line towards it, why predicting far beyond the sampled range is unreliable, and why a strong correlation still doesn't prove causation — see End of Topic Test 2 Q4 mark scheme.</t>
        </is>
      </c>
      <c r="C457" s="5" t="n"/>
    </row>
    <row r="458">
      <c r="A458" s="5" t="n"/>
      <c r="B458" s="5" t="n"/>
      <c r="C458" s="5" t="n"/>
    </row>
    <row r="459">
      <c r="A459" s="7" t="inlineStr">
        <is>
          <t>Overall RAG thresholds (based on % of 58 marks)</t>
        </is>
      </c>
      <c r="B459" s="5" t="n"/>
      <c r="C459" s="5" t="n"/>
    </row>
    <row r="460">
      <c r="A460" s="8" t="inlineStr">
        <is>
          <t>Band</t>
        </is>
      </c>
      <c r="B460" s="8" t="inlineStr">
        <is>
          <t>Range</t>
        </is>
      </c>
      <c r="C460" s="8" t="inlineStr">
        <is>
          <t>Feedback</t>
        </is>
      </c>
    </row>
    <row r="461">
      <c r="A461" s="5" t="inlineStr">
        <is>
          <t>Red</t>
        </is>
      </c>
      <c r="B461" s="5" t="inlineStr">
        <is>
          <t>0-49%</t>
        </is>
      </c>
      <c r="C461" s="5" t="inlineStr">
        <is>
          <t>This topic needs more work — go back over the Correlation and regression materials on the site and use the revision booklet for extra practice. Come and see me if you need help.</t>
        </is>
      </c>
    </row>
    <row r="462">
      <c r="A462" s="5" t="inlineStr">
        <is>
          <t>Yellow</t>
        </is>
      </c>
      <c r="B462" s="5" t="inlineStr">
        <is>
          <t>50-79%</t>
        </is>
      </c>
      <c r="C462" s="5" t="inlineStr">
        <is>
          <t>A generally good understanding, but a few gaps remain — recap the topic(s) listed below.</t>
        </is>
      </c>
    </row>
    <row r="463">
      <c r="A463" s="5" t="inlineStr">
        <is>
          <t>Green</t>
        </is>
      </c>
      <c r="B463" s="5" t="inlineStr">
        <is>
          <t>80-100%</t>
        </is>
      </c>
      <c r="C463" s="5" t="inlineStr">
        <is>
          <t>A strong understanding of this topic. Correct any errors, then move on to the mock exams.</t>
        </is>
      </c>
    </row>
    <row r="464">
      <c r="A464" s="5" t="n"/>
      <c r="B464" s="5" t="n"/>
      <c r="C464" s="5" t="n"/>
    </row>
    <row r="465">
      <c r="A465" s="6" t="inlineStr">
        <is>
          <t>Parameters — Mock Exam 1 — Paper 1</t>
        </is>
      </c>
      <c r="B465" s="5" t="n"/>
      <c r="C465" s="5" t="n"/>
    </row>
    <row r="466">
      <c r="A466" s="5" t="n"/>
      <c r="B466" s="5" t="n"/>
      <c r="C466" s="5" t="n"/>
    </row>
    <row r="467">
      <c r="A467" s="7" t="inlineStr">
        <is>
          <t>Skill mapping (used by the 'Focus for next steps' column)</t>
        </is>
      </c>
      <c r="B467" s="5" t="n"/>
      <c r="C467" s="5" t="n"/>
    </row>
    <row r="468">
      <c r="A468" s="8" t="inlineStr">
        <is>
          <t>Question</t>
        </is>
      </c>
      <c r="B468" s="8" t="inlineStr">
        <is>
          <t>Skill / next step if this is the weakest area</t>
        </is>
      </c>
      <c r="C468" s="5" t="n"/>
    </row>
    <row r="469">
      <c r="A469" s="5" t="inlineStr">
        <is>
          <t>Q1 Classifying data types</t>
        </is>
      </c>
      <c r="B469" s="5" t="inlineStr">
        <is>
          <t>Revise the difference between qualitative and quantitative data, and terms like discrete, raw and secondary — see Mock 1 Paper 1 Q1 mark scheme.</t>
        </is>
      </c>
      <c r="C469" s="5" t="n"/>
    </row>
    <row r="470">
      <c r="A470" s="5" t="inlineStr">
        <is>
          <t>Q2 Stratified sampling calculations</t>
        </is>
      </c>
      <c r="B470" s="5" t="inlineStr">
        <is>
          <t>Revise calculating stratified sample sizes from group totals and explaining why stratified sampling is appropriate — see Mock 1 Paper 1 Q2 mark scheme.</t>
        </is>
      </c>
      <c r="C470" s="5" t="n"/>
    </row>
    <row r="471">
      <c r="A471" s="5" t="inlineStr">
        <is>
          <t>Q3 Reading graphs and percentage change</t>
        </is>
      </c>
      <c r="B471" s="5" t="inlineStr">
        <is>
          <t>Revise reading values from a graph, extrapolating a trend, and calculating a percentage change — see Mock 1 Paper 1 Q3 mark scheme.</t>
        </is>
      </c>
      <c r="C471" s="5" t="n"/>
    </row>
    <row r="472">
      <c r="A472" s="5" t="inlineStr">
        <is>
          <t>Q4 Fermi estimation</t>
        </is>
      </c>
      <c r="B472" s="5" t="inlineStr">
        <is>
          <t>Revise making sensible assumptions and combining them to produce a Fermi-style estimate, with an answer to appropriate accuracy — see Mock 1 Paper 1 Q4 mark scheme.</t>
        </is>
      </c>
      <c r="C472" s="5" t="n"/>
    </row>
    <row r="473">
      <c r="A473" s="5" t="inlineStr">
        <is>
          <t>Q5 Compound percentage decrease</t>
        </is>
      </c>
      <c r="B473" s="5" t="inlineStr">
        <is>
          <t>Revise applying a compound percentage decrease over several years and stating the assumptions behind the model — see Mock 1 Paper 1 Q5 mark scheme.</t>
        </is>
      </c>
      <c r="C473" s="5" t="n"/>
    </row>
    <row r="474">
      <c r="A474" s="5" t="inlineStr">
        <is>
          <t>Q6 Comparing averages and spread</t>
        </is>
      </c>
      <c r="B474" s="5" t="inlineStr">
        <is>
          <t>Revise choosing and comparing an appropriate measure of average and spread between two data sets — see Mock 1 Paper 1 Q6 mark scheme.</t>
        </is>
      </c>
      <c r="C474" s="5" t="n"/>
    </row>
    <row r="475">
      <c r="A475" s="5" t="inlineStr">
        <is>
          <t>Q7 Modelling yield with assumptions</t>
        </is>
      </c>
      <c r="B475" s="5" t="inlineStr">
        <is>
          <t>Revise substituting sensible assumed values into a given formula to produce an estimate, rearranging the formula, and explaining how an assumption affects the answer — see Mock 1 Paper 1 Q7 mark scheme.</t>
        </is>
      </c>
      <c r="C475" s="5" t="n"/>
    </row>
    <row r="476">
      <c r="A476" s="5" t="inlineStr">
        <is>
          <t>Q8 Income tax and National Insurance</t>
        </is>
      </c>
      <c r="B476" s="5" t="inlineStr">
        <is>
          <t>Revise calculating personal allowance, income tax across bands, and National Insurance to find net income — see Mock 1 Paper 1 Q8 mark scheme.</t>
        </is>
      </c>
      <c r="C476" s="5" t="n"/>
    </row>
    <row r="477">
      <c r="A477" s="5" t="inlineStr">
        <is>
          <t>Q9 Cumulative frequency graph and estimate</t>
        </is>
      </c>
      <c r="B477" s="5" t="inlineStr">
        <is>
          <t>Revise drawing a cumulative frequency graph from grouped data and using it to estimate a proportion — see Mock 1 Paper 1 Q9 mark scheme.</t>
        </is>
      </c>
      <c r="C477" s="5" t="n"/>
    </row>
    <row r="478">
      <c r="A478" s="5" t="inlineStr">
        <is>
          <t>Q10 Annual Equivalent Rate</t>
        </is>
      </c>
      <c r="B478" s="5" t="inlineStr">
        <is>
          <t>Revise calculating a monthly interest rate from account data and converting it to an Annual Equivalent Rate — see Mock 1 Paper 1 Q10 mark scheme.</t>
        </is>
      </c>
      <c r="C478" s="5" t="n"/>
    </row>
    <row r="479">
      <c r="A479" s="5" t="n"/>
      <c r="B479" s="5" t="n"/>
      <c r="C479" s="5" t="n"/>
    </row>
    <row r="480">
      <c r="A480" s="7" t="inlineStr">
        <is>
          <t>Overall RAG thresholds (based on % of 61 marks)</t>
        </is>
      </c>
      <c r="B480" s="5" t="n"/>
      <c r="C480" s="5" t="n"/>
    </row>
    <row r="481">
      <c r="A481" s="8" t="inlineStr">
        <is>
          <t>Band</t>
        </is>
      </c>
      <c r="B481" s="8" t="inlineStr">
        <is>
          <t>Range</t>
        </is>
      </c>
      <c r="C481" s="8" t="inlineStr">
        <is>
          <t>Feedback</t>
        </is>
      </c>
    </row>
    <row r="482">
      <c r="A482" s="5" t="inlineStr">
        <is>
          <t>Red</t>
        </is>
      </c>
      <c r="B482" s="5" t="inlineStr">
        <is>
          <t>0-49%</t>
        </is>
      </c>
      <c r="C482" s="5" t="inlineStr">
        <is>
          <t>This topic needs more work — go back over the Paper 1 (Chapters 1-3) materials on the site and use the revision booklet for extra practice. Come and see me if you need help.</t>
        </is>
      </c>
    </row>
    <row r="483">
      <c r="A483" s="5" t="inlineStr">
        <is>
          <t>Yellow</t>
        </is>
      </c>
      <c r="B483" s="5" t="inlineStr">
        <is>
          <t>50-79%</t>
        </is>
      </c>
      <c r="C483" s="5" t="inlineStr">
        <is>
          <t>A generally good understanding, but a few gaps remain — recap the topic(s) listed below.</t>
        </is>
      </c>
    </row>
    <row r="484">
      <c r="A484" s="5" t="inlineStr">
        <is>
          <t>Green</t>
        </is>
      </c>
      <c r="B484" s="5" t="inlineStr">
        <is>
          <t>80-100%</t>
        </is>
      </c>
      <c r="C484" s="5" t="inlineStr">
        <is>
          <t>A strong understanding of this topic. Correct any errors, then move on to Mock 1 Paper 2A.</t>
        </is>
      </c>
    </row>
    <row r="485">
      <c r="A485" s="5" t="n"/>
      <c r="B485" s="5" t="n"/>
      <c r="C485" s="5" t="n"/>
    </row>
    <row r="486">
      <c r="A486" s="6" t="inlineStr">
        <is>
          <t>Parameters — Mock Exam 1 — Paper 2A</t>
        </is>
      </c>
      <c r="B486" s="5" t="n"/>
      <c r="C486" s="5" t="n"/>
    </row>
    <row r="487">
      <c r="A487" s="5" t="n"/>
      <c r="B487" s="5" t="n"/>
      <c r="C487" s="5" t="n"/>
    </row>
    <row r="488">
      <c r="A488" s="7" t="inlineStr">
        <is>
          <t>Skill mapping (used by the 'Focus for next steps' column)</t>
        </is>
      </c>
      <c r="B488" s="5" t="n"/>
      <c r="C488" s="5" t="n"/>
    </row>
    <row r="489">
      <c r="A489" s="8" t="inlineStr">
        <is>
          <t>Question</t>
        </is>
      </c>
      <c r="B489" s="8" t="inlineStr">
        <is>
          <t>Skill / next step if this is the weakest area</t>
        </is>
      </c>
      <c r="C489" s="5" t="n"/>
    </row>
    <row r="490">
      <c r="A490" s="5" t="inlineStr">
        <is>
          <t>Q1 Ratios and percentage constraints</t>
        </is>
      </c>
      <c r="B490" s="5" t="inlineStr">
        <is>
          <t>Revise simplifying ratios, applying multi-part formulae to check a requirement, and satisfying a percentage constraint when optimising a plan — see Mock 1 Paper 2A Q1 mark scheme.</t>
        </is>
      </c>
      <c r="C490" s="5" t="n"/>
    </row>
    <row r="491">
      <c r="A491" s="5" t="inlineStr">
        <is>
          <t>Q2 Critical analysis of claims and data</t>
        </is>
      </c>
      <c r="B491" s="5" t="inlineStr">
        <is>
          <t>Revise critically evaluating claims made in the media using given data, including checking ratios, percentages and choosing an appropriate (weighted) average — see Mock 1 Paper 2A Q2 mark scheme.</t>
        </is>
      </c>
      <c r="C491" s="5" t="n"/>
    </row>
    <row r="492">
      <c r="A492" s="5" t="inlineStr">
        <is>
          <t>Q3 Standard normal distribution notation</t>
        </is>
      </c>
      <c r="B492" s="5" t="inlineStr">
        <is>
          <t>Revise the mean and standard deviation of the standardised normal distribution — see Mock 1 Paper 2A Q3 mark scheme.</t>
        </is>
      </c>
      <c r="C492" s="5" t="n"/>
    </row>
    <row r="493">
      <c r="A493" s="5" t="inlineStr">
        <is>
          <t>Q4 Confidence interval for a mean</t>
        </is>
      </c>
      <c r="B493" s="5" t="inlineStr">
        <is>
          <t>Revise finding the correct critical z-value, calculating a confidence interval for a population mean, and using it to comment on a claim — see Mock 1 Paper 2A Q4 mark scheme.</t>
        </is>
      </c>
      <c r="C493" s="5" t="n"/>
    </row>
    <row r="494">
      <c r="A494" s="5" t="inlineStr">
        <is>
          <t>Q5 Point estimates and sample size</t>
        </is>
      </c>
      <c r="B494" s="5" t="inlineStr">
        <is>
          <t>Revise using random numbers to select a sample, combining point estimates from several samples, and how sample size affects reliability — see Mock 1 Paper 2A Q5 mark scheme.</t>
        </is>
      </c>
      <c r="C494" s="5" t="n"/>
    </row>
    <row r="495">
      <c r="A495" s="5" t="inlineStr">
        <is>
          <t>Q6 Correlation and PMCC</t>
        </is>
      </c>
      <c r="B495" s="5" t="inlineStr">
        <is>
          <t>Revise the values of the PMCC for perfect correlation and using PMCC to describe the type and strength of a correlation — see Mock 1 Paper 2A Q6 mark scheme.</t>
        </is>
      </c>
      <c r="C495" s="5" t="n"/>
    </row>
    <row r="496">
      <c r="A496" s="5" t="inlineStr">
        <is>
          <t>Q7 Normal distribution probabilities</t>
        </is>
      </c>
      <c r="B496" s="5" t="inlineStr">
        <is>
          <t>Revise writing a normal distribution in notation form and using the calculator or tables to find probabilities and values from a given percentage — see Mock 1 Paper 2A Q7 mark scheme.</t>
        </is>
      </c>
      <c r="C496" s="5" t="n"/>
    </row>
    <row r="497">
      <c r="A497" s="5" t="inlineStr">
        <is>
          <t>Q8 Regression line and interpolation</t>
        </is>
      </c>
      <c r="B497" s="5" t="inlineStr">
        <is>
          <t>Revise identifying an outlier, calculating a regression line, using it to estimate missing values, and applying the results to a real context — see Mock 1 Paper 2A Q8 mark scheme.</t>
        </is>
      </c>
      <c r="C497" s="5" t="n"/>
    </row>
    <row r="498">
      <c r="A498" s="5" t="n"/>
      <c r="B498" s="5" t="n"/>
      <c r="C498" s="5" t="n"/>
    </row>
    <row r="499">
      <c r="A499" s="7" t="inlineStr">
        <is>
          <t>Overall RAG thresholds (based on % of 60 marks)</t>
        </is>
      </c>
      <c r="B499" s="5" t="n"/>
      <c r="C499" s="5" t="n"/>
    </row>
    <row r="500">
      <c r="A500" s="8" t="inlineStr">
        <is>
          <t>Band</t>
        </is>
      </c>
      <c r="B500" s="8" t="inlineStr">
        <is>
          <t>Range</t>
        </is>
      </c>
      <c r="C500" s="8" t="inlineStr">
        <is>
          <t>Feedback</t>
        </is>
      </c>
    </row>
    <row r="501">
      <c r="A501" s="5" t="inlineStr">
        <is>
          <t>Red</t>
        </is>
      </c>
      <c r="B501" s="5" t="inlineStr">
        <is>
          <t>0-49%</t>
        </is>
      </c>
      <c r="C501" s="5" t="inlineStr">
        <is>
          <t>This topic needs more work — go back over the Paper 2A (Chapters 4-7) materials on the site and use the revision booklet for extra practice. Come and see me if you need help.</t>
        </is>
      </c>
    </row>
    <row r="502">
      <c r="A502" s="5" t="inlineStr">
        <is>
          <t>Yellow</t>
        </is>
      </c>
      <c r="B502" s="5" t="inlineStr">
        <is>
          <t>50-79%</t>
        </is>
      </c>
      <c r="C502" s="5" t="inlineStr">
        <is>
          <t>A generally good understanding, but a few gaps remain — recap the topic(s) listed below.</t>
        </is>
      </c>
    </row>
    <row r="503">
      <c r="A503" s="5" t="inlineStr">
        <is>
          <t>Green</t>
        </is>
      </c>
      <c r="B503" s="5" t="inlineStr">
        <is>
          <t>80-100%</t>
        </is>
      </c>
      <c r="C503" s="5" t="inlineStr">
        <is>
          <t>A strong understanding of this topic. Correct any errors, then move on to the real exam.</t>
        </is>
      </c>
    </row>
    <row r="504">
      <c r="A504" s="5" t="n"/>
      <c r="B504" s="5" t="n"/>
      <c r="C504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0" customWidth="1" min="4" max="4"/>
  </cols>
  <sheetData>
    <row r="1">
      <c r="A1" s="9" t="inlineStr">
        <is>
          <t>Class Roster — enter your class list here ONCE; every test sheet and the rollups below pull the name live from this list.</t>
        </is>
      </c>
    </row>
    <row r="9">
      <c r="A9" s="10" t="inlineStr">
        <is>
          <t>Student ID</t>
        </is>
      </c>
      <c r="B9" s="10" t="inlineStr">
        <is>
          <t>First name</t>
        </is>
      </c>
      <c r="C9" s="10" t="inlineStr">
        <is>
          <t>Surname</t>
        </is>
      </c>
      <c r="D9" s="10" t="inlineStr">
        <is>
          <t>Group</t>
        </is>
      </c>
    </row>
    <row r="10">
      <c r="B10" t="inlineStr">
        <is>
          <t>(example row — overwrite)</t>
        </is>
      </c>
    </row>
    <row r="11">
      <c r="A11" t="inlineStr">
        <is>
          <t>S000</t>
        </is>
      </c>
      <c r="B11" t="inlineStr">
        <is>
          <t>Example</t>
        </is>
      </c>
      <c r="C11" t="inlineStr">
        <is>
          <t>Student</t>
        </is>
      </c>
      <c r="D11" t="inlineStr">
        <is>
          <t>12A</t>
        </is>
      </c>
    </row>
    <row r="12">
      <c r="A12" t="inlineStr">
        <is>
          <t>S001</t>
        </is>
      </c>
      <c r="B12" t="inlineStr"/>
      <c r="C12" t="inlineStr"/>
      <c r="D12" t="inlineStr"/>
    </row>
    <row r="13">
      <c r="A13" t="inlineStr">
        <is>
          <t>S002</t>
        </is>
      </c>
      <c r="B13" t="inlineStr"/>
      <c r="C13" t="inlineStr"/>
      <c r="D13" t="inlineStr"/>
    </row>
    <row r="14">
      <c r="A14" t="inlineStr">
        <is>
          <t>S003</t>
        </is>
      </c>
      <c r="B14" t="inlineStr"/>
      <c r="C14" t="inlineStr"/>
      <c r="D14" t="inlineStr"/>
    </row>
    <row r="15">
      <c r="A15" t="inlineStr">
        <is>
          <t>S004</t>
        </is>
      </c>
      <c r="B15" t="inlineStr"/>
      <c r="C15" t="inlineStr"/>
      <c r="D15" t="inlineStr"/>
    </row>
    <row r="16">
      <c r="A16" t="inlineStr">
        <is>
          <t>S005</t>
        </is>
      </c>
      <c r="B16" t="inlineStr"/>
      <c r="C16" t="inlineStr"/>
      <c r="D16" t="inlineStr"/>
    </row>
    <row r="17">
      <c r="A17" t="inlineStr">
        <is>
          <t>S006</t>
        </is>
      </c>
      <c r="B17" t="inlineStr"/>
      <c r="C17" t="inlineStr"/>
      <c r="D17" t="inlineStr"/>
    </row>
    <row r="18">
      <c r="A18" t="inlineStr">
        <is>
          <t>S007</t>
        </is>
      </c>
      <c r="B18" t="inlineStr"/>
      <c r="C18" t="inlineStr"/>
      <c r="D18" t="inlineStr"/>
    </row>
    <row r="19">
      <c r="A19" t="inlineStr">
        <is>
          <t>S008</t>
        </is>
      </c>
      <c r="B19" t="inlineStr"/>
      <c r="C19" t="inlineStr"/>
      <c r="D19" t="inlineStr"/>
    </row>
    <row r="20">
      <c r="A20" t="inlineStr">
        <is>
          <t>S009</t>
        </is>
      </c>
      <c r="B20" t="inlineStr"/>
      <c r="C20" t="inlineStr"/>
      <c r="D20" t="inlineStr"/>
    </row>
    <row r="21">
      <c r="A21" t="inlineStr">
        <is>
          <t>S010</t>
        </is>
      </c>
      <c r="B21" t="inlineStr"/>
      <c r="C21" t="inlineStr"/>
      <c r="D21" t="inlineStr"/>
    </row>
    <row r="22">
      <c r="A22" t="inlineStr">
        <is>
          <t>S011</t>
        </is>
      </c>
      <c r="B22" t="inlineStr"/>
      <c r="C22" t="inlineStr"/>
      <c r="D22" t="inlineStr"/>
    </row>
    <row r="23">
      <c r="A23" t="inlineStr">
        <is>
          <t>S012</t>
        </is>
      </c>
      <c r="B23" t="inlineStr"/>
      <c r="C23" t="inlineStr"/>
      <c r="D23" t="inlineStr"/>
    </row>
    <row r="24">
      <c r="A24" t="inlineStr">
        <is>
          <t>S013</t>
        </is>
      </c>
      <c r="B24" t="inlineStr"/>
      <c r="C24" t="inlineStr"/>
      <c r="D24" t="inlineStr"/>
    </row>
    <row r="25">
      <c r="A25" t="inlineStr">
        <is>
          <t>S014</t>
        </is>
      </c>
      <c r="B25" t="inlineStr"/>
      <c r="C25" t="inlineStr"/>
      <c r="D25" t="inlineStr"/>
    </row>
    <row r="26">
      <c r="A26" t="inlineStr">
        <is>
          <t>S015</t>
        </is>
      </c>
      <c r="B26" t="inlineStr"/>
      <c r="C26" t="inlineStr"/>
      <c r="D26" t="inlineStr"/>
    </row>
    <row r="27">
      <c r="A27" t="inlineStr">
        <is>
          <t>S016</t>
        </is>
      </c>
      <c r="B27" t="inlineStr"/>
      <c r="C27" t="inlineStr"/>
      <c r="D27" t="inlineStr"/>
    </row>
    <row r="28">
      <c r="A28" t="inlineStr">
        <is>
          <t>S017</t>
        </is>
      </c>
      <c r="B28" t="inlineStr"/>
      <c r="C28" t="inlineStr"/>
      <c r="D28" t="inlineStr"/>
    </row>
    <row r="29">
      <c r="A29" t="inlineStr">
        <is>
          <t>S018</t>
        </is>
      </c>
      <c r="B29" t="inlineStr"/>
      <c r="C29" t="inlineStr"/>
      <c r="D29" t="inlineStr"/>
    </row>
    <row r="30">
      <c r="A30" t="inlineStr">
        <is>
          <t>S019</t>
        </is>
      </c>
      <c r="B30" t="inlineStr"/>
      <c r="C30" t="inlineStr"/>
      <c r="D30" t="inlineStr"/>
    </row>
    <row r="31">
      <c r="A31" t="inlineStr">
        <is>
          <t>S020</t>
        </is>
      </c>
      <c r="B31" t="inlineStr"/>
      <c r="C31" t="inlineStr"/>
      <c r="D31" t="inlineStr"/>
    </row>
    <row r="32">
      <c r="A32" t="inlineStr">
        <is>
          <t>S021</t>
        </is>
      </c>
      <c r="B32" t="inlineStr"/>
      <c r="C32" t="inlineStr"/>
      <c r="D32" t="inlineStr"/>
    </row>
    <row r="33">
      <c r="A33" t="inlineStr">
        <is>
          <t>S022</t>
        </is>
      </c>
      <c r="B33" t="inlineStr"/>
      <c r="C33" t="inlineStr"/>
      <c r="D33" t="inlineStr"/>
    </row>
    <row r="34">
      <c r="A34" t="inlineStr">
        <is>
          <t>S023</t>
        </is>
      </c>
      <c r="B34" t="inlineStr"/>
      <c r="C34" t="inlineStr"/>
      <c r="D34" t="inlineStr"/>
    </row>
    <row r="35">
      <c r="A35" t="inlineStr">
        <is>
          <t>S024</t>
        </is>
      </c>
      <c r="B35" t="inlineStr"/>
      <c r="C35" t="inlineStr"/>
      <c r="D35" t="inlineStr"/>
    </row>
    <row r="36">
      <c r="A36" t="inlineStr">
        <is>
          <t>S025</t>
        </is>
      </c>
      <c r="B36" t="inlineStr"/>
      <c r="C36" t="inlineStr"/>
      <c r="D36" t="inlineStr"/>
    </row>
    <row r="37">
      <c r="A37" t="inlineStr">
        <is>
          <t>S026</t>
        </is>
      </c>
      <c r="B37" t="inlineStr"/>
      <c r="C37" t="inlineStr"/>
      <c r="D37" t="inlineStr"/>
    </row>
    <row r="38">
      <c r="A38" t="inlineStr">
        <is>
          <t>S027</t>
        </is>
      </c>
      <c r="B38" t="inlineStr"/>
      <c r="C38" t="inlineStr"/>
      <c r="D38" t="inlineStr"/>
    </row>
    <row r="39">
      <c r="A39" t="inlineStr">
        <is>
          <t>S028</t>
        </is>
      </c>
      <c r="B39" t="inlineStr"/>
      <c r="C39" t="inlineStr"/>
      <c r="D39" t="inlineStr"/>
    </row>
    <row r="40">
      <c r="A40" t="inlineStr">
        <is>
          <t>S029</t>
        </is>
      </c>
      <c r="B40" t="inlineStr"/>
      <c r="C40" t="inlineStr"/>
      <c r="D40" t="inlineStr"/>
    </row>
    <row r="41">
      <c r="A41" t="inlineStr">
        <is>
          <t>S030</t>
        </is>
      </c>
      <c r="B41" t="inlineStr"/>
      <c r="C41" t="inlineStr"/>
      <c r="D4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0" customWidth="1" min="7" max="7"/>
    <col width="8" customWidth="1" min="8" max="8"/>
    <col width="10" customWidth="1" min="9" max="9"/>
    <col width="45" customWidth="1" min="10" max="10"/>
  </cols>
  <sheetData>
    <row r="1">
      <c r="A1" s="11" t="inlineStr">
        <is>
          <t>Mini Test 1.1 — Analysis of Data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Data types
(/4)</t>
        </is>
      </c>
      <c r="D9" s="12" t="inlineStr">
        <is>
          <t>Q2
Primary &amp; secondary data
(/4)</t>
        </is>
      </c>
      <c r="E9" s="12" t="inlineStr">
        <is>
          <t>Q3
Sampling methods
(/8)</t>
        </is>
      </c>
      <c r="F9" s="12" t="inlineStr">
        <is>
          <t>Q4
Mean, median &amp; mode
(/6)</t>
        </is>
      </c>
      <c r="G9" s="12" t="inlineStr">
        <is>
          <t>Total
(/22)</t>
        </is>
      </c>
      <c r="H9" s="12" t="inlineStr">
        <is>
          <t>%</t>
        </is>
      </c>
      <c r="I9" s="12" t="inlineStr">
        <is>
          <t>Overall</t>
        </is>
      </c>
      <c r="J9" s="12" t="inlineStr">
        <is>
          <t>Focus for next steps</t>
        </is>
      </c>
      <c r="K9" s="12" t="inlineStr">
        <is>
          <t>Q1%</t>
        </is>
      </c>
      <c r="L9" s="12" t="inlineStr">
        <is>
          <t>Q2%</t>
        </is>
      </c>
      <c r="M9" s="12" t="inlineStr">
        <is>
          <t>Q3%</t>
        </is>
      </c>
      <c r="N9" s="12" t="inlineStr">
        <is>
          <t>Q4%</t>
        </is>
      </c>
    </row>
    <row r="10">
      <c r="A10" s="3" t="n"/>
      <c r="B10" s="3" t="inlineStr">
        <is>
          <t>Max marks</t>
        </is>
      </c>
      <c r="C10" s="3" t="n">
        <v>4</v>
      </c>
      <c r="D10" s="3" t="n">
        <v>4</v>
      </c>
      <c r="E10" s="3" t="n">
        <v>8</v>
      </c>
      <c r="F10" s="3" t="n">
        <v>6</v>
      </c>
      <c r="G10" s="3" t="n">
        <v>22</v>
      </c>
      <c r="H10" s="3" t="inlineStr">
        <is>
          <t>100%</t>
        </is>
      </c>
      <c r="I10" s="3" t="n"/>
      <c r="J10" s="3" t="n"/>
      <c r="K10" s="3" t="n"/>
      <c r="L10" s="3" t="n"/>
      <c r="M10" s="3" t="n"/>
      <c r="N10" s="3" t="n"/>
    </row>
    <row r="11">
      <c r="A11" s="13" t="n">
        <v>1</v>
      </c>
      <c r="B11" s="13" t="inlineStr">
        <is>
          <t>Example pupil (edit me)</t>
        </is>
      </c>
      <c r="C11" s="13" t="n">
        <v>3</v>
      </c>
      <c r="D11" s="13" t="n">
        <v>3</v>
      </c>
      <c r="E11" s="13" t="n">
        <v>6</v>
      </c>
      <c r="F11" s="13" t="n">
        <v>5</v>
      </c>
      <c r="G11" s="13">
        <f>IF(COUNT(C11:F11)&lt;4,"",SUM(C11:F11))</f>
        <v/>
      </c>
      <c r="H11" s="13">
        <f>IF(COUNT(C11:F11)&lt;4,"",G11/22)</f>
        <v/>
      </c>
      <c r="I11" s="13">
        <f>IF(COUNT(C11:F11)&lt;4,"",IF(H11&gt;=0.8,"Green",IF(H11&gt;=0.5,"Yellow","Red")))</f>
        <v/>
      </c>
      <c r="J11" s="13">
        <f>IF(COUNT(C11:F11)&lt;4,"",IF(I11="Green","Well done! "&amp;Parameters!$C$16,"Revise: "&amp;_xlfn.TEXTJOIN(", ",TRUE(),IF(K11&lt;1,Parameters!$A$7,""),IF(L11&lt;1,Parameters!$A$8,""),IF(M11&lt;1,Parameters!$A$9,""),IF(N11&lt;1,Parameters!$A$10,""))))</f>
        <v/>
      </c>
      <c r="K11" s="13">
        <f>IF(C11="","",C11/4)</f>
        <v/>
      </c>
      <c r="L11" s="13">
        <f>IF(D11="","",D11/4)</f>
        <v/>
      </c>
      <c r="M11" s="13">
        <f>IF(E11="","",E11/8)</f>
        <v/>
      </c>
      <c r="N11" s="13">
        <f>IF(F11="","",F11/6)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3">
        <f>IF(COUNT(C12:F12)&lt;4,"",SUM(C12:F12))</f>
        <v/>
      </c>
      <c r="H12" s="13">
        <f>IF(COUNT(C12:F12)&lt;4,"",G12/22)</f>
        <v/>
      </c>
      <c r="I12" s="13">
        <f>IF(COUNT(C12:F12)&lt;4,"",IF(H12&gt;=0.8,"Green",IF(H12&gt;=0.5,"Yellow","Red")))</f>
        <v/>
      </c>
      <c r="J12" s="13">
        <f>IF(COUNT(C12:F12)&lt;4,"",IF(I12="Green","Well done! "&amp;Parameters!$C$16,"Revise: "&amp;_xlfn.TEXTJOIN(", ",TRUE(),IF(K12&lt;1,Parameters!$A$7,""),IF(L12&lt;1,Parameters!$A$8,""),IF(M12&lt;1,Parameters!$A$9,""),IF(N12&lt;1,Parameters!$A$10,""))))</f>
        <v/>
      </c>
      <c r="K12" s="13">
        <f>IF(C12="","",C12/4)</f>
        <v/>
      </c>
      <c r="L12" s="13">
        <f>IF(D12="","",D12/4)</f>
        <v/>
      </c>
      <c r="M12" s="13">
        <f>IF(E12="","",E12/8)</f>
        <v/>
      </c>
      <c r="N12" s="13">
        <f>IF(F12="","",F12/6)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3">
        <f>IF(COUNT(C13:F13)&lt;4,"",SUM(C13:F13))</f>
        <v/>
      </c>
      <c r="H13" s="13">
        <f>IF(COUNT(C13:F13)&lt;4,"",G13/22)</f>
        <v/>
      </c>
      <c r="I13" s="13">
        <f>IF(COUNT(C13:F13)&lt;4,"",IF(H13&gt;=0.8,"Green",IF(H13&gt;=0.5,"Yellow","Red")))</f>
        <v/>
      </c>
      <c r="J13" s="13">
        <f>IF(COUNT(C13:F13)&lt;4,"",IF(I13="Green","Well done! "&amp;Parameters!$C$16,"Revise: "&amp;_xlfn.TEXTJOIN(", ",TRUE(),IF(K13&lt;1,Parameters!$A$7,""),IF(L13&lt;1,Parameters!$A$8,""),IF(M13&lt;1,Parameters!$A$9,""),IF(N13&lt;1,Parameters!$A$10,""))))</f>
        <v/>
      </c>
      <c r="K13" s="13">
        <f>IF(C13="","",C13/4)</f>
        <v/>
      </c>
      <c r="L13" s="13">
        <f>IF(D13="","",D13/4)</f>
        <v/>
      </c>
      <c r="M13" s="13">
        <f>IF(E13="","",E13/8)</f>
        <v/>
      </c>
      <c r="N13" s="13">
        <f>IF(F13="","",F13/6)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3">
        <f>IF(COUNT(C14:F14)&lt;4,"",SUM(C14:F14))</f>
        <v/>
      </c>
      <c r="H14" s="13">
        <f>IF(COUNT(C14:F14)&lt;4,"",G14/22)</f>
        <v/>
      </c>
      <c r="I14" s="13">
        <f>IF(COUNT(C14:F14)&lt;4,"",IF(H14&gt;=0.8,"Green",IF(H14&gt;=0.5,"Yellow","Red")))</f>
        <v/>
      </c>
      <c r="J14" s="13">
        <f>IF(COUNT(C14:F14)&lt;4,"",IF(I14="Green","Well done! "&amp;Parameters!$C$16,"Revise: "&amp;_xlfn.TEXTJOIN(", ",TRUE(),IF(K14&lt;1,Parameters!$A$7,""),IF(L14&lt;1,Parameters!$A$8,""),IF(M14&lt;1,Parameters!$A$9,""),IF(N14&lt;1,Parameters!$A$10,""))))</f>
        <v/>
      </c>
      <c r="K14" s="13">
        <f>IF(C14="","",C14/4)</f>
        <v/>
      </c>
      <c r="L14" s="13">
        <f>IF(D14="","",D14/4)</f>
        <v/>
      </c>
      <c r="M14" s="13">
        <f>IF(E14="","",E14/8)</f>
        <v/>
      </c>
      <c r="N14" s="13">
        <f>IF(F14="","",F14/6)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3">
        <f>IF(COUNT(C15:F15)&lt;4,"",SUM(C15:F15))</f>
        <v/>
      </c>
      <c r="H15" s="13">
        <f>IF(COUNT(C15:F15)&lt;4,"",G15/22)</f>
        <v/>
      </c>
      <c r="I15" s="13">
        <f>IF(COUNT(C15:F15)&lt;4,"",IF(H15&gt;=0.8,"Green",IF(H15&gt;=0.5,"Yellow","Red")))</f>
        <v/>
      </c>
      <c r="J15" s="13">
        <f>IF(COUNT(C15:F15)&lt;4,"",IF(I15="Green","Well done! "&amp;Parameters!$C$16,"Revise: "&amp;_xlfn.TEXTJOIN(", ",TRUE(),IF(K15&lt;1,Parameters!$A$7,""),IF(L15&lt;1,Parameters!$A$8,""),IF(M15&lt;1,Parameters!$A$9,""),IF(N15&lt;1,Parameters!$A$10,""))))</f>
        <v/>
      </c>
      <c r="K15" s="13">
        <f>IF(C15="","",C15/4)</f>
        <v/>
      </c>
      <c r="L15" s="13">
        <f>IF(D15="","",D15/4)</f>
        <v/>
      </c>
      <c r="M15" s="13">
        <f>IF(E15="","",E15/8)</f>
        <v/>
      </c>
      <c r="N15" s="13">
        <f>IF(F15="","",F15/6)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3">
        <f>IF(COUNT(C16:F16)&lt;4,"",SUM(C16:F16))</f>
        <v/>
      </c>
      <c r="H16" s="13">
        <f>IF(COUNT(C16:F16)&lt;4,"",G16/22)</f>
        <v/>
      </c>
      <c r="I16" s="13">
        <f>IF(COUNT(C16:F16)&lt;4,"",IF(H16&gt;=0.8,"Green",IF(H16&gt;=0.5,"Yellow","Red")))</f>
        <v/>
      </c>
      <c r="J16" s="13">
        <f>IF(COUNT(C16:F16)&lt;4,"",IF(I16="Green","Well done! "&amp;Parameters!$C$16,"Revise: "&amp;_xlfn.TEXTJOIN(", ",TRUE(),IF(K16&lt;1,Parameters!$A$7,""),IF(L16&lt;1,Parameters!$A$8,""),IF(M16&lt;1,Parameters!$A$9,""),IF(N16&lt;1,Parameters!$A$10,""))))</f>
        <v/>
      </c>
      <c r="K16" s="13">
        <f>IF(C16="","",C16/4)</f>
        <v/>
      </c>
      <c r="L16" s="13">
        <f>IF(D16="","",D16/4)</f>
        <v/>
      </c>
      <c r="M16" s="13">
        <f>IF(E16="","",E16/8)</f>
        <v/>
      </c>
      <c r="N16" s="13">
        <f>IF(F16="","",F16/6)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3">
        <f>IF(COUNT(C17:F17)&lt;4,"",SUM(C17:F17))</f>
        <v/>
      </c>
      <c r="H17" s="13">
        <f>IF(COUNT(C17:F17)&lt;4,"",G17/22)</f>
        <v/>
      </c>
      <c r="I17" s="13">
        <f>IF(COUNT(C17:F17)&lt;4,"",IF(H17&gt;=0.8,"Green",IF(H17&gt;=0.5,"Yellow","Red")))</f>
        <v/>
      </c>
      <c r="J17" s="13">
        <f>IF(COUNT(C17:F17)&lt;4,"",IF(I17="Green","Well done! "&amp;Parameters!$C$16,"Revise: "&amp;_xlfn.TEXTJOIN(", ",TRUE(),IF(K17&lt;1,Parameters!$A$7,""),IF(L17&lt;1,Parameters!$A$8,""),IF(M17&lt;1,Parameters!$A$9,""),IF(N17&lt;1,Parameters!$A$10,""))))</f>
        <v/>
      </c>
      <c r="K17" s="13">
        <f>IF(C17="","",C17/4)</f>
        <v/>
      </c>
      <c r="L17" s="13">
        <f>IF(D17="","",D17/4)</f>
        <v/>
      </c>
      <c r="M17" s="13">
        <f>IF(E17="","",E17/8)</f>
        <v/>
      </c>
      <c r="N17" s="13">
        <f>IF(F17="","",F17/6)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3">
        <f>IF(COUNT(C18:F18)&lt;4,"",SUM(C18:F18))</f>
        <v/>
      </c>
      <c r="H18" s="13">
        <f>IF(COUNT(C18:F18)&lt;4,"",G18/22)</f>
        <v/>
      </c>
      <c r="I18" s="13">
        <f>IF(COUNT(C18:F18)&lt;4,"",IF(H18&gt;=0.8,"Green",IF(H18&gt;=0.5,"Yellow","Red")))</f>
        <v/>
      </c>
      <c r="J18" s="13">
        <f>IF(COUNT(C18:F18)&lt;4,"",IF(I18="Green","Well done! "&amp;Parameters!$C$16,"Revise: "&amp;_xlfn.TEXTJOIN(", ",TRUE(),IF(K18&lt;1,Parameters!$A$7,""),IF(L18&lt;1,Parameters!$A$8,""),IF(M18&lt;1,Parameters!$A$9,""),IF(N18&lt;1,Parameters!$A$10,""))))</f>
        <v/>
      </c>
      <c r="K18" s="13">
        <f>IF(C18="","",C18/4)</f>
        <v/>
      </c>
      <c r="L18" s="13">
        <f>IF(D18="","",D18/4)</f>
        <v/>
      </c>
      <c r="M18" s="13">
        <f>IF(E18="","",E18/8)</f>
        <v/>
      </c>
      <c r="N18" s="13">
        <f>IF(F18="","",F18/6)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3">
        <f>IF(COUNT(C19:F19)&lt;4,"",SUM(C19:F19))</f>
        <v/>
      </c>
      <c r="H19" s="13">
        <f>IF(COUNT(C19:F19)&lt;4,"",G19/22)</f>
        <v/>
      </c>
      <c r="I19" s="13">
        <f>IF(COUNT(C19:F19)&lt;4,"",IF(H19&gt;=0.8,"Green",IF(H19&gt;=0.5,"Yellow","Red")))</f>
        <v/>
      </c>
      <c r="J19" s="13">
        <f>IF(COUNT(C19:F19)&lt;4,"",IF(I19="Green","Well done! "&amp;Parameters!$C$16,"Revise: "&amp;_xlfn.TEXTJOIN(", ",TRUE(),IF(K19&lt;1,Parameters!$A$7,""),IF(L19&lt;1,Parameters!$A$8,""),IF(M19&lt;1,Parameters!$A$9,""),IF(N19&lt;1,Parameters!$A$10,""))))</f>
        <v/>
      </c>
      <c r="K19" s="13">
        <f>IF(C19="","",C19/4)</f>
        <v/>
      </c>
      <c r="L19" s="13">
        <f>IF(D19="","",D19/4)</f>
        <v/>
      </c>
      <c r="M19" s="13">
        <f>IF(E19="","",E19/8)</f>
        <v/>
      </c>
      <c r="N19" s="13">
        <f>IF(F19="","",F19/6)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3">
        <f>IF(COUNT(C20:F20)&lt;4,"",SUM(C20:F20))</f>
        <v/>
      </c>
      <c r="H20" s="13">
        <f>IF(COUNT(C20:F20)&lt;4,"",G20/22)</f>
        <v/>
      </c>
      <c r="I20" s="13">
        <f>IF(COUNT(C20:F20)&lt;4,"",IF(H20&gt;=0.8,"Green",IF(H20&gt;=0.5,"Yellow","Red")))</f>
        <v/>
      </c>
      <c r="J20" s="13">
        <f>IF(COUNT(C20:F20)&lt;4,"",IF(I20="Green","Well done! "&amp;Parameters!$C$16,"Revise: "&amp;_xlfn.TEXTJOIN(", ",TRUE(),IF(K20&lt;1,Parameters!$A$7,""),IF(L20&lt;1,Parameters!$A$8,""),IF(M20&lt;1,Parameters!$A$9,""),IF(N20&lt;1,Parameters!$A$10,""))))</f>
        <v/>
      </c>
      <c r="K20" s="13">
        <f>IF(C20="","",C20/4)</f>
        <v/>
      </c>
      <c r="L20" s="13">
        <f>IF(D20="","",D20/4)</f>
        <v/>
      </c>
      <c r="M20" s="13">
        <f>IF(E20="","",E20/8)</f>
        <v/>
      </c>
      <c r="N20" s="13">
        <f>IF(F20="","",F20/6)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3">
        <f>IF(COUNT(C21:F21)&lt;4,"",SUM(C21:F21))</f>
        <v/>
      </c>
      <c r="H21" s="13">
        <f>IF(COUNT(C21:F21)&lt;4,"",G21/22)</f>
        <v/>
      </c>
      <c r="I21" s="13">
        <f>IF(COUNT(C21:F21)&lt;4,"",IF(H21&gt;=0.8,"Green",IF(H21&gt;=0.5,"Yellow","Red")))</f>
        <v/>
      </c>
      <c r="J21" s="13">
        <f>IF(COUNT(C21:F21)&lt;4,"",IF(I21="Green","Well done! "&amp;Parameters!$C$16,"Revise: "&amp;_xlfn.TEXTJOIN(", ",TRUE(),IF(K21&lt;1,Parameters!$A$7,""),IF(L21&lt;1,Parameters!$A$8,""),IF(M21&lt;1,Parameters!$A$9,""),IF(N21&lt;1,Parameters!$A$10,""))))</f>
        <v/>
      </c>
      <c r="K21" s="13">
        <f>IF(C21="","",C21/4)</f>
        <v/>
      </c>
      <c r="L21" s="13">
        <f>IF(D21="","",D21/4)</f>
        <v/>
      </c>
      <c r="M21" s="13">
        <f>IF(E21="","",E21/8)</f>
        <v/>
      </c>
      <c r="N21" s="13">
        <f>IF(F21="","",F21/6)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3">
        <f>IF(COUNT(C22:F22)&lt;4,"",SUM(C22:F22))</f>
        <v/>
      </c>
      <c r="H22" s="13">
        <f>IF(COUNT(C22:F22)&lt;4,"",G22/22)</f>
        <v/>
      </c>
      <c r="I22" s="13">
        <f>IF(COUNT(C22:F22)&lt;4,"",IF(H22&gt;=0.8,"Green",IF(H22&gt;=0.5,"Yellow","Red")))</f>
        <v/>
      </c>
      <c r="J22" s="13">
        <f>IF(COUNT(C22:F22)&lt;4,"",IF(I22="Green","Well done! "&amp;Parameters!$C$16,"Revise: "&amp;_xlfn.TEXTJOIN(", ",TRUE(),IF(K22&lt;1,Parameters!$A$7,""),IF(L22&lt;1,Parameters!$A$8,""),IF(M22&lt;1,Parameters!$A$9,""),IF(N22&lt;1,Parameters!$A$10,""))))</f>
        <v/>
      </c>
      <c r="K22" s="13">
        <f>IF(C22="","",C22/4)</f>
        <v/>
      </c>
      <c r="L22" s="13">
        <f>IF(D22="","",D22/4)</f>
        <v/>
      </c>
      <c r="M22" s="13">
        <f>IF(E22="","",E22/8)</f>
        <v/>
      </c>
      <c r="N22" s="13">
        <f>IF(F22="","",F22/6)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3">
        <f>IF(COUNT(C23:F23)&lt;4,"",SUM(C23:F23))</f>
        <v/>
      </c>
      <c r="H23" s="13">
        <f>IF(COUNT(C23:F23)&lt;4,"",G23/22)</f>
        <v/>
      </c>
      <c r="I23" s="13">
        <f>IF(COUNT(C23:F23)&lt;4,"",IF(H23&gt;=0.8,"Green",IF(H23&gt;=0.5,"Yellow","Red")))</f>
        <v/>
      </c>
      <c r="J23" s="13">
        <f>IF(COUNT(C23:F23)&lt;4,"",IF(I23="Green","Well done! "&amp;Parameters!$C$16,"Revise: "&amp;_xlfn.TEXTJOIN(", ",TRUE(),IF(K23&lt;1,Parameters!$A$7,""),IF(L23&lt;1,Parameters!$A$8,""),IF(M23&lt;1,Parameters!$A$9,""),IF(N23&lt;1,Parameters!$A$10,""))))</f>
        <v/>
      </c>
      <c r="K23" s="13">
        <f>IF(C23="","",C23/4)</f>
        <v/>
      </c>
      <c r="L23" s="13">
        <f>IF(D23="","",D23/4)</f>
        <v/>
      </c>
      <c r="M23" s="13">
        <f>IF(E23="","",E23/8)</f>
        <v/>
      </c>
      <c r="N23" s="13">
        <f>IF(F23="","",F23/6)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3">
        <f>IF(COUNT(C24:F24)&lt;4,"",SUM(C24:F24))</f>
        <v/>
      </c>
      <c r="H24" s="13">
        <f>IF(COUNT(C24:F24)&lt;4,"",G24/22)</f>
        <v/>
      </c>
      <c r="I24" s="13">
        <f>IF(COUNT(C24:F24)&lt;4,"",IF(H24&gt;=0.8,"Green",IF(H24&gt;=0.5,"Yellow","Red")))</f>
        <v/>
      </c>
      <c r="J24" s="13">
        <f>IF(COUNT(C24:F24)&lt;4,"",IF(I24="Green","Well done! "&amp;Parameters!$C$16,"Revise: "&amp;_xlfn.TEXTJOIN(", ",TRUE(),IF(K24&lt;1,Parameters!$A$7,""),IF(L24&lt;1,Parameters!$A$8,""),IF(M24&lt;1,Parameters!$A$9,""),IF(N24&lt;1,Parameters!$A$10,""))))</f>
        <v/>
      </c>
      <c r="K24" s="13">
        <f>IF(C24="","",C24/4)</f>
        <v/>
      </c>
      <c r="L24" s="13">
        <f>IF(D24="","",D24/4)</f>
        <v/>
      </c>
      <c r="M24" s="13">
        <f>IF(E24="","",E24/8)</f>
        <v/>
      </c>
      <c r="N24" s="13">
        <f>IF(F24="","",F24/6)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3">
        <f>IF(COUNT(C25:F25)&lt;4,"",SUM(C25:F25))</f>
        <v/>
      </c>
      <c r="H25" s="13">
        <f>IF(COUNT(C25:F25)&lt;4,"",G25/22)</f>
        <v/>
      </c>
      <c r="I25" s="13">
        <f>IF(COUNT(C25:F25)&lt;4,"",IF(H25&gt;=0.8,"Green",IF(H25&gt;=0.5,"Yellow","Red")))</f>
        <v/>
      </c>
      <c r="J25" s="13">
        <f>IF(COUNT(C25:F25)&lt;4,"",IF(I25="Green","Well done! "&amp;Parameters!$C$16,"Revise: "&amp;_xlfn.TEXTJOIN(", ",TRUE(),IF(K25&lt;1,Parameters!$A$7,""),IF(L25&lt;1,Parameters!$A$8,""),IF(M25&lt;1,Parameters!$A$9,""),IF(N25&lt;1,Parameters!$A$10,""))))</f>
        <v/>
      </c>
      <c r="K25" s="13">
        <f>IF(C25="","",C25/4)</f>
        <v/>
      </c>
      <c r="L25" s="13">
        <f>IF(D25="","",D25/4)</f>
        <v/>
      </c>
      <c r="M25" s="13">
        <f>IF(E25="","",E25/8)</f>
        <v/>
      </c>
      <c r="N25" s="13">
        <f>IF(F25="","",F25/6)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3">
        <f>IF(COUNT(C26:F26)&lt;4,"",SUM(C26:F26))</f>
        <v/>
      </c>
      <c r="H26" s="13">
        <f>IF(COUNT(C26:F26)&lt;4,"",G26/22)</f>
        <v/>
      </c>
      <c r="I26" s="13">
        <f>IF(COUNT(C26:F26)&lt;4,"",IF(H26&gt;=0.8,"Green",IF(H26&gt;=0.5,"Yellow","Red")))</f>
        <v/>
      </c>
      <c r="J26" s="13">
        <f>IF(COUNT(C26:F26)&lt;4,"",IF(I26="Green","Well done! "&amp;Parameters!$C$16,"Revise: "&amp;_xlfn.TEXTJOIN(", ",TRUE(),IF(K26&lt;1,Parameters!$A$7,""),IF(L26&lt;1,Parameters!$A$8,""),IF(M26&lt;1,Parameters!$A$9,""),IF(N26&lt;1,Parameters!$A$10,""))))</f>
        <v/>
      </c>
      <c r="K26" s="13">
        <f>IF(C26="","",C26/4)</f>
        <v/>
      </c>
      <c r="L26" s="13">
        <f>IF(D26="","",D26/4)</f>
        <v/>
      </c>
      <c r="M26" s="13">
        <f>IF(E26="","",E26/8)</f>
        <v/>
      </c>
      <c r="N26" s="13">
        <f>IF(F26="","",F26/6)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3">
        <f>IF(COUNT(C27:F27)&lt;4,"",SUM(C27:F27))</f>
        <v/>
      </c>
      <c r="H27" s="13">
        <f>IF(COUNT(C27:F27)&lt;4,"",G27/22)</f>
        <v/>
      </c>
      <c r="I27" s="13">
        <f>IF(COUNT(C27:F27)&lt;4,"",IF(H27&gt;=0.8,"Green",IF(H27&gt;=0.5,"Yellow","Red")))</f>
        <v/>
      </c>
      <c r="J27" s="13">
        <f>IF(COUNT(C27:F27)&lt;4,"",IF(I27="Green","Well done! "&amp;Parameters!$C$16,"Revise: "&amp;_xlfn.TEXTJOIN(", ",TRUE(),IF(K27&lt;1,Parameters!$A$7,""),IF(L27&lt;1,Parameters!$A$8,""),IF(M27&lt;1,Parameters!$A$9,""),IF(N27&lt;1,Parameters!$A$10,""))))</f>
        <v/>
      </c>
      <c r="K27" s="13">
        <f>IF(C27="","",C27/4)</f>
        <v/>
      </c>
      <c r="L27" s="13">
        <f>IF(D27="","",D27/4)</f>
        <v/>
      </c>
      <c r="M27" s="13">
        <f>IF(E27="","",E27/8)</f>
        <v/>
      </c>
      <c r="N27" s="13">
        <f>IF(F27="","",F27/6)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3">
        <f>IF(COUNT(C28:F28)&lt;4,"",SUM(C28:F28))</f>
        <v/>
      </c>
      <c r="H28" s="13">
        <f>IF(COUNT(C28:F28)&lt;4,"",G28/22)</f>
        <v/>
      </c>
      <c r="I28" s="13">
        <f>IF(COUNT(C28:F28)&lt;4,"",IF(H28&gt;=0.8,"Green",IF(H28&gt;=0.5,"Yellow","Red")))</f>
        <v/>
      </c>
      <c r="J28" s="13">
        <f>IF(COUNT(C28:F28)&lt;4,"",IF(I28="Green","Well done! "&amp;Parameters!$C$16,"Revise: "&amp;_xlfn.TEXTJOIN(", ",TRUE(),IF(K28&lt;1,Parameters!$A$7,""),IF(L28&lt;1,Parameters!$A$8,""),IF(M28&lt;1,Parameters!$A$9,""),IF(N28&lt;1,Parameters!$A$10,""))))</f>
        <v/>
      </c>
      <c r="K28" s="13">
        <f>IF(C28="","",C28/4)</f>
        <v/>
      </c>
      <c r="L28" s="13">
        <f>IF(D28="","",D28/4)</f>
        <v/>
      </c>
      <c r="M28" s="13">
        <f>IF(E28="","",E28/8)</f>
        <v/>
      </c>
      <c r="N28" s="13">
        <f>IF(F28="","",F28/6)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3">
        <f>IF(COUNT(C29:F29)&lt;4,"",SUM(C29:F29))</f>
        <v/>
      </c>
      <c r="H29" s="13">
        <f>IF(COUNT(C29:F29)&lt;4,"",G29/22)</f>
        <v/>
      </c>
      <c r="I29" s="13">
        <f>IF(COUNT(C29:F29)&lt;4,"",IF(H29&gt;=0.8,"Green",IF(H29&gt;=0.5,"Yellow","Red")))</f>
        <v/>
      </c>
      <c r="J29" s="13">
        <f>IF(COUNT(C29:F29)&lt;4,"",IF(I29="Green","Well done! "&amp;Parameters!$C$16,"Revise: "&amp;_xlfn.TEXTJOIN(", ",TRUE(),IF(K29&lt;1,Parameters!$A$7,""),IF(L29&lt;1,Parameters!$A$8,""),IF(M29&lt;1,Parameters!$A$9,""),IF(N29&lt;1,Parameters!$A$10,""))))</f>
        <v/>
      </c>
      <c r="K29" s="13">
        <f>IF(C29="","",C29/4)</f>
        <v/>
      </c>
      <c r="L29" s="13">
        <f>IF(D29="","",D29/4)</f>
        <v/>
      </c>
      <c r="M29" s="13">
        <f>IF(E29="","",E29/8)</f>
        <v/>
      </c>
      <c r="N29" s="13">
        <f>IF(F29="","",F29/6)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3">
        <f>IF(COUNT(C30:F30)&lt;4,"",SUM(C30:F30))</f>
        <v/>
      </c>
      <c r="H30" s="13">
        <f>IF(COUNT(C30:F30)&lt;4,"",G30/22)</f>
        <v/>
      </c>
      <c r="I30" s="13">
        <f>IF(COUNT(C30:F30)&lt;4,"",IF(H30&gt;=0.8,"Green",IF(H30&gt;=0.5,"Yellow","Red")))</f>
        <v/>
      </c>
      <c r="J30" s="13">
        <f>IF(COUNT(C30:F30)&lt;4,"",IF(I30="Green","Well done! "&amp;Parameters!$C$16,"Revise: "&amp;_xlfn.TEXTJOIN(", ",TRUE(),IF(K30&lt;1,Parameters!$A$7,""),IF(L30&lt;1,Parameters!$A$8,""),IF(M30&lt;1,Parameters!$A$9,""),IF(N30&lt;1,Parameters!$A$10,""))))</f>
        <v/>
      </c>
      <c r="K30" s="13">
        <f>IF(C30="","",C30/4)</f>
        <v/>
      </c>
      <c r="L30" s="13">
        <f>IF(D30="","",D30/4)</f>
        <v/>
      </c>
      <c r="M30" s="13">
        <f>IF(E30="","",E30/8)</f>
        <v/>
      </c>
      <c r="N30" s="13">
        <f>IF(F30="","",F30/6)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3">
        <f>IF(COUNT(C31:F31)&lt;4,"",SUM(C31:F31))</f>
        <v/>
      </c>
      <c r="H31" s="13">
        <f>IF(COUNT(C31:F31)&lt;4,"",G31/22)</f>
        <v/>
      </c>
      <c r="I31" s="13">
        <f>IF(COUNT(C31:F31)&lt;4,"",IF(H31&gt;=0.8,"Green",IF(H31&gt;=0.5,"Yellow","Red")))</f>
        <v/>
      </c>
      <c r="J31" s="13">
        <f>IF(COUNT(C31:F31)&lt;4,"",IF(I31="Green","Well done! "&amp;Parameters!$C$16,"Revise: "&amp;_xlfn.TEXTJOIN(", ",TRUE(),IF(K31&lt;1,Parameters!$A$7,""),IF(L31&lt;1,Parameters!$A$8,""),IF(M31&lt;1,Parameters!$A$9,""),IF(N31&lt;1,Parameters!$A$10,""))))</f>
        <v/>
      </c>
      <c r="K31" s="13">
        <f>IF(C31="","",C31/4)</f>
        <v/>
      </c>
      <c r="L31" s="13">
        <f>IF(D31="","",D31/4)</f>
        <v/>
      </c>
      <c r="M31" s="13">
        <f>IF(E31="","",E31/8)</f>
        <v/>
      </c>
      <c r="N31" s="13">
        <f>IF(F31="","",F31/6)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3">
        <f>IF(COUNT(C32:F32)&lt;4,"",SUM(C32:F32))</f>
        <v/>
      </c>
      <c r="H32" s="13">
        <f>IF(COUNT(C32:F32)&lt;4,"",G32/22)</f>
        <v/>
      </c>
      <c r="I32" s="13">
        <f>IF(COUNT(C32:F32)&lt;4,"",IF(H32&gt;=0.8,"Green",IF(H32&gt;=0.5,"Yellow","Red")))</f>
        <v/>
      </c>
      <c r="J32" s="13">
        <f>IF(COUNT(C32:F32)&lt;4,"",IF(I32="Green","Well done! "&amp;Parameters!$C$16,"Revise: "&amp;_xlfn.TEXTJOIN(", ",TRUE(),IF(K32&lt;1,Parameters!$A$7,""),IF(L32&lt;1,Parameters!$A$8,""),IF(M32&lt;1,Parameters!$A$9,""),IF(N32&lt;1,Parameters!$A$10,""))))</f>
        <v/>
      </c>
      <c r="K32" s="13">
        <f>IF(C32="","",C32/4)</f>
        <v/>
      </c>
      <c r="L32" s="13">
        <f>IF(D32="","",D32/4)</f>
        <v/>
      </c>
      <c r="M32" s="13">
        <f>IF(E32="","",E32/8)</f>
        <v/>
      </c>
      <c r="N32" s="13">
        <f>IF(F32="","",F32/6)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3">
        <f>IF(COUNT(C33:F33)&lt;4,"",SUM(C33:F33))</f>
        <v/>
      </c>
      <c r="H33" s="13">
        <f>IF(COUNT(C33:F33)&lt;4,"",G33/22)</f>
        <v/>
      </c>
      <c r="I33" s="13">
        <f>IF(COUNT(C33:F33)&lt;4,"",IF(H33&gt;=0.8,"Green",IF(H33&gt;=0.5,"Yellow","Red")))</f>
        <v/>
      </c>
      <c r="J33" s="13">
        <f>IF(COUNT(C33:F33)&lt;4,"",IF(I33="Green","Well done! "&amp;Parameters!$C$16,"Revise: "&amp;_xlfn.TEXTJOIN(", ",TRUE(),IF(K33&lt;1,Parameters!$A$7,""),IF(L33&lt;1,Parameters!$A$8,""),IF(M33&lt;1,Parameters!$A$9,""),IF(N33&lt;1,Parameters!$A$10,""))))</f>
        <v/>
      </c>
      <c r="K33" s="13">
        <f>IF(C33="","",C33/4)</f>
        <v/>
      </c>
      <c r="L33" s="13">
        <f>IF(D33="","",D33/4)</f>
        <v/>
      </c>
      <c r="M33" s="13">
        <f>IF(E33="","",E33/8)</f>
        <v/>
      </c>
      <c r="N33" s="13">
        <f>IF(F33="","",F33/6)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3">
        <f>IF(COUNT(C34:F34)&lt;4,"",SUM(C34:F34))</f>
        <v/>
      </c>
      <c r="H34" s="13">
        <f>IF(COUNT(C34:F34)&lt;4,"",G34/22)</f>
        <v/>
      </c>
      <c r="I34" s="13">
        <f>IF(COUNT(C34:F34)&lt;4,"",IF(H34&gt;=0.8,"Green",IF(H34&gt;=0.5,"Yellow","Red")))</f>
        <v/>
      </c>
      <c r="J34" s="13">
        <f>IF(COUNT(C34:F34)&lt;4,"",IF(I34="Green","Well done! "&amp;Parameters!$C$16,"Revise: "&amp;_xlfn.TEXTJOIN(", ",TRUE(),IF(K34&lt;1,Parameters!$A$7,""),IF(L34&lt;1,Parameters!$A$8,""),IF(M34&lt;1,Parameters!$A$9,""),IF(N34&lt;1,Parameters!$A$10,""))))</f>
        <v/>
      </c>
      <c r="K34" s="13">
        <f>IF(C34="","",C34/4)</f>
        <v/>
      </c>
      <c r="L34" s="13">
        <f>IF(D34="","",D34/4)</f>
        <v/>
      </c>
      <c r="M34" s="13">
        <f>IF(E34="","",E34/8)</f>
        <v/>
      </c>
      <c r="N34" s="13">
        <f>IF(F34="","",F34/6)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3">
        <f>IF(COUNT(C35:F35)&lt;4,"",SUM(C35:F35))</f>
        <v/>
      </c>
      <c r="H35" s="13">
        <f>IF(COUNT(C35:F35)&lt;4,"",G35/22)</f>
        <v/>
      </c>
      <c r="I35" s="13">
        <f>IF(COUNT(C35:F35)&lt;4,"",IF(H35&gt;=0.8,"Green",IF(H35&gt;=0.5,"Yellow","Red")))</f>
        <v/>
      </c>
      <c r="J35" s="13">
        <f>IF(COUNT(C35:F35)&lt;4,"",IF(I35="Green","Well done! "&amp;Parameters!$C$16,"Revise: "&amp;_xlfn.TEXTJOIN(", ",TRUE(),IF(K35&lt;1,Parameters!$A$7,""),IF(L35&lt;1,Parameters!$A$8,""),IF(M35&lt;1,Parameters!$A$9,""),IF(N35&lt;1,Parameters!$A$10,""))))</f>
        <v/>
      </c>
      <c r="K35" s="13">
        <f>IF(C35="","",C35/4)</f>
        <v/>
      </c>
      <c r="L35" s="13">
        <f>IF(D35="","",D35/4)</f>
        <v/>
      </c>
      <c r="M35" s="13">
        <f>IF(E35="","",E35/8)</f>
        <v/>
      </c>
      <c r="N35" s="13">
        <f>IF(F35="","",F35/6)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3">
        <f>IF(COUNT(C36:F36)&lt;4,"",SUM(C36:F36))</f>
        <v/>
      </c>
      <c r="H36" s="13">
        <f>IF(COUNT(C36:F36)&lt;4,"",G36/22)</f>
        <v/>
      </c>
      <c r="I36" s="13">
        <f>IF(COUNT(C36:F36)&lt;4,"",IF(H36&gt;=0.8,"Green",IF(H36&gt;=0.5,"Yellow","Red")))</f>
        <v/>
      </c>
      <c r="J36" s="13">
        <f>IF(COUNT(C36:F36)&lt;4,"",IF(I36="Green","Well done! "&amp;Parameters!$C$16,"Revise: "&amp;_xlfn.TEXTJOIN(", ",TRUE(),IF(K36&lt;1,Parameters!$A$7,""),IF(L36&lt;1,Parameters!$A$8,""),IF(M36&lt;1,Parameters!$A$9,""),IF(N36&lt;1,Parameters!$A$10,""))))</f>
        <v/>
      </c>
      <c r="K36" s="13">
        <f>IF(C36="","",C36/4)</f>
        <v/>
      </c>
      <c r="L36" s="13">
        <f>IF(D36="","",D36/4)</f>
        <v/>
      </c>
      <c r="M36" s="13">
        <f>IF(E36="","",E36/8)</f>
        <v/>
      </c>
      <c r="N36" s="13">
        <f>IF(F36="","",F36/6)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3">
        <f>IF(COUNT(C37:F37)&lt;4,"",SUM(C37:F37))</f>
        <v/>
      </c>
      <c r="H37" s="13">
        <f>IF(COUNT(C37:F37)&lt;4,"",G37/22)</f>
        <v/>
      </c>
      <c r="I37" s="13">
        <f>IF(COUNT(C37:F37)&lt;4,"",IF(H37&gt;=0.8,"Green",IF(H37&gt;=0.5,"Yellow","Red")))</f>
        <v/>
      </c>
      <c r="J37" s="13">
        <f>IF(COUNT(C37:F37)&lt;4,"",IF(I37="Green","Well done! "&amp;Parameters!$C$16,"Revise: "&amp;_xlfn.TEXTJOIN(", ",TRUE(),IF(K37&lt;1,Parameters!$A$7,""),IF(L37&lt;1,Parameters!$A$8,""),IF(M37&lt;1,Parameters!$A$9,""),IF(N37&lt;1,Parameters!$A$10,""))))</f>
        <v/>
      </c>
      <c r="K37" s="13">
        <f>IF(C37="","",C37/4)</f>
        <v/>
      </c>
      <c r="L37" s="13">
        <f>IF(D37="","",D37/4)</f>
        <v/>
      </c>
      <c r="M37" s="13">
        <f>IF(E37="","",E37/8)</f>
        <v/>
      </c>
      <c r="N37" s="13">
        <f>IF(F37="","",F37/6)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3">
        <f>IF(COUNT(C38:F38)&lt;4,"",SUM(C38:F38))</f>
        <v/>
      </c>
      <c r="H38" s="13">
        <f>IF(COUNT(C38:F38)&lt;4,"",G38/22)</f>
        <v/>
      </c>
      <c r="I38" s="13">
        <f>IF(COUNT(C38:F38)&lt;4,"",IF(H38&gt;=0.8,"Green",IF(H38&gt;=0.5,"Yellow","Red")))</f>
        <v/>
      </c>
      <c r="J38" s="13">
        <f>IF(COUNT(C38:F38)&lt;4,"",IF(I38="Green","Well done! "&amp;Parameters!$C$16,"Revise: "&amp;_xlfn.TEXTJOIN(", ",TRUE(),IF(K38&lt;1,Parameters!$A$7,""),IF(L38&lt;1,Parameters!$A$8,""),IF(M38&lt;1,Parameters!$A$9,""),IF(N38&lt;1,Parameters!$A$10,""))))</f>
        <v/>
      </c>
      <c r="K38" s="13">
        <f>IF(C38="","",C38/4)</f>
        <v/>
      </c>
      <c r="L38" s="13">
        <f>IF(D38="","",D38/4)</f>
        <v/>
      </c>
      <c r="M38" s="13">
        <f>IF(E38="","",E38/8)</f>
        <v/>
      </c>
      <c r="N38" s="13">
        <f>IF(F38="","",F38/6)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3">
        <f>IF(COUNT(C39:F39)&lt;4,"",SUM(C39:F39))</f>
        <v/>
      </c>
      <c r="H39" s="13">
        <f>IF(COUNT(C39:F39)&lt;4,"",G39/22)</f>
        <v/>
      </c>
      <c r="I39" s="13">
        <f>IF(COUNT(C39:F39)&lt;4,"",IF(H39&gt;=0.8,"Green",IF(H39&gt;=0.5,"Yellow","Red")))</f>
        <v/>
      </c>
      <c r="J39" s="13">
        <f>IF(COUNT(C39:F39)&lt;4,"",IF(I39="Green","Well done! "&amp;Parameters!$C$16,"Revise: "&amp;_xlfn.TEXTJOIN(", ",TRUE(),IF(K39&lt;1,Parameters!$A$7,""),IF(L39&lt;1,Parameters!$A$8,""),IF(M39&lt;1,Parameters!$A$9,""),IF(N39&lt;1,Parameters!$A$10,""))))</f>
        <v/>
      </c>
      <c r="K39" s="13">
        <f>IF(C39="","",C39/4)</f>
        <v/>
      </c>
      <c r="L39" s="13">
        <f>IF(D39="","",D39/4)</f>
        <v/>
      </c>
      <c r="M39" s="13">
        <f>IF(E39="","",E39/8)</f>
        <v/>
      </c>
      <c r="N39" s="13">
        <f>IF(F39="","",F39/6)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3">
        <f>IF(COUNT(C40:F40)&lt;4,"",SUM(C40:F40))</f>
        <v/>
      </c>
      <c r="H40" s="13">
        <f>IF(COUNT(C40:F40)&lt;4,"",G40/22)</f>
        <v/>
      </c>
      <c r="I40" s="13">
        <f>IF(COUNT(C40:F40)&lt;4,"",IF(H40&gt;=0.8,"Green",IF(H40&gt;=0.5,"Yellow","Red")))</f>
        <v/>
      </c>
      <c r="J40" s="13">
        <f>IF(COUNT(C40:F40)&lt;4,"",IF(I40="Green","Well done! "&amp;Parameters!$C$16,"Revise: "&amp;_xlfn.TEXTJOIN(", ",TRUE(),IF(K40&lt;1,Parameters!$A$7,""),IF(L40&lt;1,Parameters!$A$8,""),IF(M40&lt;1,Parameters!$A$9,""),IF(N40&lt;1,Parameters!$A$10,""))))</f>
        <v/>
      </c>
      <c r="K40" s="13">
        <f>IF(C40="","",C40/4)</f>
        <v/>
      </c>
      <c r="L40" s="13">
        <f>IF(D40="","",D40/4)</f>
        <v/>
      </c>
      <c r="M40" s="13">
        <f>IF(E40="","",E40/8)</f>
        <v/>
      </c>
      <c r="N40" s="13">
        <f>IF(F40="","",F40/6)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3">
        <f>IF(COUNT(C41:F41)&lt;4,"",SUM(C41:F41))</f>
        <v/>
      </c>
      <c r="H41" s="13">
        <f>IF(COUNT(C41:F41)&lt;4,"",G41/22)</f>
        <v/>
      </c>
      <c r="I41" s="13">
        <f>IF(COUNT(C41:F41)&lt;4,"",IF(H41&gt;=0.8,"Green",IF(H41&gt;=0.5,"Yellow","Red")))</f>
        <v/>
      </c>
      <c r="J41" s="13">
        <f>IF(COUNT(C41:F41)&lt;4,"",IF(I41="Green","Well done! "&amp;Parameters!$C$16,"Revise: "&amp;_xlfn.TEXTJOIN(", ",TRUE(),IF(K41&lt;1,Parameters!$A$7,""),IF(L41&lt;1,Parameters!$A$8,""),IF(M41&lt;1,Parameters!$A$9,""),IF(N41&lt;1,Parameters!$A$10,""))))</f>
        <v/>
      </c>
      <c r="K41" s="13">
        <f>IF(C41="","",C41/4)</f>
        <v/>
      </c>
      <c r="L41" s="13">
        <f>IF(D41="","",D41/4)</f>
        <v/>
      </c>
      <c r="M41" s="13">
        <f>IF(E41="","",E41/8)</f>
        <v/>
      </c>
      <c r="N41" s="13">
        <f>IF(F41="","",F41/6)</f>
        <v/>
      </c>
    </row>
  </sheetData>
  <conditionalFormatting sqref="C11">
    <cfRule type="expression" priority="1" dxfId="0">
      <formula>AND(COUNT(C11:F11)=4,C11=4)</formula>
    </cfRule>
    <cfRule type="expression" priority="2" dxfId="1">
      <formula>AND(COUNT(C11:F11)=4,C11&lt;4*0.4)</formula>
    </cfRule>
    <cfRule type="expression" priority="3" dxfId="2">
      <formula>AND(COUNT(C11:F11)=4,C11&gt;=4*0.4,C11&lt;4)</formula>
    </cfRule>
  </conditionalFormatting>
  <conditionalFormatting sqref="C12">
    <cfRule type="expression" priority="4" dxfId="0">
      <formula>AND(COUNT(C12:F12)=4,C12=4)</formula>
    </cfRule>
    <cfRule type="expression" priority="5" dxfId="1">
      <formula>AND(COUNT(C12:F12)=4,C12&lt;4*0.4)</formula>
    </cfRule>
    <cfRule type="expression" priority="6" dxfId="2">
      <formula>AND(COUNT(C12:F12)=4,C12&gt;=4*0.4,C12&lt;4)</formula>
    </cfRule>
  </conditionalFormatting>
  <conditionalFormatting sqref="C13">
    <cfRule type="expression" priority="7" dxfId="0">
      <formula>AND(COUNT(C13:F13)=4,C13=4)</formula>
    </cfRule>
    <cfRule type="expression" priority="8" dxfId="1">
      <formula>AND(COUNT(C13:F13)=4,C13&lt;4*0.4)</formula>
    </cfRule>
    <cfRule type="expression" priority="9" dxfId="2">
      <formula>AND(COUNT(C13:F13)=4,C13&gt;=4*0.4,C13&lt;4)</formula>
    </cfRule>
  </conditionalFormatting>
  <conditionalFormatting sqref="C14">
    <cfRule type="expression" priority="10" dxfId="0">
      <formula>AND(COUNT(C14:F14)=4,C14=4)</formula>
    </cfRule>
    <cfRule type="expression" priority="11" dxfId="1">
      <formula>AND(COUNT(C14:F14)=4,C14&lt;4*0.4)</formula>
    </cfRule>
    <cfRule type="expression" priority="12" dxfId="2">
      <formula>AND(COUNT(C14:F14)=4,C14&gt;=4*0.4,C14&lt;4)</formula>
    </cfRule>
  </conditionalFormatting>
  <conditionalFormatting sqref="C15">
    <cfRule type="expression" priority="13" dxfId="0">
      <formula>AND(COUNT(C15:F15)=4,C15=4)</formula>
    </cfRule>
    <cfRule type="expression" priority="14" dxfId="1">
      <formula>AND(COUNT(C15:F15)=4,C15&lt;4*0.4)</formula>
    </cfRule>
    <cfRule type="expression" priority="15" dxfId="2">
      <formula>AND(COUNT(C15:F15)=4,C15&gt;=4*0.4,C15&lt;4)</formula>
    </cfRule>
  </conditionalFormatting>
  <conditionalFormatting sqref="C16">
    <cfRule type="expression" priority="16" dxfId="0">
      <formula>AND(COUNT(C16:F16)=4,C16=4)</formula>
    </cfRule>
    <cfRule type="expression" priority="17" dxfId="1">
      <formula>AND(COUNT(C16:F16)=4,C16&lt;4*0.4)</formula>
    </cfRule>
    <cfRule type="expression" priority="18" dxfId="2">
      <formula>AND(COUNT(C16:F16)=4,C16&gt;=4*0.4,C16&lt;4)</formula>
    </cfRule>
  </conditionalFormatting>
  <conditionalFormatting sqref="C17">
    <cfRule type="expression" priority="19" dxfId="0">
      <formula>AND(COUNT(C17:F17)=4,C17=4)</formula>
    </cfRule>
    <cfRule type="expression" priority="20" dxfId="1">
      <formula>AND(COUNT(C17:F17)=4,C17&lt;4*0.4)</formula>
    </cfRule>
    <cfRule type="expression" priority="21" dxfId="2">
      <formula>AND(COUNT(C17:F17)=4,C17&gt;=4*0.4,C17&lt;4)</formula>
    </cfRule>
  </conditionalFormatting>
  <conditionalFormatting sqref="C18">
    <cfRule type="expression" priority="22" dxfId="0">
      <formula>AND(COUNT(C18:F18)=4,C18=4)</formula>
    </cfRule>
    <cfRule type="expression" priority="23" dxfId="1">
      <formula>AND(COUNT(C18:F18)=4,C18&lt;4*0.4)</formula>
    </cfRule>
    <cfRule type="expression" priority="24" dxfId="2">
      <formula>AND(COUNT(C18:F18)=4,C18&gt;=4*0.4,C18&lt;4)</formula>
    </cfRule>
  </conditionalFormatting>
  <conditionalFormatting sqref="C19">
    <cfRule type="expression" priority="25" dxfId="0">
      <formula>AND(COUNT(C19:F19)=4,C19=4)</formula>
    </cfRule>
    <cfRule type="expression" priority="26" dxfId="1">
      <formula>AND(COUNT(C19:F19)=4,C19&lt;4*0.4)</formula>
    </cfRule>
    <cfRule type="expression" priority="27" dxfId="2">
      <formula>AND(COUNT(C19:F19)=4,C19&gt;=4*0.4,C19&lt;4)</formula>
    </cfRule>
  </conditionalFormatting>
  <conditionalFormatting sqref="C20">
    <cfRule type="expression" priority="28" dxfId="0">
      <formula>AND(COUNT(C20:F20)=4,C20=4)</formula>
    </cfRule>
    <cfRule type="expression" priority="29" dxfId="1">
      <formula>AND(COUNT(C20:F20)=4,C20&lt;4*0.4)</formula>
    </cfRule>
    <cfRule type="expression" priority="30" dxfId="2">
      <formula>AND(COUNT(C20:F20)=4,C20&gt;=4*0.4,C20&lt;4)</formula>
    </cfRule>
  </conditionalFormatting>
  <conditionalFormatting sqref="C21">
    <cfRule type="expression" priority="31" dxfId="0">
      <formula>AND(COUNT(C21:F21)=4,C21=4)</formula>
    </cfRule>
    <cfRule type="expression" priority="32" dxfId="1">
      <formula>AND(COUNT(C21:F21)=4,C21&lt;4*0.4)</formula>
    </cfRule>
    <cfRule type="expression" priority="33" dxfId="2">
      <formula>AND(COUNT(C21:F21)=4,C21&gt;=4*0.4,C21&lt;4)</formula>
    </cfRule>
  </conditionalFormatting>
  <conditionalFormatting sqref="C22">
    <cfRule type="expression" priority="34" dxfId="0">
      <formula>AND(COUNT(C22:F22)=4,C22=4)</formula>
    </cfRule>
    <cfRule type="expression" priority="35" dxfId="1">
      <formula>AND(COUNT(C22:F22)=4,C22&lt;4*0.4)</formula>
    </cfRule>
    <cfRule type="expression" priority="36" dxfId="2">
      <formula>AND(COUNT(C22:F22)=4,C22&gt;=4*0.4,C22&lt;4)</formula>
    </cfRule>
  </conditionalFormatting>
  <conditionalFormatting sqref="C23">
    <cfRule type="expression" priority="37" dxfId="0">
      <formula>AND(COUNT(C23:F23)=4,C23=4)</formula>
    </cfRule>
    <cfRule type="expression" priority="38" dxfId="1">
      <formula>AND(COUNT(C23:F23)=4,C23&lt;4*0.4)</formula>
    </cfRule>
    <cfRule type="expression" priority="39" dxfId="2">
      <formula>AND(COUNT(C23:F23)=4,C23&gt;=4*0.4,C23&lt;4)</formula>
    </cfRule>
  </conditionalFormatting>
  <conditionalFormatting sqref="C24">
    <cfRule type="expression" priority="40" dxfId="0">
      <formula>AND(COUNT(C24:F24)=4,C24=4)</formula>
    </cfRule>
    <cfRule type="expression" priority="41" dxfId="1">
      <formula>AND(COUNT(C24:F24)=4,C24&lt;4*0.4)</formula>
    </cfRule>
    <cfRule type="expression" priority="42" dxfId="2">
      <formula>AND(COUNT(C24:F24)=4,C24&gt;=4*0.4,C24&lt;4)</formula>
    </cfRule>
  </conditionalFormatting>
  <conditionalFormatting sqref="C25">
    <cfRule type="expression" priority="43" dxfId="0">
      <formula>AND(COUNT(C25:F25)=4,C25=4)</formula>
    </cfRule>
    <cfRule type="expression" priority="44" dxfId="1">
      <formula>AND(COUNT(C25:F25)=4,C25&lt;4*0.4)</formula>
    </cfRule>
    <cfRule type="expression" priority="45" dxfId="2">
      <formula>AND(COUNT(C25:F25)=4,C25&gt;=4*0.4,C25&lt;4)</formula>
    </cfRule>
  </conditionalFormatting>
  <conditionalFormatting sqref="C26">
    <cfRule type="expression" priority="46" dxfId="0">
      <formula>AND(COUNT(C26:F26)=4,C26=4)</formula>
    </cfRule>
    <cfRule type="expression" priority="47" dxfId="1">
      <formula>AND(COUNT(C26:F26)=4,C26&lt;4*0.4)</formula>
    </cfRule>
    <cfRule type="expression" priority="48" dxfId="2">
      <formula>AND(COUNT(C26:F26)=4,C26&gt;=4*0.4,C26&lt;4)</formula>
    </cfRule>
  </conditionalFormatting>
  <conditionalFormatting sqref="C27">
    <cfRule type="expression" priority="49" dxfId="0">
      <formula>AND(COUNT(C27:F27)=4,C27=4)</formula>
    </cfRule>
    <cfRule type="expression" priority="50" dxfId="1">
      <formula>AND(COUNT(C27:F27)=4,C27&lt;4*0.4)</formula>
    </cfRule>
    <cfRule type="expression" priority="51" dxfId="2">
      <formula>AND(COUNT(C27:F27)=4,C27&gt;=4*0.4,C27&lt;4)</formula>
    </cfRule>
  </conditionalFormatting>
  <conditionalFormatting sqref="C28">
    <cfRule type="expression" priority="52" dxfId="0">
      <formula>AND(COUNT(C28:F28)=4,C28=4)</formula>
    </cfRule>
    <cfRule type="expression" priority="53" dxfId="1">
      <formula>AND(COUNT(C28:F28)=4,C28&lt;4*0.4)</formula>
    </cfRule>
    <cfRule type="expression" priority="54" dxfId="2">
      <formula>AND(COUNT(C28:F28)=4,C28&gt;=4*0.4,C28&lt;4)</formula>
    </cfRule>
  </conditionalFormatting>
  <conditionalFormatting sqref="C29">
    <cfRule type="expression" priority="55" dxfId="0">
      <formula>AND(COUNT(C29:F29)=4,C29=4)</formula>
    </cfRule>
    <cfRule type="expression" priority="56" dxfId="1">
      <formula>AND(COUNT(C29:F29)=4,C29&lt;4*0.4)</formula>
    </cfRule>
    <cfRule type="expression" priority="57" dxfId="2">
      <formula>AND(COUNT(C29:F29)=4,C29&gt;=4*0.4,C29&lt;4)</formula>
    </cfRule>
  </conditionalFormatting>
  <conditionalFormatting sqref="C30">
    <cfRule type="expression" priority="58" dxfId="0">
      <formula>AND(COUNT(C30:F30)=4,C30=4)</formula>
    </cfRule>
    <cfRule type="expression" priority="59" dxfId="1">
      <formula>AND(COUNT(C30:F30)=4,C30&lt;4*0.4)</formula>
    </cfRule>
    <cfRule type="expression" priority="60" dxfId="2">
      <formula>AND(COUNT(C30:F30)=4,C30&gt;=4*0.4,C30&lt;4)</formula>
    </cfRule>
  </conditionalFormatting>
  <conditionalFormatting sqref="C31">
    <cfRule type="expression" priority="61" dxfId="0">
      <formula>AND(COUNT(C31:F31)=4,C31=4)</formula>
    </cfRule>
    <cfRule type="expression" priority="62" dxfId="1">
      <formula>AND(COUNT(C31:F31)=4,C31&lt;4*0.4)</formula>
    </cfRule>
    <cfRule type="expression" priority="63" dxfId="2">
      <formula>AND(COUNT(C31:F31)=4,C31&gt;=4*0.4,C31&lt;4)</formula>
    </cfRule>
  </conditionalFormatting>
  <conditionalFormatting sqref="C32">
    <cfRule type="expression" priority="64" dxfId="0">
      <formula>AND(COUNT(C32:F32)=4,C32=4)</formula>
    </cfRule>
    <cfRule type="expression" priority="65" dxfId="1">
      <formula>AND(COUNT(C32:F32)=4,C32&lt;4*0.4)</formula>
    </cfRule>
    <cfRule type="expression" priority="66" dxfId="2">
      <formula>AND(COUNT(C32:F32)=4,C32&gt;=4*0.4,C32&lt;4)</formula>
    </cfRule>
  </conditionalFormatting>
  <conditionalFormatting sqref="C33">
    <cfRule type="expression" priority="67" dxfId="0">
      <formula>AND(COUNT(C33:F33)=4,C33=4)</formula>
    </cfRule>
    <cfRule type="expression" priority="68" dxfId="1">
      <formula>AND(COUNT(C33:F33)=4,C33&lt;4*0.4)</formula>
    </cfRule>
    <cfRule type="expression" priority="69" dxfId="2">
      <formula>AND(COUNT(C33:F33)=4,C33&gt;=4*0.4,C33&lt;4)</formula>
    </cfRule>
  </conditionalFormatting>
  <conditionalFormatting sqref="C34">
    <cfRule type="expression" priority="70" dxfId="0">
      <formula>AND(COUNT(C34:F34)=4,C34=4)</formula>
    </cfRule>
    <cfRule type="expression" priority="71" dxfId="1">
      <formula>AND(COUNT(C34:F34)=4,C34&lt;4*0.4)</formula>
    </cfRule>
    <cfRule type="expression" priority="72" dxfId="2">
      <formula>AND(COUNT(C34:F34)=4,C34&gt;=4*0.4,C34&lt;4)</formula>
    </cfRule>
  </conditionalFormatting>
  <conditionalFormatting sqref="C35">
    <cfRule type="expression" priority="73" dxfId="0">
      <formula>AND(COUNT(C35:F35)=4,C35=4)</formula>
    </cfRule>
    <cfRule type="expression" priority="74" dxfId="1">
      <formula>AND(COUNT(C35:F35)=4,C35&lt;4*0.4)</formula>
    </cfRule>
    <cfRule type="expression" priority="75" dxfId="2">
      <formula>AND(COUNT(C35:F35)=4,C35&gt;=4*0.4,C35&lt;4)</formula>
    </cfRule>
  </conditionalFormatting>
  <conditionalFormatting sqref="C36">
    <cfRule type="expression" priority="76" dxfId="0">
      <formula>AND(COUNT(C36:F36)=4,C36=4)</formula>
    </cfRule>
    <cfRule type="expression" priority="77" dxfId="1">
      <formula>AND(COUNT(C36:F36)=4,C36&lt;4*0.4)</formula>
    </cfRule>
    <cfRule type="expression" priority="78" dxfId="2">
      <formula>AND(COUNT(C36:F36)=4,C36&gt;=4*0.4,C36&lt;4)</formula>
    </cfRule>
  </conditionalFormatting>
  <conditionalFormatting sqref="C37">
    <cfRule type="expression" priority="79" dxfId="0">
      <formula>AND(COUNT(C37:F37)=4,C37=4)</formula>
    </cfRule>
    <cfRule type="expression" priority="80" dxfId="1">
      <formula>AND(COUNT(C37:F37)=4,C37&lt;4*0.4)</formula>
    </cfRule>
    <cfRule type="expression" priority="81" dxfId="2">
      <formula>AND(COUNT(C37:F37)=4,C37&gt;=4*0.4,C37&lt;4)</formula>
    </cfRule>
  </conditionalFormatting>
  <conditionalFormatting sqref="C38">
    <cfRule type="expression" priority="82" dxfId="0">
      <formula>AND(COUNT(C38:F38)=4,C38=4)</formula>
    </cfRule>
    <cfRule type="expression" priority="83" dxfId="1">
      <formula>AND(COUNT(C38:F38)=4,C38&lt;4*0.4)</formula>
    </cfRule>
    <cfRule type="expression" priority="84" dxfId="2">
      <formula>AND(COUNT(C38:F38)=4,C38&gt;=4*0.4,C38&lt;4)</formula>
    </cfRule>
  </conditionalFormatting>
  <conditionalFormatting sqref="C39">
    <cfRule type="expression" priority="85" dxfId="0">
      <formula>AND(COUNT(C39:F39)=4,C39=4)</formula>
    </cfRule>
    <cfRule type="expression" priority="86" dxfId="1">
      <formula>AND(COUNT(C39:F39)=4,C39&lt;4*0.4)</formula>
    </cfRule>
    <cfRule type="expression" priority="87" dxfId="2">
      <formula>AND(COUNT(C39:F39)=4,C39&gt;=4*0.4,C39&lt;4)</formula>
    </cfRule>
  </conditionalFormatting>
  <conditionalFormatting sqref="C40">
    <cfRule type="expression" priority="88" dxfId="0">
      <formula>AND(COUNT(C40:F40)=4,C40=4)</formula>
    </cfRule>
    <cfRule type="expression" priority="89" dxfId="1">
      <formula>AND(COUNT(C40:F40)=4,C40&lt;4*0.4)</formula>
    </cfRule>
    <cfRule type="expression" priority="90" dxfId="2">
      <formula>AND(COUNT(C40:F40)=4,C40&gt;=4*0.4,C40&lt;4)</formula>
    </cfRule>
  </conditionalFormatting>
  <conditionalFormatting sqref="C41">
    <cfRule type="expression" priority="91" dxfId="0">
      <formula>AND(COUNT(C41:F41)=4,C41=4)</formula>
    </cfRule>
    <cfRule type="expression" priority="92" dxfId="1">
      <formula>AND(COUNT(C41:F41)=4,C41&lt;4*0.4)</formula>
    </cfRule>
    <cfRule type="expression" priority="93" dxfId="2">
      <formula>AND(COUNT(C41:F41)=4,C41&gt;=4*0.4,C41&lt;4)</formula>
    </cfRule>
  </conditionalFormatting>
  <conditionalFormatting sqref="D11">
    <cfRule type="expression" priority="94" dxfId="0">
      <formula>AND(COUNT(C11:F11)=4,D11=4)</formula>
    </cfRule>
    <cfRule type="expression" priority="95" dxfId="1">
      <formula>AND(COUNT(C11:F11)=4,D11&lt;4*0.4)</formula>
    </cfRule>
    <cfRule type="expression" priority="96" dxfId="2">
      <formula>AND(COUNT(C11:F11)=4,D11&gt;=4*0.4,D11&lt;4)</formula>
    </cfRule>
  </conditionalFormatting>
  <conditionalFormatting sqref="D12">
    <cfRule type="expression" priority="97" dxfId="0">
      <formula>AND(COUNT(C12:F12)=4,D12=4)</formula>
    </cfRule>
    <cfRule type="expression" priority="98" dxfId="1">
      <formula>AND(COUNT(C12:F12)=4,D12&lt;4*0.4)</formula>
    </cfRule>
    <cfRule type="expression" priority="99" dxfId="2">
      <formula>AND(COUNT(C12:F12)=4,D12&gt;=4*0.4,D12&lt;4)</formula>
    </cfRule>
  </conditionalFormatting>
  <conditionalFormatting sqref="D13">
    <cfRule type="expression" priority="100" dxfId="0">
      <formula>AND(COUNT(C13:F13)=4,D13=4)</formula>
    </cfRule>
    <cfRule type="expression" priority="101" dxfId="1">
      <formula>AND(COUNT(C13:F13)=4,D13&lt;4*0.4)</formula>
    </cfRule>
    <cfRule type="expression" priority="102" dxfId="2">
      <formula>AND(COUNT(C13:F13)=4,D13&gt;=4*0.4,D13&lt;4)</formula>
    </cfRule>
  </conditionalFormatting>
  <conditionalFormatting sqref="D14">
    <cfRule type="expression" priority="103" dxfId="0">
      <formula>AND(COUNT(C14:F14)=4,D14=4)</formula>
    </cfRule>
    <cfRule type="expression" priority="104" dxfId="1">
      <formula>AND(COUNT(C14:F14)=4,D14&lt;4*0.4)</formula>
    </cfRule>
    <cfRule type="expression" priority="105" dxfId="2">
      <formula>AND(COUNT(C14:F14)=4,D14&gt;=4*0.4,D14&lt;4)</formula>
    </cfRule>
  </conditionalFormatting>
  <conditionalFormatting sqref="D15">
    <cfRule type="expression" priority="106" dxfId="0">
      <formula>AND(COUNT(C15:F15)=4,D15=4)</formula>
    </cfRule>
    <cfRule type="expression" priority="107" dxfId="1">
      <formula>AND(COUNT(C15:F15)=4,D15&lt;4*0.4)</formula>
    </cfRule>
    <cfRule type="expression" priority="108" dxfId="2">
      <formula>AND(COUNT(C15:F15)=4,D15&gt;=4*0.4,D15&lt;4)</formula>
    </cfRule>
  </conditionalFormatting>
  <conditionalFormatting sqref="D16">
    <cfRule type="expression" priority="109" dxfId="0">
      <formula>AND(COUNT(C16:F16)=4,D16=4)</formula>
    </cfRule>
    <cfRule type="expression" priority="110" dxfId="1">
      <formula>AND(COUNT(C16:F16)=4,D16&lt;4*0.4)</formula>
    </cfRule>
    <cfRule type="expression" priority="111" dxfId="2">
      <formula>AND(COUNT(C16:F16)=4,D16&gt;=4*0.4,D16&lt;4)</formula>
    </cfRule>
  </conditionalFormatting>
  <conditionalFormatting sqref="D17">
    <cfRule type="expression" priority="112" dxfId="0">
      <formula>AND(COUNT(C17:F17)=4,D17=4)</formula>
    </cfRule>
    <cfRule type="expression" priority="113" dxfId="1">
      <formula>AND(COUNT(C17:F17)=4,D17&lt;4*0.4)</formula>
    </cfRule>
    <cfRule type="expression" priority="114" dxfId="2">
      <formula>AND(COUNT(C17:F17)=4,D17&gt;=4*0.4,D17&lt;4)</formula>
    </cfRule>
  </conditionalFormatting>
  <conditionalFormatting sqref="D18">
    <cfRule type="expression" priority="115" dxfId="0">
      <formula>AND(COUNT(C18:F18)=4,D18=4)</formula>
    </cfRule>
    <cfRule type="expression" priority="116" dxfId="1">
      <formula>AND(COUNT(C18:F18)=4,D18&lt;4*0.4)</formula>
    </cfRule>
    <cfRule type="expression" priority="117" dxfId="2">
      <formula>AND(COUNT(C18:F18)=4,D18&gt;=4*0.4,D18&lt;4)</formula>
    </cfRule>
  </conditionalFormatting>
  <conditionalFormatting sqref="D19">
    <cfRule type="expression" priority="118" dxfId="0">
      <formula>AND(COUNT(C19:F19)=4,D19=4)</formula>
    </cfRule>
    <cfRule type="expression" priority="119" dxfId="1">
      <formula>AND(COUNT(C19:F19)=4,D19&lt;4*0.4)</formula>
    </cfRule>
    <cfRule type="expression" priority="120" dxfId="2">
      <formula>AND(COUNT(C19:F19)=4,D19&gt;=4*0.4,D19&lt;4)</formula>
    </cfRule>
  </conditionalFormatting>
  <conditionalFormatting sqref="D20">
    <cfRule type="expression" priority="121" dxfId="0">
      <formula>AND(COUNT(C20:F20)=4,D20=4)</formula>
    </cfRule>
    <cfRule type="expression" priority="122" dxfId="1">
      <formula>AND(COUNT(C20:F20)=4,D20&lt;4*0.4)</formula>
    </cfRule>
    <cfRule type="expression" priority="123" dxfId="2">
      <formula>AND(COUNT(C20:F20)=4,D20&gt;=4*0.4,D20&lt;4)</formula>
    </cfRule>
  </conditionalFormatting>
  <conditionalFormatting sqref="D21">
    <cfRule type="expression" priority="124" dxfId="0">
      <formula>AND(COUNT(C21:F21)=4,D21=4)</formula>
    </cfRule>
    <cfRule type="expression" priority="125" dxfId="1">
      <formula>AND(COUNT(C21:F21)=4,D21&lt;4*0.4)</formula>
    </cfRule>
    <cfRule type="expression" priority="126" dxfId="2">
      <formula>AND(COUNT(C21:F21)=4,D21&gt;=4*0.4,D21&lt;4)</formula>
    </cfRule>
  </conditionalFormatting>
  <conditionalFormatting sqref="D22">
    <cfRule type="expression" priority="127" dxfId="0">
      <formula>AND(COUNT(C22:F22)=4,D22=4)</formula>
    </cfRule>
    <cfRule type="expression" priority="128" dxfId="1">
      <formula>AND(COUNT(C22:F22)=4,D22&lt;4*0.4)</formula>
    </cfRule>
    <cfRule type="expression" priority="129" dxfId="2">
      <formula>AND(COUNT(C22:F22)=4,D22&gt;=4*0.4,D22&lt;4)</formula>
    </cfRule>
  </conditionalFormatting>
  <conditionalFormatting sqref="D23">
    <cfRule type="expression" priority="130" dxfId="0">
      <formula>AND(COUNT(C23:F23)=4,D23=4)</formula>
    </cfRule>
    <cfRule type="expression" priority="131" dxfId="1">
      <formula>AND(COUNT(C23:F23)=4,D23&lt;4*0.4)</formula>
    </cfRule>
    <cfRule type="expression" priority="132" dxfId="2">
      <formula>AND(COUNT(C23:F23)=4,D23&gt;=4*0.4,D23&lt;4)</formula>
    </cfRule>
  </conditionalFormatting>
  <conditionalFormatting sqref="D24">
    <cfRule type="expression" priority="133" dxfId="0">
      <formula>AND(COUNT(C24:F24)=4,D24=4)</formula>
    </cfRule>
    <cfRule type="expression" priority="134" dxfId="1">
      <formula>AND(COUNT(C24:F24)=4,D24&lt;4*0.4)</formula>
    </cfRule>
    <cfRule type="expression" priority="135" dxfId="2">
      <formula>AND(COUNT(C24:F24)=4,D24&gt;=4*0.4,D24&lt;4)</formula>
    </cfRule>
  </conditionalFormatting>
  <conditionalFormatting sqref="D25">
    <cfRule type="expression" priority="136" dxfId="0">
      <formula>AND(COUNT(C25:F25)=4,D25=4)</formula>
    </cfRule>
    <cfRule type="expression" priority="137" dxfId="1">
      <formula>AND(COUNT(C25:F25)=4,D25&lt;4*0.4)</formula>
    </cfRule>
    <cfRule type="expression" priority="138" dxfId="2">
      <formula>AND(COUNT(C25:F25)=4,D25&gt;=4*0.4,D25&lt;4)</formula>
    </cfRule>
  </conditionalFormatting>
  <conditionalFormatting sqref="D26">
    <cfRule type="expression" priority="139" dxfId="0">
      <formula>AND(COUNT(C26:F26)=4,D26=4)</formula>
    </cfRule>
    <cfRule type="expression" priority="140" dxfId="1">
      <formula>AND(COUNT(C26:F26)=4,D26&lt;4*0.4)</formula>
    </cfRule>
    <cfRule type="expression" priority="141" dxfId="2">
      <formula>AND(COUNT(C26:F26)=4,D26&gt;=4*0.4,D26&lt;4)</formula>
    </cfRule>
  </conditionalFormatting>
  <conditionalFormatting sqref="D27">
    <cfRule type="expression" priority="142" dxfId="0">
      <formula>AND(COUNT(C27:F27)=4,D27=4)</formula>
    </cfRule>
    <cfRule type="expression" priority="143" dxfId="1">
      <formula>AND(COUNT(C27:F27)=4,D27&lt;4*0.4)</formula>
    </cfRule>
    <cfRule type="expression" priority="144" dxfId="2">
      <formula>AND(COUNT(C27:F27)=4,D27&gt;=4*0.4,D27&lt;4)</formula>
    </cfRule>
  </conditionalFormatting>
  <conditionalFormatting sqref="D28">
    <cfRule type="expression" priority="145" dxfId="0">
      <formula>AND(COUNT(C28:F28)=4,D28=4)</formula>
    </cfRule>
    <cfRule type="expression" priority="146" dxfId="1">
      <formula>AND(COUNT(C28:F28)=4,D28&lt;4*0.4)</formula>
    </cfRule>
    <cfRule type="expression" priority="147" dxfId="2">
      <formula>AND(COUNT(C28:F28)=4,D28&gt;=4*0.4,D28&lt;4)</formula>
    </cfRule>
  </conditionalFormatting>
  <conditionalFormatting sqref="D29">
    <cfRule type="expression" priority="148" dxfId="0">
      <formula>AND(COUNT(C29:F29)=4,D29=4)</formula>
    </cfRule>
    <cfRule type="expression" priority="149" dxfId="1">
      <formula>AND(COUNT(C29:F29)=4,D29&lt;4*0.4)</formula>
    </cfRule>
    <cfRule type="expression" priority="150" dxfId="2">
      <formula>AND(COUNT(C29:F29)=4,D29&gt;=4*0.4,D29&lt;4)</formula>
    </cfRule>
  </conditionalFormatting>
  <conditionalFormatting sqref="D30">
    <cfRule type="expression" priority="151" dxfId="0">
      <formula>AND(COUNT(C30:F30)=4,D30=4)</formula>
    </cfRule>
    <cfRule type="expression" priority="152" dxfId="1">
      <formula>AND(COUNT(C30:F30)=4,D30&lt;4*0.4)</formula>
    </cfRule>
    <cfRule type="expression" priority="153" dxfId="2">
      <formula>AND(COUNT(C30:F30)=4,D30&gt;=4*0.4,D30&lt;4)</formula>
    </cfRule>
  </conditionalFormatting>
  <conditionalFormatting sqref="D31">
    <cfRule type="expression" priority="154" dxfId="0">
      <formula>AND(COUNT(C31:F31)=4,D31=4)</formula>
    </cfRule>
    <cfRule type="expression" priority="155" dxfId="1">
      <formula>AND(COUNT(C31:F31)=4,D31&lt;4*0.4)</formula>
    </cfRule>
    <cfRule type="expression" priority="156" dxfId="2">
      <formula>AND(COUNT(C31:F31)=4,D31&gt;=4*0.4,D31&lt;4)</formula>
    </cfRule>
  </conditionalFormatting>
  <conditionalFormatting sqref="D32">
    <cfRule type="expression" priority="157" dxfId="0">
      <formula>AND(COUNT(C32:F32)=4,D32=4)</formula>
    </cfRule>
    <cfRule type="expression" priority="158" dxfId="1">
      <formula>AND(COUNT(C32:F32)=4,D32&lt;4*0.4)</formula>
    </cfRule>
    <cfRule type="expression" priority="159" dxfId="2">
      <formula>AND(COUNT(C32:F32)=4,D32&gt;=4*0.4,D32&lt;4)</formula>
    </cfRule>
  </conditionalFormatting>
  <conditionalFormatting sqref="D33">
    <cfRule type="expression" priority="160" dxfId="0">
      <formula>AND(COUNT(C33:F33)=4,D33=4)</formula>
    </cfRule>
    <cfRule type="expression" priority="161" dxfId="1">
      <formula>AND(COUNT(C33:F33)=4,D33&lt;4*0.4)</formula>
    </cfRule>
    <cfRule type="expression" priority="162" dxfId="2">
      <formula>AND(COUNT(C33:F33)=4,D33&gt;=4*0.4,D33&lt;4)</formula>
    </cfRule>
  </conditionalFormatting>
  <conditionalFormatting sqref="D34">
    <cfRule type="expression" priority="163" dxfId="0">
      <formula>AND(COUNT(C34:F34)=4,D34=4)</formula>
    </cfRule>
    <cfRule type="expression" priority="164" dxfId="1">
      <formula>AND(COUNT(C34:F34)=4,D34&lt;4*0.4)</formula>
    </cfRule>
    <cfRule type="expression" priority="165" dxfId="2">
      <formula>AND(COUNT(C34:F34)=4,D34&gt;=4*0.4,D34&lt;4)</formula>
    </cfRule>
  </conditionalFormatting>
  <conditionalFormatting sqref="D35">
    <cfRule type="expression" priority="166" dxfId="0">
      <formula>AND(COUNT(C35:F35)=4,D35=4)</formula>
    </cfRule>
    <cfRule type="expression" priority="167" dxfId="1">
      <formula>AND(COUNT(C35:F35)=4,D35&lt;4*0.4)</formula>
    </cfRule>
    <cfRule type="expression" priority="168" dxfId="2">
      <formula>AND(COUNT(C35:F35)=4,D35&gt;=4*0.4,D35&lt;4)</formula>
    </cfRule>
  </conditionalFormatting>
  <conditionalFormatting sqref="D36">
    <cfRule type="expression" priority="169" dxfId="0">
      <formula>AND(COUNT(C36:F36)=4,D36=4)</formula>
    </cfRule>
    <cfRule type="expression" priority="170" dxfId="1">
      <formula>AND(COUNT(C36:F36)=4,D36&lt;4*0.4)</formula>
    </cfRule>
    <cfRule type="expression" priority="171" dxfId="2">
      <formula>AND(COUNT(C36:F36)=4,D36&gt;=4*0.4,D36&lt;4)</formula>
    </cfRule>
  </conditionalFormatting>
  <conditionalFormatting sqref="D37">
    <cfRule type="expression" priority="172" dxfId="0">
      <formula>AND(COUNT(C37:F37)=4,D37=4)</formula>
    </cfRule>
    <cfRule type="expression" priority="173" dxfId="1">
      <formula>AND(COUNT(C37:F37)=4,D37&lt;4*0.4)</formula>
    </cfRule>
    <cfRule type="expression" priority="174" dxfId="2">
      <formula>AND(COUNT(C37:F37)=4,D37&gt;=4*0.4,D37&lt;4)</formula>
    </cfRule>
  </conditionalFormatting>
  <conditionalFormatting sqref="D38">
    <cfRule type="expression" priority="175" dxfId="0">
      <formula>AND(COUNT(C38:F38)=4,D38=4)</formula>
    </cfRule>
    <cfRule type="expression" priority="176" dxfId="1">
      <formula>AND(COUNT(C38:F38)=4,D38&lt;4*0.4)</formula>
    </cfRule>
    <cfRule type="expression" priority="177" dxfId="2">
      <formula>AND(COUNT(C38:F38)=4,D38&gt;=4*0.4,D38&lt;4)</formula>
    </cfRule>
  </conditionalFormatting>
  <conditionalFormatting sqref="D39">
    <cfRule type="expression" priority="178" dxfId="0">
      <formula>AND(COUNT(C39:F39)=4,D39=4)</formula>
    </cfRule>
    <cfRule type="expression" priority="179" dxfId="1">
      <formula>AND(COUNT(C39:F39)=4,D39&lt;4*0.4)</formula>
    </cfRule>
    <cfRule type="expression" priority="180" dxfId="2">
      <formula>AND(COUNT(C39:F39)=4,D39&gt;=4*0.4,D39&lt;4)</formula>
    </cfRule>
  </conditionalFormatting>
  <conditionalFormatting sqref="D40">
    <cfRule type="expression" priority="181" dxfId="0">
      <formula>AND(COUNT(C40:F40)=4,D40=4)</formula>
    </cfRule>
    <cfRule type="expression" priority="182" dxfId="1">
      <formula>AND(COUNT(C40:F40)=4,D40&lt;4*0.4)</formula>
    </cfRule>
    <cfRule type="expression" priority="183" dxfId="2">
      <formula>AND(COUNT(C40:F40)=4,D40&gt;=4*0.4,D40&lt;4)</formula>
    </cfRule>
  </conditionalFormatting>
  <conditionalFormatting sqref="D41">
    <cfRule type="expression" priority="184" dxfId="0">
      <formula>AND(COUNT(C41:F41)=4,D41=4)</formula>
    </cfRule>
    <cfRule type="expression" priority="185" dxfId="1">
      <formula>AND(COUNT(C41:F41)=4,D41&lt;4*0.4)</formula>
    </cfRule>
    <cfRule type="expression" priority="186" dxfId="2">
      <formula>AND(COUNT(C41:F41)=4,D41&gt;=4*0.4,D41&lt;4)</formula>
    </cfRule>
  </conditionalFormatting>
  <conditionalFormatting sqref="E11">
    <cfRule type="expression" priority="187" dxfId="0">
      <formula>AND(COUNT(C11:F11)=4,E11=8)</formula>
    </cfRule>
    <cfRule type="expression" priority="188" dxfId="1">
      <formula>AND(COUNT(C11:F11)=4,E11&lt;8*0.4)</formula>
    </cfRule>
    <cfRule type="expression" priority="189" dxfId="2">
      <formula>AND(COUNT(C11:F11)=4,E11&gt;=8*0.4,E11&lt;8)</formula>
    </cfRule>
  </conditionalFormatting>
  <conditionalFormatting sqref="E12">
    <cfRule type="expression" priority="190" dxfId="0">
      <formula>AND(COUNT(C12:F12)=4,E12=8)</formula>
    </cfRule>
    <cfRule type="expression" priority="191" dxfId="1">
      <formula>AND(COUNT(C12:F12)=4,E12&lt;8*0.4)</formula>
    </cfRule>
    <cfRule type="expression" priority="192" dxfId="2">
      <formula>AND(COUNT(C12:F12)=4,E12&gt;=8*0.4,E12&lt;8)</formula>
    </cfRule>
  </conditionalFormatting>
  <conditionalFormatting sqref="E13">
    <cfRule type="expression" priority="193" dxfId="0">
      <formula>AND(COUNT(C13:F13)=4,E13=8)</formula>
    </cfRule>
    <cfRule type="expression" priority="194" dxfId="1">
      <formula>AND(COUNT(C13:F13)=4,E13&lt;8*0.4)</formula>
    </cfRule>
    <cfRule type="expression" priority="195" dxfId="2">
      <formula>AND(COUNT(C13:F13)=4,E13&gt;=8*0.4,E13&lt;8)</formula>
    </cfRule>
  </conditionalFormatting>
  <conditionalFormatting sqref="E14">
    <cfRule type="expression" priority="196" dxfId="0">
      <formula>AND(COUNT(C14:F14)=4,E14=8)</formula>
    </cfRule>
    <cfRule type="expression" priority="197" dxfId="1">
      <formula>AND(COUNT(C14:F14)=4,E14&lt;8*0.4)</formula>
    </cfRule>
    <cfRule type="expression" priority="198" dxfId="2">
      <formula>AND(COUNT(C14:F14)=4,E14&gt;=8*0.4,E14&lt;8)</formula>
    </cfRule>
  </conditionalFormatting>
  <conditionalFormatting sqref="E15">
    <cfRule type="expression" priority="199" dxfId="0">
      <formula>AND(COUNT(C15:F15)=4,E15=8)</formula>
    </cfRule>
    <cfRule type="expression" priority="200" dxfId="1">
      <formula>AND(COUNT(C15:F15)=4,E15&lt;8*0.4)</formula>
    </cfRule>
    <cfRule type="expression" priority="201" dxfId="2">
      <formula>AND(COUNT(C15:F15)=4,E15&gt;=8*0.4,E15&lt;8)</formula>
    </cfRule>
  </conditionalFormatting>
  <conditionalFormatting sqref="E16">
    <cfRule type="expression" priority="202" dxfId="0">
      <formula>AND(COUNT(C16:F16)=4,E16=8)</formula>
    </cfRule>
    <cfRule type="expression" priority="203" dxfId="1">
      <formula>AND(COUNT(C16:F16)=4,E16&lt;8*0.4)</formula>
    </cfRule>
    <cfRule type="expression" priority="204" dxfId="2">
      <formula>AND(COUNT(C16:F16)=4,E16&gt;=8*0.4,E16&lt;8)</formula>
    </cfRule>
  </conditionalFormatting>
  <conditionalFormatting sqref="E17">
    <cfRule type="expression" priority="205" dxfId="0">
      <formula>AND(COUNT(C17:F17)=4,E17=8)</formula>
    </cfRule>
    <cfRule type="expression" priority="206" dxfId="1">
      <formula>AND(COUNT(C17:F17)=4,E17&lt;8*0.4)</formula>
    </cfRule>
    <cfRule type="expression" priority="207" dxfId="2">
      <formula>AND(COUNT(C17:F17)=4,E17&gt;=8*0.4,E17&lt;8)</formula>
    </cfRule>
  </conditionalFormatting>
  <conditionalFormatting sqref="E18">
    <cfRule type="expression" priority="208" dxfId="0">
      <formula>AND(COUNT(C18:F18)=4,E18=8)</formula>
    </cfRule>
    <cfRule type="expression" priority="209" dxfId="1">
      <formula>AND(COUNT(C18:F18)=4,E18&lt;8*0.4)</formula>
    </cfRule>
    <cfRule type="expression" priority="210" dxfId="2">
      <formula>AND(COUNT(C18:F18)=4,E18&gt;=8*0.4,E18&lt;8)</formula>
    </cfRule>
  </conditionalFormatting>
  <conditionalFormatting sqref="E19">
    <cfRule type="expression" priority="211" dxfId="0">
      <formula>AND(COUNT(C19:F19)=4,E19=8)</formula>
    </cfRule>
    <cfRule type="expression" priority="212" dxfId="1">
      <formula>AND(COUNT(C19:F19)=4,E19&lt;8*0.4)</formula>
    </cfRule>
    <cfRule type="expression" priority="213" dxfId="2">
      <formula>AND(COUNT(C19:F19)=4,E19&gt;=8*0.4,E19&lt;8)</formula>
    </cfRule>
  </conditionalFormatting>
  <conditionalFormatting sqref="E20">
    <cfRule type="expression" priority="214" dxfId="0">
      <formula>AND(COUNT(C20:F20)=4,E20=8)</formula>
    </cfRule>
    <cfRule type="expression" priority="215" dxfId="1">
      <formula>AND(COUNT(C20:F20)=4,E20&lt;8*0.4)</formula>
    </cfRule>
    <cfRule type="expression" priority="216" dxfId="2">
      <formula>AND(COUNT(C20:F20)=4,E20&gt;=8*0.4,E20&lt;8)</formula>
    </cfRule>
  </conditionalFormatting>
  <conditionalFormatting sqref="E21">
    <cfRule type="expression" priority="217" dxfId="0">
      <formula>AND(COUNT(C21:F21)=4,E21=8)</formula>
    </cfRule>
    <cfRule type="expression" priority="218" dxfId="1">
      <formula>AND(COUNT(C21:F21)=4,E21&lt;8*0.4)</formula>
    </cfRule>
    <cfRule type="expression" priority="219" dxfId="2">
      <formula>AND(COUNT(C21:F21)=4,E21&gt;=8*0.4,E21&lt;8)</formula>
    </cfRule>
  </conditionalFormatting>
  <conditionalFormatting sqref="E22">
    <cfRule type="expression" priority="220" dxfId="0">
      <formula>AND(COUNT(C22:F22)=4,E22=8)</formula>
    </cfRule>
    <cfRule type="expression" priority="221" dxfId="1">
      <formula>AND(COUNT(C22:F22)=4,E22&lt;8*0.4)</formula>
    </cfRule>
    <cfRule type="expression" priority="222" dxfId="2">
      <formula>AND(COUNT(C22:F22)=4,E22&gt;=8*0.4,E22&lt;8)</formula>
    </cfRule>
  </conditionalFormatting>
  <conditionalFormatting sqref="E23">
    <cfRule type="expression" priority="223" dxfId="0">
      <formula>AND(COUNT(C23:F23)=4,E23=8)</formula>
    </cfRule>
    <cfRule type="expression" priority="224" dxfId="1">
      <formula>AND(COUNT(C23:F23)=4,E23&lt;8*0.4)</formula>
    </cfRule>
    <cfRule type="expression" priority="225" dxfId="2">
      <formula>AND(COUNT(C23:F23)=4,E23&gt;=8*0.4,E23&lt;8)</formula>
    </cfRule>
  </conditionalFormatting>
  <conditionalFormatting sqref="E24">
    <cfRule type="expression" priority="226" dxfId="0">
      <formula>AND(COUNT(C24:F24)=4,E24=8)</formula>
    </cfRule>
    <cfRule type="expression" priority="227" dxfId="1">
      <formula>AND(COUNT(C24:F24)=4,E24&lt;8*0.4)</formula>
    </cfRule>
    <cfRule type="expression" priority="228" dxfId="2">
      <formula>AND(COUNT(C24:F24)=4,E24&gt;=8*0.4,E24&lt;8)</formula>
    </cfRule>
  </conditionalFormatting>
  <conditionalFormatting sqref="E25">
    <cfRule type="expression" priority="229" dxfId="0">
      <formula>AND(COUNT(C25:F25)=4,E25=8)</formula>
    </cfRule>
    <cfRule type="expression" priority="230" dxfId="1">
      <formula>AND(COUNT(C25:F25)=4,E25&lt;8*0.4)</formula>
    </cfRule>
    <cfRule type="expression" priority="231" dxfId="2">
      <formula>AND(COUNT(C25:F25)=4,E25&gt;=8*0.4,E25&lt;8)</formula>
    </cfRule>
  </conditionalFormatting>
  <conditionalFormatting sqref="E26">
    <cfRule type="expression" priority="232" dxfId="0">
      <formula>AND(COUNT(C26:F26)=4,E26=8)</formula>
    </cfRule>
    <cfRule type="expression" priority="233" dxfId="1">
      <formula>AND(COUNT(C26:F26)=4,E26&lt;8*0.4)</formula>
    </cfRule>
    <cfRule type="expression" priority="234" dxfId="2">
      <formula>AND(COUNT(C26:F26)=4,E26&gt;=8*0.4,E26&lt;8)</formula>
    </cfRule>
  </conditionalFormatting>
  <conditionalFormatting sqref="E27">
    <cfRule type="expression" priority="235" dxfId="0">
      <formula>AND(COUNT(C27:F27)=4,E27=8)</formula>
    </cfRule>
    <cfRule type="expression" priority="236" dxfId="1">
      <formula>AND(COUNT(C27:F27)=4,E27&lt;8*0.4)</formula>
    </cfRule>
    <cfRule type="expression" priority="237" dxfId="2">
      <formula>AND(COUNT(C27:F27)=4,E27&gt;=8*0.4,E27&lt;8)</formula>
    </cfRule>
  </conditionalFormatting>
  <conditionalFormatting sqref="E28">
    <cfRule type="expression" priority="238" dxfId="0">
      <formula>AND(COUNT(C28:F28)=4,E28=8)</formula>
    </cfRule>
    <cfRule type="expression" priority="239" dxfId="1">
      <formula>AND(COUNT(C28:F28)=4,E28&lt;8*0.4)</formula>
    </cfRule>
    <cfRule type="expression" priority="240" dxfId="2">
      <formula>AND(COUNT(C28:F28)=4,E28&gt;=8*0.4,E28&lt;8)</formula>
    </cfRule>
  </conditionalFormatting>
  <conditionalFormatting sqref="E29">
    <cfRule type="expression" priority="241" dxfId="0">
      <formula>AND(COUNT(C29:F29)=4,E29=8)</formula>
    </cfRule>
    <cfRule type="expression" priority="242" dxfId="1">
      <formula>AND(COUNT(C29:F29)=4,E29&lt;8*0.4)</formula>
    </cfRule>
    <cfRule type="expression" priority="243" dxfId="2">
      <formula>AND(COUNT(C29:F29)=4,E29&gt;=8*0.4,E29&lt;8)</formula>
    </cfRule>
  </conditionalFormatting>
  <conditionalFormatting sqref="E30">
    <cfRule type="expression" priority="244" dxfId="0">
      <formula>AND(COUNT(C30:F30)=4,E30=8)</formula>
    </cfRule>
    <cfRule type="expression" priority="245" dxfId="1">
      <formula>AND(COUNT(C30:F30)=4,E30&lt;8*0.4)</formula>
    </cfRule>
    <cfRule type="expression" priority="246" dxfId="2">
      <formula>AND(COUNT(C30:F30)=4,E30&gt;=8*0.4,E30&lt;8)</formula>
    </cfRule>
  </conditionalFormatting>
  <conditionalFormatting sqref="E31">
    <cfRule type="expression" priority="247" dxfId="0">
      <formula>AND(COUNT(C31:F31)=4,E31=8)</formula>
    </cfRule>
    <cfRule type="expression" priority="248" dxfId="1">
      <formula>AND(COUNT(C31:F31)=4,E31&lt;8*0.4)</formula>
    </cfRule>
    <cfRule type="expression" priority="249" dxfId="2">
      <formula>AND(COUNT(C31:F31)=4,E31&gt;=8*0.4,E31&lt;8)</formula>
    </cfRule>
  </conditionalFormatting>
  <conditionalFormatting sqref="E32">
    <cfRule type="expression" priority="250" dxfId="0">
      <formula>AND(COUNT(C32:F32)=4,E32=8)</formula>
    </cfRule>
    <cfRule type="expression" priority="251" dxfId="1">
      <formula>AND(COUNT(C32:F32)=4,E32&lt;8*0.4)</formula>
    </cfRule>
    <cfRule type="expression" priority="252" dxfId="2">
      <formula>AND(COUNT(C32:F32)=4,E32&gt;=8*0.4,E32&lt;8)</formula>
    </cfRule>
  </conditionalFormatting>
  <conditionalFormatting sqref="E33">
    <cfRule type="expression" priority="253" dxfId="0">
      <formula>AND(COUNT(C33:F33)=4,E33=8)</formula>
    </cfRule>
    <cfRule type="expression" priority="254" dxfId="1">
      <formula>AND(COUNT(C33:F33)=4,E33&lt;8*0.4)</formula>
    </cfRule>
    <cfRule type="expression" priority="255" dxfId="2">
      <formula>AND(COUNT(C33:F33)=4,E33&gt;=8*0.4,E33&lt;8)</formula>
    </cfRule>
  </conditionalFormatting>
  <conditionalFormatting sqref="E34">
    <cfRule type="expression" priority="256" dxfId="0">
      <formula>AND(COUNT(C34:F34)=4,E34=8)</formula>
    </cfRule>
    <cfRule type="expression" priority="257" dxfId="1">
      <formula>AND(COUNT(C34:F34)=4,E34&lt;8*0.4)</formula>
    </cfRule>
    <cfRule type="expression" priority="258" dxfId="2">
      <formula>AND(COUNT(C34:F34)=4,E34&gt;=8*0.4,E34&lt;8)</formula>
    </cfRule>
  </conditionalFormatting>
  <conditionalFormatting sqref="E35">
    <cfRule type="expression" priority="259" dxfId="0">
      <formula>AND(COUNT(C35:F35)=4,E35=8)</formula>
    </cfRule>
    <cfRule type="expression" priority="260" dxfId="1">
      <formula>AND(COUNT(C35:F35)=4,E35&lt;8*0.4)</formula>
    </cfRule>
    <cfRule type="expression" priority="261" dxfId="2">
      <formula>AND(COUNT(C35:F35)=4,E35&gt;=8*0.4,E35&lt;8)</formula>
    </cfRule>
  </conditionalFormatting>
  <conditionalFormatting sqref="E36">
    <cfRule type="expression" priority="262" dxfId="0">
      <formula>AND(COUNT(C36:F36)=4,E36=8)</formula>
    </cfRule>
    <cfRule type="expression" priority="263" dxfId="1">
      <formula>AND(COUNT(C36:F36)=4,E36&lt;8*0.4)</formula>
    </cfRule>
    <cfRule type="expression" priority="264" dxfId="2">
      <formula>AND(COUNT(C36:F36)=4,E36&gt;=8*0.4,E36&lt;8)</formula>
    </cfRule>
  </conditionalFormatting>
  <conditionalFormatting sqref="E37">
    <cfRule type="expression" priority="265" dxfId="0">
      <formula>AND(COUNT(C37:F37)=4,E37=8)</formula>
    </cfRule>
    <cfRule type="expression" priority="266" dxfId="1">
      <formula>AND(COUNT(C37:F37)=4,E37&lt;8*0.4)</formula>
    </cfRule>
    <cfRule type="expression" priority="267" dxfId="2">
      <formula>AND(COUNT(C37:F37)=4,E37&gt;=8*0.4,E37&lt;8)</formula>
    </cfRule>
  </conditionalFormatting>
  <conditionalFormatting sqref="E38">
    <cfRule type="expression" priority="268" dxfId="0">
      <formula>AND(COUNT(C38:F38)=4,E38=8)</formula>
    </cfRule>
    <cfRule type="expression" priority="269" dxfId="1">
      <formula>AND(COUNT(C38:F38)=4,E38&lt;8*0.4)</formula>
    </cfRule>
    <cfRule type="expression" priority="270" dxfId="2">
      <formula>AND(COUNT(C38:F38)=4,E38&gt;=8*0.4,E38&lt;8)</formula>
    </cfRule>
  </conditionalFormatting>
  <conditionalFormatting sqref="E39">
    <cfRule type="expression" priority="271" dxfId="0">
      <formula>AND(COUNT(C39:F39)=4,E39=8)</formula>
    </cfRule>
    <cfRule type="expression" priority="272" dxfId="1">
      <formula>AND(COUNT(C39:F39)=4,E39&lt;8*0.4)</formula>
    </cfRule>
    <cfRule type="expression" priority="273" dxfId="2">
      <formula>AND(COUNT(C39:F39)=4,E39&gt;=8*0.4,E39&lt;8)</formula>
    </cfRule>
  </conditionalFormatting>
  <conditionalFormatting sqref="E40">
    <cfRule type="expression" priority="274" dxfId="0">
      <formula>AND(COUNT(C40:F40)=4,E40=8)</formula>
    </cfRule>
    <cfRule type="expression" priority="275" dxfId="1">
      <formula>AND(COUNT(C40:F40)=4,E40&lt;8*0.4)</formula>
    </cfRule>
    <cfRule type="expression" priority="276" dxfId="2">
      <formula>AND(COUNT(C40:F40)=4,E40&gt;=8*0.4,E40&lt;8)</formula>
    </cfRule>
  </conditionalFormatting>
  <conditionalFormatting sqref="E41">
    <cfRule type="expression" priority="277" dxfId="0">
      <formula>AND(COUNT(C41:F41)=4,E41=8)</formula>
    </cfRule>
    <cfRule type="expression" priority="278" dxfId="1">
      <formula>AND(COUNT(C41:F41)=4,E41&lt;8*0.4)</formula>
    </cfRule>
    <cfRule type="expression" priority="279" dxfId="2">
      <formula>AND(COUNT(C41:F41)=4,E41&gt;=8*0.4,E41&lt;8)</formula>
    </cfRule>
  </conditionalFormatting>
  <conditionalFormatting sqref="F11">
    <cfRule type="expression" priority="280" dxfId="0">
      <formula>AND(COUNT(C11:F11)=4,F11=6)</formula>
    </cfRule>
    <cfRule type="expression" priority="281" dxfId="1">
      <formula>AND(COUNT(C11:F11)=4,F11&lt;6*0.4)</formula>
    </cfRule>
    <cfRule type="expression" priority="282" dxfId="2">
      <formula>AND(COUNT(C11:F11)=4,F11&gt;=6*0.4,F11&lt;6)</formula>
    </cfRule>
  </conditionalFormatting>
  <conditionalFormatting sqref="F12">
    <cfRule type="expression" priority="283" dxfId="0">
      <formula>AND(COUNT(C12:F12)=4,F12=6)</formula>
    </cfRule>
    <cfRule type="expression" priority="284" dxfId="1">
      <formula>AND(COUNT(C12:F12)=4,F12&lt;6*0.4)</formula>
    </cfRule>
    <cfRule type="expression" priority="285" dxfId="2">
      <formula>AND(COUNT(C12:F12)=4,F12&gt;=6*0.4,F12&lt;6)</formula>
    </cfRule>
  </conditionalFormatting>
  <conditionalFormatting sqref="F13">
    <cfRule type="expression" priority="286" dxfId="0">
      <formula>AND(COUNT(C13:F13)=4,F13=6)</formula>
    </cfRule>
    <cfRule type="expression" priority="287" dxfId="1">
      <formula>AND(COUNT(C13:F13)=4,F13&lt;6*0.4)</formula>
    </cfRule>
    <cfRule type="expression" priority="288" dxfId="2">
      <formula>AND(COUNT(C13:F13)=4,F13&gt;=6*0.4,F13&lt;6)</formula>
    </cfRule>
  </conditionalFormatting>
  <conditionalFormatting sqref="F14">
    <cfRule type="expression" priority="289" dxfId="0">
      <formula>AND(COUNT(C14:F14)=4,F14=6)</formula>
    </cfRule>
    <cfRule type="expression" priority="290" dxfId="1">
      <formula>AND(COUNT(C14:F14)=4,F14&lt;6*0.4)</formula>
    </cfRule>
    <cfRule type="expression" priority="291" dxfId="2">
      <formula>AND(COUNT(C14:F14)=4,F14&gt;=6*0.4,F14&lt;6)</formula>
    </cfRule>
  </conditionalFormatting>
  <conditionalFormatting sqref="F15">
    <cfRule type="expression" priority="292" dxfId="0">
      <formula>AND(COUNT(C15:F15)=4,F15=6)</formula>
    </cfRule>
    <cfRule type="expression" priority="293" dxfId="1">
      <formula>AND(COUNT(C15:F15)=4,F15&lt;6*0.4)</formula>
    </cfRule>
    <cfRule type="expression" priority="294" dxfId="2">
      <formula>AND(COUNT(C15:F15)=4,F15&gt;=6*0.4,F15&lt;6)</formula>
    </cfRule>
  </conditionalFormatting>
  <conditionalFormatting sqref="F16">
    <cfRule type="expression" priority="295" dxfId="0">
      <formula>AND(COUNT(C16:F16)=4,F16=6)</formula>
    </cfRule>
    <cfRule type="expression" priority="296" dxfId="1">
      <formula>AND(COUNT(C16:F16)=4,F16&lt;6*0.4)</formula>
    </cfRule>
    <cfRule type="expression" priority="297" dxfId="2">
      <formula>AND(COUNT(C16:F16)=4,F16&gt;=6*0.4,F16&lt;6)</formula>
    </cfRule>
  </conditionalFormatting>
  <conditionalFormatting sqref="F17">
    <cfRule type="expression" priority="298" dxfId="0">
      <formula>AND(COUNT(C17:F17)=4,F17=6)</formula>
    </cfRule>
    <cfRule type="expression" priority="299" dxfId="1">
      <formula>AND(COUNT(C17:F17)=4,F17&lt;6*0.4)</formula>
    </cfRule>
    <cfRule type="expression" priority="300" dxfId="2">
      <formula>AND(COUNT(C17:F17)=4,F17&gt;=6*0.4,F17&lt;6)</formula>
    </cfRule>
  </conditionalFormatting>
  <conditionalFormatting sqref="F18">
    <cfRule type="expression" priority="301" dxfId="0">
      <formula>AND(COUNT(C18:F18)=4,F18=6)</formula>
    </cfRule>
    <cfRule type="expression" priority="302" dxfId="1">
      <formula>AND(COUNT(C18:F18)=4,F18&lt;6*0.4)</formula>
    </cfRule>
    <cfRule type="expression" priority="303" dxfId="2">
      <formula>AND(COUNT(C18:F18)=4,F18&gt;=6*0.4,F18&lt;6)</formula>
    </cfRule>
  </conditionalFormatting>
  <conditionalFormatting sqref="F19">
    <cfRule type="expression" priority="304" dxfId="0">
      <formula>AND(COUNT(C19:F19)=4,F19=6)</formula>
    </cfRule>
    <cfRule type="expression" priority="305" dxfId="1">
      <formula>AND(COUNT(C19:F19)=4,F19&lt;6*0.4)</formula>
    </cfRule>
    <cfRule type="expression" priority="306" dxfId="2">
      <formula>AND(COUNT(C19:F19)=4,F19&gt;=6*0.4,F19&lt;6)</formula>
    </cfRule>
  </conditionalFormatting>
  <conditionalFormatting sqref="F20">
    <cfRule type="expression" priority="307" dxfId="0">
      <formula>AND(COUNT(C20:F20)=4,F20=6)</formula>
    </cfRule>
    <cfRule type="expression" priority="308" dxfId="1">
      <formula>AND(COUNT(C20:F20)=4,F20&lt;6*0.4)</formula>
    </cfRule>
    <cfRule type="expression" priority="309" dxfId="2">
      <formula>AND(COUNT(C20:F20)=4,F20&gt;=6*0.4,F20&lt;6)</formula>
    </cfRule>
  </conditionalFormatting>
  <conditionalFormatting sqref="F21">
    <cfRule type="expression" priority="310" dxfId="0">
      <formula>AND(COUNT(C21:F21)=4,F21=6)</formula>
    </cfRule>
    <cfRule type="expression" priority="311" dxfId="1">
      <formula>AND(COUNT(C21:F21)=4,F21&lt;6*0.4)</formula>
    </cfRule>
    <cfRule type="expression" priority="312" dxfId="2">
      <formula>AND(COUNT(C21:F21)=4,F21&gt;=6*0.4,F21&lt;6)</formula>
    </cfRule>
  </conditionalFormatting>
  <conditionalFormatting sqref="F22">
    <cfRule type="expression" priority="313" dxfId="0">
      <formula>AND(COUNT(C22:F22)=4,F22=6)</formula>
    </cfRule>
    <cfRule type="expression" priority="314" dxfId="1">
      <formula>AND(COUNT(C22:F22)=4,F22&lt;6*0.4)</formula>
    </cfRule>
    <cfRule type="expression" priority="315" dxfId="2">
      <formula>AND(COUNT(C22:F22)=4,F22&gt;=6*0.4,F22&lt;6)</formula>
    </cfRule>
  </conditionalFormatting>
  <conditionalFormatting sqref="F23">
    <cfRule type="expression" priority="316" dxfId="0">
      <formula>AND(COUNT(C23:F23)=4,F23=6)</formula>
    </cfRule>
    <cfRule type="expression" priority="317" dxfId="1">
      <formula>AND(COUNT(C23:F23)=4,F23&lt;6*0.4)</formula>
    </cfRule>
    <cfRule type="expression" priority="318" dxfId="2">
      <formula>AND(COUNT(C23:F23)=4,F23&gt;=6*0.4,F23&lt;6)</formula>
    </cfRule>
  </conditionalFormatting>
  <conditionalFormatting sqref="F24">
    <cfRule type="expression" priority="319" dxfId="0">
      <formula>AND(COUNT(C24:F24)=4,F24=6)</formula>
    </cfRule>
    <cfRule type="expression" priority="320" dxfId="1">
      <formula>AND(COUNT(C24:F24)=4,F24&lt;6*0.4)</formula>
    </cfRule>
    <cfRule type="expression" priority="321" dxfId="2">
      <formula>AND(COUNT(C24:F24)=4,F24&gt;=6*0.4,F24&lt;6)</formula>
    </cfRule>
  </conditionalFormatting>
  <conditionalFormatting sqref="F25">
    <cfRule type="expression" priority="322" dxfId="0">
      <formula>AND(COUNT(C25:F25)=4,F25=6)</formula>
    </cfRule>
    <cfRule type="expression" priority="323" dxfId="1">
      <formula>AND(COUNT(C25:F25)=4,F25&lt;6*0.4)</formula>
    </cfRule>
    <cfRule type="expression" priority="324" dxfId="2">
      <formula>AND(COUNT(C25:F25)=4,F25&gt;=6*0.4,F25&lt;6)</formula>
    </cfRule>
  </conditionalFormatting>
  <conditionalFormatting sqref="F26">
    <cfRule type="expression" priority="325" dxfId="0">
      <formula>AND(COUNT(C26:F26)=4,F26=6)</formula>
    </cfRule>
    <cfRule type="expression" priority="326" dxfId="1">
      <formula>AND(COUNT(C26:F26)=4,F26&lt;6*0.4)</formula>
    </cfRule>
    <cfRule type="expression" priority="327" dxfId="2">
      <formula>AND(COUNT(C26:F26)=4,F26&gt;=6*0.4,F26&lt;6)</formula>
    </cfRule>
  </conditionalFormatting>
  <conditionalFormatting sqref="F27">
    <cfRule type="expression" priority="328" dxfId="0">
      <formula>AND(COUNT(C27:F27)=4,F27=6)</formula>
    </cfRule>
    <cfRule type="expression" priority="329" dxfId="1">
      <formula>AND(COUNT(C27:F27)=4,F27&lt;6*0.4)</formula>
    </cfRule>
    <cfRule type="expression" priority="330" dxfId="2">
      <formula>AND(COUNT(C27:F27)=4,F27&gt;=6*0.4,F27&lt;6)</formula>
    </cfRule>
  </conditionalFormatting>
  <conditionalFormatting sqref="F28">
    <cfRule type="expression" priority="331" dxfId="0">
      <formula>AND(COUNT(C28:F28)=4,F28=6)</formula>
    </cfRule>
    <cfRule type="expression" priority="332" dxfId="1">
      <formula>AND(COUNT(C28:F28)=4,F28&lt;6*0.4)</formula>
    </cfRule>
    <cfRule type="expression" priority="333" dxfId="2">
      <formula>AND(COUNT(C28:F28)=4,F28&gt;=6*0.4,F28&lt;6)</formula>
    </cfRule>
  </conditionalFormatting>
  <conditionalFormatting sqref="F29">
    <cfRule type="expression" priority="334" dxfId="0">
      <formula>AND(COUNT(C29:F29)=4,F29=6)</formula>
    </cfRule>
    <cfRule type="expression" priority="335" dxfId="1">
      <formula>AND(COUNT(C29:F29)=4,F29&lt;6*0.4)</formula>
    </cfRule>
    <cfRule type="expression" priority="336" dxfId="2">
      <formula>AND(COUNT(C29:F29)=4,F29&gt;=6*0.4,F29&lt;6)</formula>
    </cfRule>
  </conditionalFormatting>
  <conditionalFormatting sqref="F30">
    <cfRule type="expression" priority="337" dxfId="0">
      <formula>AND(COUNT(C30:F30)=4,F30=6)</formula>
    </cfRule>
    <cfRule type="expression" priority="338" dxfId="1">
      <formula>AND(COUNT(C30:F30)=4,F30&lt;6*0.4)</formula>
    </cfRule>
    <cfRule type="expression" priority="339" dxfId="2">
      <formula>AND(COUNT(C30:F30)=4,F30&gt;=6*0.4,F30&lt;6)</formula>
    </cfRule>
  </conditionalFormatting>
  <conditionalFormatting sqref="F31">
    <cfRule type="expression" priority="340" dxfId="0">
      <formula>AND(COUNT(C31:F31)=4,F31=6)</formula>
    </cfRule>
    <cfRule type="expression" priority="341" dxfId="1">
      <formula>AND(COUNT(C31:F31)=4,F31&lt;6*0.4)</formula>
    </cfRule>
    <cfRule type="expression" priority="342" dxfId="2">
      <formula>AND(COUNT(C31:F31)=4,F31&gt;=6*0.4,F31&lt;6)</formula>
    </cfRule>
  </conditionalFormatting>
  <conditionalFormatting sqref="F32">
    <cfRule type="expression" priority="343" dxfId="0">
      <formula>AND(COUNT(C32:F32)=4,F32=6)</formula>
    </cfRule>
    <cfRule type="expression" priority="344" dxfId="1">
      <formula>AND(COUNT(C32:F32)=4,F32&lt;6*0.4)</formula>
    </cfRule>
    <cfRule type="expression" priority="345" dxfId="2">
      <formula>AND(COUNT(C32:F32)=4,F32&gt;=6*0.4,F32&lt;6)</formula>
    </cfRule>
  </conditionalFormatting>
  <conditionalFormatting sqref="F33">
    <cfRule type="expression" priority="346" dxfId="0">
      <formula>AND(COUNT(C33:F33)=4,F33=6)</formula>
    </cfRule>
    <cfRule type="expression" priority="347" dxfId="1">
      <formula>AND(COUNT(C33:F33)=4,F33&lt;6*0.4)</formula>
    </cfRule>
    <cfRule type="expression" priority="348" dxfId="2">
      <formula>AND(COUNT(C33:F33)=4,F33&gt;=6*0.4,F33&lt;6)</formula>
    </cfRule>
  </conditionalFormatting>
  <conditionalFormatting sqref="F34">
    <cfRule type="expression" priority="349" dxfId="0">
      <formula>AND(COUNT(C34:F34)=4,F34=6)</formula>
    </cfRule>
    <cfRule type="expression" priority="350" dxfId="1">
      <formula>AND(COUNT(C34:F34)=4,F34&lt;6*0.4)</formula>
    </cfRule>
    <cfRule type="expression" priority="351" dxfId="2">
      <formula>AND(COUNT(C34:F34)=4,F34&gt;=6*0.4,F34&lt;6)</formula>
    </cfRule>
  </conditionalFormatting>
  <conditionalFormatting sqref="F35">
    <cfRule type="expression" priority="352" dxfId="0">
      <formula>AND(COUNT(C35:F35)=4,F35=6)</formula>
    </cfRule>
    <cfRule type="expression" priority="353" dxfId="1">
      <formula>AND(COUNT(C35:F35)=4,F35&lt;6*0.4)</formula>
    </cfRule>
    <cfRule type="expression" priority="354" dxfId="2">
      <formula>AND(COUNT(C35:F35)=4,F35&gt;=6*0.4,F35&lt;6)</formula>
    </cfRule>
  </conditionalFormatting>
  <conditionalFormatting sqref="F36">
    <cfRule type="expression" priority="355" dxfId="0">
      <formula>AND(COUNT(C36:F36)=4,F36=6)</formula>
    </cfRule>
    <cfRule type="expression" priority="356" dxfId="1">
      <formula>AND(COUNT(C36:F36)=4,F36&lt;6*0.4)</formula>
    </cfRule>
    <cfRule type="expression" priority="357" dxfId="2">
      <formula>AND(COUNT(C36:F36)=4,F36&gt;=6*0.4,F36&lt;6)</formula>
    </cfRule>
  </conditionalFormatting>
  <conditionalFormatting sqref="F37">
    <cfRule type="expression" priority="358" dxfId="0">
      <formula>AND(COUNT(C37:F37)=4,F37=6)</formula>
    </cfRule>
    <cfRule type="expression" priority="359" dxfId="1">
      <formula>AND(COUNT(C37:F37)=4,F37&lt;6*0.4)</formula>
    </cfRule>
    <cfRule type="expression" priority="360" dxfId="2">
      <formula>AND(COUNT(C37:F37)=4,F37&gt;=6*0.4,F37&lt;6)</formula>
    </cfRule>
  </conditionalFormatting>
  <conditionalFormatting sqref="F38">
    <cfRule type="expression" priority="361" dxfId="0">
      <formula>AND(COUNT(C38:F38)=4,F38=6)</formula>
    </cfRule>
    <cfRule type="expression" priority="362" dxfId="1">
      <formula>AND(COUNT(C38:F38)=4,F38&lt;6*0.4)</formula>
    </cfRule>
    <cfRule type="expression" priority="363" dxfId="2">
      <formula>AND(COUNT(C38:F38)=4,F38&gt;=6*0.4,F38&lt;6)</formula>
    </cfRule>
  </conditionalFormatting>
  <conditionalFormatting sqref="F39">
    <cfRule type="expression" priority="364" dxfId="0">
      <formula>AND(COUNT(C39:F39)=4,F39=6)</formula>
    </cfRule>
    <cfRule type="expression" priority="365" dxfId="1">
      <formula>AND(COUNT(C39:F39)=4,F39&lt;6*0.4)</formula>
    </cfRule>
    <cfRule type="expression" priority="366" dxfId="2">
      <formula>AND(COUNT(C39:F39)=4,F39&gt;=6*0.4,F39&lt;6)</formula>
    </cfRule>
  </conditionalFormatting>
  <conditionalFormatting sqref="F40">
    <cfRule type="expression" priority="367" dxfId="0">
      <formula>AND(COUNT(C40:F40)=4,F40=6)</formula>
    </cfRule>
    <cfRule type="expression" priority="368" dxfId="1">
      <formula>AND(COUNT(C40:F40)=4,F40&lt;6*0.4)</formula>
    </cfRule>
    <cfRule type="expression" priority="369" dxfId="2">
      <formula>AND(COUNT(C40:F40)=4,F40&gt;=6*0.4,F40&lt;6)</formula>
    </cfRule>
  </conditionalFormatting>
  <conditionalFormatting sqref="F41">
    <cfRule type="expression" priority="370" dxfId="0">
      <formula>AND(COUNT(C41:F41)=4,F41=6)</formula>
    </cfRule>
    <cfRule type="expression" priority="371" dxfId="1">
      <formula>AND(COUNT(C41:F41)=4,F41&lt;6*0.4)</formula>
    </cfRule>
    <cfRule type="expression" priority="372" dxfId="2">
      <formula>AND(COUNT(C41:F41)=4,F41&gt;=6*0.4,F41&lt;6)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Mini Test 1.1 — Analysis of Data</t>
        </is>
      </c>
    </row>
    <row r="2">
      <c r="A2" s="2" t="inlineStr">
        <is>
          <t>Every block below pulls live from 'MT 1.1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SUMPRODUCT(--ISNUMBER('MT 1.1 Results'!I12:I41))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IF('MT 1.1 Results'!I12="","","Mini Test 1.1 — Analysis of Data")</f>
        <v/>
      </c>
      <c r="K5">
        <f>IF('MT 1.1 Results'!I13="","","Mini Test 1.1 — Analysis of Data")</f>
        <v/>
      </c>
    </row>
    <row r="6">
      <c r="A6">
        <f>IF('MT 1.1 Results'!I12="","","Name: "&amp;'MT 1.1 Results'!B12&amp;"   Class: "&amp;'MT 1.1 Results'!$B$3&amp;"   Date: "&amp;TEXT('MT 1.1 Results'!$B$5,"DD/MM/YY"))</f>
        <v/>
      </c>
      <c r="K6">
        <f>IF('MT 1.1 Results'!I13="","","Name: "&amp;'MT 1.1 Results'!B13&amp;"   Class: "&amp;'MT 1.1 Results'!$B$3&amp;"   Date: "&amp;TEXT('MT 1.1 Results'!$B$5,"DD/MM/YY"))</f>
        <v/>
      </c>
    </row>
    <row r="7">
      <c r="A7">
        <f>IF('MT 1.1 Results'!I12="","","Total: "&amp;'MT 1.1 Results'!G12&amp;"/22 ("&amp;TEXT('MT 1.1 Results'!H12,"0%")&amp;")   Overall: "&amp;'MT 1.1 Results'!I12)</f>
        <v/>
      </c>
      <c r="K7">
        <f>IF('MT 1.1 Results'!I13="","","Total: "&amp;'MT 1.1 Results'!G13&amp;"/22 ("&amp;TEXT('MT 1.1 Results'!H13,"0%")&amp;")   Overall: "&amp;'MT 1.1 Results'!I13)</f>
        <v/>
      </c>
    </row>
    <row r="8">
      <c r="A8">
        <f>IF('MT 1.1 Results'!I12="","",IF('MT 1.1 Results'!I12="Green",Parameters!$C$16,IF('MT 1.1 Results'!I12="Yellow",Parameters!$C$15,Parameters!$C$14)))</f>
        <v/>
      </c>
      <c r="K8">
        <f>IF('MT 1.1 Results'!I13="","",IF('MT 1.1 Results'!I13="Green",Parameters!$C$16,IF('MT 1.1 Results'!I13="Yellow",Parameters!$C$15,Parameters!$C$14)))</f>
        <v/>
      </c>
    </row>
    <row r="10">
      <c r="A10">
        <f>IF('MT 1.1 Results'!I12="","","Breakdown:")</f>
        <v/>
      </c>
      <c r="K10">
        <f>IF('MT 1.1 Results'!I13="","","Breakdown:")</f>
        <v/>
      </c>
    </row>
    <row r="11">
      <c r="A11">
        <f>IF('MT 1.1 Results'!I12="","","Q1 Data types (qualitative/quantitative, discrete/continuous): "&amp;'MT 1.1 Results'!C12&amp;"/4")</f>
        <v/>
      </c>
      <c r="K11">
        <f>IF('MT 1.1 Results'!I13="","","Q1 Data types (qualitative/quantitative, discrete/continuous): "&amp;'MT 1.1 Results'!C13&amp;"/4")</f>
        <v/>
      </c>
    </row>
    <row r="12">
      <c r="A12">
        <f>IF('MT 1.1 Results'!I12="","","Q2 Primary &amp; secondary data: "&amp;'MT 1.1 Results'!D12&amp;"/4")</f>
        <v/>
      </c>
      <c r="K12">
        <f>IF('MT 1.1 Results'!I13="","","Q2 Primary &amp; secondary data: "&amp;'MT 1.1 Results'!D13&amp;"/4")</f>
        <v/>
      </c>
    </row>
    <row r="13">
      <c r="A13">
        <f>IF('MT 1.1 Results'!I12="","","Q3 Systematic &amp; stratified sampling: "&amp;'MT 1.1 Results'!E12&amp;"/8")</f>
        <v/>
      </c>
      <c r="K13">
        <f>IF('MT 1.1 Results'!I13="","","Q3 Systematic &amp; stratified sampling: "&amp;'MT 1.1 Results'!E13&amp;"/8")</f>
        <v/>
      </c>
    </row>
    <row r="14">
      <c r="A14">
        <f>IF('MT 1.1 Results'!I12="","","Q4 Mean, median &amp; mode: "&amp;'MT 1.1 Results'!F12&amp;"/6")</f>
        <v/>
      </c>
      <c r="K14">
        <f>IF('MT 1.1 Results'!I13="","","Q4 Mean, median &amp; mode: "&amp;'MT 1.1 Results'!F13&amp;"/6")</f>
        <v/>
      </c>
    </row>
    <row r="15">
      <c r="A15">
        <f>IF(OR('MT 1.1 Results'!I12="",'MT 1.1 Results'!J12=""),"",'MT 1.1 Results'!J12)</f>
        <v/>
      </c>
      <c r="K15">
        <f>IF(OR('MT 1.1 Results'!I13="",'MT 1.1 Results'!J13=""),"",'MT 1.1 Results'!J13)</f>
        <v/>
      </c>
    </row>
    <row r="17">
      <c r="A17">
        <f>IF('MT 1.1 Results'!I12="","","Comments:")</f>
        <v/>
      </c>
      <c r="K17">
        <f>IF('MT 1.1 Results'!I13="","","Comments:")</f>
        <v/>
      </c>
    </row>
    <row r="21">
      <c r="A21">
        <f>IF('MT 1.1 Results'!I14="","","Mini Test 1.1 — Analysis of Data")</f>
        <v/>
      </c>
      <c r="K21">
        <f>IF('MT 1.1 Results'!I15="","","Mini Test 1.1 — Analysis of Data")</f>
        <v/>
      </c>
    </row>
    <row r="22">
      <c r="A22">
        <f>IF('MT 1.1 Results'!I14="","","Name: "&amp;'MT 1.1 Results'!B14&amp;"   Class: "&amp;'MT 1.1 Results'!$B$3&amp;"   Date: "&amp;TEXT('MT 1.1 Results'!$B$5,"DD/MM/YY"))</f>
        <v/>
      </c>
      <c r="K22">
        <f>IF('MT 1.1 Results'!I15="","","Name: "&amp;'MT 1.1 Results'!B15&amp;"   Class: "&amp;'MT 1.1 Results'!$B$3&amp;"   Date: "&amp;TEXT('MT 1.1 Results'!$B$5,"DD/MM/YY"))</f>
        <v/>
      </c>
    </row>
    <row r="23">
      <c r="A23">
        <f>IF('MT 1.1 Results'!I14="","","Total: "&amp;'MT 1.1 Results'!G14&amp;"/22 ("&amp;TEXT('MT 1.1 Results'!H14,"0%")&amp;")   Overall: "&amp;'MT 1.1 Results'!I14)</f>
        <v/>
      </c>
      <c r="K23">
        <f>IF('MT 1.1 Results'!I15="","","Total: "&amp;'MT 1.1 Results'!G15&amp;"/22 ("&amp;TEXT('MT 1.1 Results'!H15,"0%")&amp;")   Overall: "&amp;'MT 1.1 Results'!I15)</f>
        <v/>
      </c>
    </row>
    <row r="24">
      <c r="A24">
        <f>IF('MT 1.1 Results'!I14="","",IF('MT 1.1 Results'!I14="Green",Parameters!$C$16,IF('MT 1.1 Results'!I14="Yellow",Parameters!$C$15,Parameters!$C$14)))</f>
        <v/>
      </c>
      <c r="K24">
        <f>IF('MT 1.1 Results'!I15="","",IF('MT 1.1 Results'!I15="Green",Parameters!$C$16,IF('MT 1.1 Results'!I15="Yellow",Parameters!$C$15,Parameters!$C$14)))</f>
        <v/>
      </c>
    </row>
    <row r="26">
      <c r="A26">
        <f>IF('MT 1.1 Results'!I14="","","Breakdown:")</f>
        <v/>
      </c>
      <c r="K26">
        <f>IF('MT 1.1 Results'!I15="","","Breakdown:")</f>
        <v/>
      </c>
    </row>
    <row r="27">
      <c r="A27">
        <f>IF('MT 1.1 Results'!I14="","","Q1 Data types (qualitative/quantitative, discrete/continuous): "&amp;'MT 1.1 Results'!C14&amp;"/4")</f>
        <v/>
      </c>
      <c r="K27">
        <f>IF('MT 1.1 Results'!I15="","","Q1 Data types (qualitative/quantitative, discrete/continuous): "&amp;'MT 1.1 Results'!C15&amp;"/4")</f>
        <v/>
      </c>
    </row>
    <row r="28">
      <c r="A28">
        <f>IF('MT 1.1 Results'!I14="","","Q2 Primary &amp; secondary data: "&amp;'MT 1.1 Results'!D14&amp;"/4")</f>
        <v/>
      </c>
      <c r="K28">
        <f>IF('MT 1.1 Results'!I15="","","Q2 Primary &amp; secondary data: "&amp;'MT 1.1 Results'!D15&amp;"/4")</f>
        <v/>
      </c>
    </row>
    <row r="29">
      <c r="A29">
        <f>IF('MT 1.1 Results'!I14="","","Q3 Systematic &amp; stratified sampling: "&amp;'MT 1.1 Results'!E14&amp;"/8")</f>
        <v/>
      </c>
      <c r="K29">
        <f>IF('MT 1.1 Results'!I15="","","Q3 Systematic &amp; stratified sampling: "&amp;'MT 1.1 Results'!E15&amp;"/8")</f>
        <v/>
      </c>
    </row>
    <row r="30">
      <c r="A30">
        <f>IF('MT 1.1 Results'!I14="","","Q4 Mean, median &amp; mode: "&amp;'MT 1.1 Results'!F14&amp;"/6")</f>
        <v/>
      </c>
      <c r="K30">
        <f>IF('MT 1.1 Results'!I15="","","Q4 Mean, median &amp; mode: "&amp;'MT 1.1 Results'!F15&amp;"/6")</f>
        <v/>
      </c>
    </row>
    <row r="31">
      <c r="A31">
        <f>IF(OR('MT 1.1 Results'!I14="",'MT 1.1 Results'!J14=""),"",'MT 1.1 Results'!J14)</f>
        <v/>
      </c>
      <c r="K31">
        <f>IF(OR('MT 1.1 Results'!I15="",'MT 1.1 Results'!J15=""),"",'MT 1.1 Results'!J15)</f>
        <v/>
      </c>
    </row>
    <row r="33">
      <c r="A33">
        <f>IF('MT 1.1 Results'!I14="","","Comments:")</f>
        <v/>
      </c>
      <c r="K33">
        <f>IF('MT 1.1 Results'!I15="","","Comments:")</f>
        <v/>
      </c>
    </row>
    <row r="37">
      <c r="A37">
        <f>IF('MT 1.1 Results'!I16="","","Mini Test 1.1 — Analysis of Data")</f>
        <v/>
      </c>
      <c r="K37">
        <f>IF('MT 1.1 Results'!I17="","","Mini Test 1.1 — Analysis of Data")</f>
        <v/>
      </c>
    </row>
    <row r="38">
      <c r="A38">
        <f>IF('MT 1.1 Results'!I16="","","Name: "&amp;'MT 1.1 Results'!B16&amp;"   Class: "&amp;'MT 1.1 Results'!$B$3&amp;"   Date: "&amp;TEXT('MT 1.1 Results'!$B$5,"DD/MM/YY"))</f>
        <v/>
      </c>
      <c r="K38">
        <f>IF('MT 1.1 Results'!I17="","","Name: "&amp;'MT 1.1 Results'!B17&amp;"   Class: "&amp;'MT 1.1 Results'!$B$3&amp;"   Date: "&amp;TEXT('MT 1.1 Results'!$B$5,"DD/MM/YY"))</f>
        <v/>
      </c>
    </row>
    <row r="39">
      <c r="A39">
        <f>IF('MT 1.1 Results'!I16="","","Total: "&amp;'MT 1.1 Results'!G16&amp;"/22 ("&amp;TEXT('MT 1.1 Results'!H16,"0%")&amp;")   Overall: "&amp;'MT 1.1 Results'!I16)</f>
        <v/>
      </c>
      <c r="K39">
        <f>IF('MT 1.1 Results'!I17="","","Total: "&amp;'MT 1.1 Results'!G17&amp;"/22 ("&amp;TEXT('MT 1.1 Results'!H17,"0%")&amp;")   Overall: "&amp;'MT 1.1 Results'!I17)</f>
        <v/>
      </c>
    </row>
    <row r="40">
      <c r="A40">
        <f>IF('MT 1.1 Results'!I16="","",IF('MT 1.1 Results'!I16="Green",Parameters!$C$16,IF('MT 1.1 Results'!I16="Yellow",Parameters!$C$15,Parameters!$C$14)))</f>
        <v/>
      </c>
      <c r="K40">
        <f>IF('MT 1.1 Results'!I17="","",IF('MT 1.1 Results'!I17="Green",Parameters!$C$16,IF('MT 1.1 Results'!I17="Yellow",Parameters!$C$15,Parameters!$C$14)))</f>
        <v/>
      </c>
    </row>
    <row r="42">
      <c r="A42">
        <f>IF('MT 1.1 Results'!I16="","","Breakdown:")</f>
        <v/>
      </c>
      <c r="K42">
        <f>IF('MT 1.1 Results'!I17="","","Breakdown:")</f>
        <v/>
      </c>
    </row>
    <row r="43">
      <c r="A43">
        <f>IF('MT 1.1 Results'!I16="","","Q1 Data types (qualitative/quantitative, discrete/continuous): "&amp;'MT 1.1 Results'!C16&amp;"/4")</f>
        <v/>
      </c>
      <c r="K43">
        <f>IF('MT 1.1 Results'!I17="","","Q1 Data types (qualitative/quantitative, discrete/continuous): "&amp;'MT 1.1 Results'!C17&amp;"/4")</f>
        <v/>
      </c>
    </row>
    <row r="44">
      <c r="A44">
        <f>IF('MT 1.1 Results'!I16="","","Q2 Primary &amp; secondary data: "&amp;'MT 1.1 Results'!D16&amp;"/4")</f>
        <v/>
      </c>
      <c r="K44">
        <f>IF('MT 1.1 Results'!I17="","","Q2 Primary &amp; secondary data: "&amp;'MT 1.1 Results'!D17&amp;"/4")</f>
        <v/>
      </c>
    </row>
    <row r="45">
      <c r="A45">
        <f>IF('MT 1.1 Results'!I16="","","Q3 Systematic &amp; stratified sampling: "&amp;'MT 1.1 Results'!E16&amp;"/8")</f>
        <v/>
      </c>
      <c r="K45">
        <f>IF('MT 1.1 Results'!I17="","","Q3 Systematic &amp; stratified sampling: "&amp;'MT 1.1 Results'!E17&amp;"/8")</f>
        <v/>
      </c>
    </row>
    <row r="46">
      <c r="A46">
        <f>IF('MT 1.1 Results'!I16="","","Q4 Mean, median &amp; mode: "&amp;'MT 1.1 Results'!F16&amp;"/6")</f>
        <v/>
      </c>
      <c r="K46">
        <f>IF('MT 1.1 Results'!I17="","","Q4 Mean, median &amp; mode: "&amp;'MT 1.1 Results'!F17&amp;"/6")</f>
        <v/>
      </c>
    </row>
    <row r="47">
      <c r="A47">
        <f>IF(OR('MT 1.1 Results'!I16="",'MT 1.1 Results'!J16=""),"",'MT 1.1 Results'!J16)</f>
        <v/>
      </c>
      <c r="K47">
        <f>IF(OR('MT 1.1 Results'!I17="",'MT 1.1 Results'!J17=""),"",'MT 1.1 Results'!J17)</f>
        <v/>
      </c>
    </row>
    <row r="49">
      <c r="A49">
        <f>IF('MT 1.1 Results'!I16="","","Comments:")</f>
        <v/>
      </c>
      <c r="K49">
        <f>IF('MT 1.1 Results'!I17="","","Comments:")</f>
        <v/>
      </c>
    </row>
    <row r="53">
      <c r="A53">
        <f>IF('MT 1.1 Results'!I18="","","Mini Test 1.1 — Analysis of Data")</f>
        <v/>
      </c>
      <c r="K53">
        <f>IF('MT 1.1 Results'!I19="","","Mini Test 1.1 — Analysis of Data")</f>
        <v/>
      </c>
    </row>
    <row r="54">
      <c r="A54">
        <f>IF('MT 1.1 Results'!I18="","","Name: "&amp;'MT 1.1 Results'!B18&amp;"   Class: "&amp;'MT 1.1 Results'!$B$3&amp;"   Date: "&amp;TEXT('MT 1.1 Results'!$B$5,"DD/MM/YY"))</f>
        <v/>
      </c>
      <c r="K54">
        <f>IF('MT 1.1 Results'!I19="","","Name: "&amp;'MT 1.1 Results'!B19&amp;"   Class: "&amp;'MT 1.1 Results'!$B$3&amp;"   Date: "&amp;TEXT('MT 1.1 Results'!$B$5,"DD/MM/YY"))</f>
        <v/>
      </c>
    </row>
    <row r="55">
      <c r="A55">
        <f>IF('MT 1.1 Results'!I18="","","Total: "&amp;'MT 1.1 Results'!G18&amp;"/22 ("&amp;TEXT('MT 1.1 Results'!H18,"0%")&amp;")   Overall: "&amp;'MT 1.1 Results'!I18)</f>
        <v/>
      </c>
      <c r="K55">
        <f>IF('MT 1.1 Results'!I19="","","Total: "&amp;'MT 1.1 Results'!G19&amp;"/22 ("&amp;TEXT('MT 1.1 Results'!H19,"0%")&amp;")   Overall: "&amp;'MT 1.1 Results'!I19)</f>
        <v/>
      </c>
    </row>
    <row r="56">
      <c r="A56">
        <f>IF('MT 1.1 Results'!I18="","",IF('MT 1.1 Results'!I18="Green",Parameters!$C$16,IF('MT 1.1 Results'!I18="Yellow",Parameters!$C$15,Parameters!$C$14)))</f>
        <v/>
      </c>
      <c r="K56">
        <f>IF('MT 1.1 Results'!I19="","",IF('MT 1.1 Results'!I19="Green",Parameters!$C$16,IF('MT 1.1 Results'!I19="Yellow",Parameters!$C$15,Parameters!$C$14)))</f>
        <v/>
      </c>
    </row>
    <row r="58">
      <c r="A58">
        <f>IF('MT 1.1 Results'!I18="","","Breakdown:")</f>
        <v/>
      </c>
      <c r="K58">
        <f>IF('MT 1.1 Results'!I19="","","Breakdown:")</f>
        <v/>
      </c>
    </row>
    <row r="59">
      <c r="A59">
        <f>IF('MT 1.1 Results'!I18="","","Q1 Data types (qualitative/quantitative, discrete/continuous): "&amp;'MT 1.1 Results'!C18&amp;"/4")</f>
        <v/>
      </c>
      <c r="K59">
        <f>IF('MT 1.1 Results'!I19="","","Q1 Data types (qualitative/quantitative, discrete/continuous): "&amp;'MT 1.1 Results'!C19&amp;"/4")</f>
        <v/>
      </c>
    </row>
    <row r="60">
      <c r="A60">
        <f>IF('MT 1.1 Results'!I18="","","Q2 Primary &amp; secondary data: "&amp;'MT 1.1 Results'!D18&amp;"/4")</f>
        <v/>
      </c>
      <c r="K60">
        <f>IF('MT 1.1 Results'!I19="","","Q2 Primary &amp; secondary data: "&amp;'MT 1.1 Results'!D19&amp;"/4")</f>
        <v/>
      </c>
    </row>
    <row r="61">
      <c r="A61">
        <f>IF('MT 1.1 Results'!I18="","","Q3 Systematic &amp; stratified sampling: "&amp;'MT 1.1 Results'!E18&amp;"/8")</f>
        <v/>
      </c>
      <c r="K61">
        <f>IF('MT 1.1 Results'!I19="","","Q3 Systematic &amp; stratified sampling: "&amp;'MT 1.1 Results'!E19&amp;"/8")</f>
        <v/>
      </c>
    </row>
    <row r="62">
      <c r="A62">
        <f>IF('MT 1.1 Results'!I18="","","Q4 Mean, median &amp; mode: "&amp;'MT 1.1 Results'!F18&amp;"/6")</f>
        <v/>
      </c>
      <c r="K62">
        <f>IF('MT 1.1 Results'!I19="","","Q4 Mean, median &amp; mode: "&amp;'MT 1.1 Results'!F19&amp;"/6")</f>
        <v/>
      </c>
    </row>
    <row r="63">
      <c r="A63">
        <f>IF(OR('MT 1.1 Results'!I18="",'MT 1.1 Results'!J18=""),"",'MT 1.1 Results'!J18)</f>
        <v/>
      </c>
      <c r="K63">
        <f>IF(OR('MT 1.1 Results'!I19="",'MT 1.1 Results'!J19=""),"",'MT 1.1 Results'!J19)</f>
        <v/>
      </c>
    </row>
    <row r="65">
      <c r="A65">
        <f>IF('MT 1.1 Results'!I18="","","Comments:")</f>
        <v/>
      </c>
      <c r="K65">
        <f>IF('MT 1.1 Results'!I19="","","Comments:")</f>
        <v/>
      </c>
    </row>
    <row r="69">
      <c r="A69">
        <f>IF('MT 1.1 Results'!I20="","","Mini Test 1.1 — Analysis of Data")</f>
        <v/>
      </c>
      <c r="K69">
        <f>IF('MT 1.1 Results'!I21="","","Mini Test 1.1 — Analysis of Data")</f>
        <v/>
      </c>
    </row>
    <row r="70">
      <c r="A70">
        <f>IF('MT 1.1 Results'!I20="","","Name: "&amp;'MT 1.1 Results'!B20&amp;"   Class: "&amp;'MT 1.1 Results'!$B$3&amp;"   Date: "&amp;TEXT('MT 1.1 Results'!$B$5,"DD/MM/YY"))</f>
        <v/>
      </c>
      <c r="K70">
        <f>IF('MT 1.1 Results'!I21="","","Name: "&amp;'MT 1.1 Results'!B21&amp;"   Class: "&amp;'MT 1.1 Results'!$B$3&amp;"   Date: "&amp;TEXT('MT 1.1 Results'!$B$5,"DD/MM/YY"))</f>
        <v/>
      </c>
    </row>
    <row r="71">
      <c r="A71">
        <f>IF('MT 1.1 Results'!I20="","","Total: "&amp;'MT 1.1 Results'!G20&amp;"/22 ("&amp;TEXT('MT 1.1 Results'!H20,"0%")&amp;")   Overall: "&amp;'MT 1.1 Results'!I20)</f>
        <v/>
      </c>
      <c r="K71">
        <f>IF('MT 1.1 Results'!I21="","","Total: "&amp;'MT 1.1 Results'!G21&amp;"/22 ("&amp;TEXT('MT 1.1 Results'!H21,"0%")&amp;")   Overall: "&amp;'MT 1.1 Results'!I21)</f>
        <v/>
      </c>
    </row>
    <row r="72">
      <c r="A72">
        <f>IF('MT 1.1 Results'!I20="","",IF('MT 1.1 Results'!I20="Green",Parameters!$C$16,IF('MT 1.1 Results'!I20="Yellow",Parameters!$C$15,Parameters!$C$14)))</f>
        <v/>
      </c>
      <c r="K72">
        <f>IF('MT 1.1 Results'!I21="","",IF('MT 1.1 Results'!I21="Green",Parameters!$C$16,IF('MT 1.1 Results'!I21="Yellow",Parameters!$C$15,Parameters!$C$14)))</f>
        <v/>
      </c>
    </row>
    <row r="74">
      <c r="A74">
        <f>IF('MT 1.1 Results'!I20="","","Breakdown:")</f>
        <v/>
      </c>
      <c r="K74">
        <f>IF('MT 1.1 Results'!I21="","","Breakdown:")</f>
        <v/>
      </c>
    </row>
    <row r="75">
      <c r="A75">
        <f>IF('MT 1.1 Results'!I20="","","Q1 Data types (qualitative/quantitative, discrete/continuous): "&amp;'MT 1.1 Results'!C20&amp;"/4")</f>
        <v/>
      </c>
      <c r="K75">
        <f>IF('MT 1.1 Results'!I21="","","Q1 Data types (qualitative/quantitative, discrete/continuous): "&amp;'MT 1.1 Results'!C21&amp;"/4")</f>
        <v/>
      </c>
    </row>
    <row r="76">
      <c r="A76">
        <f>IF('MT 1.1 Results'!I20="","","Q2 Primary &amp; secondary data: "&amp;'MT 1.1 Results'!D20&amp;"/4")</f>
        <v/>
      </c>
      <c r="K76">
        <f>IF('MT 1.1 Results'!I21="","","Q2 Primary &amp; secondary data: "&amp;'MT 1.1 Results'!D21&amp;"/4")</f>
        <v/>
      </c>
    </row>
    <row r="77">
      <c r="A77">
        <f>IF('MT 1.1 Results'!I20="","","Q3 Systematic &amp; stratified sampling: "&amp;'MT 1.1 Results'!E20&amp;"/8")</f>
        <v/>
      </c>
      <c r="K77">
        <f>IF('MT 1.1 Results'!I21="","","Q3 Systematic &amp; stratified sampling: "&amp;'MT 1.1 Results'!E21&amp;"/8")</f>
        <v/>
      </c>
    </row>
    <row r="78">
      <c r="A78">
        <f>IF('MT 1.1 Results'!I20="","","Q4 Mean, median &amp; mode: "&amp;'MT 1.1 Results'!F20&amp;"/6")</f>
        <v/>
      </c>
      <c r="K78">
        <f>IF('MT 1.1 Results'!I21="","","Q4 Mean, median &amp; mode: "&amp;'MT 1.1 Results'!F21&amp;"/6")</f>
        <v/>
      </c>
    </row>
    <row r="79">
      <c r="A79">
        <f>IF(OR('MT 1.1 Results'!I20="",'MT 1.1 Results'!J20=""),"",'MT 1.1 Results'!J20)</f>
        <v/>
      </c>
      <c r="K79">
        <f>IF(OR('MT 1.1 Results'!I21="",'MT 1.1 Results'!J21=""),"",'MT 1.1 Results'!J21)</f>
        <v/>
      </c>
    </row>
    <row r="81">
      <c r="A81">
        <f>IF('MT 1.1 Results'!I20="","","Comments:")</f>
        <v/>
      </c>
      <c r="K81">
        <f>IF('MT 1.1 Results'!I21="","","Comments:")</f>
        <v/>
      </c>
    </row>
    <row r="85">
      <c r="A85">
        <f>IF('MT 1.1 Results'!I22="","","Mini Test 1.1 — Analysis of Data")</f>
        <v/>
      </c>
      <c r="K85">
        <f>IF('MT 1.1 Results'!I23="","","Mini Test 1.1 — Analysis of Data")</f>
        <v/>
      </c>
    </row>
    <row r="86">
      <c r="A86">
        <f>IF('MT 1.1 Results'!I22="","","Name: "&amp;'MT 1.1 Results'!B22&amp;"   Class: "&amp;'MT 1.1 Results'!$B$3&amp;"   Date: "&amp;TEXT('MT 1.1 Results'!$B$5,"DD/MM/YY"))</f>
        <v/>
      </c>
      <c r="K86">
        <f>IF('MT 1.1 Results'!I23="","","Name: "&amp;'MT 1.1 Results'!B23&amp;"   Class: "&amp;'MT 1.1 Results'!$B$3&amp;"   Date: "&amp;TEXT('MT 1.1 Results'!$B$5,"DD/MM/YY"))</f>
        <v/>
      </c>
    </row>
    <row r="87">
      <c r="A87">
        <f>IF('MT 1.1 Results'!I22="","","Total: "&amp;'MT 1.1 Results'!G22&amp;"/22 ("&amp;TEXT('MT 1.1 Results'!H22,"0%")&amp;")   Overall: "&amp;'MT 1.1 Results'!I22)</f>
        <v/>
      </c>
      <c r="K87">
        <f>IF('MT 1.1 Results'!I23="","","Total: "&amp;'MT 1.1 Results'!G23&amp;"/22 ("&amp;TEXT('MT 1.1 Results'!H23,"0%")&amp;")   Overall: "&amp;'MT 1.1 Results'!I23)</f>
        <v/>
      </c>
    </row>
    <row r="88">
      <c r="A88">
        <f>IF('MT 1.1 Results'!I22="","",IF('MT 1.1 Results'!I22="Green",Parameters!$C$16,IF('MT 1.1 Results'!I22="Yellow",Parameters!$C$15,Parameters!$C$14)))</f>
        <v/>
      </c>
      <c r="K88">
        <f>IF('MT 1.1 Results'!I23="","",IF('MT 1.1 Results'!I23="Green",Parameters!$C$16,IF('MT 1.1 Results'!I23="Yellow",Parameters!$C$15,Parameters!$C$14)))</f>
        <v/>
      </c>
    </row>
    <row r="90">
      <c r="A90">
        <f>IF('MT 1.1 Results'!I22="","","Breakdown:")</f>
        <v/>
      </c>
      <c r="K90">
        <f>IF('MT 1.1 Results'!I23="","","Breakdown:")</f>
        <v/>
      </c>
    </row>
    <row r="91">
      <c r="A91">
        <f>IF('MT 1.1 Results'!I22="","","Q1 Data types (qualitative/quantitative, discrete/continuous): "&amp;'MT 1.1 Results'!C22&amp;"/4")</f>
        <v/>
      </c>
      <c r="K91">
        <f>IF('MT 1.1 Results'!I23="","","Q1 Data types (qualitative/quantitative, discrete/continuous): "&amp;'MT 1.1 Results'!C23&amp;"/4")</f>
        <v/>
      </c>
    </row>
    <row r="92">
      <c r="A92">
        <f>IF('MT 1.1 Results'!I22="","","Q2 Primary &amp; secondary data: "&amp;'MT 1.1 Results'!D22&amp;"/4")</f>
        <v/>
      </c>
      <c r="K92">
        <f>IF('MT 1.1 Results'!I23="","","Q2 Primary &amp; secondary data: "&amp;'MT 1.1 Results'!D23&amp;"/4")</f>
        <v/>
      </c>
    </row>
    <row r="93">
      <c r="A93">
        <f>IF('MT 1.1 Results'!I22="","","Q3 Systematic &amp; stratified sampling: "&amp;'MT 1.1 Results'!E22&amp;"/8")</f>
        <v/>
      </c>
      <c r="K93">
        <f>IF('MT 1.1 Results'!I23="","","Q3 Systematic &amp; stratified sampling: "&amp;'MT 1.1 Results'!E23&amp;"/8")</f>
        <v/>
      </c>
    </row>
    <row r="94">
      <c r="A94">
        <f>IF('MT 1.1 Results'!I22="","","Q4 Mean, median &amp; mode: "&amp;'MT 1.1 Results'!F22&amp;"/6")</f>
        <v/>
      </c>
      <c r="K94">
        <f>IF('MT 1.1 Results'!I23="","","Q4 Mean, median &amp; mode: "&amp;'MT 1.1 Results'!F23&amp;"/6")</f>
        <v/>
      </c>
    </row>
    <row r="95">
      <c r="A95">
        <f>IF(OR('MT 1.1 Results'!I22="",'MT 1.1 Results'!J22=""),"",'MT 1.1 Results'!J22)</f>
        <v/>
      </c>
      <c r="K95">
        <f>IF(OR('MT 1.1 Results'!I23="",'MT 1.1 Results'!J23=""),"",'MT 1.1 Results'!J23)</f>
        <v/>
      </c>
    </row>
    <row r="97">
      <c r="A97">
        <f>IF('MT 1.1 Results'!I22="","","Comments:")</f>
        <v/>
      </c>
      <c r="K97">
        <f>IF('MT 1.1 Results'!I23="","","Comments:")</f>
        <v/>
      </c>
    </row>
    <row r="101">
      <c r="A101">
        <f>IF('MT 1.1 Results'!I24="","","Mini Test 1.1 — Analysis of Data")</f>
        <v/>
      </c>
      <c r="K101">
        <f>IF('MT 1.1 Results'!I25="","","Mini Test 1.1 — Analysis of Data")</f>
        <v/>
      </c>
    </row>
    <row r="102">
      <c r="A102">
        <f>IF('MT 1.1 Results'!I24="","","Name: "&amp;'MT 1.1 Results'!B24&amp;"   Class: "&amp;'MT 1.1 Results'!$B$3&amp;"   Date: "&amp;TEXT('MT 1.1 Results'!$B$5,"DD/MM/YY"))</f>
        <v/>
      </c>
      <c r="K102">
        <f>IF('MT 1.1 Results'!I25="","","Name: "&amp;'MT 1.1 Results'!B25&amp;"   Class: "&amp;'MT 1.1 Results'!$B$3&amp;"   Date: "&amp;TEXT('MT 1.1 Results'!$B$5,"DD/MM/YY"))</f>
        <v/>
      </c>
    </row>
    <row r="103">
      <c r="A103">
        <f>IF('MT 1.1 Results'!I24="","","Total: "&amp;'MT 1.1 Results'!G24&amp;"/22 ("&amp;TEXT('MT 1.1 Results'!H24,"0%")&amp;")   Overall: "&amp;'MT 1.1 Results'!I24)</f>
        <v/>
      </c>
      <c r="K103">
        <f>IF('MT 1.1 Results'!I25="","","Total: "&amp;'MT 1.1 Results'!G25&amp;"/22 ("&amp;TEXT('MT 1.1 Results'!H25,"0%")&amp;")   Overall: "&amp;'MT 1.1 Results'!I25)</f>
        <v/>
      </c>
    </row>
    <row r="104">
      <c r="A104">
        <f>IF('MT 1.1 Results'!I24="","",IF('MT 1.1 Results'!I24="Green",Parameters!$C$16,IF('MT 1.1 Results'!I24="Yellow",Parameters!$C$15,Parameters!$C$14)))</f>
        <v/>
      </c>
      <c r="K104">
        <f>IF('MT 1.1 Results'!I25="","",IF('MT 1.1 Results'!I25="Green",Parameters!$C$16,IF('MT 1.1 Results'!I25="Yellow",Parameters!$C$15,Parameters!$C$14)))</f>
        <v/>
      </c>
    </row>
    <row r="106">
      <c r="A106">
        <f>IF('MT 1.1 Results'!I24="","","Breakdown:")</f>
        <v/>
      </c>
      <c r="K106">
        <f>IF('MT 1.1 Results'!I25="","","Breakdown:")</f>
        <v/>
      </c>
    </row>
    <row r="107">
      <c r="A107">
        <f>IF('MT 1.1 Results'!I24="","","Q1 Data types (qualitative/quantitative, discrete/continuous): "&amp;'MT 1.1 Results'!C24&amp;"/4")</f>
        <v/>
      </c>
      <c r="K107">
        <f>IF('MT 1.1 Results'!I25="","","Q1 Data types (qualitative/quantitative, discrete/continuous): "&amp;'MT 1.1 Results'!C25&amp;"/4")</f>
        <v/>
      </c>
    </row>
    <row r="108">
      <c r="A108">
        <f>IF('MT 1.1 Results'!I24="","","Q2 Primary &amp; secondary data: "&amp;'MT 1.1 Results'!D24&amp;"/4")</f>
        <v/>
      </c>
      <c r="K108">
        <f>IF('MT 1.1 Results'!I25="","","Q2 Primary &amp; secondary data: "&amp;'MT 1.1 Results'!D25&amp;"/4")</f>
        <v/>
      </c>
    </row>
    <row r="109">
      <c r="A109">
        <f>IF('MT 1.1 Results'!I24="","","Q3 Systematic &amp; stratified sampling: "&amp;'MT 1.1 Results'!E24&amp;"/8")</f>
        <v/>
      </c>
      <c r="K109">
        <f>IF('MT 1.1 Results'!I25="","","Q3 Systematic &amp; stratified sampling: "&amp;'MT 1.1 Results'!E25&amp;"/8")</f>
        <v/>
      </c>
    </row>
    <row r="110">
      <c r="A110">
        <f>IF('MT 1.1 Results'!I24="","","Q4 Mean, median &amp; mode: "&amp;'MT 1.1 Results'!F24&amp;"/6")</f>
        <v/>
      </c>
      <c r="K110">
        <f>IF('MT 1.1 Results'!I25="","","Q4 Mean, median &amp; mode: "&amp;'MT 1.1 Results'!F25&amp;"/6")</f>
        <v/>
      </c>
    </row>
    <row r="111">
      <c r="A111">
        <f>IF(OR('MT 1.1 Results'!I24="",'MT 1.1 Results'!J24=""),"",'MT 1.1 Results'!J24)</f>
        <v/>
      </c>
      <c r="K111">
        <f>IF(OR('MT 1.1 Results'!I25="",'MT 1.1 Results'!J25=""),"",'MT 1.1 Results'!J25)</f>
        <v/>
      </c>
    </row>
    <row r="113">
      <c r="A113">
        <f>IF('MT 1.1 Results'!I24="","","Comments:")</f>
        <v/>
      </c>
      <c r="K113">
        <f>IF('MT 1.1 Results'!I25="","","Comments:")</f>
        <v/>
      </c>
    </row>
    <row r="117">
      <c r="A117">
        <f>IF('MT 1.1 Results'!I26="","","Mini Test 1.1 — Analysis of Data")</f>
        <v/>
      </c>
      <c r="K117">
        <f>IF('MT 1.1 Results'!I27="","","Mini Test 1.1 — Analysis of Data")</f>
        <v/>
      </c>
    </row>
    <row r="118">
      <c r="A118">
        <f>IF('MT 1.1 Results'!I26="","","Name: "&amp;'MT 1.1 Results'!B26&amp;"   Class: "&amp;'MT 1.1 Results'!$B$3&amp;"   Date: "&amp;TEXT('MT 1.1 Results'!$B$5,"DD/MM/YY"))</f>
        <v/>
      </c>
      <c r="K118">
        <f>IF('MT 1.1 Results'!I27="","","Name: "&amp;'MT 1.1 Results'!B27&amp;"   Class: "&amp;'MT 1.1 Results'!$B$3&amp;"   Date: "&amp;TEXT('MT 1.1 Results'!$B$5,"DD/MM/YY"))</f>
        <v/>
      </c>
    </row>
    <row r="119">
      <c r="A119">
        <f>IF('MT 1.1 Results'!I26="","","Total: "&amp;'MT 1.1 Results'!G26&amp;"/22 ("&amp;TEXT('MT 1.1 Results'!H26,"0%")&amp;")   Overall: "&amp;'MT 1.1 Results'!I26)</f>
        <v/>
      </c>
      <c r="K119">
        <f>IF('MT 1.1 Results'!I27="","","Total: "&amp;'MT 1.1 Results'!G27&amp;"/22 ("&amp;TEXT('MT 1.1 Results'!H27,"0%")&amp;")   Overall: "&amp;'MT 1.1 Results'!I27)</f>
        <v/>
      </c>
    </row>
    <row r="120">
      <c r="A120">
        <f>IF('MT 1.1 Results'!I26="","",IF('MT 1.1 Results'!I26="Green",Parameters!$C$16,IF('MT 1.1 Results'!I26="Yellow",Parameters!$C$15,Parameters!$C$14)))</f>
        <v/>
      </c>
      <c r="K120">
        <f>IF('MT 1.1 Results'!I27="","",IF('MT 1.1 Results'!I27="Green",Parameters!$C$16,IF('MT 1.1 Results'!I27="Yellow",Parameters!$C$15,Parameters!$C$14)))</f>
        <v/>
      </c>
    </row>
    <row r="122">
      <c r="A122">
        <f>IF('MT 1.1 Results'!I26="","","Breakdown:")</f>
        <v/>
      </c>
      <c r="K122">
        <f>IF('MT 1.1 Results'!I27="","","Breakdown:")</f>
        <v/>
      </c>
    </row>
    <row r="123">
      <c r="A123">
        <f>IF('MT 1.1 Results'!I26="","","Q1 Data types (qualitative/quantitative, discrete/continuous): "&amp;'MT 1.1 Results'!C26&amp;"/4")</f>
        <v/>
      </c>
      <c r="K123">
        <f>IF('MT 1.1 Results'!I27="","","Q1 Data types (qualitative/quantitative, discrete/continuous): "&amp;'MT 1.1 Results'!C27&amp;"/4")</f>
        <v/>
      </c>
    </row>
    <row r="124">
      <c r="A124">
        <f>IF('MT 1.1 Results'!I26="","","Q2 Primary &amp; secondary data: "&amp;'MT 1.1 Results'!D26&amp;"/4")</f>
        <v/>
      </c>
      <c r="K124">
        <f>IF('MT 1.1 Results'!I27="","","Q2 Primary &amp; secondary data: "&amp;'MT 1.1 Results'!D27&amp;"/4")</f>
        <v/>
      </c>
    </row>
    <row r="125">
      <c r="A125">
        <f>IF('MT 1.1 Results'!I26="","","Q3 Systematic &amp; stratified sampling: "&amp;'MT 1.1 Results'!E26&amp;"/8")</f>
        <v/>
      </c>
      <c r="K125">
        <f>IF('MT 1.1 Results'!I27="","","Q3 Systematic &amp; stratified sampling: "&amp;'MT 1.1 Results'!E27&amp;"/8")</f>
        <v/>
      </c>
    </row>
    <row r="126">
      <c r="A126">
        <f>IF('MT 1.1 Results'!I26="","","Q4 Mean, median &amp; mode: "&amp;'MT 1.1 Results'!F26&amp;"/6")</f>
        <v/>
      </c>
      <c r="K126">
        <f>IF('MT 1.1 Results'!I27="","","Q4 Mean, median &amp; mode: "&amp;'MT 1.1 Results'!F27&amp;"/6")</f>
        <v/>
      </c>
    </row>
    <row r="127">
      <c r="A127">
        <f>IF(OR('MT 1.1 Results'!I26="",'MT 1.1 Results'!J26=""),"",'MT 1.1 Results'!J26)</f>
        <v/>
      </c>
      <c r="K127">
        <f>IF(OR('MT 1.1 Results'!I27="",'MT 1.1 Results'!J27=""),"",'MT 1.1 Results'!J27)</f>
        <v/>
      </c>
    </row>
    <row r="129">
      <c r="A129">
        <f>IF('MT 1.1 Results'!I26="","","Comments:")</f>
        <v/>
      </c>
      <c r="K129">
        <f>IF('MT 1.1 Results'!I27="","","Comments:")</f>
        <v/>
      </c>
    </row>
    <row r="133">
      <c r="A133">
        <f>IF('MT 1.1 Results'!I28="","","Mini Test 1.1 — Analysis of Data")</f>
        <v/>
      </c>
      <c r="K133">
        <f>IF('MT 1.1 Results'!I29="","","Mini Test 1.1 — Analysis of Data")</f>
        <v/>
      </c>
    </row>
    <row r="134">
      <c r="A134">
        <f>IF('MT 1.1 Results'!I28="","","Name: "&amp;'MT 1.1 Results'!B28&amp;"   Class: "&amp;'MT 1.1 Results'!$B$3&amp;"   Date: "&amp;TEXT('MT 1.1 Results'!$B$5,"DD/MM/YY"))</f>
        <v/>
      </c>
      <c r="K134">
        <f>IF('MT 1.1 Results'!I29="","","Name: "&amp;'MT 1.1 Results'!B29&amp;"   Class: "&amp;'MT 1.1 Results'!$B$3&amp;"   Date: "&amp;TEXT('MT 1.1 Results'!$B$5,"DD/MM/YY"))</f>
        <v/>
      </c>
    </row>
    <row r="135">
      <c r="A135">
        <f>IF('MT 1.1 Results'!I28="","","Total: "&amp;'MT 1.1 Results'!G28&amp;"/22 ("&amp;TEXT('MT 1.1 Results'!H28,"0%")&amp;")   Overall: "&amp;'MT 1.1 Results'!I28)</f>
        <v/>
      </c>
      <c r="K135">
        <f>IF('MT 1.1 Results'!I29="","","Total: "&amp;'MT 1.1 Results'!G29&amp;"/22 ("&amp;TEXT('MT 1.1 Results'!H29,"0%")&amp;")   Overall: "&amp;'MT 1.1 Results'!I29)</f>
        <v/>
      </c>
    </row>
    <row r="136">
      <c r="A136">
        <f>IF('MT 1.1 Results'!I28="","",IF('MT 1.1 Results'!I28="Green",Parameters!$C$16,IF('MT 1.1 Results'!I28="Yellow",Parameters!$C$15,Parameters!$C$14)))</f>
        <v/>
      </c>
      <c r="K136">
        <f>IF('MT 1.1 Results'!I29="","",IF('MT 1.1 Results'!I29="Green",Parameters!$C$16,IF('MT 1.1 Results'!I29="Yellow",Parameters!$C$15,Parameters!$C$14)))</f>
        <v/>
      </c>
    </row>
    <row r="138">
      <c r="A138">
        <f>IF('MT 1.1 Results'!I28="","","Breakdown:")</f>
        <v/>
      </c>
      <c r="K138">
        <f>IF('MT 1.1 Results'!I29="","","Breakdown:")</f>
        <v/>
      </c>
    </row>
    <row r="139">
      <c r="A139">
        <f>IF('MT 1.1 Results'!I28="","","Q1 Data types (qualitative/quantitative, discrete/continuous): "&amp;'MT 1.1 Results'!C28&amp;"/4")</f>
        <v/>
      </c>
      <c r="K139">
        <f>IF('MT 1.1 Results'!I29="","","Q1 Data types (qualitative/quantitative, discrete/continuous): "&amp;'MT 1.1 Results'!C29&amp;"/4")</f>
        <v/>
      </c>
    </row>
    <row r="140">
      <c r="A140">
        <f>IF('MT 1.1 Results'!I28="","","Q2 Primary &amp; secondary data: "&amp;'MT 1.1 Results'!D28&amp;"/4")</f>
        <v/>
      </c>
      <c r="K140">
        <f>IF('MT 1.1 Results'!I29="","","Q2 Primary &amp; secondary data: "&amp;'MT 1.1 Results'!D29&amp;"/4")</f>
        <v/>
      </c>
    </row>
    <row r="141">
      <c r="A141">
        <f>IF('MT 1.1 Results'!I28="","","Q3 Systematic &amp; stratified sampling: "&amp;'MT 1.1 Results'!E28&amp;"/8")</f>
        <v/>
      </c>
      <c r="K141">
        <f>IF('MT 1.1 Results'!I29="","","Q3 Systematic &amp; stratified sampling: "&amp;'MT 1.1 Results'!E29&amp;"/8")</f>
        <v/>
      </c>
    </row>
    <row r="142">
      <c r="A142">
        <f>IF('MT 1.1 Results'!I28="","","Q4 Mean, median &amp; mode: "&amp;'MT 1.1 Results'!F28&amp;"/6")</f>
        <v/>
      </c>
      <c r="K142">
        <f>IF('MT 1.1 Results'!I29="","","Q4 Mean, median &amp; mode: "&amp;'MT 1.1 Results'!F29&amp;"/6")</f>
        <v/>
      </c>
    </row>
    <row r="143">
      <c r="A143">
        <f>IF(OR('MT 1.1 Results'!I28="",'MT 1.1 Results'!J28=""),"",'MT 1.1 Results'!J28)</f>
        <v/>
      </c>
      <c r="K143">
        <f>IF(OR('MT 1.1 Results'!I29="",'MT 1.1 Results'!J29=""),"",'MT 1.1 Results'!J29)</f>
        <v/>
      </c>
    </row>
    <row r="145">
      <c r="A145">
        <f>IF('MT 1.1 Results'!I28="","","Comments:")</f>
        <v/>
      </c>
      <c r="K145">
        <f>IF('MT 1.1 Results'!I29="","","Comments:")</f>
        <v/>
      </c>
    </row>
    <row r="149">
      <c r="A149">
        <f>IF('MT 1.1 Results'!I30="","","Mini Test 1.1 — Analysis of Data")</f>
        <v/>
      </c>
      <c r="K149">
        <f>IF('MT 1.1 Results'!I31="","","Mini Test 1.1 — Analysis of Data")</f>
        <v/>
      </c>
    </row>
    <row r="150">
      <c r="A150">
        <f>IF('MT 1.1 Results'!I30="","","Name: "&amp;'MT 1.1 Results'!B30&amp;"   Class: "&amp;'MT 1.1 Results'!$B$3&amp;"   Date: "&amp;TEXT('MT 1.1 Results'!$B$5,"DD/MM/YY"))</f>
        <v/>
      </c>
      <c r="K150">
        <f>IF('MT 1.1 Results'!I31="","","Name: "&amp;'MT 1.1 Results'!B31&amp;"   Class: "&amp;'MT 1.1 Results'!$B$3&amp;"   Date: "&amp;TEXT('MT 1.1 Results'!$B$5,"DD/MM/YY"))</f>
        <v/>
      </c>
    </row>
    <row r="151">
      <c r="A151">
        <f>IF('MT 1.1 Results'!I30="","","Total: "&amp;'MT 1.1 Results'!G30&amp;"/22 ("&amp;TEXT('MT 1.1 Results'!H30,"0%")&amp;")   Overall: "&amp;'MT 1.1 Results'!I30)</f>
        <v/>
      </c>
      <c r="K151">
        <f>IF('MT 1.1 Results'!I31="","","Total: "&amp;'MT 1.1 Results'!G31&amp;"/22 ("&amp;TEXT('MT 1.1 Results'!H31,"0%")&amp;")   Overall: "&amp;'MT 1.1 Results'!I31)</f>
        <v/>
      </c>
    </row>
    <row r="152">
      <c r="A152">
        <f>IF('MT 1.1 Results'!I30="","",IF('MT 1.1 Results'!I30="Green",Parameters!$C$16,IF('MT 1.1 Results'!I30="Yellow",Parameters!$C$15,Parameters!$C$14)))</f>
        <v/>
      </c>
      <c r="K152">
        <f>IF('MT 1.1 Results'!I31="","",IF('MT 1.1 Results'!I31="Green",Parameters!$C$16,IF('MT 1.1 Results'!I31="Yellow",Parameters!$C$15,Parameters!$C$14)))</f>
        <v/>
      </c>
    </row>
    <row r="154">
      <c r="A154">
        <f>IF('MT 1.1 Results'!I30="","","Breakdown:")</f>
        <v/>
      </c>
      <c r="K154">
        <f>IF('MT 1.1 Results'!I31="","","Breakdown:")</f>
        <v/>
      </c>
    </row>
    <row r="155">
      <c r="A155">
        <f>IF('MT 1.1 Results'!I30="","","Q1 Data types (qualitative/quantitative, discrete/continuous): "&amp;'MT 1.1 Results'!C30&amp;"/4")</f>
        <v/>
      </c>
      <c r="K155">
        <f>IF('MT 1.1 Results'!I31="","","Q1 Data types (qualitative/quantitative, discrete/continuous): "&amp;'MT 1.1 Results'!C31&amp;"/4")</f>
        <v/>
      </c>
    </row>
    <row r="156">
      <c r="A156">
        <f>IF('MT 1.1 Results'!I30="","","Q2 Primary &amp; secondary data: "&amp;'MT 1.1 Results'!D30&amp;"/4")</f>
        <v/>
      </c>
      <c r="K156">
        <f>IF('MT 1.1 Results'!I31="","","Q2 Primary &amp; secondary data: "&amp;'MT 1.1 Results'!D31&amp;"/4")</f>
        <v/>
      </c>
    </row>
    <row r="157">
      <c r="A157">
        <f>IF('MT 1.1 Results'!I30="","","Q3 Systematic &amp; stratified sampling: "&amp;'MT 1.1 Results'!E30&amp;"/8")</f>
        <v/>
      </c>
      <c r="K157">
        <f>IF('MT 1.1 Results'!I31="","","Q3 Systematic &amp; stratified sampling: "&amp;'MT 1.1 Results'!E31&amp;"/8")</f>
        <v/>
      </c>
    </row>
    <row r="158">
      <c r="A158">
        <f>IF('MT 1.1 Results'!I30="","","Q4 Mean, median &amp; mode: "&amp;'MT 1.1 Results'!F30&amp;"/6")</f>
        <v/>
      </c>
      <c r="K158">
        <f>IF('MT 1.1 Results'!I31="","","Q4 Mean, median &amp; mode: "&amp;'MT 1.1 Results'!F31&amp;"/6")</f>
        <v/>
      </c>
    </row>
    <row r="159">
      <c r="A159">
        <f>IF(OR('MT 1.1 Results'!I30="",'MT 1.1 Results'!J30=""),"",'MT 1.1 Results'!J30)</f>
        <v/>
      </c>
      <c r="K159">
        <f>IF(OR('MT 1.1 Results'!I31="",'MT 1.1 Results'!J31=""),"",'MT 1.1 Results'!J31)</f>
        <v/>
      </c>
    </row>
    <row r="161">
      <c r="A161">
        <f>IF('MT 1.1 Results'!I30="","","Comments:")</f>
        <v/>
      </c>
      <c r="K161">
        <f>IF('MT 1.1 Results'!I31="","","Comments:")</f>
        <v/>
      </c>
    </row>
    <row r="165">
      <c r="A165">
        <f>IF('MT 1.1 Results'!I32="","","Mini Test 1.1 — Analysis of Data")</f>
        <v/>
      </c>
      <c r="K165">
        <f>IF('MT 1.1 Results'!I33="","","Mini Test 1.1 — Analysis of Data")</f>
        <v/>
      </c>
    </row>
    <row r="166">
      <c r="A166">
        <f>IF('MT 1.1 Results'!I32="","","Name: "&amp;'MT 1.1 Results'!B32&amp;"   Class: "&amp;'MT 1.1 Results'!$B$3&amp;"   Date: "&amp;TEXT('MT 1.1 Results'!$B$5,"DD/MM/YY"))</f>
        <v/>
      </c>
      <c r="K166">
        <f>IF('MT 1.1 Results'!I33="","","Name: "&amp;'MT 1.1 Results'!B33&amp;"   Class: "&amp;'MT 1.1 Results'!$B$3&amp;"   Date: "&amp;TEXT('MT 1.1 Results'!$B$5,"DD/MM/YY"))</f>
        <v/>
      </c>
    </row>
    <row r="167">
      <c r="A167">
        <f>IF('MT 1.1 Results'!I32="","","Total: "&amp;'MT 1.1 Results'!G32&amp;"/22 ("&amp;TEXT('MT 1.1 Results'!H32,"0%")&amp;")   Overall: "&amp;'MT 1.1 Results'!I32)</f>
        <v/>
      </c>
      <c r="K167">
        <f>IF('MT 1.1 Results'!I33="","","Total: "&amp;'MT 1.1 Results'!G33&amp;"/22 ("&amp;TEXT('MT 1.1 Results'!H33,"0%")&amp;")   Overall: "&amp;'MT 1.1 Results'!I33)</f>
        <v/>
      </c>
    </row>
    <row r="168">
      <c r="A168">
        <f>IF('MT 1.1 Results'!I32="","",IF('MT 1.1 Results'!I32="Green",Parameters!$C$16,IF('MT 1.1 Results'!I32="Yellow",Parameters!$C$15,Parameters!$C$14)))</f>
        <v/>
      </c>
      <c r="K168">
        <f>IF('MT 1.1 Results'!I33="","",IF('MT 1.1 Results'!I33="Green",Parameters!$C$16,IF('MT 1.1 Results'!I33="Yellow",Parameters!$C$15,Parameters!$C$14)))</f>
        <v/>
      </c>
    </row>
    <row r="170">
      <c r="A170">
        <f>IF('MT 1.1 Results'!I32="","","Breakdown:")</f>
        <v/>
      </c>
      <c r="K170">
        <f>IF('MT 1.1 Results'!I33="","","Breakdown:")</f>
        <v/>
      </c>
    </row>
    <row r="171">
      <c r="A171">
        <f>IF('MT 1.1 Results'!I32="","","Q1 Data types (qualitative/quantitative, discrete/continuous): "&amp;'MT 1.1 Results'!C32&amp;"/4")</f>
        <v/>
      </c>
      <c r="K171">
        <f>IF('MT 1.1 Results'!I33="","","Q1 Data types (qualitative/quantitative, discrete/continuous): "&amp;'MT 1.1 Results'!C33&amp;"/4")</f>
        <v/>
      </c>
    </row>
    <row r="172">
      <c r="A172">
        <f>IF('MT 1.1 Results'!I32="","","Q2 Primary &amp; secondary data: "&amp;'MT 1.1 Results'!D32&amp;"/4")</f>
        <v/>
      </c>
      <c r="K172">
        <f>IF('MT 1.1 Results'!I33="","","Q2 Primary &amp; secondary data: "&amp;'MT 1.1 Results'!D33&amp;"/4")</f>
        <v/>
      </c>
    </row>
    <row r="173">
      <c r="A173">
        <f>IF('MT 1.1 Results'!I32="","","Q3 Systematic &amp; stratified sampling: "&amp;'MT 1.1 Results'!E32&amp;"/8")</f>
        <v/>
      </c>
      <c r="K173">
        <f>IF('MT 1.1 Results'!I33="","","Q3 Systematic &amp; stratified sampling: "&amp;'MT 1.1 Results'!E33&amp;"/8")</f>
        <v/>
      </c>
    </row>
    <row r="174">
      <c r="A174">
        <f>IF('MT 1.1 Results'!I32="","","Q4 Mean, median &amp; mode: "&amp;'MT 1.1 Results'!F32&amp;"/6")</f>
        <v/>
      </c>
      <c r="K174">
        <f>IF('MT 1.1 Results'!I33="","","Q4 Mean, median &amp; mode: "&amp;'MT 1.1 Results'!F33&amp;"/6")</f>
        <v/>
      </c>
    </row>
    <row r="175">
      <c r="A175">
        <f>IF(OR('MT 1.1 Results'!I32="",'MT 1.1 Results'!J32=""),"",'MT 1.1 Results'!J32)</f>
        <v/>
      </c>
      <c r="K175">
        <f>IF(OR('MT 1.1 Results'!I33="",'MT 1.1 Results'!J33=""),"",'MT 1.1 Results'!J33)</f>
        <v/>
      </c>
    </row>
    <row r="177">
      <c r="A177">
        <f>IF('MT 1.1 Results'!I32="","","Comments:")</f>
        <v/>
      </c>
      <c r="K177">
        <f>IF('MT 1.1 Results'!I33="","","Comments:")</f>
        <v/>
      </c>
    </row>
    <row r="181">
      <c r="A181">
        <f>IF('MT 1.1 Results'!I34="","","Mini Test 1.1 — Analysis of Data")</f>
        <v/>
      </c>
      <c r="K181">
        <f>IF('MT 1.1 Results'!I35="","","Mini Test 1.1 — Analysis of Data")</f>
        <v/>
      </c>
    </row>
    <row r="182">
      <c r="A182">
        <f>IF('MT 1.1 Results'!I34="","","Name: "&amp;'MT 1.1 Results'!B34&amp;"   Class: "&amp;'MT 1.1 Results'!$B$3&amp;"   Date: "&amp;TEXT('MT 1.1 Results'!$B$5,"DD/MM/YY"))</f>
        <v/>
      </c>
      <c r="K182">
        <f>IF('MT 1.1 Results'!I35="","","Name: "&amp;'MT 1.1 Results'!B35&amp;"   Class: "&amp;'MT 1.1 Results'!$B$3&amp;"   Date: "&amp;TEXT('MT 1.1 Results'!$B$5,"DD/MM/YY"))</f>
        <v/>
      </c>
    </row>
    <row r="183">
      <c r="A183">
        <f>IF('MT 1.1 Results'!I34="","","Total: "&amp;'MT 1.1 Results'!G34&amp;"/22 ("&amp;TEXT('MT 1.1 Results'!H34,"0%")&amp;")   Overall: "&amp;'MT 1.1 Results'!I34)</f>
        <v/>
      </c>
      <c r="K183">
        <f>IF('MT 1.1 Results'!I35="","","Total: "&amp;'MT 1.1 Results'!G35&amp;"/22 ("&amp;TEXT('MT 1.1 Results'!H35,"0%")&amp;")   Overall: "&amp;'MT 1.1 Results'!I35)</f>
        <v/>
      </c>
    </row>
    <row r="184">
      <c r="A184">
        <f>IF('MT 1.1 Results'!I34="","",IF('MT 1.1 Results'!I34="Green",Parameters!$C$16,IF('MT 1.1 Results'!I34="Yellow",Parameters!$C$15,Parameters!$C$14)))</f>
        <v/>
      </c>
      <c r="K184">
        <f>IF('MT 1.1 Results'!I35="","",IF('MT 1.1 Results'!I35="Green",Parameters!$C$16,IF('MT 1.1 Results'!I35="Yellow",Parameters!$C$15,Parameters!$C$14)))</f>
        <v/>
      </c>
    </row>
    <row r="186">
      <c r="A186">
        <f>IF('MT 1.1 Results'!I34="","","Breakdown:")</f>
        <v/>
      </c>
      <c r="K186">
        <f>IF('MT 1.1 Results'!I35="","","Breakdown:")</f>
        <v/>
      </c>
    </row>
    <row r="187">
      <c r="A187">
        <f>IF('MT 1.1 Results'!I34="","","Q1 Data types (qualitative/quantitative, discrete/continuous): "&amp;'MT 1.1 Results'!C34&amp;"/4")</f>
        <v/>
      </c>
      <c r="K187">
        <f>IF('MT 1.1 Results'!I35="","","Q1 Data types (qualitative/quantitative, discrete/continuous): "&amp;'MT 1.1 Results'!C35&amp;"/4")</f>
        <v/>
      </c>
    </row>
    <row r="188">
      <c r="A188">
        <f>IF('MT 1.1 Results'!I34="","","Q2 Primary &amp; secondary data: "&amp;'MT 1.1 Results'!D34&amp;"/4")</f>
        <v/>
      </c>
      <c r="K188">
        <f>IF('MT 1.1 Results'!I35="","","Q2 Primary &amp; secondary data: "&amp;'MT 1.1 Results'!D35&amp;"/4")</f>
        <v/>
      </c>
    </row>
    <row r="189">
      <c r="A189">
        <f>IF('MT 1.1 Results'!I34="","","Q3 Systematic &amp; stratified sampling: "&amp;'MT 1.1 Results'!E34&amp;"/8")</f>
        <v/>
      </c>
      <c r="K189">
        <f>IF('MT 1.1 Results'!I35="","","Q3 Systematic &amp; stratified sampling: "&amp;'MT 1.1 Results'!E35&amp;"/8")</f>
        <v/>
      </c>
    </row>
    <row r="190">
      <c r="A190">
        <f>IF('MT 1.1 Results'!I34="","","Q4 Mean, median &amp; mode: "&amp;'MT 1.1 Results'!F34&amp;"/6")</f>
        <v/>
      </c>
      <c r="K190">
        <f>IF('MT 1.1 Results'!I35="","","Q4 Mean, median &amp; mode: "&amp;'MT 1.1 Results'!F35&amp;"/6")</f>
        <v/>
      </c>
    </row>
    <row r="191">
      <c r="A191">
        <f>IF(OR('MT 1.1 Results'!I34="",'MT 1.1 Results'!J34=""),"",'MT 1.1 Results'!J34)</f>
        <v/>
      </c>
      <c r="K191">
        <f>IF(OR('MT 1.1 Results'!I35="",'MT 1.1 Results'!J35=""),"",'MT 1.1 Results'!J35)</f>
        <v/>
      </c>
    </row>
    <row r="193">
      <c r="A193">
        <f>IF('MT 1.1 Results'!I34="","","Comments:")</f>
        <v/>
      </c>
      <c r="K193">
        <f>IF('MT 1.1 Results'!I35="","","Comments:")</f>
        <v/>
      </c>
    </row>
    <row r="197">
      <c r="A197">
        <f>IF('MT 1.1 Results'!I36="","","Mini Test 1.1 — Analysis of Data")</f>
        <v/>
      </c>
      <c r="K197">
        <f>IF('MT 1.1 Results'!I37="","","Mini Test 1.1 — Analysis of Data")</f>
        <v/>
      </c>
    </row>
    <row r="198">
      <c r="A198">
        <f>IF('MT 1.1 Results'!I36="","","Name: "&amp;'MT 1.1 Results'!B36&amp;"   Class: "&amp;'MT 1.1 Results'!$B$3&amp;"   Date: "&amp;TEXT('MT 1.1 Results'!$B$5,"DD/MM/YY"))</f>
        <v/>
      </c>
      <c r="K198">
        <f>IF('MT 1.1 Results'!I37="","","Name: "&amp;'MT 1.1 Results'!B37&amp;"   Class: "&amp;'MT 1.1 Results'!$B$3&amp;"   Date: "&amp;TEXT('MT 1.1 Results'!$B$5,"DD/MM/YY"))</f>
        <v/>
      </c>
    </row>
    <row r="199">
      <c r="A199">
        <f>IF('MT 1.1 Results'!I36="","","Total: "&amp;'MT 1.1 Results'!G36&amp;"/22 ("&amp;TEXT('MT 1.1 Results'!H36,"0%")&amp;")   Overall: "&amp;'MT 1.1 Results'!I36)</f>
        <v/>
      </c>
      <c r="K199">
        <f>IF('MT 1.1 Results'!I37="","","Total: "&amp;'MT 1.1 Results'!G37&amp;"/22 ("&amp;TEXT('MT 1.1 Results'!H37,"0%")&amp;")   Overall: "&amp;'MT 1.1 Results'!I37)</f>
        <v/>
      </c>
    </row>
    <row r="200">
      <c r="A200">
        <f>IF('MT 1.1 Results'!I36="","",IF('MT 1.1 Results'!I36="Green",Parameters!$C$16,IF('MT 1.1 Results'!I36="Yellow",Parameters!$C$15,Parameters!$C$14)))</f>
        <v/>
      </c>
      <c r="K200">
        <f>IF('MT 1.1 Results'!I37="","",IF('MT 1.1 Results'!I37="Green",Parameters!$C$16,IF('MT 1.1 Results'!I37="Yellow",Parameters!$C$15,Parameters!$C$14)))</f>
        <v/>
      </c>
    </row>
    <row r="202">
      <c r="A202">
        <f>IF('MT 1.1 Results'!I36="","","Breakdown:")</f>
        <v/>
      </c>
      <c r="K202">
        <f>IF('MT 1.1 Results'!I37="","","Breakdown:")</f>
        <v/>
      </c>
    </row>
    <row r="203">
      <c r="A203">
        <f>IF('MT 1.1 Results'!I36="","","Q1 Data types (qualitative/quantitative, discrete/continuous): "&amp;'MT 1.1 Results'!C36&amp;"/4")</f>
        <v/>
      </c>
      <c r="K203">
        <f>IF('MT 1.1 Results'!I37="","","Q1 Data types (qualitative/quantitative, discrete/continuous): "&amp;'MT 1.1 Results'!C37&amp;"/4")</f>
        <v/>
      </c>
    </row>
    <row r="204">
      <c r="A204">
        <f>IF('MT 1.1 Results'!I36="","","Q2 Primary &amp; secondary data: "&amp;'MT 1.1 Results'!D36&amp;"/4")</f>
        <v/>
      </c>
      <c r="K204">
        <f>IF('MT 1.1 Results'!I37="","","Q2 Primary &amp; secondary data: "&amp;'MT 1.1 Results'!D37&amp;"/4")</f>
        <v/>
      </c>
    </row>
    <row r="205">
      <c r="A205">
        <f>IF('MT 1.1 Results'!I36="","","Q3 Systematic &amp; stratified sampling: "&amp;'MT 1.1 Results'!E36&amp;"/8")</f>
        <v/>
      </c>
      <c r="K205">
        <f>IF('MT 1.1 Results'!I37="","","Q3 Systematic &amp; stratified sampling: "&amp;'MT 1.1 Results'!E37&amp;"/8")</f>
        <v/>
      </c>
    </row>
    <row r="206">
      <c r="A206">
        <f>IF('MT 1.1 Results'!I36="","","Q4 Mean, median &amp; mode: "&amp;'MT 1.1 Results'!F36&amp;"/6")</f>
        <v/>
      </c>
      <c r="K206">
        <f>IF('MT 1.1 Results'!I37="","","Q4 Mean, median &amp; mode: "&amp;'MT 1.1 Results'!F37&amp;"/6")</f>
        <v/>
      </c>
    </row>
    <row r="207">
      <c r="A207">
        <f>IF(OR('MT 1.1 Results'!I36="",'MT 1.1 Results'!J36=""),"",'MT 1.1 Results'!J36)</f>
        <v/>
      </c>
      <c r="K207">
        <f>IF(OR('MT 1.1 Results'!I37="",'MT 1.1 Results'!J37=""),"",'MT 1.1 Results'!J37)</f>
        <v/>
      </c>
    </row>
    <row r="209">
      <c r="A209">
        <f>IF('MT 1.1 Results'!I36="","","Comments:")</f>
        <v/>
      </c>
      <c r="K209">
        <f>IF('MT 1.1 Results'!I37="","","Comments:")</f>
        <v/>
      </c>
    </row>
    <row r="213">
      <c r="A213">
        <f>IF('MT 1.1 Results'!I38="","","Mini Test 1.1 — Analysis of Data")</f>
        <v/>
      </c>
      <c r="K213">
        <f>IF('MT 1.1 Results'!I39="","","Mini Test 1.1 — Analysis of Data")</f>
        <v/>
      </c>
    </row>
    <row r="214">
      <c r="A214">
        <f>IF('MT 1.1 Results'!I38="","","Name: "&amp;'MT 1.1 Results'!B38&amp;"   Class: "&amp;'MT 1.1 Results'!$B$3&amp;"   Date: "&amp;TEXT('MT 1.1 Results'!$B$5,"DD/MM/YY"))</f>
        <v/>
      </c>
      <c r="K214">
        <f>IF('MT 1.1 Results'!I39="","","Name: "&amp;'MT 1.1 Results'!B39&amp;"   Class: "&amp;'MT 1.1 Results'!$B$3&amp;"   Date: "&amp;TEXT('MT 1.1 Results'!$B$5,"DD/MM/YY"))</f>
        <v/>
      </c>
    </row>
    <row r="215">
      <c r="A215">
        <f>IF('MT 1.1 Results'!I38="","","Total: "&amp;'MT 1.1 Results'!G38&amp;"/22 ("&amp;TEXT('MT 1.1 Results'!H38,"0%")&amp;")   Overall: "&amp;'MT 1.1 Results'!I38)</f>
        <v/>
      </c>
      <c r="K215">
        <f>IF('MT 1.1 Results'!I39="","","Total: "&amp;'MT 1.1 Results'!G39&amp;"/22 ("&amp;TEXT('MT 1.1 Results'!H39,"0%")&amp;")   Overall: "&amp;'MT 1.1 Results'!I39)</f>
        <v/>
      </c>
    </row>
    <row r="216">
      <c r="A216">
        <f>IF('MT 1.1 Results'!I38="","",IF('MT 1.1 Results'!I38="Green",Parameters!$C$16,IF('MT 1.1 Results'!I38="Yellow",Parameters!$C$15,Parameters!$C$14)))</f>
        <v/>
      </c>
      <c r="K216">
        <f>IF('MT 1.1 Results'!I39="","",IF('MT 1.1 Results'!I39="Green",Parameters!$C$16,IF('MT 1.1 Results'!I39="Yellow",Parameters!$C$15,Parameters!$C$14)))</f>
        <v/>
      </c>
    </row>
    <row r="218">
      <c r="A218">
        <f>IF('MT 1.1 Results'!I38="","","Breakdown:")</f>
        <v/>
      </c>
      <c r="K218">
        <f>IF('MT 1.1 Results'!I39="","","Breakdown:")</f>
        <v/>
      </c>
    </row>
    <row r="219">
      <c r="A219">
        <f>IF('MT 1.1 Results'!I38="","","Q1 Data types (qualitative/quantitative, discrete/continuous): "&amp;'MT 1.1 Results'!C38&amp;"/4")</f>
        <v/>
      </c>
      <c r="K219">
        <f>IF('MT 1.1 Results'!I39="","","Q1 Data types (qualitative/quantitative, discrete/continuous): "&amp;'MT 1.1 Results'!C39&amp;"/4")</f>
        <v/>
      </c>
    </row>
    <row r="220">
      <c r="A220">
        <f>IF('MT 1.1 Results'!I38="","","Q2 Primary &amp; secondary data: "&amp;'MT 1.1 Results'!D38&amp;"/4")</f>
        <v/>
      </c>
      <c r="K220">
        <f>IF('MT 1.1 Results'!I39="","","Q2 Primary &amp; secondary data: "&amp;'MT 1.1 Results'!D39&amp;"/4")</f>
        <v/>
      </c>
    </row>
    <row r="221">
      <c r="A221">
        <f>IF('MT 1.1 Results'!I38="","","Q3 Systematic &amp; stratified sampling: "&amp;'MT 1.1 Results'!E38&amp;"/8")</f>
        <v/>
      </c>
      <c r="K221">
        <f>IF('MT 1.1 Results'!I39="","","Q3 Systematic &amp; stratified sampling: "&amp;'MT 1.1 Results'!E39&amp;"/8")</f>
        <v/>
      </c>
    </row>
    <row r="222">
      <c r="A222">
        <f>IF('MT 1.1 Results'!I38="","","Q4 Mean, median &amp; mode: "&amp;'MT 1.1 Results'!F38&amp;"/6")</f>
        <v/>
      </c>
      <c r="K222">
        <f>IF('MT 1.1 Results'!I39="","","Q4 Mean, median &amp; mode: "&amp;'MT 1.1 Results'!F39&amp;"/6")</f>
        <v/>
      </c>
    </row>
    <row r="223">
      <c r="A223">
        <f>IF(OR('MT 1.1 Results'!I38="",'MT 1.1 Results'!J38=""),"",'MT 1.1 Results'!J38)</f>
        <v/>
      </c>
      <c r="K223">
        <f>IF(OR('MT 1.1 Results'!I39="",'MT 1.1 Results'!J39=""),"",'MT 1.1 Results'!J39)</f>
        <v/>
      </c>
    </row>
    <row r="225">
      <c r="A225">
        <f>IF('MT 1.1 Results'!I38="","","Comments:")</f>
        <v/>
      </c>
      <c r="K225">
        <f>IF('MT 1.1 Results'!I39="","","Comments:")</f>
        <v/>
      </c>
    </row>
    <row r="229">
      <c r="A229">
        <f>IF('MT 1.1 Results'!I40="","","Mini Test 1.1 — Analysis of Data")</f>
        <v/>
      </c>
      <c r="K229">
        <f>IF('MT 1.1 Results'!I41="","","Mini Test 1.1 — Analysis of Data")</f>
        <v/>
      </c>
    </row>
    <row r="230">
      <c r="A230">
        <f>IF('MT 1.1 Results'!I40="","","Name: "&amp;'MT 1.1 Results'!B40&amp;"   Class: "&amp;'MT 1.1 Results'!$B$3&amp;"   Date: "&amp;TEXT('MT 1.1 Results'!$B$5,"DD/MM/YY"))</f>
        <v/>
      </c>
      <c r="K230">
        <f>IF('MT 1.1 Results'!I41="","","Name: "&amp;'MT 1.1 Results'!B41&amp;"   Class: "&amp;'MT 1.1 Results'!$B$3&amp;"   Date: "&amp;TEXT('MT 1.1 Results'!$B$5,"DD/MM/YY"))</f>
        <v/>
      </c>
    </row>
    <row r="231">
      <c r="A231">
        <f>IF('MT 1.1 Results'!I40="","","Total: "&amp;'MT 1.1 Results'!G40&amp;"/22 ("&amp;TEXT('MT 1.1 Results'!H40,"0%")&amp;")   Overall: "&amp;'MT 1.1 Results'!I40)</f>
        <v/>
      </c>
      <c r="K231">
        <f>IF('MT 1.1 Results'!I41="","","Total: "&amp;'MT 1.1 Results'!G41&amp;"/22 ("&amp;TEXT('MT 1.1 Results'!H41,"0%")&amp;")   Overall: "&amp;'MT 1.1 Results'!I41)</f>
        <v/>
      </c>
    </row>
    <row r="232">
      <c r="A232">
        <f>IF('MT 1.1 Results'!I40="","",IF('MT 1.1 Results'!I40="Green",Parameters!$C$16,IF('MT 1.1 Results'!I40="Yellow",Parameters!$C$15,Parameters!$C$14)))</f>
        <v/>
      </c>
      <c r="K232">
        <f>IF('MT 1.1 Results'!I41="","",IF('MT 1.1 Results'!I41="Green",Parameters!$C$16,IF('MT 1.1 Results'!I41="Yellow",Parameters!$C$15,Parameters!$C$14)))</f>
        <v/>
      </c>
    </row>
    <row r="234">
      <c r="A234">
        <f>IF('MT 1.1 Results'!I40="","","Breakdown:")</f>
        <v/>
      </c>
      <c r="K234">
        <f>IF('MT 1.1 Results'!I41="","","Breakdown:")</f>
        <v/>
      </c>
    </row>
    <row r="235">
      <c r="A235">
        <f>IF('MT 1.1 Results'!I40="","","Q1 Data types (qualitative/quantitative, discrete/continuous): "&amp;'MT 1.1 Results'!C40&amp;"/4")</f>
        <v/>
      </c>
      <c r="K235">
        <f>IF('MT 1.1 Results'!I41="","","Q1 Data types (qualitative/quantitative, discrete/continuous): "&amp;'MT 1.1 Results'!C41&amp;"/4")</f>
        <v/>
      </c>
    </row>
    <row r="236">
      <c r="A236">
        <f>IF('MT 1.1 Results'!I40="","","Q2 Primary &amp; secondary data: "&amp;'MT 1.1 Results'!D40&amp;"/4")</f>
        <v/>
      </c>
      <c r="K236">
        <f>IF('MT 1.1 Results'!I41="","","Q2 Primary &amp; secondary data: "&amp;'MT 1.1 Results'!D41&amp;"/4")</f>
        <v/>
      </c>
    </row>
    <row r="237">
      <c r="A237">
        <f>IF('MT 1.1 Results'!I40="","","Q3 Systematic &amp; stratified sampling: "&amp;'MT 1.1 Results'!E40&amp;"/8")</f>
        <v/>
      </c>
      <c r="K237">
        <f>IF('MT 1.1 Results'!I41="","","Q3 Systematic &amp; stratified sampling: "&amp;'MT 1.1 Results'!E41&amp;"/8")</f>
        <v/>
      </c>
    </row>
    <row r="238">
      <c r="A238">
        <f>IF('MT 1.1 Results'!I40="","","Q4 Mean, median &amp; mode: "&amp;'MT 1.1 Results'!F40&amp;"/6")</f>
        <v/>
      </c>
      <c r="K238">
        <f>IF('MT 1.1 Results'!I41="","","Q4 Mean, median &amp; mode: "&amp;'MT 1.1 Results'!F41&amp;"/6")</f>
        <v/>
      </c>
    </row>
    <row r="239">
      <c r="A239">
        <f>IF(OR('MT 1.1 Results'!I40="",'MT 1.1 Results'!J40=""),"",'MT 1.1 Results'!J40)</f>
        <v/>
      </c>
      <c r="K239">
        <f>IF(OR('MT 1.1 Results'!I41="",'MT 1.1 Results'!J41=""),"",'MT 1.1 Results'!J41)</f>
        <v/>
      </c>
    </row>
    <row r="241">
      <c r="A241">
        <f>IF('MT 1.1 Results'!I40="","","Comments:")</f>
        <v/>
      </c>
      <c r="K241">
        <f>IF('MT 1.1 Results'!I41="","","Comments:")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0" customWidth="1" min="7" max="7"/>
    <col width="8" customWidth="1" min="8" max="8"/>
    <col width="10" customWidth="1" min="9" max="9"/>
    <col width="45" customWidth="1" min="10" max="10"/>
  </cols>
  <sheetData>
    <row r="1">
      <c r="A1" s="11" t="inlineStr">
        <is>
          <t>Mini Test 1.2 — Analysis of Data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Mean &amp; SD
(/5)</t>
        </is>
      </c>
      <c r="D9" s="12" t="inlineStr">
        <is>
          <t>Q2
Grouped mean
(/5)</t>
        </is>
      </c>
      <c r="E9" s="12" t="inlineStr">
        <is>
          <t>Q3
Quartiles, IQR &amp; outliers
(/6)</t>
        </is>
      </c>
      <c r="F9" s="12" t="inlineStr">
        <is>
          <t>Q4
Comparing distributions
(/4)</t>
        </is>
      </c>
      <c r="G9" s="12" t="inlineStr">
        <is>
          <t>Total
(/20)</t>
        </is>
      </c>
      <c r="H9" s="12" t="inlineStr">
        <is>
          <t>%</t>
        </is>
      </c>
      <c r="I9" s="12" t="inlineStr">
        <is>
          <t>Overall</t>
        </is>
      </c>
      <c r="J9" s="12" t="inlineStr">
        <is>
          <t>Focus for next steps</t>
        </is>
      </c>
      <c r="K9" s="12" t="inlineStr">
        <is>
          <t>Q1%</t>
        </is>
      </c>
      <c r="L9" s="12" t="inlineStr">
        <is>
          <t>Q2%</t>
        </is>
      </c>
      <c r="M9" s="12" t="inlineStr">
        <is>
          <t>Q3%</t>
        </is>
      </c>
      <c r="N9" s="12" t="inlineStr">
        <is>
          <t>Q4%</t>
        </is>
      </c>
    </row>
    <row r="10">
      <c r="A10" s="3" t="n"/>
      <c r="B10" s="3" t="inlineStr">
        <is>
          <t>Max marks</t>
        </is>
      </c>
      <c r="C10" s="3" t="n">
        <v>5</v>
      </c>
      <c r="D10" s="3" t="n">
        <v>5</v>
      </c>
      <c r="E10" s="3" t="n">
        <v>6</v>
      </c>
      <c r="F10" s="3" t="n">
        <v>4</v>
      </c>
      <c r="G10" s="3" t="n">
        <v>20</v>
      </c>
      <c r="H10" s="3" t="inlineStr">
        <is>
          <t>100%</t>
        </is>
      </c>
      <c r="I10" s="3" t="n"/>
      <c r="J10" s="3" t="n"/>
      <c r="K10" s="3" t="n"/>
      <c r="L10" s="3" t="n"/>
      <c r="M10" s="3" t="n"/>
      <c r="N10" s="3" t="n"/>
    </row>
    <row r="11">
      <c r="A11" s="13" t="n">
        <v>1</v>
      </c>
      <c r="B11" s="13" t="inlineStr">
        <is>
          <t>Example pupil (edit me)</t>
        </is>
      </c>
      <c r="C11" s="13" t="n">
        <v>4</v>
      </c>
      <c r="D11" s="13" t="n">
        <v>4</v>
      </c>
      <c r="E11" s="13" t="n">
        <v>5</v>
      </c>
      <c r="F11" s="13" t="n">
        <v>3</v>
      </c>
      <c r="G11" s="13">
        <f>IF(COUNT(C11:F11)&lt;4,"",SUM(C11:F11))</f>
        <v/>
      </c>
      <c r="H11" s="13">
        <f>IF(COUNT(C11:F11)&lt;4,"",G11/20)</f>
        <v/>
      </c>
      <c r="I11" s="13">
        <f>IF(COUNT(C11:F11)&lt;4,"",IF(H11&gt;=0.8,"Green",IF(H11&gt;=0.5,"Yellow","Red")))</f>
        <v/>
      </c>
      <c r="J11" s="13">
        <f>IF(COUNT(C11:F11)&lt;4,"",IF(I11="Green","Well done! "&amp;Parameters!$C$31,"Revise: "&amp;_xlfn.TEXTJOIN(", ",TRUE(),IF(K11&lt;1,Parameters!$A$22,""),IF(L11&lt;1,Parameters!$A$23,""),IF(M11&lt;1,Parameters!$A$24,""),IF(N11&lt;1,Parameters!$A$25,""))))</f>
        <v/>
      </c>
      <c r="K11" s="13">
        <f>IF(C11="","",C11/5)</f>
        <v/>
      </c>
      <c r="L11" s="13">
        <f>IF(D11="","",D11/5)</f>
        <v/>
      </c>
      <c r="M11" s="13">
        <f>IF(E11="","",E11/6)</f>
        <v/>
      </c>
      <c r="N11" s="13">
        <f>IF(F11="","",F11/4)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3">
        <f>IF(COUNT(C12:F12)&lt;4,"",SUM(C12:F12))</f>
        <v/>
      </c>
      <c r="H12" s="13">
        <f>IF(COUNT(C12:F12)&lt;4,"",G12/20)</f>
        <v/>
      </c>
      <c r="I12" s="13">
        <f>IF(COUNT(C12:F12)&lt;4,"",IF(H12&gt;=0.8,"Green",IF(H12&gt;=0.5,"Yellow","Red")))</f>
        <v/>
      </c>
      <c r="J12" s="13">
        <f>IF(COUNT(C12:F12)&lt;4,"",IF(I12="Green","Well done! "&amp;Parameters!$C$31,"Revise: "&amp;_xlfn.TEXTJOIN(", ",TRUE(),IF(K12&lt;1,Parameters!$A$22,""),IF(L12&lt;1,Parameters!$A$23,""),IF(M12&lt;1,Parameters!$A$24,""),IF(N12&lt;1,Parameters!$A$25,""))))</f>
        <v/>
      </c>
      <c r="K12" s="13">
        <f>IF(C12="","",C12/5)</f>
        <v/>
      </c>
      <c r="L12" s="13">
        <f>IF(D12="","",D12/5)</f>
        <v/>
      </c>
      <c r="M12" s="13">
        <f>IF(E12="","",E12/6)</f>
        <v/>
      </c>
      <c r="N12" s="13">
        <f>IF(F12="","",F12/4)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3">
        <f>IF(COUNT(C13:F13)&lt;4,"",SUM(C13:F13))</f>
        <v/>
      </c>
      <c r="H13" s="13">
        <f>IF(COUNT(C13:F13)&lt;4,"",G13/20)</f>
        <v/>
      </c>
      <c r="I13" s="13">
        <f>IF(COUNT(C13:F13)&lt;4,"",IF(H13&gt;=0.8,"Green",IF(H13&gt;=0.5,"Yellow","Red")))</f>
        <v/>
      </c>
      <c r="J13" s="13">
        <f>IF(COUNT(C13:F13)&lt;4,"",IF(I13="Green","Well done! "&amp;Parameters!$C$31,"Revise: "&amp;_xlfn.TEXTJOIN(", ",TRUE(),IF(K13&lt;1,Parameters!$A$22,""),IF(L13&lt;1,Parameters!$A$23,""),IF(M13&lt;1,Parameters!$A$24,""),IF(N13&lt;1,Parameters!$A$25,""))))</f>
        <v/>
      </c>
      <c r="K13" s="13">
        <f>IF(C13="","",C13/5)</f>
        <v/>
      </c>
      <c r="L13" s="13">
        <f>IF(D13="","",D13/5)</f>
        <v/>
      </c>
      <c r="M13" s="13">
        <f>IF(E13="","",E13/6)</f>
        <v/>
      </c>
      <c r="N13" s="13">
        <f>IF(F13="","",F13/4)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3">
        <f>IF(COUNT(C14:F14)&lt;4,"",SUM(C14:F14))</f>
        <v/>
      </c>
      <c r="H14" s="13">
        <f>IF(COUNT(C14:F14)&lt;4,"",G14/20)</f>
        <v/>
      </c>
      <c r="I14" s="13">
        <f>IF(COUNT(C14:F14)&lt;4,"",IF(H14&gt;=0.8,"Green",IF(H14&gt;=0.5,"Yellow","Red")))</f>
        <v/>
      </c>
      <c r="J14" s="13">
        <f>IF(COUNT(C14:F14)&lt;4,"",IF(I14="Green","Well done! "&amp;Parameters!$C$31,"Revise: "&amp;_xlfn.TEXTJOIN(", ",TRUE(),IF(K14&lt;1,Parameters!$A$22,""),IF(L14&lt;1,Parameters!$A$23,""),IF(M14&lt;1,Parameters!$A$24,""),IF(N14&lt;1,Parameters!$A$25,""))))</f>
        <v/>
      </c>
      <c r="K14" s="13">
        <f>IF(C14="","",C14/5)</f>
        <v/>
      </c>
      <c r="L14" s="13">
        <f>IF(D14="","",D14/5)</f>
        <v/>
      </c>
      <c r="M14" s="13">
        <f>IF(E14="","",E14/6)</f>
        <v/>
      </c>
      <c r="N14" s="13">
        <f>IF(F14="","",F14/4)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3">
        <f>IF(COUNT(C15:F15)&lt;4,"",SUM(C15:F15))</f>
        <v/>
      </c>
      <c r="H15" s="13">
        <f>IF(COUNT(C15:F15)&lt;4,"",G15/20)</f>
        <v/>
      </c>
      <c r="I15" s="13">
        <f>IF(COUNT(C15:F15)&lt;4,"",IF(H15&gt;=0.8,"Green",IF(H15&gt;=0.5,"Yellow","Red")))</f>
        <v/>
      </c>
      <c r="J15" s="13">
        <f>IF(COUNT(C15:F15)&lt;4,"",IF(I15="Green","Well done! "&amp;Parameters!$C$31,"Revise: "&amp;_xlfn.TEXTJOIN(", ",TRUE(),IF(K15&lt;1,Parameters!$A$22,""),IF(L15&lt;1,Parameters!$A$23,""),IF(M15&lt;1,Parameters!$A$24,""),IF(N15&lt;1,Parameters!$A$25,""))))</f>
        <v/>
      </c>
      <c r="K15" s="13">
        <f>IF(C15="","",C15/5)</f>
        <v/>
      </c>
      <c r="L15" s="13">
        <f>IF(D15="","",D15/5)</f>
        <v/>
      </c>
      <c r="M15" s="13">
        <f>IF(E15="","",E15/6)</f>
        <v/>
      </c>
      <c r="N15" s="13">
        <f>IF(F15="","",F15/4)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3">
        <f>IF(COUNT(C16:F16)&lt;4,"",SUM(C16:F16))</f>
        <v/>
      </c>
      <c r="H16" s="13">
        <f>IF(COUNT(C16:F16)&lt;4,"",G16/20)</f>
        <v/>
      </c>
      <c r="I16" s="13">
        <f>IF(COUNT(C16:F16)&lt;4,"",IF(H16&gt;=0.8,"Green",IF(H16&gt;=0.5,"Yellow","Red")))</f>
        <v/>
      </c>
      <c r="J16" s="13">
        <f>IF(COUNT(C16:F16)&lt;4,"",IF(I16="Green","Well done! "&amp;Parameters!$C$31,"Revise: "&amp;_xlfn.TEXTJOIN(", ",TRUE(),IF(K16&lt;1,Parameters!$A$22,""),IF(L16&lt;1,Parameters!$A$23,""),IF(M16&lt;1,Parameters!$A$24,""),IF(N16&lt;1,Parameters!$A$25,""))))</f>
        <v/>
      </c>
      <c r="K16" s="13">
        <f>IF(C16="","",C16/5)</f>
        <v/>
      </c>
      <c r="L16" s="13">
        <f>IF(D16="","",D16/5)</f>
        <v/>
      </c>
      <c r="M16" s="13">
        <f>IF(E16="","",E16/6)</f>
        <v/>
      </c>
      <c r="N16" s="13">
        <f>IF(F16="","",F16/4)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3">
        <f>IF(COUNT(C17:F17)&lt;4,"",SUM(C17:F17))</f>
        <v/>
      </c>
      <c r="H17" s="13">
        <f>IF(COUNT(C17:F17)&lt;4,"",G17/20)</f>
        <v/>
      </c>
      <c r="I17" s="13">
        <f>IF(COUNT(C17:F17)&lt;4,"",IF(H17&gt;=0.8,"Green",IF(H17&gt;=0.5,"Yellow","Red")))</f>
        <v/>
      </c>
      <c r="J17" s="13">
        <f>IF(COUNT(C17:F17)&lt;4,"",IF(I17="Green","Well done! "&amp;Parameters!$C$31,"Revise: "&amp;_xlfn.TEXTJOIN(", ",TRUE(),IF(K17&lt;1,Parameters!$A$22,""),IF(L17&lt;1,Parameters!$A$23,""),IF(M17&lt;1,Parameters!$A$24,""),IF(N17&lt;1,Parameters!$A$25,""))))</f>
        <v/>
      </c>
      <c r="K17" s="13">
        <f>IF(C17="","",C17/5)</f>
        <v/>
      </c>
      <c r="L17" s="13">
        <f>IF(D17="","",D17/5)</f>
        <v/>
      </c>
      <c r="M17" s="13">
        <f>IF(E17="","",E17/6)</f>
        <v/>
      </c>
      <c r="N17" s="13">
        <f>IF(F17="","",F17/4)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3">
        <f>IF(COUNT(C18:F18)&lt;4,"",SUM(C18:F18))</f>
        <v/>
      </c>
      <c r="H18" s="13">
        <f>IF(COUNT(C18:F18)&lt;4,"",G18/20)</f>
        <v/>
      </c>
      <c r="I18" s="13">
        <f>IF(COUNT(C18:F18)&lt;4,"",IF(H18&gt;=0.8,"Green",IF(H18&gt;=0.5,"Yellow","Red")))</f>
        <v/>
      </c>
      <c r="J18" s="13">
        <f>IF(COUNT(C18:F18)&lt;4,"",IF(I18="Green","Well done! "&amp;Parameters!$C$31,"Revise: "&amp;_xlfn.TEXTJOIN(", ",TRUE(),IF(K18&lt;1,Parameters!$A$22,""),IF(L18&lt;1,Parameters!$A$23,""),IF(M18&lt;1,Parameters!$A$24,""),IF(N18&lt;1,Parameters!$A$25,""))))</f>
        <v/>
      </c>
      <c r="K18" s="13">
        <f>IF(C18="","",C18/5)</f>
        <v/>
      </c>
      <c r="L18" s="13">
        <f>IF(D18="","",D18/5)</f>
        <v/>
      </c>
      <c r="M18" s="13">
        <f>IF(E18="","",E18/6)</f>
        <v/>
      </c>
      <c r="N18" s="13">
        <f>IF(F18="","",F18/4)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3">
        <f>IF(COUNT(C19:F19)&lt;4,"",SUM(C19:F19))</f>
        <v/>
      </c>
      <c r="H19" s="13">
        <f>IF(COUNT(C19:F19)&lt;4,"",G19/20)</f>
        <v/>
      </c>
      <c r="I19" s="13">
        <f>IF(COUNT(C19:F19)&lt;4,"",IF(H19&gt;=0.8,"Green",IF(H19&gt;=0.5,"Yellow","Red")))</f>
        <v/>
      </c>
      <c r="J19" s="13">
        <f>IF(COUNT(C19:F19)&lt;4,"",IF(I19="Green","Well done! "&amp;Parameters!$C$31,"Revise: "&amp;_xlfn.TEXTJOIN(", ",TRUE(),IF(K19&lt;1,Parameters!$A$22,""),IF(L19&lt;1,Parameters!$A$23,""),IF(M19&lt;1,Parameters!$A$24,""),IF(N19&lt;1,Parameters!$A$25,""))))</f>
        <v/>
      </c>
      <c r="K19" s="13">
        <f>IF(C19="","",C19/5)</f>
        <v/>
      </c>
      <c r="L19" s="13">
        <f>IF(D19="","",D19/5)</f>
        <v/>
      </c>
      <c r="M19" s="13">
        <f>IF(E19="","",E19/6)</f>
        <v/>
      </c>
      <c r="N19" s="13">
        <f>IF(F19="","",F19/4)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3">
        <f>IF(COUNT(C20:F20)&lt;4,"",SUM(C20:F20))</f>
        <v/>
      </c>
      <c r="H20" s="13">
        <f>IF(COUNT(C20:F20)&lt;4,"",G20/20)</f>
        <v/>
      </c>
      <c r="I20" s="13">
        <f>IF(COUNT(C20:F20)&lt;4,"",IF(H20&gt;=0.8,"Green",IF(H20&gt;=0.5,"Yellow","Red")))</f>
        <v/>
      </c>
      <c r="J20" s="13">
        <f>IF(COUNT(C20:F20)&lt;4,"",IF(I20="Green","Well done! "&amp;Parameters!$C$31,"Revise: "&amp;_xlfn.TEXTJOIN(", ",TRUE(),IF(K20&lt;1,Parameters!$A$22,""),IF(L20&lt;1,Parameters!$A$23,""),IF(M20&lt;1,Parameters!$A$24,""),IF(N20&lt;1,Parameters!$A$25,""))))</f>
        <v/>
      </c>
      <c r="K20" s="13">
        <f>IF(C20="","",C20/5)</f>
        <v/>
      </c>
      <c r="L20" s="13">
        <f>IF(D20="","",D20/5)</f>
        <v/>
      </c>
      <c r="M20" s="13">
        <f>IF(E20="","",E20/6)</f>
        <v/>
      </c>
      <c r="N20" s="13">
        <f>IF(F20="","",F20/4)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3">
        <f>IF(COUNT(C21:F21)&lt;4,"",SUM(C21:F21))</f>
        <v/>
      </c>
      <c r="H21" s="13">
        <f>IF(COUNT(C21:F21)&lt;4,"",G21/20)</f>
        <v/>
      </c>
      <c r="I21" s="13">
        <f>IF(COUNT(C21:F21)&lt;4,"",IF(H21&gt;=0.8,"Green",IF(H21&gt;=0.5,"Yellow","Red")))</f>
        <v/>
      </c>
      <c r="J21" s="13">
        <f>IF(COUNT(C21:F21)&lt;4,"",IF(I21="Green","Well done! "&amp;Parameters!$C$31,"Revise: "&amp;_xlfn.TEXTJOIN(", ",TRUE(),IF(K21&lt;1,Parameters!$A$22,""),IF(L21&lt;1,Parameters!$A$23,""),IF(M21&lt;1,Parameters!$A$24,""),IF(N21&lt;1,Parameters!$A$25,""))))</f>
        <v/>
      </c>
      <c r="K21" s="13">
        <f>IF(C21="","",C21/5)</f>
        <v/>
      </c>
      <c r="L21" s="13">
        <f>IF(D21="","",D21/5)</f>
        <v/>
      </c>
      <c r="M21" s="13">
        <f>IF(E21="","",E21/6)</f>
        <v/>
      </c>
      <c r="N21" s="13">
        <f>IF(F21="","",F21/4)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3">
        <f>IF(COUNT(C22:F22)&lt;4,"",SUM(C22:F22))</f>
        <v/>
      </c>
      <c r="H22" s="13">
        <f>IF(COUNT(C22:F22)&lt;4,"",G22/20)</f>
        <v/>
      </c>
      <c r="I22" s="13">
        <f>IF(COUNT(C22:F22)&lt;4,"",IF(H22&gt;=0.8,"Green",IF(H22&gt;=0.5,"Yellow","Red")))</f>
        <v/>
      </c>
      <c r="J22" s="13">
        <f>IF(COUNT(C22:F22)&lt;4,"",IF(I22="Green","Well done! "&amp;Parameters!$C$31,"Revise: "&amp;_xlfn.TEXTJOIN(", ",TRUE(),IF(K22&lt;1,Parameters!$A$22,""),IF(L22&lt;1,Parameters!$A$23,""),IF(M22&lt;1,Parameters!$A$24,""),IF(N22&lt;1,Parameters!$A$25,""))))</f>
        <v/>
      </c>
      <c r="K22" s="13">
        <f>IF(C22="","",C22/5)</f>
        <v/>
      </c>
      <c r="L22" s="13">
        <f>IF(D22="","",D22/5)</f>
        <v/>
      </c>
      <c r="M22" s="13">
        <f>IF(E22="","",E22/6)</f>
        <v/>
      </c>
      <c r="N22" s="13">
        <f>IF(F22="","",F22/4)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3">
        <f>IF(COUNT(C23:F23)&lt;4,"",SUM(C23:F23))</f>
        <v/>
      </c>
      <c r="H23" s="13">
        <f>IF(COUNT(C23:F23)&lt;4,"",G23/20)</f>
        <v/>
      </c>
      <c r="I23" s="13">
        <f>IF(COUNT(C23:F23)&lt;4,"",IF(H23&gt;=0.8,"Green",IF(H23&gt;=0.5,"Yellow","Red")))</f>
        <v/>
      </c>
      <c r="J23" s="13">
        <f>IF(COUNT(C23:F23)&lt;4,"",IF(I23="Green","Well done! "&amp;Parameters!$C$31,"Revise: "&amp;_xlfn.TEXTJOIN(", ",TRUE(),IF(K23&lt;1,Parameters!$A$22,""),IF(L23&lt;1,Parameters!$A$23,""),IF(M23&lt;1,Parameters!$A$24,""),IF(N23&lt;1,Parameters!$A$25,""))))</f>
        <v/>
      </c>
      <c r="K23" s="13">
        <f>IF(C23="","",C23/5)</f>
        <v/>
      </c>
      <c r="L23" s="13">
        <f>IF(D23="","",D23/5)</f>
        <v/>
      </c>
      <c r="M23" s="13">
        <f>IF(E23="","",E23/6)</f>
        <v/>
      </c>
      <c r="N23" s="13">
        <f>IF(F23="","",F23/4)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3">
        <f>IF(COUNT(C24:F24)&lt;4,"",SUM(C24:F24))</f>
        <v/>
      </c>
      <c r="H24" s="13">
        <f>IF(COUNT(C24:F24)&lt;4,"",G24/20)</f>
        <v/>
      </c>
      <c r="I24" s="13">
        <f>IF(COUNT(C24:F24)&lt;4,"",IF(H24&gt;=0.8,"Green",IF(H24&gt;=0.5,"Yellow","Red")))</f>
        <v/>
      </c>
      <c r="J24" s="13">
        <f>IF(COUNT(C24:F24)&lt;4,"",IF(I24="Green","Well done! "&amp;Parameters!$C$31,"Revise: "&amp;_xlfn.TEXTJOIN(", ",TRUE(),IF(K24&lt;1,Parameters!$A$22,""),IF(L24&lt;1,Parameters!$A$23,""),IF(M24&lt;1,Parameters!$A$24,""),IF(N24&lt;1,Parameters!$A$25,""))))</f>
        <v/>
      </c>
      <c r="K24" s="13">
        <f>IF(C24="","",C24/5)</f>
        <v/>
      </c>
      <c r="L24" s="13">
        <f>IF(D24="","",D24/5)</f>
        <v/>
      </c>
      <c r="M24" s="13">
        <f>IF(E24="","",E24/6)</f>
        <v/>
      </c>
      <c r="N24" s="13">
        <f>IF(F24="","",F24/4)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3">
        <f>IF(COUNT(C25:F25)&lt;4,"",SUM(C25:F25))</f>
        <v/>
      </c>
      <c r="H25" s="13">
        <f>IF(COUNT(C25:F25)&lt;4,"",G25/20)</f>
        <v/>
      </c>
      <c r="I25" s="13">
        <f>IF(COUNT(C25:F25)&lt;4,"",IF(H25&gt;=0.8,"Green",IF(H25&gt;=0.5,"Yellow","Red")))</f>
        <v/>
      </c>
      <c r="J25" s="13">
        <f>IF(COUNT(C25:F25)&lt;4,"",IF(I25="Green","Well done! "&amp;Parameters!$C$31,"Revise: "&amp;_xlfn.TEXTJOIN(", ",TRUE(),IF(K25&lt;1,Parameters!$A$22,""),IF(L25&lt;1,Parameters!$A$23,""),IF(M25&lt;1,Parameters!$A$24,""),IF(N25&lt;1,Parameters!$A$25,""))))</f>
        <v/>
      </c>
      <c r="K25" s="13">
        <f>IF(C25="","",C25/5)</f>
        <v/>
      </c>
      <c r="L25" s="13">
        <f>IF(D25="","",D25/5)</f>
        <v/>
      </c>
      <c r="M25" s="13">
        <f>IF(E25="","",E25/6)</f>
        <v/>
      </c>
      <c r="N25" s="13">
        <f>IF(F25="","",F25/4)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3">
        <f>IF(COUNT(C26:F26)&lt;4,"",SUM(C26:F26))</f>
        <v/>
      </c>
      <c r="H26" s="13">
        <f>IF(COUNT(C26:F26)&lt;4,"",G26/20)</f>
        <v/>
      </c>
      <c r="I26" s="13">
        <f>IF(COUNT(C26:F26)&lt;4,"",IF(H26&gt;=0.8,"Green",IF(H26&gt;=0.5,"Yellow","Red")))</f>
        <v/>
      </c>
      <c r="J26" s="13">
        <f>IF(COUNT(C26:F26)&lt;4,"",IF(I26="Green","Well done! "&amp;Parameters!$C$31,"Revise: "&amp;_xlfn.TEXTJOIN(", ",TRUE(),IF(K26&lt;1,Parameters!$A$22,""),IF(L26&lt;1,Parameters!$A$23,""),IF(M26&lt;1,Parameters!$A$24,""),IF(N26&lt;1,Parameters!$A$25,""))))</f>
        <v/>
      </c>
      <c r="K26" s="13">
        <f>IF(C26="","",C26/5)</f>
        <v/>
      </c>
      <c r="L26" s="13">
        <f>IF(D26="","",D26/5)</f>
        <v/>
      </c>
      <c r="M26" s="13">
        <f>IF(E26="","",E26/6)</f>
        <v/>
      </c>
      <c r="N26" s="13">
        <f>IF(F26="","",F26/4)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3">
        <f>IF(COUNT(C27:F27)&lt;4,"",SUM(C27:F27))</f>
        <v/>
      </c>
      <c r="H27" s="13">
        <f>IF(COUNT(C27:F27)&lt;4,"",G27/20)</f>
        <v/>
      </c>
      <c r="I27" s="13">
        <f>IF(COUNT(C27:F27)&lt;4,"",IF(H27&gt;=0.8,"Green",IF(H27&gt;=0.5,"Yellow","Red")))</f>
        <v/>
      </c>
      <c r="J27" s="13">
        <f>IF(COUNT(C27:F27)&lt;4,"",IF(I27="Green","Well done! "&amp;Parameters!$C$31,"Revise: "&amp;_xlfn.TEXTJOIN(", ",TRUE(),IF(K27&lt;1,Parameters!$A$22,""),IF(L27&lt;1,Parameters!$A$23,""),IF(M27&lt;1,Parameters!$A$24,""),IF(N27&lt;1,Parameters!$A$25,""))))</f>
        <v/>
      </c>
      <c r="K27" s="13">
        <f>IF(C27="","",C27/5)</f>
        <v/>
      </c>
      <c r="L27" s="13">
        <f>IF(D27="","",D27/5)</f>
        <v/>
      </c>
      <c r="M27" s="13">
        <f>IF(E27="","",E27/6)</f>
        <v/>
      </c>
      <c r="N27" s="13">
        <f>IF(F27="","",F27/4)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3">
        <f>IF(COUNT(C28:F28)&lt;4,"",SUM(C28:F28))</f>
        <v/>
      </c>
      <c r="H28" s="13">
        <f>IF(COUNT(C28:F28)&lt;4,"",G28/20)</f>
        <v/>
      </c>
      <c r="I28" s="13">
        <f>IF(COUNT(C28:F28)&lt;4,"",IF(H28&gt;=0.8,"Green",IF(H28&gt;=0.5,"Yellow","Red")))</f>
        <v/>
      </c>
      <c r="J28" s="13">
        <f>IF(COUNT(C28:F28)&lt;4,"",IF(I28="Green","Well done! "&amp;Parameters!$C$31,"Revise: "&amp;_xlfn.TEXTJOIN(", ",TRUE(),IF(K28&lt;1,Parameters!$A$22,""),IF(L28&lt;1,Parameters!$A$23,""),IF(M28&lt;1,Parameters!$A$24,""),IF(N28&lt;1,Parameters!$A$25,""))))</f>
        <v/>
      </c>
      <c r="K28" s="13">
        <f>IF(C28="","",C28/5)</f>
        <v/>
      </c>
      <c r="L28" s="13">
        <f>IF(D28="","",D28/5)</f>
        <v/>
      </c>
      <c r="M28" s="13">
        <f>IF(E28="","",E28/6)</f>
        <v/>
      </c>
      <c r="N28" s="13">
        <f>IF(F28="","",F28/4)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3">
        <f>IF(COUNT(C29:F29)&lt;4,"",SUM(C29:F29))</f>
        <v/>
      </c>
      <c r="H29" s="13">
        <f>IF(COUNT(C29:F29)&lt;4,"",G29/20)</f>
        <v/>
      </c>
      <c r="I29" s="13">
        <f>IF(COUNT(C29:F29)&lt;4,"",IF(H29&gt;=0.8,"Green",IF(H29&gt;=0.5,"Yellow","Red")))</f>
        <v/>
      </c>
      <c r="J29" s="13">
        <f>IF(COUNT(C29:F29)&lt;4,"",IF(I29="Green","Well done! "&amp;Parameters!$C$31,"Revise: "&amp;_xlfn.TEXTJOIN(", ",TRUE(),IF(K29&lt;1,Parameters!$A$22,""),IF(L29&lt;1,Parameters!$A$23,""),IF(M29&lt;1,Parameters!$A$24,""),IF(N29&lt;1,Parameters!$A$25,""))))</f>
        <v/>
      </c>
      <c r="K29" s="13">
        <f>IF(C29="","",C29/5)</f>
        <v/>
      </c>
      <c r="L29" s="13">
        <f>IF(D29="","",D29/5)</f>
        <v/>
      </c>
      <c r="M29" s="13">
        <f>IF(E29="","",E29/6)</f>
        <v/>
      </c>
      <c r="N29" s="13">
        <f>IF(F29="","",F29/4)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3">
        <f>IF(COUNT(C30:F30)&lt;4,"",SUM(C30:F30))</f>
        <v/>
      </c>
      <c r="H30" s="13">
        <f>IF(COUNT(C30:F30)&lt;4,"",G30/20)</f>
        <v/>
      </c>
      <c r="I30" s="13">
        <f>IF(COUNT(C30:F30)&lt;4,"",IF(H30&gt;=0.8,"Green",IF(H30&gt;=0.5,"Yellow","Red")))</f>
        <v/>
      </c>
      <c r="J30" s="13">
        <f>IF(COUNT(C30:F30)&lt;4,"",IF(I30="Green","Well done! "&amp;Parameters!$C$31,"Revise: "&amp;_xlfn.TEXTJOIN(", ",TRUE(),IF(K30&lt;1,Parameters!$A$22,""),IF(L30&lt;1,Parameters!$A$23,""),IF(M30&lt;1,Parameters!$A$24,""),IF(N30&lt;1,Parameters!$A$25,""))))</f>
        <v/>
      </c>
      <c r="K30" s="13">
        <f>IF(C30="","",C30/5)</f>
        <v/>
      </c>
      <c r="L30" s="13">
        <f>IF(D30="","",D30/5)</f>
        <v/>
      </c>
      <c r="M30" s="13">
        <f>IF(E30="","",E30/6)</f>
        <v/>
      </c>
      <c r="N30" s="13">
        <f>IF(F30="","",F30/4)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3">
        <f>IF(COUNT(C31:F31)&lt;4,"",SUM(C31:F31))</f>
        <v/>
      </c>
      <c r="H31" s="13">
        <f>IF(COUNT(C31:F31)&lt;4,"",G31/20)</f>
        <v/>
      </c>
      <c r="I31" s="13">
        <f>IF(COUNT(C31:F31)&lt;4,"",IF(H31&gt;=0.8,"Green",IF(H31&gt;=0.5,"Yellow","Red")))</f>
        <v/>
      </c>
      <c r="J31" s="13">
        <f>IF(COUNT(C31:F31)&lt;4,"",IF(I31="Green","Well done! "&amp;Parameters!$C$31,"Revise: "&amp;_xlfn.TEXTJOIN(", ",TRUE(),IF(K31&lt;1,Parameters!$A$22,""),IF(L31&lt;1,Parameters!$A$23,""),IF(M31&lt;1,Parameters!$A$24,""),IF(N31&lt;1,Parameters!$A$25,""))))</f>
        <v/>
      </c>
      <c r="K31" s="13">
        <f>IF(C31="","",C31/5)</f>
        <v/>
      </c>
      <c r="L31" s="13">
        <f>IF(D31="","",D31/5)</f>
        <v/>
      </c>
      <c r="M31" s="13">
        <f>IF(E31="","",E31/6)</f>
        <v/>
      </c>
      <c r="N31" s="13">
        <f>IF(F31="","",F31/4)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3">
        <f>IF(COUNT(C32:F32)&lt;4,"",SUM(C32:F32))</f>
        <v/>
      </c>
      <c r="H32" s="13">
        <f>IF(COUNT(C32:F32)&lt;4,"",G32/20)</f>
        <v/>
      </c>
      <c r="I32" s="13">
        <f>IF(COUNT(C32:F32)&lt;4,"",IF(H32&gt;=0.8,"Green",IF(H32&gt;=0.5,"Yellow","Red")))</f>
        <v/>
      </c>
      <c r="J32" s="13">
        <f>IF(COUNT(C32:F32)&lt;4,"",IF(I32="Green","Well done! "&amp;Parameters!$C$31,"Revise: "&amp;_xlfn.TEXTJOIN(", ",TRUE(),IF(K32&lt;1,Parameters!$A$22,""),IF(L32&lt;1,Parameters!$A$23,""),IF(M32&lt;1,Parameters!$A$24,""),IF(N32&lt;1,Parameters!$A$25,""))))</f>
        <v/>
      </c>
      <c r="K32" s="13">
        <f>IF(C32="","",C32/5)</f>
        <v/>
      </c>
      <c r="L32" s="13">
        <f>IF(D32="","",D32/5)</f>
        <v/>
      </c>
      <c r="M32" s="13">
        <f>IF(E32="","",E32/6)</f>
        <v/>
      </c>
      <c r="N32" s="13">
        <f>IF(F32="","",F32/4)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3">
        <f>IF(COUNT(C33:F33)&lt;4,"",SUM(C33:F33))</f>
        <v/>
      </c>
      <c r="H33" s="13">
        <f>IF(COUNT(C33:F33)&lt;4,"",G33/20)</f>
        <v/>
      </c>
      <c r="I33" s="13">
        <f>IF(COUNT(C33:F33)&lt;4,"",IF(H33&gt;=0.8,"Green",IF(H33&gt;=0.5,"Yellow","Red")))</f>
        <v/>
      </c>
      <c r="J33" s="13">
        <f>IF(COUNT(C33:F33)&lt;4,"",IF(I33="Green","Well done! "&amp;Parameters!$C$31,"Revise: "&amp;_xlfn.TEXTJOIN(", ",TRUE(),IF(K33&lt;1,Parameters!$A$22,""),IF(L33&lt;1,Parameters!$A$23,""),IF(M33&lt;1,Parameters!$A$24,""),IF(N33&lt;1,Parameters!$A$25,""))))</f>
        <v/>
      </c>
      <c r="K33" s="13">
        <f>IF(C33="","",C33/5)</f>
        <v/>
      </c>
      <c r="L33" s="13">
        <f>IF(D33="","",D33/5)</f>
        <v/>
      </c>
      <c r="M33" s="13">
        <f>IF(E33="","",E33/6)</f>
        <v/>
      </c>
      <c r="N33" s="13">
        <f>IF(F33="","",F33/4)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3">
        <f>IF(COUNT(C34:F34)&lt;4,"",SUM(C34:F34))</f>
        <v/>
      </c>
      <c r="H34" s="13">
        <f>IF(COUNT(C34:F34)&lt;4,"",G34/20)</f>
        <v/>
      </c>
      <c r="I34" s="13">
        <f>IF(COUNT(C34:F34)&lt;4,"",IF(H34&gt;=0.8,"Green",IF(H34&gt;=0.5,"Yellow","Red")))</f>
        <v/>
      </c>
      <c r="J34" s="13">
        <f>IF(COUNT(C34:F34)&lt;4,"",IF(I34="Green","Well done! "&amp;Parameters!$C$31,"Revise: "&amp;_xlfn.TEXTJOIN(", ",TRUE(),IF(K34&lt;1,Parameters!$A$22,""),IF(L34&lt;1,Parameters!$A$23,""),IF(M34&lt;1,Parameters!$A$24,""),IF(N34&lt;1,Parameters!$A$25,""))))</f>
        <v/>
      </c>
      <c r="K34" s="13">
        <f>IF(C34="","",C34/5)</f>
        <v/>
      </c>
      <c r="L34" s="13">
        <f>IF(D34="","",D34/5)</f>
        <v/>
      </c>
      <c r="M34" s="13">
        <f>IF(E34="","",E34/6)</f>
        <v/>
      </c>
      <c r="N34" s="13">
        <f>IF(F34="","",F34/4)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3">
        <f>IF(COUNT(C35:F35)&lt;4,"",SUM(C35:F35))</f>
        <v/>
      </c>
      <c r="H35" s="13">
        <f>IF(COUNT(C35:F35)&lt;4,"",G35/20)</f>
        <v/>
      </c>
      <c r="I35" s="13">
        <f>IF(COUNT(C35:F35)&lt;4,"",IF(H35&gt;=0.8,"Green",IF(H35&gt;=0.5,"Yellow","Red")))</f>
        <v/>
      </c>
      <c r="J35" s="13">
        <f>IF(COUNT(C35:F35)&lt;4,"",IF(I35="Green","Well done! "&amp;Parameters!$C$31,"Revise: "&amp;_xlfn.TEXTJOIN(", ",TRUE(),IF(K35&lt;1,Parameters!$A$22,""),IF(L35&lt;1,Parameters!$A$23,""),IF(M35&lt;1,Parameters!$A$24,""),IF(N35&lt;1,Parameters!$A$25,""))))</f>
        <v/>
      </c>
      <c r="K35" s="13">
        <f>IF(C35="","",C35/5)</f>
        <v/>
      </c>
      <c r="L35" s="13">
        <f>IF(D35="","",D35/5)</f>
        <v/>
      </c>
      <c r="M35" s="13">
        <f>IF(E35="","",E35/6)</f>
        <v/>
      </c>
      <c r="N35" s="13">
        <f>IF(F35="","",F35/4)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3">
        <f>IF(COUNT(C36:F36)&lt;4,"",SUM(C36:F36))</f>
        <v/>
      </c>
      <c r="H36" s="13">
        <f>IF(COUNT(C36:F36)&lt;4,"",G36/20)</f>
        <v/>
      </c>
      <c r="I36" s="13">
        <f>IF(COUNT(C36:F36)&lt;4,"",IF(H36&gt;=0.8,"Green",IF(H36&gt;=0.5,"Yellow","Red")))</f>
        <v/>
      </c>
      <c r="J36" s="13">
        <f>IF(COUNT(C36:F36)&lt;4,"",IF(I36="Green","Well done! "&amp;Parameters!$C$31,"Revise: "&amp;_xlfn.TEXTJOIN(", ",TRUE(),IF(K36&lt;1,Parameters!$A$22,""),IF(L36&lt;1,Parameters!$A$23,""),IF(M36&lt;1,Parameters!$A$24,""),IF(N36&lt;1,Parameters!$A$25,""))))</f>
        <v/>
      </c>
      <c r="K36" s="13">
        <f>IF(C36="","",C36/5)</f>
        <v/>
      </c>
      <c r="L36" s="13">
        <f>IF(D36="","",D36/5)</f>
        <v/>
      </c>
      <c r="M36" s="13">
        <f>IF(E36="","",E36/6)</f>
        <v/>
      </c>
      <c r="N36" s="13">
        <f>IF(F36="","",F36/4)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3">
        <f>IF(COUNT(C37:F37)&lt;4,"",SUM(C37:F37))</f>
        <v/>
      </c>
      <c r="H37" s="13">
        <f>IF(COUNT(C37:F37)&lt;4,"",G37/20)</f>
        <v/>
      </c>
      <c r="I37" s="13">
        <f>IF(COUNT(C37:F37)&lt;4,"",IF(H37&gt;=0.8,"Green",IF(H37&gt;=0.5,"Yellow","Red")))</f>
        <v/>
      </c>
      <c r="J37" s="13">
        <f>IF(COUNT(C37:F37)&lt;4,"",IF(I37="Green","Well done! "&amp;Parameters!$C$31,"Revise: "&amp;_xlfn.TEXTJOIN(", ",TRUE(),IF(K37&lt;1,Parameters!$A$22,""),IF(L37&lt;1,Parameters!$A$23,""),IF(M37&lt;1,Parameters!$A$24,""),IF(N37&lt;1,Parameters!$A$25,""))))</f>
        <v/>
      </c>
      <c r="K37" s="13">
        <f>IF(C37="","",C37/5)</f>
        <v/>
      </c>
      <c r="L37" s="13">
        <f>IF(D37="","",D37/5)</f>
        <v/>
      </c>
      <c r="M37" s="13">
        <f>IF(E37="","",E37/6)</f>
        <v/>
      </c>
      <c r="N37" s="13">
        <f>IF(F37="","",F37/4)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3">
        <f>IF(COUNT(C38:F38)&lt;4,"",SUM(C38:F38))</f>
        <v/>
      </c>
      <c r="H38" s="13">
        <f>IF(COUNT(C38:F38)&lt;4,"",G38/20)</f>
        <v/>
      </c>
      <c r="I38" s="13">
        <f>IF(COUNT(C38:F38)&lt;4,"",IF(H38&gt;=0.8,"Green",IF(H38&gt;=0.5,"Yellow","Red")))</f>
        <v/>
      </c>
      <c r="J38" s="13">
        <f>IF(COUNT(C38:F38)&lt;4,"",IF(I38="Green","Well done! "&amp;Parameters!$C$31,"Revise: "&amp;_xlfn.TEXTJOIN(", ",TRUE(),IF(K38&lt;1,Parameters!$A$22,""),IF(L38&lt;1,Parameters!$A$23,""),IF(M38&lt;1,Parameters!$A$24,""),IF(N38&lt;1,Parameters!$A$25,""))))</f>
        <v/>
      </c>
      <c r="K38" s="13">
        <f>IF(C38="","",C38/5)</f>
        <v/>
      </c>
      <c r="L38" s="13">
        <f>IF(D38="","",D38/5)</f>
        <v/>
      </c>
      <c r="M38" s="13">
        <f>IF(E38="","",E38/6)</f>
        <v/>
      </c>
      <c r="N38" s="13">
        <f>IF(F38="","",F38/4)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3">
        <f>IF(COUNT(C39:F39)&lt;4,"",SUM(C39:F39))</f>
        <v/>
      </c>
      <c r="H39" s="13">
        <f>IF(COUNT(C39:F39)&lt;4,"",G39/20)</f>
        <v/>
      </c>
      <c r="I39" s="13">
        <f>IF(COUNT(C39:F39)&lt;4,"",IF(H39&gt;=0.8,"Green",IF(H39&gt;=0.5,"Yellow","Red")))</f>
        <v/>
      </c>
      <c r="J39" s="13">
        <f>IF(COUNT(C39:F39)&lt;4,"",IF(I39="Green","Well done! "&amp;Parameters!$C$31,"Revise: "&amp;_xlfn.TEXTJOIN(", ",TRUE(),IF(K39&lt;1,Parameters!$A$22,""),IF(L39&lt;1,Parameters!$A$23,""),IF(M39&lt;1,Parameters!$A$24,""),IF(N39&lt;1,Parameters!$A$25,""))))</f>
        <v/>
      </c>
      <c r="K39" s="13">
        <f>IF(C39="","",C39/5)</f>
        <v/>
      </c>
      <c r="L39" s="13">
        <f>IF(D39="","",D39/5)</f>
        <v/>
      </c>
      <c r="M39" s="13">
        <f>IF(E39="","",E39/6)</f>
        <v/>
      </c>
      <c r="N39" s="13">
        <f>IF(F39="","",F39/4)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3">
        <f>IF(COUNT(C40:F40)&lt;4,"",SUM(C40:F40))</f>
        <v/>
      </c>
      <c r="H40" s="13">
        <f>IF(COUNT(C40:F40)&lt;4,"",G40/20)</f>
        <v/>
      </c>
      <c r="I40" s="13">
        <f>IF(COUNT(C40:F40)&lt;4,"",IF(H40&gt;=0.8,"Green",IF(H40&gt;=0.5,"Yellow","Red")))</f>
        <v/>
      </c>
      <c r="J40" s="13">
        <f>IF(COUNT(C40:F40)&lt;4,"",IF(I40="Green","Well done! "&amp;Parameters!$C$31,"Revise: "&amp;_xlfn.TEXTJOIN(", ",TRUE(),IF(K40&lt;1,Parameters!$A$22,""),IF(L40&lt;1,Parameters!$A$23,""),IF(M40&lt;1,Parameters!$A$24,""),IF(N40&lt;1,Parameters!$A$25,""))))</f>
        <v/>
      </c>
      <c r="K40" s="13">
        <f>IF(C40="","",C40/5)</f>
        <v/>
      </c>
      <c r="L40" s="13">
        <f>IF(D40="","",D40/5)</f>
        <v/>
      </c>
      <c r="M40" s="13">
        <f>IF(E40="","",E40/6)</f>
        <v/>
      </c>
      <c r="N40" s="13">
        <f>IF(F40="","",F40/4)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3">
        <f>IF(COUNT(C41:F41)&lt;4,"",SUM(C41:F41))</f>
        <v/>
      </c>
      <c r="H41" s="13">
        <f>IF(COUNT(C41:F41)&lt;4,"",G41/20)</f>
        <v/>
      </c>
      <c r="I41" s="13">
        <f>IF(COUNT(C41:F41)&lt;4,"",IF(H41&gt;=0.8,"Green",IF(H41&gt;=0.5,"Yellow","Red")))</f>
        <v/>
      </c>
      <c r="J41" s="13">
        <f>IF(COUNT(C41:F41)&lt;4,"",IF(I41="Green","Well done! "&amp;Parameters!$C$31,"Revise: "&amp;_xlfn.TEXTJOIN(", ",TRUE(),IF(K41&lt;1,Parameters!$A$22,""),IF(L41&lt;1,Parameters!$A$23,""),IF(M41&lt;1,Parameters!$A$24,""),IF(N41&lt;1,Parameters!$A$25,""))))</f>
        <v/>
      </c>
      <c r="K41" s="13">
        <f>IF(C41="","",C41/5)</f>
        <v/>
      </c>
      <c r="L41" s="13">
        <f>IF(D41="","",D41/5)</f>
        <v/>
      </c>
      <c r="M41" s="13">
        <f>IF(E41="","",E41/6)</f>
        <v/>
      </c>
      <c r="N41" s="13">
        <f>IF(F41="","",F41/4)</f>
        <v/>
      </c>
    </row>
  </sheetData>
  <conditionalFormatting sqref="C11">
    <cfRule type="expression" priority="1" dxfId="0">
      <formula>AND(COUNT(C11:F11)=4,C11=5)</formula>
    </cfRule>
    <cfRule type="expression" priority="2" dxfId="1">
      <formula>AND(COUNT(C11:F11)=4,C11&lt;5*0.4)</formula>
    </cfRule>
    <cfRule type="expression" priority="3" dxfId="2">
      <formula>AND(COUNT(C11:F11)=4,C11&gt;=5*0.4,C11&lt;5)</formula>
    </cfRule>
  </conditionalFormatting>
  <conditionalFormatting sqref="C12">
    <cfRule type="expression" priority="4" dxfId="0">
      <formula>AND(COUNT(C12:F12)=4,C12=5)</formula>
    </cfRule>
    <cfRule type="expression" priority="5" dxfId="1">
      <formula>AND(COUNT(C12:F12)=4,C12&lt;5*0.4)</formula>
    </cfRule>
    <cfRule type="expression" priority="6" dxfId="2">
      <formula>AND(COUNT(C12:F12)=4,C12&gt;=5*0.4,C12&lt;5)</formula>
    </cfRule>
  </conditionalFormatting>
  <conditionalFormatting sqref="C13">
    <cfRule type="expression" priority="7" dxfId="0">
      <formula>AND(COUNT(C13:F13)=4,C13=5)</formula>
    </cfRule>
    <cfRule type="expression" priority="8" dxfId="1">
      <formula>AND(COUNT(C13:F13)=4,C13&lt;5*0.4)</formula>
    </cfRule>
    <cfRule type="expression" priority="9" dxfId="2">
      <formula>AND(COUNT(C13:F13)=4,C13&gt;=5*0.4,C13&lt;5)</formula>
    </cfRule>
  </conditionalFormatting>
  <conditionalFormatting sqref="C14">
    <cfRule type="expression" priority="10" dxfId="0">
      <formula>AND(COUNT(C14:F14)=4,C14=5)</formula>
    </cfRule>
    <cfRule type="expression" priority="11" dxfId="1">
      <formula>AND(COUNT(C14:F14)=4,C14&lt;5*0.4)</formula>
    </cfRule>
    <cfRule type="expression" priority="12" dxfId="2">
      <formula>AND(COUNT(C14:F14)=4,C14&gt;=5*0.4,C14&lt;5)</formula>
    </cfRule>
  </conditionalFormatting>
  <conditionalFormatting sqref="C15">
    <cfRule type="expression" priority="13" dxfId="0">
      <formula>AND(COUNT(C15:F15)=4,C15=5)</formula>
    </cfRule>
    <cfRule type="expression" priority="14" dxfId="1">
      <formula>AND(COUNT(C15:F15)=4,C15&lt;5*0.4)</formula>
    </cfRule>
    <cfRule type="expression" priority="15" dxfId="2">
      <formula>AND(COUNT(C15:F15)=4,C15&gt;=5*0.4,C15&lt;5)</formula>
    </cfRule>
  </conditionalFormatting>
  <conditionalFormatting sqref="C16">
    <cfRule type="expression" priority="16" dxfId="0">
      <formula>AND(COUNT(C16:F16)=4,C16=5)</formula>
    </cfRule>
    <cfRule type="expression" priority="17" dxfId="1">
      <formula>AND(COUNT(C16:F16)=4,C16&lt;5*0.4)</formula>
    </cfRule>
    <cfRule type="expression" priority="18" dxfId="2">
      <formula>AND(COUNT(C16:F16)=4,C16&gt;=5*0.4,C16&lt;5)</formula>
    </cfRule>
  </conditionalFormatting>
  <conditionalFormatting sqref="C17">
    <cfRule type="expression" priority="19" dxfId="0">
      <formula>AND(COUNT(C17:F17)=4,C17=5)</formula>
    </cfRule>
    <cfRule type="expression" priority="20" dxfId="1">
      <formula>AND(COUNT(C17:F17)=4,C17&lt;5*0.4)</formula>
    </cfRule>
    <cfRule type="expression" priority="21" dxfId="2">
      <formula>AND(COUNT(C17:F17)=4,C17&gt;=5*0.4,C17&lt;5)</formula>
    </cfRule>
  </conditionalFormatting>
  <conditionalFormatting sqref="C18">
    <cfRule type="expression" priority="22" dxfId="0">
      <formula>AND(COUNT(C18:F18)=4,C18=5)</formula>
    </cfRule>
    <cfRule type="expression" priority="23" dxfId="1">
      <formula>AND(COUNT(C18:F18)=4,C18&lt;5*0.4)</formula>
    </cfRule>
    <cfRule type="expression" priority="24" dxfId="2">
      <formula>AND(COUNT(C18:F18)=4,C18&gt;=5*0.4,C18&lt;5)</formula>
    </cfRule>
  </conditionalFormatting>
  <conditionalFormatting sqref="C19">
    <cfRule type="expression" priority="25" dxfId="0">
      <formula>AND(COUNT(C19:F19)=4,C19=5)</formula>
    </cfRule>
    <cfRule type="expression" priority="26" dxfId="1">
      <formula>AND(COUNT(C19:F19)=4,C19&lt;5*0.4)</formula>
    </cfRule>
    <cfRule type="expression" priority="27" dxfId="2">
      <formula>AND(COUNT(C19:F19)=4,C19&gt;=5*0.4,C19&lt;5)</formula>
    </cfRule>
  </conditionalFormatting>
  <conditionalFormatting sqref="C20">
    <cfRule type="expression" priority="28" dxfId="0">
      <formula>AND(COUNT(C20:F20)=4,C20=5)</formula>
    </cfRule>
    <cfRule type="expression" priority="29" dxfId="1">
      <formula>AND(COUNT(C20:F20)=4,C20&lt;5*0.4)</formula>
    </cfRule>
    <cfRule type="expression" priority="30" dxfId="2">
      <formula>AND(COUNT(C20:F20)=4,C20&gt;=5*0.4,C20&lt;5)</formula>
    </cfRule>
  </conditionalFormatting>
  <conditionalFormatting sqref="C21">
    <cfRule type="expression" priority="31" dxfId="0">
      <formula>AND(COUNT(C21:F21)=4,C21=5)</formula>
    </cfRule>
    <cfRule type="expression" priority="32" dxfId="1">
      <formula>AND(COUNT(C21:F21)=4,C21&lt;5*0.4)</formula>
    </cfRule>
    <cfRule type="expression" priority="33" dxfId="2">
      <formula>AND(COUNT(C21:F21)=4,C21&gt;=5*0.4,C21&lt;5)</formula>
    </cfRule>
  </conditionalFormatting>
  <conditionalFormatting sqref="C22">
    <cfRule type="expression" priority="34" dxfId="0">
      <formula>AND(COUNT(C22:F22)=4,C22=5)</formula>
    </cfRule>
    <cfRule type="expression" priority="35" dxfId="1">
      <formula>AND(COUNT(C22:F22)=4,C22&lt;5*0.4)</formula>
    </cfRule>
    <cfRule type="expression" priority="36" dxfId="2">
      <formula>AND(COUNT(C22:F22)=4,C22&gt;=5*0.4,C22&lt;5)</formula>
    </cfRule>
  </conditionalFormatting>
  <conditionalFormatting sqref="C23">
    <cfRule type="expression" priority="37" dxfId="0">
      <formula>AND(COUNT(C23:F23)=4,C23=5)</formula>
    </cfRule>
    <cfRule type="expression" priority="38" dxfId="1">
      <formula>AND(COUNT(C23:F23)=4,C23&lt;5*0.4)</formula>
    </cfRule>
    <cfRule type="expression" priority="39" dxfId="2">
      <formula>AND(COUNT(C23:F23)=4,C23&gt;=5*0.4,C23&lt;5)</formula>
    </cfRule>
  </conditionalFormatting>
  <conditionalFormatting sqref="C24">
    <cfRule type="expression" priority="40" dxfId="0">
      <formula>AND(COUNT(C24:F24)=4,C24=5)</formula>
    </cfRule>
    <cfRule type="expression" priority="41" dxfId="1">
      <formula>AND(COUNT(C24:F24)=4,C24&lt;5*0.4)</formula>
    </cfRule>
    <cfRule type="expression" priority="42" dxfId="2">
      <formula>AND(COUNT(C24:F24)=4,C24&gt;=5*0.4,C24&lt;5)</formula>
    </cfRule>
  </conditionalFormatting>
  <conditionalFormatting sqref="C25">
    <cfRule type="expression" priority="43" dxfId="0">
      <formula>AND(COUNT(C25:F25)=4,C25=5)</formula>
    </cfRule>
    <cfRule type="expression" priority="44" dxfId="1">
      <formula>AND(COUNT(C25:F25)=4,C25&lt;5*0.4)</formula>
    </cfRule>
    <cfRule type="expression" priority="45" dxfId="2">
      <formula>AND(COUNT(C25:F25)=4,C25&gt;=5*0.4,C25&lt;5)</formula>
    </cfRule>
  </conditionalFormatting>
  <conditionalFormatting sqref="C26">
    <cfRule type="expression" priority="46" dxfId="0">
      <formula>AND(COUNT(C26:F26)=4,C26=5)</formula>
    </cfRule>
    <cfRule type="expression" priority="47" dxfId="1">
      <formula>AND(COUNT(C26:F26)=4,C26&lt;5*0.4)</formula>
    </cfRule>
    <cfRule type="expression" priority="48" dxfId="2">
      <formula>AND(COUNT(C26:F26)=4,C26&gt;=5*0.4,C26&lt;5)</formula>
    </cfRule>
  </conditionalFormatting>
  <conditionalFormatting sqref="C27">
    <cfRule type="expression" priority="49" dxfId="0">
      <formula>AND(COUNT(C27:F27)=4,C27=5)</formula>
    </cfRule>
    <cfRule type="expression" priority="50" dxfId="1">
      <formula>AND(COUNT(C27:F27)=4,C27&lt;5*0.4)</formula>
    </cfRule>
    <cfRule type="expression" priority="51" dxfId="2">
      <formula>AND(COUNT(C27:F27)=4,C27&gt;=5*0.4,C27&lt;5)</formula>
    </cfRule>
  </conditionalFormatting>
  <conditionalFormatting sqref="C28">
    <cfRule type="expression" priority="52" dxfId="0">
      <formula>AND(COUNT(C28:F28)=4,C28=5)</formula>
    </cfRule>
    <cfRule type="expression" priority="53" dxfId="1">
      <formula>AND(COUNT(C28:F28)=4,C28&lt;5*0.4)</formula>
    </cfRule>
    <cfRule type="expression" priority="54" dxfId="2">
      <formula>AND(COUNT(C28:F28)=4,C28&gt;=5*0.4,C28&lt;5)</formula>
    </cfRule>
  </conditionalFormatting>
  <conditionalFormatting sqref="C29">
    <cfRule type="expression" priority="55" dxfId="0">
      <formula>AND(COUNT(C29:F29)=4,C29=5)</formula>
    </cfRule>
    <cfRule type="expression" priority="56" dxfId="1">
      <formula>AND(COUNT(C29:F29)=4,C29&lt;5*0.4)</formula>
    </cfRule>
    <cfRule type="expression" priority="57" dxfId="2">
      <formula>AND(COUNT(C29:F29)=4,C29&gt;=5*0.4,C29&lt;5)</formula>
    </cfRule>
  </conditionalFormatting>
  <conditionalFormatting sqref="C30">
    <cfRule type="expression" priority="58" dxfId="0">
      <formula>AND(COUNT(C30:F30)=4,C30=5)</formula>
    </cfRule>
    <cfRule type="expression" priority="59" dxfId="1">
      <formula>AND(COUNT(C30:F30)=4,C30&lt;5*0.4)</formula>
    </cfRule>
    <cfRule type="expression" priority="60" dxfId="2">
      <formula>AND(COUNT(C30:F30)=4,C30&gt;=5*0.4,C30&lt;5)</formula>
    </cfRule>
  </conditionalFormatting>
  <conditionalFormatting sqref="C31">
    <cfRule type="expression" priority="61" dxfId="0">
      <formula>AND(COUNT(C31:F31)=4,C31=5)</formula>
    </cfRule>
    <cfRule type="expression" priority="62" dxfId="1">
      <formula>AND(COUNT(C31:F31)=4,C31&lt;5*0.4)</formula>
    </cfRule>
    <cfRule type="expression" priority="63" dxfId="2">
      <formula>AND(COUNT(C31:F31)=4,C31&gt;=5*0.4,C31&lt;5)</formula>
    </cfRule>
  </conditionalFormatting>
  <conditionalFormatting sqref="C32">
    <cfRule type="expression" priority="64" dxfId="0">
      <formula>AND(COUNT(C32:F32)=4,C32=5)</formula>
    </cfRule>
    <cfRule type="expression" priority="65" dxfId="1">
      <formula>AND(COUNT(C32:F32)=4,C32&lt;5*0.4)</formula>
    </cfRule>
    <cfRule type="expression" priority="66" dxfId="2">
      <formula>AND(COUNT(C32:F32)=4,C32&gt;=5*0.4,C32&lt;5)</formula>
    </cfRule>
  </conditionalFormatting>
  <conditionalFormatting sqref="C33">
    <cfRule type="expression" priority="67" dxfId="0">
      <formula>AND(COUNT(C33:F33)=4,C33=5)</formula>
    </cfRule>
    <cfRule type="expression" priority="68" dxfId="1">
      <formula>AND(COUNT(C33:F33)=4,C33&lt;5*0.4)</formula>
    </cfRule>
    <cfRule type="expression" priority="69" dxfId="2">
      <formula>AND(COUNT(C33:F33)=4,C33&gt;=5*0.4,C33&lt;5)</formula>
    </cfRule>
  </conditionalFormatting>
  <conditionalFormatting sqref="C34">
    <cfRule type="expression" priority="70" dxfId="0">
      <formula>AND(COUNT(C34:F34)=4,C34=5)</formula>
    </cfRule>
    <cfRule type="expression" priority="71" dxfId="1">
      <formula>AND(COUNT(C34:F34)=4,C34&lt;5*0.4)</formula>
    </cfRule>
    <cfRule type="expression" priority="72" dxfId="2">
      <formula>AND(COUNT(C34:F34)=4,C34&gt;=5*0.4,C34&lt;5)</formula>
    </cfRule>
  </conditionalFormatting>
  <conditionalFormatting sqref="C35">
    <cfRule type="expression" priority="73" dxfId="0">
      <formula>AND(COUNT(C35:F35)=4,C35=5)</formula>
    </cfRule>
    <cfRule type="expression" priority="74" dxfId="1">
      <formula>AND(COUNT(C35:F35)=4,C35&lt;5*0.4)</formula>
    </cfRule>
    <cfRule type="expression" priority="75" dxfId="2">
      <formula>AND(COUNT(C35:F35)=4,C35&gt;=5*0.4,C35&lt;5)</formula>
    </cfRule>
  </conditionalFormatting>
  <conditionalFormatting sqref="C36">
    <cfRule type="expression" priority="76" dxfId="0">
      <formula>AND(COUNT(C36:F36)=4,C36=5)</formula>
    </cfRule>
    <cfRule type="expression" priority="77" dxfId="1">
      <formula>AND(COUNT(C36:F36)=4,C36&lt;5*0.4)</formula>
    </cfRule>
    <cfRule type="expression" priority="78" dxfId="2">
      <formula>AND(COUNT(C36:F36)=4,C36&gt;=5*0.4,C36&lt;5)</formula>
    </cfRule>
  </conditionalFormatting>
  <conditionalFormatting sqref="C37">
    <cfRule type="expression" priority="79" dxfId="0">
      <formula>AND(COUNT(C37:F37)=4,C37=5)</formula>
    </cfRule>
    <cfRule type="expression" priority="80" dxfId="1">
      <formula>AND(COUNT(C37:F37)=4,C37&lt;5*0.4)</formula>
    </cfRule>
    <cfRule type="expression" priority="81" dxfId="2">
      <formula>AND(COUNT(C37:F37)=4,C37&gt;=5*0.4,C37&lt;5)</formula>
    </cfRule>
  </conditionalFormatting>
  <conditionalFormatting sqref="C38">
    <cfRule type="expression" priority="82" dxfId="0">
      <formula>AND(COUNT(C38:F38)=4,C38=5)</formula>
    </cfRule>
    <cfRule type="expression" priority="83" dxfId="1">
      <formula>AND(COUNT(C38:F38)=4,C38&lt;5*0.4)</formula>
    </cfRule>
    <cfRule type="expression" priority="84" dxfId="2">
      <formula>AND(COUNT(C38:F38)=4,C38&gt;=5*0.4,C38&lt;5)</formula>
    </cfRule>
  </conditionalFormatting>
  <conditionalFormatting sqref="C39">
    <cfRule type="expression" priority="85" dxfId="0">
      <formula>AND(COUNT(C39:F39)=4,C39=5)</formula>
    </cfRule>
    <cfRule type="expression" priority="86" dxfId="1">
      <formula>AND(COUNT(C39:F39)=4,C39&lt;5*0.4)</formula>
    </cfRule>
    <cfRule type="expression" priority="87" dxfId="2">
      <formula>AND(COUNT(C39:F39)=4,C39&gt;=5*0.4,C39&lt;5)</formula>
    </cfRule>
  </conditionalFormatting>
  <conditionalFormatting sqref="C40">
    <cfRule type="expression" priority="88" dxfId="0">
      <formula>AND(COUNT(C40:F40)=4,C40=5)</formula>
    </cfRule>
    <cfRule type="expression" priority="89" dxfId="1">
      <formula>AND(COUNT(C40:F40)=4,C40&lt;5*0.4)</formula>
    </cfRule>
    <cfRule type="expression" priority="90" dxfId="2">
      <formula>AND(COUNT(C40:F40)=4,C40&gt;=5*0.4,C40&lt;5)</formula>
    </cfRule>
  </conditionalFormatting>
  <conditionalFormatting sqref="C41">
    <cfRule type="expression" priority="91" dxfId="0">
      <formula>AND(COUNT(C41:F41)=4,C41=5)</formula>
    </cfRule>
    <cfRule type="expression" priority="92" dxfId="1">
      <formula>AND(COUNT(C41:F41)=4,C41&lt;5*0.4)</formula>
    </cfRule>
    <cfRule type="expression" priority="93" dxfId="2">
      <formula>AND(COUNT(C41:F41)=4,C41&gt;=5*0.4,C41&lt;5)</formula>
    </cfRule>
  </conditionalFormatting>
  <conditionalFormatting sqref="D11">
    <cfRule type="expression" priority="94" dxfId="0">
      <formula>AND(COUNT(C11:F11)=4,D11=5)</formula>
    </cfRule>
    <cfRule type="expression" priority="95" dxfId="1">
      <formula>AND(COUNT(C11:F11)=4,D11&lt;5*0.4)</formula>
    </cfRule>
    <cfRule type="expression" priority="96" dxfId="2">
      <formula>AND(COUNT(C11:F11)=4,D11&gt;=5*0.4,D11&lt;5)</formula>
    </cfRule>
  </conditionalFormatting>
  <conditionalFormatting sqref="D12">
    <cfRule type="expression" priority="97" dxfId="0">
      <formula>AND(COUNT(C12:F12)=4,D12=5)</formula>
    </cfRule>
    <cfRule type="expression" priority="98" dxfId="1">
      <formula>AND(COUNT(C12:F12)=4,D12&lt;5*0.4)</formula>
    </cfRule>
    <cfRule type="expression" priority="99" dxfId="2">
      <formula>AND(COUNT(C12:F12)=4,D12&gt;=5*0.4,D12&lt;5)</formula>
    </cfRule>
  </conditionalFormatting>
  <conditionalFormatting sqref="D13">
    <cfRule type="expression" priority="100" dxfId="0">
      <formula>AND(COUNT(C13:F13)=4,D13=5)</formula>
    </cfRule>
    <cfRule type="expression" priority="101" dxfId="1">
      <formula>AND(COUNT(C13:F13)=4,D13&lt;5*0.4)</formula>
    </cfRule>
    <cfRule type="expression" priority="102" dxfId="2">
      <formula>AND(COUNT(C13:F13)=4,D13&gt;=5*0.4,D13&lt;5)</formula>
    </cfRule>
  </conditionalFormatting>
  <conditionalFormatting sqref="D14">
    <cfRule type="expression" priority="103" dxfId="0">
      <formula>AND(COUNT(C14:F14)=4,D14=5)</formula>
    </cfRule>
    <cfRule type="expression" priority="104" dxfId="1">
      <formula>AND(COUNT(C14:F14)=4,D14&lt;5*0.4)</formula>
    </cfRule>
    <cfRule type="expression" priority="105" dxfId="2">
      <formula>AND(COUNT(C14:F14)=4,D14&gt;=5*0.4,D14&lt;5)</formula>
    </cfRule>
  </conditionalFormatting>
  <conditionalFormatting sqref="D15">
    <cfRule type="expression" priority="106" dxfId="0">
      <formula>AND(COUNT(C15:F15)=4,D15=5)</formula>
    </cfRule>
    <cfRule type="expression" priority="107" dxfId="1">
      <formula>AND(COUNT(C15:F15)=4,D15&lt;5*0.4)</formula>
    </cfRule>
    <cfRule type="expression" priority="108" dxfId="2">
      <formula>AND(COUNT(C15:F15)=4,D15&gt;=5*0.4,D15&lt;5)</formula>
    </cfRule>
  </conditionalFormatting>
  <conditionalFormatting sqref="D16">
    <cfRule type="expression" priority="109" dxfId="0">
      <formula>AND(COUNT(C16:F16)=4,D16=5)</formula>
    </cfRule>
    <cfRule type="expression" priority="110" dxfId="1">
      <formula>AND(COUNT(C16:F16)=4,D16&lt;5*0.4)</formula>
    </cfRule>
    <cfRule type="expression" priority="111" dxfId="2">
      <formula>AND(COUNT(C16:F16)=4,D16&gt;=5*0.4,D16&lt;5)</formula>
    </cfRule>
  </conditionalFormatting>
  <conditionalFormatting sqref="D17">
    <cfRule type="expression" priority="112" dxfId="0">
      <formula>AND(COUNT(C17:F17)=4,D17=5)</formula>
    </cfRule>
    <cfRule type="expression" priority="113" dxfId="1">
      <formula>AND(COUNT(C17:F17)=4,D17&lt;5*0.4)</formula>
    </cfRule>
    <cfRule type="expression" priority="114" dxfId="2">
      <formula>AND(COUNT(C17:F17)=4,D17&gt;=5*0.4,D17&lt;5)</formula>
    </cfRule>
  </conditionalFormatting>
  <conditionalFormatting sqref="D18">
    <cfRule type="expression" priority="115" dxfId="0">
      <formula>AND(COUNT(C18:F18)=4,D18=5)</formula>
    </cfRule>
    <cfRule type="expression" priority="116" dxfId="1">
      <formula>AND(COUNT(C18:F18)=4,D18&lt;5*0.4)</formula>
    </cfRule>
    <cfRule type="expression" priority="117" dxfId="2">
      <formula>AND(COUNT(C18:F18)=4,D18&gt;=5*0.4,D18&lt;5)</formula>
    </cfRule>
  </conditionalFormatting>
  <conditionalFormatting sqref="D19">
    <cfRule type="expression" priority="118" dxfId="0">
      <formula>AND(COUNT(C19:F19)=4,D19=5)</formula>
    </cfRule>
    <cfRule type="expression" priority="119" dxfId="1">
      <formula>AND(COUNT(C19:F19)=4,D19&lt;5*0.4)</formula>
    </cfRule>
    <cfRule type="expression" priority="120" dxfId="2">
      <formula>AND(COUNT(C19:F19)=4,D19&gt;=5*0.4,D19&lt;5)</formula>
    </cfRule>
  </conditionalFormatting>
  <conditionalFormatting sqref="D20">
    <cfRule type="expression" priority="121" dxfId="0">
      <formula>AND(COUNT(C20:F20)=4,D20=5)</formula>
    </cfRule>
    <cfRule type="expression" priority="122" dxfId="1">
      <formula>AND(COUNT(C20:F20)=4,D20&lt;5*0.4)</formula>
    </cfRule>
    <cfRule type="expression" priority="123" dxfId="2">
      <formula>AND(COUNT(C20:F20)=4,D20&gt;=5*0.4,D20&lt;5)</formula>
    </cfRule>
  </conditionalFormatting>
  <conditionalFormatting sqref="D21">
    <cfRule type="expression" priority="124" dxfId="0">
      <formula>AND(COUNT(C21:F21)=4,D21=5)</formula>
    </cfRule>
    <cfRule type="expression" priority="125" dxfId="1">
      <formula>AND(COUNT(C21:F21)=4,D21&lt;5*0.4)</formula>
    </cfRule>
    <cfRule type="expression" priority="126" dxfId="2">
      <formula>AND(COUNT(C21:F21)=4,D21&gt;=5*0.4,D21&lt;5)</formula>
    </cfRule>
  </conditionalFormatting>
  <conditionalFormatting sqref="D22">
    <cfRule type="expression" priority="127" dxfId="0">
      <formula>AND(COUNT(C22:F22)=4,D22=5)</formula>
    </cfRule>
    <cfRule type="expression" priority="128" dxfId="1">
      <formula>AND(COUNT(C22:F22)=4,D22&lt;5*0.4)</formula>
    </cfRule>
    <cfRule type="expression" priority="129" dxfId="2">
      <formula>AND(COUNT(C22:F22)=4,D22&gt;=5*0.4,D22&lt;5)</formula>
    </cfRule>
  </conditionalFormatting>
  <conditionalFormatting sqref="D23">
    <cfRule type="expression" priority="130" dxfId="0">
      <formula>AND(COUNT(C23:F23)=4,D23=5)</formula>
    </cfRule>
    <cfRule type="expression" priority="131" dxfId="1">
      <formula>AND(COUNT(C23:F23)=4,D23&lt;5*0.4)</formula>
    </cfRule>
    <cfRule type="expression" priority="132" dxfId="2">
      <formula>AND(COUNT(C23:F23)=4,D23&gt;=5*0.4,D23&lt;5)</formula>
    </cfRule>
  </conditionalFormatting>
  <conditionalFormatting sqref="D24">
    <cfRule type="expression" priority="133" dxfId="0">
      <formula>AND(COUNT(C24:F24)=4,D24=5)</formula>
    </cfRule>
    <cfRule type="expression" priority="134" dxfId="1">
      <formula>AND(COUNT(C24:F24)=4,D24&lt;5*0.4)</formula>
    </cfRule>
    <cfRule type="expression" priority="135" dxfId="2">
      <formula>AND(COUNT(C24:F24)=4,D24&gt;=5*0.4,D24&lt;5)</formula>
    </cfRule>
  </conditionalFormatting>
  <conditionalFormatting sqref="D25">
    <cfRule type="expression" priority="136" dxfId="0">
      <formula>AND(COUNT(C25:F25)=4,D25=5)</formula>
    </cfRule>
    <cfRule type="expression" priority="137" dxfId="1">
      <formula>AND(COUNT(C25:F25)=4,D25&lt;5*0.4)</formula>
    </cfRule>
    <cfRule type="expression" priority="138" dxfId="2">
      <formula>AND(COUNT(C25:F25)=4,D25&gt;=5*0.4,D25&lt;5)</formula>
    </cfRule>
  </conditionalFormatting>
  <conditionalFormatting sqref="D26">
    <cfRule type="expression" priority="139" dxfId="0">
      <formula>AND(COUNT(C26:F26)=4,D26=5)</formula>
    </cfRule>
    <cfRule type="expression" priority="140" dxfId="1">
      <formula>AND(COUNT(C26:F26)=4,D26&lt;5*0.4)</formula>
    </cfRule>
    <cfRule type="expression" priority="141" dxfId="2">
      <formula>AND(COUNT(C26:F26)=4,D26&gt;=5*0.4,D26&lt;5)</formula>
    </cfRule>
  </conditionalFormatting>
  <conditionalFormatting sqref="D27">
    <cfRule type="expression" priority="142" dxfId="0">
      <formula>AND(COUNT(C27:F27)=4,D27=5)</formula>
    </cfRule>
    <cfRule type="expression" priority="143" dxfId="1">
      <formula>AND(COUNT(C27:F27)=4,D27&lt;5*0.4)</formula>
    </cfRule>
    <cfRule type="expression" priority="144" dxfId="2">
      <formula>AND(COUNT(C27:F27)=4,D27&gt;=5*0.4,D27&lt;5)</formula>
    </cfRule>
  </conditionalFormatting>
  <conditionalFormatting sqref="D28">
    <cfRule type="expression" priority="145" dxfId="0">
      <formula>AND(COUNT(C28:F28)=4,D28=5)</formula>
    </cfRule>
    <cfRule type="expression" priority="146" dxfId="1">
      <formula>AND(COUNT(C28:F28)=4,D28&lt;5*0.4)</formula>
    </cfRule>
    <cfRule type="expression" priority="147" dxfId="2">
      <formula>AND(COUNT(C28:F28)=4,D28&gt;=5*0.4,D28&lt;5)</formula>
    </cfRule>
  </conditionalFormatting>
  <conditionalFormatting sqref="D29">
    <cfRule type="expression" priority="148" dxfId="0">
      <formula>AND(COUNT(C29:F29)=4,D29=5)</formula>
    </cfRule>
    <cfRule type="expression" priority="149" dxfId="1">
      <formula>AND(COUNT(C29:F29)=4,D29&lt;5*0.4)</formula>
    </cfRule>
    <cfRule type="expression" priority="150" dxfId="2">
      <formula>AND(COUNT(C29:F29)=4,D29&gt;=5*0.4,D29&lt;5)</formula>
    </cfRule>
  </conditionalFormatting>
  <conditionalFormatting sqref="D30">
    <cfRule type="expression" priority="151" dxfId="0">
      <formula>AND(COUNT(C30:F30)=4,D30=5)</formula>
    </cfRule>
    <cfRule type="expression" priority="152" dxfId="1">
      <formula>AND(COUNT(C30:F30)=4,D30&lt;5*0.4)</formula>
    </cfRule>
    <cfRule type="expression" priority="153" dxfId="2">
      <formula>AND(COUNT(C30:F30)=4,D30&gt;=5*0.4,D30&lt;5)</formula>
    </cfRule>
  </conditionalFormatting>
  <conditionalFormatting sqref="D31">
    <cfRule type="expression" priority="154" dxfId="0">
      <formula>AND(COUNT(C31:F31)=4,D31=5)</formula>
    </cfRule>
    <cfRule type="expression" priority="155" dxfId="1">
      <formula>AND(COUNT(C31:F31)=4,D31&lt;5*0.4)</formula>
    </cfRule>
    <cfRule type="expression" priority="156" dxfId="2">
      <formula>AND(COUNT(C31:F31)=4,D31&gt;=5*0.4,D31&lt;5)</formula>
    </cfRule>
  </conditionalFormatting>
  <conditionalFormatting sqref="D32">
    <cfRule type="expression" priority="157" dxfId="0">
      <formula>AND(COUNT(C32:F32)=4,D32=5)</formula>
    </cfRule>
    <cfRule type="expression" priority="158" dxfId="1">
      <formula>AND(COUNT(C32:F32)=4,D32&lt;5*0.4)</formula>
    </cfRule>
    <cfRule type="expression" priority="159" dxfId="2">
      <formula>AND(COUNT(C32:F32)=4,D32&gt;=5*0.4,D32&lt;5)</formula>
    </cfRule>
  </conditionalFormatting>
  <conditionalFormatting sqref="D33">
    <cfRule type="expression" priority="160" dxfId="0">
      <formula>AND(COUNT(C33:F33)=4,D33=5)</formula>
    </cfRule>
    <cfRule type="expression" priority="161" dxfId="1">
      <formula>AND(COUNT(C33:F33)=4,D33&lt;5*0.4)</formula>
    </cfRule>
    <cfRule type="expression" priority="162" dxfId="2">
      <formula>AND(COUNT(C33:F33)=4,D33&gt;=5*0.4,D33&lt;5)</formula>
    </cfRule>
  </conditionalFormatting>
  <conditionalFormatting sqref="D34">
    <cfRule type="expression" priority="163" dxfId="0">
      <formula>AND(COUNT(C34:F34)=4,D34=5)</formula>
    </cfRule>
    <cfRule type="expression" priority="164" dxfId="1">
      <formula>AND(COUNT(C34:F34)=4,D34&lt;5*0.4)</formula>
    </cfRule>
    <cfRule type="expression" priority="165" dxfId="2">
      <formula>AND(COUNT(C34:F34)=4,D34&gt;=5*0.4,D34&lt;5)</formula>
    </cfRule>
  </conditionalFormatting>
  <conditionalFormatting sqref="D35">
    <cfRule type="expression" priority="166" dxfId="0">
      <formula>AND(COUNT(C35:F35)=4,D35=5)</formula>
    </cfRule>
    <cfRule type="expression" priority="167" dxfId="1">
      <formula>AND(COUNT(C35:F35)=4,D35&lt;5*0.4)</formula>
    </cfRule>
    <cfRule type="expression" priority="168" dxfId="2">
      <formula>AND(COUNT(C35:F35)=4,D35&gt;=5*0.4,D35&lt;5)</formula>
    </cfRule>
  </conditionalFormatting>
  <conditionalFormatting sqref="D36">
    <cfRule type="expression" priority="169" dxfId="0">
      <formula>AND(COUNT(C36:F36)=4,D36=5)</formula>
    </cfRule>
    <cfRule type="expression" priority="170" dxfId="1">
      <formula>AND(COUNT(C36:F36)=4,D36&lt;5*0.4)</formula>
    </cfRule>
    <cfRule type="expression" priority="171" dxfId="2">
      <formula>AND(COUNT(C36:F36)=4,D36&gt;=5*0.4,D36&lt;5)</formula>
    </cfRule>
  </conditionalFormatting>
  <conditionalFormatting sqref="D37">
    <cfRule type="expression" priority="172" dxfId="0">
      <formula>AND(COUNT(C37:F37)=4,D37=5)</formula>
    </cfRule>
    <cfRule type="expression" priority="173" dxfId="1">
      <formula>AND(COUNT(C37:F37)=4,D37&lt;5*0.4)</formula>
    </cfRule>
    <cfRule type="expression" priority="174" dxfId="2">
      <formula>AND(COUNT(C37:F37)=4,D37&gt;=5*0.4,D37&lt;5)</formula>
    </cfRule>
  </conditionalFormatting>
  <conditionalFormatting sqref="D38">
    <cfRule type="expression" priority="175" dxfId="0">
      <formula>AND(COUNT(C38:F38)=4,D38=5)</formula>
    </cfRule>
    <cfRule type="expression" priority="176" dxfId="1">
      <formula>AND(COUNT(C38:F38)=4,D38&lt;5*0.4)</formula>
    </cfRule>
    <cfRule type="expression" priority="177" dxfId="2">
      <formula>AND(COUNT(C38:F38)=4,D38&gt;=5*0.4,D38&lt;5)</formula>
    </cfRule>
  </conditionalFormatting>
  <conditionalFormatting sqref="D39">
    <cfRule type="expression" priority="178" dxfId="0">
      <formula>AND(COUNT(C39:F39)=4,D39=5)</formula>
    </cfRule>
    <cfRule type="expression" priority="179" dxfId="1">
      <formula>AND(COUNT(C39:F39)=4,D39&lt;5*0.4)</formula>
    </cfRule>
    <cfRule type="expression" priority="180" dxfId="2">
      <formula>AND(COUNT(C39:F39)=4,D39&gt;=5*0.4,D39&lt;5)</formula>
    </cfRule>
  </conditionalFormatting>
  <conditionalFormatting sqref="D40">
    <cfRule type="expression" priority="181" dxfId="0">
      <formula>AND(COUNT(C40:F40)=4,D40=5)</formula>
    </cfRule>
    <cfRule type="expression" priority="182" dxfId="1">
      <formula>AND(COUNT(C40:F40)=4,D40&lt;5*0.4)</formula>
    </cfRule>
    <cfRule type="expression" priority="183" dxfId="2">
      <formula>AND(COUNT(C40:F40)=4,D40&gt;=5*0.4,D40&lt;5)</formula>
    </cfRule>
  </conditionalFormatting>
  <conditionalFormatting sqref="D41">
    <cfRule type="expression" priority="184" dxfId="0">
      <formula>AND(COUNT(C41:F41)=4,D41=5)</formula>
    </cfRule>
    <cfRule type="expression" priority="185" dxfId="1">
      <formula>AND(COUNT(C41:F41)=4,D41&lt;5*0.4)</formula>
    </cfRule>
    <cfRule type="expression" priority="186" dxfId="2">
      <formula>AND(COUNT(C41:F41)=4,D41&gt;=5*0.4,D41&lt;5)</formula>
    </cfRule>
  </conditionalFormatting>
  <conditionalFormatting sqref="E11">
    <cfRule type="expression" priority="187" dxfId="0">
      <formula>AND(COUNT(C11:F11)=4,E11=6)</formula>
    </cfRule>
    <cfRule type="expression" priority="188" dxfId="1">
      <formula>AND(COUNT(C11:F11)=4,E11&lt;6*0.4)</formula>
    </cfRule>
    <cfRule type="expression" priority="189" dxfId="2">
      <formula>AND(COUNT(C11:F11)=4,E11&gt;=6*0.4,E11&lt;6)</formula>
    </cfRule>
  </conditionalFormatting>
  <conditionalFormatting sqref="E12">
    <cfRule type="expression" priority="190" dxfId="0">
      <formula>AND(COUNT(C12:F12)=4,E12=6)</formula>
    </cfRule>
    <cfRule type="expression" priority="191" dxfId="1">
      <formula>AND(COUNT(C12:F12)=4,E12&lt;6*0.4)</formula>
    </cfRule>
    <cfRule type="expression" priority="192" dxfId="2">
      <formula>AND(COUNT(C12:F12)=4,E12&gt;=6*0.4,E12&lt;6)</formula>
    </cfRule>
  </conditionalFormatting>
  <conditionalFormatting sqref="E13">
    <cfRule type="expression" priority="193" dxfId="0">
      <formula>AND(COUNT(C13:F13)=4,E13=6)</formula>
    </cfRule>
    <cfRule type="expression" priority="194" dxfId="1">
      <formula>AND(COUNT(C13:F13)=4,E13&lt;6*0.4)</formula>
    </cfRule>
    <cfRule type="expression" priority="195" dxfId="2">
      <formula>AND(COUNT(C13:F13)=4,E13&gt;=6*0.4,E13&lt;6)</formula>
    </cfRule>
  </conditionalFormatting>
  <conditionalFormatting sqref="E14">
    <cfRule type="expression" priority="196" dxfId="0">
      <formula>AND(COUNT(C14:F14)=4,E14=6)</formula>
    </cfRule>
    <cfRule type="expression" priority="197" dxfId="1">
      <formula>AND(COUNT(C14:F14)=4,E14&lt;6*0.4)</formula>
    </cfRule>
    <cfRule type="expression" priority="198" dxfId="2">
      <formula>AND(COUNT(C14:F14)=4,E14&gt;=6*0.4,E14&lt;6)</formula>
    </cfRule>
  </conditionalFormatting>
  <conditionalFormatting sqref="E15">
    <cfRule type="expression" priority="199" dxfId="0">
      <formula>AND(COUNT(C15:F15)=4,E15=6)</formula>
    </cfRule>
    <cfRule type="expression" priority="200" dxfId="1">
      <formula>AND(COUNT(C15:F15)=4,E15&lt;6*0.4)</formula>
    </cfRule>
    <cfRule type="expression" priority="201" dxfId="2">
      <formula>AND(COUNT(C15:F15)=4,E15&gt;=6*0.4,E15&lt;6)</formula>
    </cfRule>
  </conditionalFormatting>
  <conditionalFormatting sqref="E16">
    <cfRule type="expression" priority="202" dxfId="0">
      <formula>AND(COUNT(C16:F16)=4,E16=6)</formula>
    </cfRule>
    <cfRule type="expression" priority="203" dxfId="1">
      <formula>AND(COUNT(C16:F16)=4,E16&lt;6*0.4)</formula>
    </cfRule>
    <cfRule type="expression" priority="204" dxfId="2">
      <formula>AND(COUNT(C16:F16)=4,E16&gt;=6*0.4,E16&lt;6)</formula>
    </cfRule>
  </conditionalFormatting>
  <conditionalFormatting sqref="E17">
    <cfRule type="expression" priority="205" dxfId="0">
      <formula>AND(COUNT(C17:F17)=4,E17=6)</formula>
    </cfRule>
    <cfRule type="expression" priority="206" dxfId="1">
      <formula>AND(COUNT(C17:F17)=4,E17&lt;6*0.4)</formula>
    </cfRule>
    <cfRule type="expression" priority="207" dxfId="2">
      <formula>AND(COUNT(C17:F17)=4,E17&gt;=6*0.4,E17&lt;6)</formula>
    </cfRule>
  </conditionalFormatting>
  <conditionalFormatting sqref="E18">
    <cfRule type="expression" priority="208" dxfId="0">
      <formula>AND(COUNT(C18:F18)=4,E18=6)</formula>
    </cfRule>
    <cfRule type="expression" priority="209" dxfId="1">
      <formula>AND(COUNT(C18:F18)=4,E18&lt;6*0.4)</formula>
    </cfRule>
    <cfRule type="expression" priority="210" dxfId="2">
      <formula>AND(COUNT(C18:F18)=4,E18&gt;=6*0.4,E18&lt;6)</formula>
    </cfRule>
  </conditionalFormatting>
  <conditionalFormatting sqref="E19">
    <cfRule type="expression" priority="211" dxfId="0">
      <formula>AND(COUNT(C19:F19)=4,E19=6)</formula>
    </cfRule>
    <cfRule type="expression" priority="212" dxfId="1">
      <formula>AND(COUNT(C19:F19)=4,E19&lt;6*0.4)</formula>
    </cfRule>
    <cfRule type="expression" priority="213" dxfId="2">
      <formula>AND(COUNT(C19:F19)=4,E19&gt;=6*0.4,E19&lt;6)</formula>
    </cfRule>
  </conditionalFormatting>
  <conditionalFormatting sqref="E20">
    <cfRule type="expression" priority="214" dxfId="0">
      <formula>AND(COUNT(C20:F20)=4,E20=6)</formula>
    </cfRule>
    <cfRule type="expression" priority="215" dxfId="1">
      <formula>AND(COUNT(C20:F20)=4,E20&lt;6*0.4)</formula>
    </cfRule>
    <cfRule type="expression" priority="216" dxfId="2">
      <formula>AND(COUNT(C20:F20)=4,E20&gt;=6*0.4,E20&lt;6)</formula>
    </cfRule>
  </conditionalFormatting>
  <conditionalFormatting sqref="E21">
    <cfRule type="expression" priority="217" dxfId="0">
      <formula>AND(COUNT(C21:F21)=4,E21=6)</formula>
    </cfRule>
    <cfRule type="expression" priority="218" dxfId="1">
      <formula>AND(COUNT(C21:F21)=4,E21&lt;6*0.4)</formula>
    </cfRule>
    <cfRule type="expression" priority="219" dxfId="2">
      <formula>AND(COUNT(C21:F21)=4,E21&gt;=6*0.4,E21&lt;6)</formula>
    </cfRule>
  </conditionalFormatting>
  <conditionalFormatting sqref="E22">
    <cfRule type="expression" priority="220" dxfId="0">
      <formula>AND(COUNT(C22:F22)=4,E22=6)</formula>
    </cfRule>
    <cfRule type="expression" priority="221" dxfId="1">
      <formula>AND(COUNT(C22:F22)=4,E22&lt;6*0.4)</formula>
    </cfRule>
    <cfRule type="expression" priority="222" dxfId="2">
      <formula>AND(COUNT(C22:F22)=4,E22&gt;=6*0.4,E22&lt;6)</formula>
    </cfRule>
  </conditionalFormatting>
  <conditionalFormatting sqref="E23">
    <cfRule type="expression" priority="223" dxfId="0">
      <formula>AND(COUNT(C23:F23)=4,E23=6)</formula>
    </cfRule>
    <cfRule type="expression" priority="224" dxfId="1">
      <formula>AND(COUNT(C23:F23)=4,E23&lt;6*0.4)</formula>
    </cfRule>
    <cfRule type="expression" priority="225" dxfId="2">
      <formula>AND(COUNT(C23:F23)=4,E23&gt;=6*0.4,E23&lt;6)</formula>
    </cfRule>
  </conditionalFormatting>
  <conditionalFormatting sqref="E24">
    <cfRule type="expression" priority="226" dxfId="0">
      <formula>AND(COUNT(C24:F24)=4,E24=6)</formula>
    </cfRule>
    <cfRule type="expression" priority="227" dxfId="1">
      <formula>AND(COUNT(C24:F24)=4,E24&lt;6*0.4)</formula>
    </cfRule>
    <cfRule type="expression" priority="228" dxfId="2">
      <formula>AND(COUNT(C24:F24)=4,E24&gt;=6*0.4,E24&lt;6)</formula>
    </cfRule>
  </conditionalFormatting>
  <conditionalFormatting sqref="E25">
    <cfRule type="expression" priority="229" dxfId="0">
      <formula>AND(COUNT(C25:F25)=4,E25=6)</formula>
    </cfRule>
    <cfRule type="expression" priority="230" dxfId="1">
      <formula>AND(COUNT(C25:F25)=4,E25&lt;6*0.4)</formula>
    </cfRule>
    <cfRule type="expression" priority="231" dxfId="2">
      <formula>AND(COUNT(C25:F25)=4,E25&gt;=6*0.4,E25&lt;6)</formula>
    </cfRule>
  </conditionalFormatting>
  <conditionalFormatting sqref="E26">
    <cfRule type="expression" priority="232" dxfId="0">
      <formula>AND(COUNT(C26:F26)=4,E26=6)</formula>
    </cfRule>
    <cfRule type="expression" priority="233" dxfId="1">
      <formula>AND(COUNT(C26:F26)=4,E26&lt;6*0.4)</formula>
    </cfRule>
    <cfRule type="expression" priority="234" dxfId="2">
      <formula>AND(COUNT(C26:F26)=4,E26&gt;=6*0.4,E26&lt;6)</formula>
    </cfRule>
  </conditionalFormatting>
  <conditionalFormatting sqref="E27">
    <cfRule type="expression" priority="235" dxfId="0">
      <formula>AND(COUNT(C27:F27)=4,E27=6)</formula>
    </cfRule>
    <cfRule type="expression" priority="236" dxfId="1">
      <formula>AND(COUNT(C27:F27)=4,E27&lt;6*0.4)</formula>
    </cfRule>
    <cfRule type="expression" priority="237" dxfId="2">
      <formula>AND(COUNT(C27:F27)=4,E27&gt;=6*0.4,E27&lt;6)</formula>
    </cfRule>
  </conditionalFormatting>
  <conditionalFormatting sqref="E28">
    <cfRule type="expression" priority="238" dxfId="0">
      <formula>AND(COUNT(C28:F28)=4,E28=6)</formula>
    </cfRule>
    <cfRule type="expression" priority="239" dxfId="1">
      <formula>AND(COUNT(C28:F28)=4,E28&lt;6*0.4)</formula>
    </cfRule>
    <cfRule type="expression" priority="240" dxfId="2">
      <formula>AND(COUNT(C28:F28)=4,E28&gt;=6*0.4,E28&lt;6)</formula>
    </cfRule>
  </conditionalFormatting>
  <conditionalFormatting sqref="E29">
    <cfRule type="expression" priority="241" dxfId="0">
      <formula>AND(COUNT(C29:F29)=4,E29=6)</formula>
    </cfRule>
    <cfRule type="expression" priority="242" dxfId="1">
      <formula>AND(COUNT(C29:F29)=4,E29&lt;6*0.4)</formula>
    </cfRule>
    <cfRule type="expression" priority="243" dxfId="2">
      <formula>AND(COUNT(C29:F29)=4,E29&gt;=6*0.4,E29&lt;6)</formula>
    </cfRule>
  </conditionalFormatting>
  <conditionalFormatting sqref="E30">
    <cfRule type="expression" priority="244" dxfId="0">
      <formula>AND(COUNT(C30:F30)=4,E30=6)</formula>
    </cfRule>
    <cfRule type="expression" priority="245" dxfId="1">
      <formula>AND(COUNT(C30:F30)=4,E30&lt;6*0.4)</formula>
    </cfRule>
    <cfRule type="expression" priority="246" dxfId="2">
      <formula>AND(COUNT(C30:F30)=4,E30&gt;=6*0.4,E30&lt;6)</formula>
    </cfRule>
  </conditionalFormatting>
  <conditionalFormatting sqref="E31">
    <cfRule type="expression" priority="247" dxfId="0">
      <formula>AND(COUNT(C31:F31)=4,E31=6)</formula>
    </cfRule>
    <cfRule type="expression" priority="248" dxfId="1">
      <formula>AND(COUNT(C31:F31)=4,E31&lt;6*0.4)</formula>
    </cfRule>
    <cfRule type="expression" priority="249" dxfId="2">
      <formula>AND(COUNT(C31:F31)=4,E31&gt;=6*0.4,E31&lt;6)</formula>
    </cfRule>
  </conditionalFormatting>
  <conditionalFormatting sqref="E32">
    <cfRule type="expression" priority="250" dxfId="0">
      <formula>AND(COUNT(C32:F32)=4,E32=6)</formula>
    </cfRule>
    <cfRule type="expression" priority="251" dxfId="1">
      <formula>AND(COUNT(C32:F32)=4,E32&lt;6*0.4)</formula>
    </cfRule>
    <cfRule type="expression" priority="252" dxfId="2">
      <formula>AND(COUNT(C32:F32)=4,E32&gt;=6*0.4,E32&lt;6)</formula>
    </cfRule>
  </conditionalFormatting>
  <conditionalFormatting sqref="E33">
    <cfRule type="expression" priority="253" dxfId="0">
      <formula>AND(COUNT(C33:F33)=4,E33=6)</formula>
    </cfRule>
    <cfRule type="expression" priority="254" dxfId="1">
      <formula>AND(COUNT(C33:F33)=4,E33&lt;6*0.4)</formula>
    </cfRule>
    <cfRule type="expression" priority="255" dxfId="2">
      <formula>AND(COUNT(C33:F33)=4,E33&gt;=6*0.4,E33&lt;6)</formula>
    </cfRule>
  </conditionalFormatting>
  <conditionalFormatting sqref="E34">
    <cfRule type="expression" priority="256" dxfId="0">
      <formula>AND(COUNT(C34:F34)=4,E34=6)</formula>
    </cfRule>
    <cfRule type="expression" priority="257" dxfId="1">
      <formula>AND(COUNT(C34:F34)=4,E34&lt;6*0.4)</formula>
    </cfRule>
    <cfRule type="expression" priority="258" dxfId="2">
      <formula>AND(COUNT(C34:F34)=4,E34&gt;=6*0.4,E34&lt;6)</formula>
    </cfRule>
  </conditionalFormatting>
  <conditionalFormatting sqref="E35">
    <cfRule type="expression" priority="259" dxfId="0">
      <formula>AND(COUNT(C35:F35)=4,E35=6)</formula>
    </cfRule>
    <cfRule type="expression" priority="260" dxfId="1">
      <formula>AND(COUNT(C35:F35)=4,E35&lt;6*0.4)</formula>
    </cfRule>
    <cfRule type="expression" priority="261" dxfId="2">
      <formula>AND(COUNT(C35:F35)=4,E35&gt;=6*0.4,E35&lt;6)</formula>
    </cfRule>
  </conditionalFormatting>
  <conditionalFormatting sqref="E36">
    <cfRule type="expression" priority="262" dxfId="0">
      <formula>AND(COUNT(C36:F36)=4,E36=6)</formula>
    </cfRule>
    <cfRule type="expression" priority="263" dxfId="1">
      <formula>AND(COUNT(C36:F36)=4,E36&lt;6*0.4)</formula>
    </cfRule>
    <cfRule type="expression" priority="264" dxfId="2">
      <formula>AND(COUNT(C36:F36)=4,E36&gt;=6*0.4,E36&lt;6)</formula>
    </cfRule>
  </conditionalFormatting>
  <conditionalFormatting sqref="E37">
    <cfRule type="expression" priority="265" dxfId="0">
      <formula>AND(COUNT(C37:F37)=4,E37=6)</formula>
    </cfRule>
    <cfRule type="expression" priority="266" dxfId="1">
      <formula>AND(COUNT(C37:F37)=4,E37&lt;6*0.4)</formula>
    </cfRule>
    <cfRule type="expression" priority="267" dxfId="2">
      <formula>AND(COUNT(C37:F37)=4,E37&gt;=6*0.4,E37&lt;6)</formula>
    </cfRule>
  </conditionalFormatting>
  <conditionalFormatting sqref="E38">
    <cfRule type="expression" priority="268" dxfId="0">
      <formula>AND(COUNT(C38:F38)=4,E38=6)</formula>
    </cfRule>
    <cfRule type="expression" priority="269" dxfId="1">
      <formula>AND(COUNT(C38:F38)=4,E38&lt;6*0.4)</formula>
    </cfRule>
    <cfRule type="expression" priority="270" dxfId="2">
      <formula>AND(COUNT(C38:F38)=4,E38&gt;=6*0.4,E38&lt;6)</formula>
    </cfRule>
  </conditionalFormatting>
  <conditionalFormatting sqref="E39">
    <cfRule type="expression" priority="271" dxfId="0">
      <formula>AND(COUNT(C39:F39)=4,E39=6)</formula>
    </cfRule>
    <cfRule type="expression" priority="272" dxfId="1">
      <formula>AND(COUNT(C39:F39)=4,E39&lt;6*0.4)</formula>
    </cfRule>
    <cfRule type="expression" priority="273" dxfId="2">
      <formula>AND(COUNT(C39:F39)=4,E39&gt;=6*0.4,E39&lt;6)</formula>
    </cfRule>
  </conditionalFormatting>
  <conditionalFormatting sqref="E40">
    <cfRule type="expression" priority="274" dxfId="0">
      <formula>AND(COUNT(C40:F40)=4,E40=6)</formula>
    </cfRule>
    <cfRule type="expression" priority="275" dxfId="1">
      <formula>AND(COUNT(C40:F40)=4,E40&lt;6*0.4)</formula>
    </cfRule>
    <cfRule type="expression" priority="276" dxfId="2">
      <formula>AND(COUNT(C40:F40)=4,E40&gt;=6*0.4,E40&lt;6)</formula>
    </cfRule>
  </conditionalFormatting>
  <conditionalFormatting sqref="E41">
    <cfRule type="expression" priority="277" dxfId="0">
      <formula>AND(COUNT(C41:F41)=4,E41=6)</formula>
    </cfRule>
    <cfRule type="expression" priority="278" dxfId="1">
      <formula>AND(COUNT(C41:F41)=4,E41&lt;6*0.4)</formula>
    </cfRule>
    <cfRule type="expression" priority="279" dxfId="2">
      <formula>AND(COUNT(C41:F41)=4,E41&gt;=6*0.4,E41&lt;6)</formula>
    </cfRule>
  </conditionalFormatting>
  <conditionalFormatting sqref="F11">
    <cfRule type="expression" priority="280" dxfId="0">
      <formula>AND(COUNT(C11:F11)=4,F11=4)</formula>
    </cfRule>
    <cfRule type="expression" priority="281" dxfId="1">
      <formula>AND(COUNT(C11:F11)=4,F11&lt;4*0.4)</formula>
    </cfRule>
    <cfRule type="expression" priority="282" dxfId="2">
      <formula>AND(COUNT(C11:F11)=4,F11&gt;=4*0.4,F11&lt;4)</formula>
    </cfRule>
  </conditionalFormatting>
  <conditionalFormatting sqref="F12">
    <cfRule type="expression" priority="283" dxfId="0">
      <formula>AND(COUNT(C12:F12)=4,F12=4)</formula>
    </cfRule>
    <cfRule type="expression" priority="284" dxfId="1">
      <formula>AND(COUNT(C12:F12)=4,F12&lt;4*0.4)</formula>
    </cfRule>
    <cfRule type="expression" priority="285" dxfId="2">
      <formula>AND(COUNT(C12:F12)=4,F12&gt;=4*0.4,F12&lt;4)</formula>
    </cfRule>
  </conditionalFormatting>
  <conditionalFormatting sqref="F13">
    <cfRule type="expression" priority="286" dxfId="0">
      <formula>AND(COUNT(C13:F13)=4,F13=4)</formula>
    </cfRule>
    <cfRule type="expression" priority="287" dxfId="1">
      <formula>AND(COUNT(C13:F13)=4,F13&lt;4*0.4)</formula>
    </cfRule>
    <cfRule type="expression" priority="288" dxfId="2">
      <formula>AND(COUNT(C13:F13)=4,F13&gt;=4*0.4,F13&lt;4)</formula>
    </cfRule>
  </conditionalFormatting>
  <conditionalFormatting sqref="F14">
    <cfRule type="expression" priority="289" dxfId="0">
      <formula>AND(COUNT(C14:F14)=4,F14=4)</formula>
    </cfRule>
    <cfRule type="expression" priority="290" dxfId="1">
      <formula>AND(COUNT(C14:F14)=4,F14&lt;4*0.4)</formula>
    </cfRule>
    <cfRule type="expression" priority="291" dxfId="2">
      <formula>AND(COUNT(C14:F14)=4,F14&gt;=4*0.4,F14&lt;4)</formula>
    </cfRule>
  </conditionalFormatting>
  <conditionalFormatting sqref="F15">
    <cfRule type="expression" priority="292" dxfId="0">
      <formula>AND(COUNT(C15:F15)=4,F15=4)</formula>
    </cfRule>
    <cfRule type="expression" priority="293" dxfId="1">
      <formula>AND(COUNT(C15:F15)=4,F15&lt;4*0.4)</formula>
    </cfRule>
    <cfRule type="expression" priority="294" dxfId="2">
      <formula>AND(COUNT(C15:F15)=4,F15&gt;=4*0.4,F15&lt;4)</formula>
    </cfRule>
  </conditionalFormatting>
  <conditionalFormatting sqref="F16">
    <cfRule type="expression" priority="295" dxfId="0">
      <formula>AND(COUNT(C16:F16)=4,F16=4)</formula>
    </cfRule>
    <cfRule type="expression" priority="296" dxfId="1">
      <formula>AND(COUNT(C16:F16)=4,F16&lt;4*0.4)</formula>
    </cfRule>
    <cfRule type="expression" priority="297" dxfId="2">
      <formula>AND(COUNT(C16:F16)=4,F16&gt;=4*0.4,F16&lt;4)</formula>
    </cfRule>
  </conditionalFormatting>
  <conditionalFormatting sqref="F17">
    <cfRule type="expression" priority="298" dxfId="0">
      <formula>AND(COUNT(C17:F17)=4,F17=4)</formula>
    </cfRule>
    <cfRule type="expression" priority="299" dxfId="1">
      <formula>AND(COUNT(C17:F17)=4,F17&lt;4*0.4)</formula>
    </cfRule>
    <cfRule type="expression" priority="300" dxfId="2">
      <formula>AND(COUNT(C17:F17)=4,F17&gt;=4*0.4,F17&lt;4)</formula>
    </cfRule>
  </conditionalFormatting>
  <conditionalFormatting sqref="F18">
    <cfRule type="expression" priority="301" dxfId="0">
      <formula>AND(COUNT(C18:F18)=4,F18=4)</formula>
    </cfRule>
    <cfRule type="expression" priority="302" dxfId="1">
      <formula>AND(COUNT(C18:F18)=4,F18&lt;4*0.4)</formula>
    </cfRule>
    <cfRule type="expression" priority="303" dxfId="2">
      <formula>AND(COUNT(C18:F18)=4,F18&gt;=4*0.4,F18&lt;4)</formula>
    </cfRule>
  </conditionalFormatting>
  <conditionalFormatting sqref="F19">
    <cfRule type="expression" priority="304" dxfId="0">
      <formula>AND(COUNT(C19:F19)=4,F19=4)</formula>
    </cfRule>
    <cfRule type="expression" priority="305" dxfId="1">
      <formula>AND(COUNT(C19:F19)=4,F19&lt;4*0.4)</formula>
    </cfRule>
    <cfRule type="expression" priority="306" dxfId="2">
      <formula>AND(COUNT(C19:F19)=4,F19&gt;=4*0.4,F19&lt;4)</formula>
    </cfRule>
  </conditionalFormatting>
  <conditionalFormatting sqref="F20">
    <cfRule type="expression" priority="307" dxfId="0">
      <formula>AND(COUNT(C20:F20)=4,F20=4)</formula>
    </cfRule>
    <cfRule type="expression" priority="308" dxfId="1">
      <formula>AND(COUNT(C20:F20)=4,F20&lt;4*0.4)</formula>
    </cfRule>
    <cfRule type="expression" priority="309" dxfId="2">
      <formula>AND(COUNT(C20:F20)=4,F20&gt;=4*0.4,F20&lt;4)</formula>
    </cfRule>
  </conditionalFormatting>
  <conditionalFormatting sqref="F21">
    <cfRule type="expression" priority="310" dxfId="0">
      <formula>AND(COUNT(C21:F21)=4,F21=4)</formula>
    </cfRule>
    <cfRule type="expression" priority="311" dxfId="1">
      <formula>AND(COUNT(C21:F21)=4,F21&lt;4*0.4)</formula>
    </cfRule>
    <cfRule type="expression" priority="312" dxfId="2">
      <formula>AND(COUNT(C21:F21)=4,F21&gt;=4*0.4,F21&lt;4)</formula>
    </cfRule>
  </conditionalFormatting>
  <conditionalFormatting sqref="F22">
    <cfRule type="expression" priority="313" dxfId="0">
      <formula>AND(COUNT(C22:F22)=4,F22=4)</formula>
    </cfRule>
    <cfRule type="expression" priority="314" dxfId="1">
      <formula>AND(COUNT(C22:F22)=4,F22&lt;4*0.4)</formula>
    </cfRule>
    <cfRule type="expression" priority="315" dxfId="2">
      <formula>AND(COUNT(C22:F22)=4,F22&gt;=4*0.4,F22&lt;4)</formula>
    </cfRule>
  </conditionalFormatting>
  <conditionalFormatting sqref="F23">
    <cfRule type="expression" priority="316" dxfId="0">
      <formula>AND(COUNT(C23:F23)=4,F23=4)</formula>
    </cfRule>
    <cfRule type="expression" priority="317" dxfId="1">
      <formula>AND(COUNT(C23:F23)=4,F23&lt;4*0.4)</formula>
    </cfRule>
    <cfRule type="expression" priority="318" dxfId="2">
      <formula>AND(COUNT(C23:F23)=4,F23&gt;=4*0.4,F23&lt;4)</formula>
    </cfRule>
  </conditionalFormatting>
  <conditionalFormatting sqref="F24">
    <cfRule type="expression" priority="319" dxfId="0">
      <formula>AND(COUNT(C24:F24)=4,F24=4)</formula>
    </cfRule>
    <cfRule type="expression" priority="320" dxfId="1">
      <formula>AND(COUNT(C24:F24)=4,F24&lt;4*0.4)</formula>
    </cfRule>
    <cfRule type="expression" priority="321" dxfId="2">
      <formula>AND(COUNT(C24:F24)=4,F24&gt;=4*0.4,F24&lt;4)</formula>
    </cfRule>
  </conditionalFormatting>
  <conditionalFormatting sqref="F25">
    <cfRule type="expression" priority="322" dxfId="0">
      <formula>AND(COUNT(C25:F25)=4,F25=4)</formula>
    </cfRule>
    <cfRule type="expression" priority="323" dxfId="1">
      <formula>AND(COUNT(C25:F25)=4,F25&lt;4*0.4)</formula>
    </cfRule>
    <cfRule type="expression" priority="324" dxfId="2">
      <formula>AND(COUNT(C25:F25)=4,F25&gt;=4*0.4,F25&lt;4)</formula>
    </cfRule>
  </conditionalFormatting>
  <conditionalFormatting sqref="F26">
    <cfRule type="expression" priority="325" dxfId="0">
      <formula>AND(COUNT(C26:F26)=4,F26=4)</formula>
    </cfRule>
    <cfRule type="expression" priority="326" dxfId="1">
      <formula>AND(COUNT(C26:F26)=4,F26&lt;4*0.4)</formula>
    </cfRule>
    <cfRule type="expression" priority="327" dxfId="2">
      <formula>AND(COUNT(C26:F26)=4,F26&gt;=4*0.4,F26&lt;4)</formula>
    </cfRule>
  </conditionalFormatting>
  <conditionalFormatting sqref="F27">
    <cfRule type="expression" priority="328" dxfId="0">
      <formula>AND(COUNT(C27:F27)=4,F27=4)</formula>
    </cfRule>
    <cfRule type="expression" priority="329" dxfId="1">
      <formula>AND(COUNT(C27:F27)=4,F27&lt;4*0.4)</formula>
    </cfRule>
    <cfRule type="expression" priority="330" dxfId="2">
      <formula>AND(COUNT(C27:F27)=4,F27&gt;=4*0.4,F27&lt;4)</formula>
    </cfRule>
  </conditionalFormatting>
  <conditionalFormatting sqref="F28">
    <cfRule type="expression" priority="331" dxfId="0">
      <formula>AND(COUNT(C28:F28)=4,F28=4)</formula>
    </cfRule>
    <cfRule type="expression" priority="332" dxfId="1">
      <formula>AND(COUNT(C28:F28)=4,F28&lt;4*0.4)</formula>
    </cfRule>
    <cfRule type="expression" priority="333" dxfId="2">
      <formula>AND(COUNT(C28:F28)=4,F28&gt;=4*0.4,F28&lt;4)</formula>
    </cfRule>
  </conditionalFormatting>
  <conditionalFormatting sqref="F29">
    <cfRule type="expression" priority="334" dxfId="0">
      <formula>AND(COUNT(C29:F29)=4,F29=4)</formula>
    </cfRule>
    <cfRule type="expression" priority="335" dxfId="1">
      <formula>AND(COUNT(C29:F29)=4,F29&lt;4*0.4)</formula>
    </cfRule>
    <cfRule type="expression" priority="336" dxfId="2">
      <formula>AND(COUNT(C29:F29)=4,F29&gt;=4*0.4,F29&lt;4)</formula>
    </cfRule>
  </conditionalFormatting>
  <conditionalFormatting sqref="F30">
    <cfRule type="expression" priority="337" dxfId="0">
      <formula>AND(COUNT(C30:F30)=4,F30=4)</formula>
    </cfRule>
    <cfRule type="expression" priority="338" dxfId="1">
      <formula>AND(COUNT(C30:F30)=4,F30&lt;4*0.4)</formula>
    </cfRule>
    <cfRule type="expression" priority="339" dxfId="2">
      <formula>AND(COUNT(C30:F30)=4,F30&gt;=4*0.4,F30&lt;4)</formula>
    </cfRule>
  </conditionalFormatting>
  <conditionalFormatting sqref="F31">
    <cfRule type="expression" priority="340" dxfId="0">
      <formula>AND(COUNT(C31:F31)=4,F31=4)</formula>
    </cfRule>
    <cfRule type="expression" priority="341" dxfId="1">
      <formula>AND(COUNT(C31:F31)=4,F31&lt;4*0.4)</formula>
    </cfRule>
    <cfRule type="expression" priority="342" dxfId="2">
      <formula>AND(COUNT(C31:F31)=4,F31&gt;=4*0.4,F31&lt;4)</formula>
    </cfRule>
  </conditionalFormatting>
  <conditionalFormatting sqref="F32">
    <cfRule type="expression" priority="343" dxfId="0">
      <formula>AND(COUNT(C32:F32)=4,F32=4)</formula>
    </cfRule>
    <cfRule type="expression" priority="344" dxfId="1">
      <formula>AND(COUNT(C32:F32)=4,F32&lt;4*0.4)</formula>
    </cfRule>
    <cfRule type="expression" priority="345" dxfId="2">
      <formula>AND(COUNT(C32:F32)=4,F32&gt;=4*0.4,F32&lt;4)</formula>
    </cfRule>
  </conditionalFormatting>
  <conditionalFormatting sqref="F33">
    <cfRule type="expression" priority="346" dxfId="0">
      <formula>AND(COUNT(C33:F33)=4,F33=4)</formula>
    </cfRule>
    <cfRule type="expression" priority="347" dxfId="1">
      <formula>AND(COUNT(C33:F33)=4,F33&lt;4*0.4)</formula>
    </cfRule>
    <cfRule type="expression" priority="348" dxfId="2">
      <formula>AND(COUNT(C33:F33)=4,F33&gt;=4*0.4,F33&lt;4)</formula>
    </cfRule>
  </conditionalFormatting>
  <conditionalFormatting sqref="F34">
    <cfRule type="expression" priority="349" dxfId="0">
      <formula>AND(COUNT(C34:F34)=4,F34=4)</formula>
    </cfRule>
    <cfRule type="expression" priority="350" dxfId="1">
      <formula>AND(COUNT(C34:F34)=4,F34&lt;4*0.4)</formula>
    </cfRule>
    <cfRule type="expression" priority="351" dxfId="2">
      <formula>AND(COUNT(C34:F34)=4,F34&gt;=4*0.4,F34&lt;4)</formula>
    </cfRule>
  </conditionalFormatting>
  <conditionalFormatting sqref="F35">
    <cfRule type="expression" priority="352" dxfId="0">
      <formula>AND(COUNT(C35:F35)=4,F35=4)</formula>
    </cfRule>
    <cfRule type="expression" priority="353" dxfId="1">
      <formula>AND(COUNT(C35:F35)=4,F35&lt;4*0.4)</formula>
    </cfRule>
    <cfRule type="expression" priority="354" dxfId="2">
      <formula>AND(COUNT(C35:F35)=4,F35&gt;=4*0.4,F35&lt;4)</formula>
    </cfRule>
  </conditionalFormatting>
  <conditionalFormatting sqref="F36">
    <cfRule type="expression" priority="355" dxfId="0">
      <formula>AND(COUNT(C36:F36)=4,F36=4)</formula>
    </cfRule>
    <cfRule type="expression" priority="356" dxfId="1">
      <formula>AND(COUNT(C36:F36)=4,F36&lt;4*0.4)</formula>
    </cfRule>
    <cfRule type="expression" priority="357" dxfId="2">
      <formula>AND(COUNT(C36:F36)=4,F36&gt;=4*0.4,F36&lt;4)</formula>
    </cfRule>
  </conditionalFormatting>
  <conditionalFormatting sqref="F37">
    <cfRule type="expression" priority="358" dxfId="0">
      <formula>AND(COUNT(C37:F37)=4,F37=4)</formula>
    </cfRule>
    <cfRule type="expression" priority="359" dxfId="1">
      <formula>AND(COUNT(C37:F37)=4,F37&lt;4*0.4)</formula>
    </cfRule>
    <cfRule type="expression" priority="360" dxfId="2">
      <formula>AND(COUNT(C37:F37)=4,F37&gt;=4*0.4,F37&lt;4)</formula>
    </cfRule>
  </conditionalFormatting>
  <conditionalFormatting sqref="F38">
    <cfRule type="expression" priority="361" dxfId="0">
      <formula>AND(COUNT(C38:F38)=4,F38=4)</formula>
    </cfRule>
    <cfRule type="expression" priority="362" dxfId="1">
      <formula>AND(COUNT(C38:F38)=4,F38&lt;4*0.4)</formula>
    </cfRule>
    <cfRule type="expression" priority="363" dxfId="2">
      <formula>AND(COUNT(C38:F38)=4,F38&gt;=4*0.4,F38&lt;4)</formula>
    </cfRule>
  </conditionalFormatting>
  <conditionalFormatting sqref="F39">
    <cfRule type="expression" priority="364" dxfId="0">
      <formula>AND(COUNT(C39:F39)=4,F39=4)</formula>
    </cfRule>
    <cfRule type="expression" priority="365" dxfId="1">
      <formula>AND(COUNT(C39:F39)=4,F39&lt;4*0.4)</formula>
    </cfRule>
    <cfRule type="expression" priority="366" dxfId="2">
      <formula>AND(COUNT(C39:F39)=4,F39&gt;=4*0.4,F39&lt;4)</formula>
    </cfRule>
  </conditionalFormatting>
  <conditionalFormatting sqref="F40">
    <cfRule type="expression" priority="367" dxfId="0">
      <formula>AND(COUNT(C40:F40)=4,F40=4)</formula>
    </cfRule>
    <cfRule type="expression" priority="368" dxfId="1">
      <formula>AND(COUNT(C40:F40)=4,F40&lt;4*0.4)</formula>
    </cfRule>
    <cfRule type="expression" priority="369" dxfId="2">
      <formula>AND(COUNT(C40:F40)=4,F40&gt;=4*0.4,F40&lt;4)</formula>
    </cfRule>
  </conditionalFormatting>
  <conditionalFormatting sqref="F41">
    <cfRule type="expression" priority="370" dxfId="0">
      <formula>AND(COUNT(C41:F41)=4,F41=4)</formula>
    </cfRule>
    <cfRule type="expression" priority="371" dxfId="1">
      <formula>AND(COUNT(C41:F41)=4,F41&lt;4*0.4)</formula>
    </cfRule>
    <cfRule type="expression" priority="372" dxfId="2">
      <formula>AND(COUNT(C41:F41)=4,F41&gt;=4*0.4,F41&lt;4)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Mini Test 1.2 — Analysis of Data</t>
        </is>
      </c>
    </row>
    <row r="2">
      <c r="A2" s="2" t="inlineStr">
        <is>
          <t>Every block below pulls live from 'MT 1.2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SUMPRODUCT(--ISNUMBER('MT 1.2 Results'!I12:I41))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IF('MT 1.2 Results'!I12="","","Mini Test 1.2 — Analysis of Data")</f>
        <v/>
      </c>
      <c r="K5">
        <f>IF('MT 1.2 Results'!I13="","","Mini Test 1.2 — Analysis of Data")</f>
        <v/>
      </c>
    </row>
    <row r="6">
      <c r="A6">
        <f>IF('MT 1.2 Results'!I12="","","Name: "&amp;'MT 1.2 Results'!B12&amp;"   Class: "&amp;'MT 1.2 Results'!$B$3&amp;"   Date: "&amp;TEXT('MT 1.2 Results'!$B$5,"DD/MM/YY"))</f>
        <v/>
      </c>
      <c r="K6">
        <f>IF('MT 1.2 Results'!I13="","","Name: "&amp;'MT 1.2 Results'!B13&amp;"   Class: "&amp;'MT 1.2 Results'!$B$3&amp;"   Date: "&amp;TEXT('MT 1.2 Results'!$B$5,"DD/MM/YY"))</f>
        <v/>
      </c>
    </row>
    <row r="7">
      <c r="A7">
        <f>IF('MT 1.2 Results'!I12="","","Total: "&amp;'MT 1.2 Results'!G12&amp;"/20 ("&amp;TEXT('MT 1.2 Results'!H12,"0%")&amp;")   Overall: "&amp;'MT 1.2 Results'!I12)</f>
        <v/>
      </c>
      <c r="K7">
        <f>IF('MT 1.2 Results'!I13="","","Total: "&amp;'MT 1.2 Results'!G13&amp;"/20 ("&amp;TEXT('MT 1.2 Results'!H13,"0%")&amp;")   Overall: "&amp;'MT 1.2 Results'!I13)</f>
        <v/>
      </c>
    </row>
    <row r="8">
      <c r="A8">
        <f>IF('MT 1.2 Results'!I12="","",IF('MT 1.2 Results'!I12="Green",Parameters!$C$31,IF('MT 1.2 Results'!I12="Yellow",Parameters!$C$30,Parameters!$C$29)))</f>
        <v/>
      </c>
      <c r="K8">
        <f>IF('MT 1.2 Results'!I13="","",IF('MT 1.2 Results'!I13="Green",Parameters!$C$31,IF('MT 1.2 Results'!I13="Yellow",Parameters!$C$30,Parameters!$C$29)))</f>
        <v/>
      </c>
    </row>
    <row r="10">
      <c r="A10">
        <f>IF('MT 1.2 Results'!I12="","","Breakdown:")</f>
        <v/>
      </c>
      <c r="K10">
        <f>IF('MT 1.2 Results'!I13="","","Breakdown:")</f>
        <v/>
      </c>
    </row>
    <row r="11">
      <c r="A11">
        <f>IF('MT 1.2 Results'!I12="","","Q1 Mean &amp; standard deviation (ungrouped data): "&amp;'MT 1.2 Results'!C12&amp;"/5")</f>
        <v/>
      </c>
      <c r="K11">
        <f>IF('MT 1.2 Results'!I13="","","Q1 Mean &amp; standard deviation (ungrouped data): "&amp;'MT 1.2 Results'!C13&amp;"/5")</f>
        <v/>
      </c>
    </row>
    <row r="12">
      <c r="A12">
        <f>IF('MT 1.2 Results'!I12="","","Q2 Estimating the mean from grouped data: "&amp;'MT 1.2 Results'!D12&amp;"/5")</f>
        <v/>
      </c>
      <c r="K12">
        <f>IF('MT 1.2 Results'!I13="","","Q2 Estimating the mean from grouped data: "&amp;'MT 1.2 Results'!D13&amp;"/5")</f>
        <v/>
      </c>
    </row>
    <row r="13">
      <c r="A13">
        <f>IF('MT 1.2 Results'!I12="","","Q3 Quartiles, IQR &amp; outliers: "&amp;'MT 1.2 Results'!E12&amp;"/6")</f>
        <v/>
      </c>
      <c r="K13">
        <f>IF('MT 1.2 Results'!I13="","","Q3 Quartiles, IQR &amp; outliers: "&amp;'MT 1.2 Results'!E13&amp;"/6")</f>
        <v/>
      </c>
    </row>
    <row r="14">
      <c r="A14">
        <f>IF('MT 1.2 Results'!I12="","","Q4 Comparing distributions (mean &amp; SD): "&amp;'MT 1.2 Results'!F12&amp;"/4")</f>
        <v/>
      </c>
      <c r="K14">
        <f>IF('MT 1.2 Results'!I13="","","Q4 Comparing distributions (mean &amp; SD): "&amp;'MT 1.2 Results'!F13&amp;"/4")</f>
        <v/>
      </c>
    </row>
    <row r="15">
      <c r="A15">
        <f>IF(OR('MT 1.2 Results'!I12="",'MT 1.2 Results'!J12=""),"",'MT 1.2 Results'!J12)</f>
        <v/>
      </c>
      <c r="K15">
        <f>IF(OR('MT 1.2 Results'!I13="",'MT 1.2 Results'!J13=""),"",'MT 1.2 Results'!J13)</f>
        <v/>
      </c>
    </row>
    <row r="17">
      <c r="A17">
        <f>IF('MT 1.2 Results'!I12="","","Comments:")</f>
        <v/>
      </c>
      <c r="K17">
        <f>IF('MT 1.2 Results'!I13="","","Comments:")</f>
        <v/>
      </c>
    </row>
    <row r="21">
      <c r="A21">
        <f>IF('MT 1.2 Results'!I14="","","Mini Test 1.2 — Analysis of Data")</f>
        <v/>
      </c>
      <c r="K21">
        <f>IF('MT 1.2 Results'!I15="","","Mini Test 1.2 — Analysis of Data")</f>
        <v/>
      </c>
    </row>
    <row r="22">
      <c r="A22">
        <f>IF('MT 1.2 Results'!I14="","","Name: "&amp;'MT 1.2 Results'!B14&amp;"   Class: "&amp;'MT 1.2 Results'!$B$3&amp;"   Date: "&amp;TEXT('MT 1.2 Results'!$B$5,"DD/MM/YY"))</f>
        <v/>
      </c>
      <c r="K22">
        <f>IF('MT 1.2 Results'!I15="","","Name: "&amp;'MT 1.2 Results'!B15&amp;"   Class: "&amp;'MT 1.2 Results'!$B$3&amp;"   Date: "&amp;TEXT('MT 1.2 Results'!$B$5,"DD/MM/YY"))</f>
        <v/>
      </c>
    </row>
    <row r="23">
      <c r="A23">
        <f>IF('MT 1.2 Results'!I14="","","Total: "&amp;'MT 1.2 Results'!G14&amp;"/20 ("&amp;TEXT('MT 1.2 Results'!H14,"0%")&amp;")   Overall: "&amp;'MT 1.2 Results'!I14)</f>
        <v/>
      </c>
      <c r="K23">
        <f>IF('MT 1.2 Results'!I15="","","Total: "&amp;'MT 1.2 Results'!G15&amp;"/20 ("&amp;TEXT('MT 1.2 Results'!H15,"0%")&amp;")   Overall: "&amp;'MT 1.2 Results'!I15)</f>
        <v/>
      </c>
    </row>
    <row r="24">
      <c r="A24">
        <f>IF('MT 1.2 Results'!I14="","",IF('MT 1.2 Results'!I14="Green",Parameters!$C$31,IF('MT 1.2 Results'!I14="Yellow",Parameters!$C$30,Parameters!$C$29)))</f>
        <v/>
      </c>
      <c r="K24">
        <f>IF('MT 1.2 Results'!I15="","",IF('MT 1.2 Results'!I15="Green",Parameters!$C$31,IF('MT 1.2 Results'!I15="Yellow",Parameters!$C$30,Parameters!$C$29)))</f>
        <v/>
      </c>
    </row>
    <row r="26">
      <c r="A26">
        <f>IF('MT 1.2 Results'!I14="","","Breakdown:")</f>
        <v/>
      </c>
      <c r="K26">
        <f>IF('MT 1.2 Results'!I15="","","Breakdown:")</f>
        <v/>
      </c>
    </row>
    <row r="27">
      <c r="A27">
        <f>IF('MT 1.2 Results'!I14="","","Q1 Mean &amp; standard deviation (ungrouped data): "&amp;'MT 1.2 Results'!C14&amp;"/5")</f>
        <v/>
      </c>
      <c r="K27">
        <f>IF('MT 1.2 Results'!I15="","","Q1 Mean &amp; standard deviation (ungrouped data): "&amp;'MT 1.2 Results'!C15&amp;"/5")</f>
        <v/>
      </c>
    </row>
    <row r="28">
      <c r="A28">
        <f>IF('MT 1.2 Results'!I14="","","Q2 Estimating the mean from grouped data: "&amp;'MT 1.2 Results'!D14&amp;"/5")</f>
        <v/>
      </c>
      <c r="K28">
        <f>IF('MT 1.2 Results'!I15="","","Q2 Estimating the mean from grouped data: "&amp;'MT 1.2 Results'!D15&amp;"/5")</f>
        <v/>
      </c>
    </row>
    <row r="29">
      <c r="A29">
        <f>IF('MT 1.2 Results'!I14="","","Q3 Quartiles, IQR &amp; outliers: "&amp;'MT 1.2 Results'!E14&amp;"/6")</f>
        <v/>
      </c>
      <c r="K29">
        <f>IF('MT 1.2 Results'!I15="","","Q3 Quartiles, IQR &amp; outliers: "&amp;'MT 1.2 Results'!E15&amp;"/6")</f>
        <v/>
      </c>
    </row>
    <row r="30">
      <c r="A30">
        <f>IF('MT 1.2 Results'!I14="","","Q4 Comparing distributions (mean &amp; SD): "&amp;'MT 1.2 Results'!F14&amp;"/4")</f>
        <v/>
      </c>
      <c r="K30">
        <f>IF('MT 1.2 Results'!I15="","","Q4 Comparing distributions (mean &amp; SD): "&amp;'MT 1.2 Results'!F15&amp;"/4")</f>
        <v/>
      </c>
    </row>
    <row r="31">
      <c r="A31">
        <f>IF(OR('MT 1.2 Results'!I14="",'MT 1.2 Results'!J14=""),"",'MT 1.2 Results'!J14)</f>
        <v/>
      </c>
      <c r="K31">
        <f>IF(OR('MT 1.2 Results'!I15="",'MT 1.2 Results'!J15=""),"",'MT 1.2 Results'!J15)</f>
        <v/>
      </c>
    </row>
    <row r="33">
      <c r="A33">
        <f>IF('MT 1.2 Results'!I14="","","Comments:")</f>
        <v/>
      </c>
      <c r="K33">
        <f>IF('MT 1.2 Results'!I15="","","Comments:")</f>
        <v/>
      </c>
    </row>
    <row r="37">
      <c r="A37">
        <f>IF('MT 1.2 Results'!I16="","","Mini Test 1.2 — Analysis of Data")</f>
        <v/>
      </c>
      <c r="K37">
        <f>IF('MT 1.2 Results'!I17="","","Mini Test 1.2 — Analysis of Data")</f>
        <v/>
      </c>
    </row>
    <row r="38">
      <c r="A38">
        <f>IF('MT 1.2 Results'!I16="","","Name: "&amp;'MT 1.2 Results'!B16&amp;"   Class: "&amp;'MT 1.2 Results'!$B$3&amp;"   Date: "&amp;TEXT('MT 1.2 Results'!$B$5,"DD/MM/YY"))</f>
        <v/>
      </c>
      <c r="K38">
        <f>IF('MT 1.2 Results'!I17="","","Name: "&amp;'MT 1.2 Results'!B17&amp;"   Class: "&amp;'MT 1.2 Results'!$B$3&amp;"   Date: "&amp;TEXT('MT 1.2 Results'!$B$5,"DD/MM/YY"))</f>
        <v/>
      </c>
    </row>
    <row r="39">
      <c r="A39">
        <f>IF('MT 1.2 Results'!I16="","","Total: "&amp;'MT 1.2 Results'!G16&amp;"/20 ("&amp;TEXT('MT 1.2 Results'!H16,"0%")&amp;")   Overall: "&amp;'MT 1.2 Results'!I16)</f>
        <v/>
      </c>
      <c r="K39">
        <f>IF('MT 1.2 Results'!I17="","","Total: "&amp;'MT 1.2 Results'!G17&amp;"/20 ("&amp;TEXT('MT 1.2 Results'!H17,"0%")&amp;")   Overall: "&amp;'MT 1.2 Results'!I17)</f>
        <v/>
      </c>
    </row>
    <row r="40">
      <c r="A40">
        <f>IF('MT 1.2 Results'!I16="","",IF('MT 1.2 Results'!I16="Green",Parameters!$C$31,IF('MT 1.2 Results'!I16="Yellow",Parameters!$C$30,Parameters!$C$29)))</f>
        <v/>
      </c>
      <c r="K40">
        <f>IF('MT 1.2 Results'!I17="","",IF('MT 1.2 Results'!I17="Green",Parameters!$C$31,IF('MT 1.2 Results'!I17="Yellow",Parameters!$C$30,Parameters!$C$29)))</f>
        <v/>
      </c>
    </row>
    <row r="42">
      <c r="A42">
        <f>IF('MT 1.2 Results'!I16="","","Breakdown:")</f>
        <v/>
      </c>
      <c r="K42">
        <f>IF('MT 1.2 Results'!I17="","","Breakdown:")</f>
        <v/>
      </c>
    </row>
    <row r="43">
      <c r="A43">
        <f>IF('MT 1.2 Results'!I16="","","Q1 Mean &amp; standard deviation (ungrouped data): "&amp;'MT 1.2 Results'!C16&amp;"/5")</f>
        <v/>
      </c>
      <c r="K43">
        <f>IF('MT 1.2 Results'!I17="","","Q1 Mean &amp; standard deviation (ungrouped data): "&amp;'MT 1.2 Results'!C17&amp;"/5")</f>
        <v/>
      </c>
    </row>
    <row r="44">
      <c r="A44">
        <f>IF('MT 1.2 Results'!I16="","","Q2 Estimating the mean from grouped data: "&amp;'MT 1.2 Results'!D16&amp;"/5")</f>
        <v/>
      </c>
      <c r="K44">
        <f>IF('MT 1.2 Results'!I17="","","Q2 Estimating the mean from grouped data: "&amp;'MT 1.2 Results'!D17&amp;"/5")</f>
        <v/>
      </c>
    </row>
    <row r="45">
      <c r="A45">
        <f>IF('MT 1.2 Results'!I16="","","Q3 Quartiles, IQR &amp; outliers: "&amp;'MT 1.2 Results'!E16&amp;"/6")</f>
        <v/>
      </c>
      <c r="K45">
        <f>IF('MT 1.2 Results'!I17="","","Q3 Quartiles, IQR &amp; outliers: "&amp;'MT 1.2 Results'!E17&amp;"/6")</f>
        <v/>
      </c>
    </row>
    <row r="46">
      <c r="A46">
        <f>IF('MT 1.2 Results'!I16="","","Q4 Comparing distributions (mean &amp; SD): "&amp;'MT 1.2 Results'!F16&amp;"/4")</f>
        <v/>
      </c>
      <c r="K46">
        <f>IF('MT 1.2 Results'!I17="","","Q4 Comparing distributions (mean &amp; SD): "&amp;'MT 1.2 Results'!F17&amp;"/4")</f>
        <v/>
      </c>
    </row>
    <row r="47">
      <c r="A47">
        <f>IF(OR('MT 1.2 Results'!I16="",'MT 1.2 Results'!J16=""),"",'MT 1.2 Results'!J16)</f>
        <v/>
      </c>
      <c r="K47">
        <f>IF(OR('MT 1.2 Results'!I17="",'MT 1.2 Results'!J17=""),"",'MT 1.2 Results'!J17)</f>
        <v/>
      </c>
    </row>
    <row r="49">
      <c r="A49">
        <f>IF('MT 1.2 Results'!I16="","","Comments:")</f>
        <v/>
      </c>
      <c r="K49">
        <f>IF('MT 1.2 Results'!I17="","","Comments:")</f>
        <v/>
      </c>
    </row>
    <row r="53">
      <c r="A53">
        <f>IF('MT 1.2 Results'!I18="","","Mini Test 1.2 — Analysis of Data")</f>
        <v/>
      </c>
      <c r="K53">
        <f>IF('MT 1.2 Results'!I19="","","Mini Test 1.2 — Analysis of Data")</f>
        <v/>
      </c>
    </row>
    <row r="54">
      <c r="A54">
        <f>IF('MT 1.2 Results'!I18="","","Name: "&amp;'MT 1.2 Results'!B18&amp;"   Class: "&amp;'MT 1.2 Results'!$B$3&amp;"   Date: "&amp;TEXT('MT 1.2 Results'!$B$5,"DD/MM/YY"))</f>
        <v/>
      </c>
      <c r="K54">
        <f>IF('MT 1.2 Results'!I19="","","Name: "&amp;'MT 1.2 Results'!B19&amp;"   Class: "&amp;'MT 1.2 Results'!$B$3&amp;"   Date: "&amp;TEXT('MT 1.2 Results'!$B$5,"DD/MM/YY"))</f>
        <v/>
      </c>
    </row>
    <row r="55">
      <c r="A55">
        <f>IF('MT 1.2 Results'!I18="","","Total: "&amp;'MT 1.2 Results'!G18&amp;"/20 ("&amp;TEXT('MT 1.2 Results'!H18,"0%")&amp;")   Overall: "&amp;'MT 1.2 Results'!I18)</f>
        <v/>
      </c>
      <c r="K55">
        <f>IF('MT 1.2 Results'!I19="","","Total: "&amp;'MT 1.2 Results'!G19&amp;"/20 ("&amp;TEXT('MT 1.2 Results'!H19,"0%")&amp;")   Overall: "&amp;'MT 1.2 Results'!I19)</f>
        <v/>
      </c>
    </row>
    <row r="56">
      <c r="A56">
        <f>IF('MT 1.2 Results'!I18="","",IF('MT 1.2 Results'!I18="Green",Parameters!$C$31,IF('MT 1.2 Results'!I18="Yellow",Parameters!$C$30,Parameters!$C$29)))</f>
        <v/>
      </c>
      <c r="K56">
        <f>IF('MT 1.2 Results'!I19="","",IF('MT 1.2 Results'!I19="Green",Parameters!$C$31,IF('MT 1.2 Results'!I19="Yellow",Parameters!$C$30,Parameters!$C$29)))</f>
        <v/>
      </c>
    </row>
    <row r="58">
      <c r="A58">
        <f>IF('MT 1.2 Results'!I18="","","Breakdown:")</f>
        <v/>
      </c>
      <c r="K58">
        <f>IF('MT 1.2 Results'!I19="","","Breakdown:")</f>
        <v/>
      </c>
    </row>
    <row r="59">
      <c r="A59">
        <f>IF('MT 1.2 Results'!I18="","","Q1 Mean &amp; standard deviation (ungrouped data): "&amp;'MT 1.2 Results'!C18&amp;"/5")</f>
        <v/>
      </c>
      <c r="K59">
        <f>IF('MT 1.2 Results'!I19="","","Q1 Mean &amp; standard deviation (ungrouped data): "&amp;'MT 1.2 Results'!C19&amp;"/5")</f>
        <v/>
      </c>
    </row>
    <row r="60">
      <c r="A60">
        <f>IF('MT 1.2 Results'!I18="","","Q2 Estimating the mean from grouped data: "&amp;'MT 1.2 Results'!D18&amp;"/5")</f>
        <v/>
      </c>
      <c r="K60">
        <f>IF('MT 1.2 Results'!I19="","","Q2 Estimating the mean from grouped data: "&amp;'MT 1.2 Results'!D19&amp;"/5")</f>
        <v/>
      </c>
    </row>
    <row r="61">
      <c r="A61">
        <f>IF('MT 1.2 Results'!I18="","","Q3 Quartiles, IQR &amp; outliers: "&amp;'MT 1.2 Results'!E18&amp;"/6")</f>
        <v/>
      </c>
      <c r="K61">
        <f>IF('MT 1.2 Results'!I19="","","Q3 Quartiles, IQR &amp; outliers: "&amp;'MT 1.2 Results'!E19&amp;"/6")</f>
        <v/>
      </c>
    </row>
    <row r="62">
      <c r="A62">
        <f>IF('MT 1.2 Results'!I18="","","Q4 Comparing distributions (mean &amp; SD): "&amp;'MT 1.2 Results'!F18&amp;"/4")</f>
        <v/>
      </c>
      <c r="K62">
        <f>IF('MT 1.2 Results'!I19="","","Q4 Comparing distributions (mean &amp; SD): "&amp;'MT 1.2 Results'!F19&amp;"/4")</f>
        <v/>
      </c>
    </row>
    <row r="63">
      <c r="A63">
        <f>IF(OR('MT 1.2 Results'!I18="",'MT 1.2 Results'!J18=""),"",'MT 1.2 Results'!J18)</f>
        <v/>
      </c>
      <c r="K63">
        <f>IF(OR('MT 1.2 Results'!I19="",'MT 1.2 Results'!J19=""),"",'MT 1.2 Results'!J19)</f>
        <v/>
      </c>
    </row>
    <row r="65">
      <c r="A65">
        <f>IF('MT 1.2 Results'!I18="","","Comments:")</f>
        <v/>
      </c>
      <c r="K65">
        <f>IF('MT 1.2 Results'!I19="","","Comments:")</f>
        <v/>
      </c>
    </row>
    <row r="69">
      <c r="A69">
        <f>IF('MT 1.2 Results'!I20="","","Mini Test 1.2 — Analysis of Data")</f>
        <v/>
      </c>
      <c r="K69">
        <f>IF('MT 1.2 Results'!I21="","","Mini Test 1.2 — Analysis of Data")</f>
        <v/>
      </c>
    </row>
    <row r="70">
      <c r="A70">
        <f>IF('MT 1.2 Results'!I20="","","Name: "&amp;'MT 1.2 Results'!B20&amp;"   Class: "&amp;'MT 1.2 Results'!$B$3&amp;"   Date: "&amp;TEXT('MT 1.2 Results'!$B$5,"DD/MM/YY"))</f>
        <v/>
      </c>
      <c r="K70">
        <f>IF('MT 1.2 Results'!I21="","","Name: "&amp;'MT 1.2 Results'!B21&amp;"   Class: "&amp;'MT 1.2 Results'!$B$3&amp;"   Date: "&amp;TEXT('MT 1.2 Results'!$B$5,"DD/MM/YY"))</f>
        <v/>
      </c>
    </row>
    <row r="71">
      <c r="A71">
        <f>IF('MT 1.2 Results'!I20="","","Total: "&amp;'MT 1.2 Results'!G20&amp;"/20 ("&amp;TEXT('MT 1.2 Results'!H20,"0%")&amp;")   Overall: "&amp;'MT 1.2 Results'!I20)</f>
        <v/>
      </c>
      <c r="K71">
        <f>IF('MT 1.2 Results'!I21="","","Total: "&amp;'MT 1.2 Results'!G21&amp;"/20 ("&amp;TEXT('MT 1.2 Results'!H21,"0%")&amp;")   Overall: "&amp;'MT 1.2 Results'!I21)</f>
        <v/>
      </c>
    </row>
    <row r="72">
      <c r="A72">
        <f>IF('MT 1.2 Results'!I20="","",IF('MT 1.2 Results'!I20="Green",Parameters!$C$31,IF('MT 1.2 Results'!I20="Yellow",Parameters!$C$30,Parameters!$C$29)))</f>
        <v/>
      </c>
      <c r="K72">
        <f>IF('MT 1.2 Results'!I21="","",IF('MT 1.2 Results'!I21="Green",Parameters!$C$31,IF('MT 1.2 Results'!I21="Yellow",Parameters!$C$30,Parameters!$C$29)))</f>
        <v/>
      </c>
    </row>
    <row r="74">
      <c r="A74">
        <f>IF('MT 1.2 Results'!I20="","","Breakdown:")</f>
        <v/>
      </c>
      <c r="K74">
        <f>IF('MT 1.2 Results'!I21="","","Breakdown:")</f>
        <v/>
      </c>
    </row>
    <row r="75">
      <c r="A75">
        <f>IF('MT 1.2 Results'!I20="","","Q1 Mean &amp; standard deviation (ungrouped data): "&amp;'MT 1.2 Results'!C20&amp;"/5")</f>
        <v/>
      </c>
      <c r="K75">
        <f>IF('MT 1.2 Results'!I21="","","Q1 Mean &amp; standard deviation (ungrouped data): "&amp;'MT 1.2 Results'!C21&amp;"/5")</f>
        <v/>
      </c>
    </row>
    <row r="76">
      <c r="A76">
        <f>IF('MT 1.2 Results'!I20="","","Q2 Estimating the mean from grouped data: "&amp;'MT 1.2 Results'!D20&amp;"/5")</f>
        <v/>
      </c>
      <c r="K76">
        <f>IF('MT 1.2 Results'!I21="","","Q2 Estimating the mean from grouped data: "&amp;'MT 1.2 Results'!D21&amp;"/5")</f>
        <v/>
      </c>
    </row>
    <row r="77">
      <c r="A77">
        <f>IF('MT 1.2 Results'!I20="","","Q3 Quartiles, IQR &amp; outliers: "&amp;'MT 1.2 Results'!E20&amp;"/6")</f>
        <v/>
      </c>
      <c r="K77">
        <f>IF('MT 1.2 Results'!I21="","","Q3 Quartiles, IQR &amp; outliers: "&amp;'MT 1.2 Results'!E21&amp;"/6")</f>
        <v/>
      </c>
    </row>
    <row r="78">
      <c r="A78">
        <f>IF('MT 1.2 Results'!I20="","","Q4 Comparing distributions (mean &amp; SD): "&amp;'MT 1.2 Results'!F20&amp;"/4")</f>
        <v/>
      </c>
      <c r="K78">
        <f>IF('MT 1.2 Results'!I21="","","Q4 Comparing distributions (mean &amp; SD): "&amp;'MT 1.2 Results'!F21&amp;"/4")</f>
        <v/>
      </c>
    </row>
    <row r="79">
      <c r="A79">
        <f>IF(OR('MT 1.2 Results'!I20="",'MT 1.2 Results'!J20=""),"",'MT 1.2 Results'!J20)</f>
        <v/>
      </c>
      <c r="K79">
        <f>IF(OR('MT 1.2 Results'!I21="",'MT 1.2 Results'!J21=""),"",'MT 1.2 Results'!J21)</f>
        <v/>
      </c>
    </row>
    <row r="81">
      <c r="A81">
        <f>IF('MT 1.2 Results'!I20="","","Comments:")</f>
        <v/>
      </c>
      <c r="K81">
        <f>IF('MT 1.2 Results'!I21="","","Comments:")</f>
        <v/>
      </c>
    </row>
    <row r="85">
      <c r="A85">
        <f>IF('MT 1.2 Results'!I22="","","Mini Test 1.2 — Analysis of Data")</f>
        <v/>
      </c>
      <c r="K85">
        <f>IF('MT 1.2 Results'!I23="","","Mini Test 1.2 — Analysis of Data")</f>
        <v/>
      </c>
    </row>
    <row r="86">
      <c r="A86">
        <f>IF('MT 1.2 Results'!I22="","","Name: "&amp;'MT 1.2 Results'!B22&amp;"   Class: "&amp;'MT 1.2 Results'!$B$3&amp;"   Date: "&amp;TEXT('MT 1.2 Results'!$B$5,"DD/MM/YY"))</f>
        <v/>
      </c>
      <c r="K86">
        <f>IF('MT 1.2 Results'!I23="","","Name: "&amp;'MT 1.2 Results'!B23&amp;"   Class: "&amp;'MT 1.2 Results'!$B$3&amp;"   Date: "&amp;TEXT('MT 1.2 Results'!$B$5,"DD/MM/YY"))</f>
        <v/>
      </c>
    </row>
    <row r="87">
      <c r="A87">
        <f>IF('MT 1.2 Results'!I22="","","Total: "&amp;'MT 1.2 Results'!G22&amp;"/20 ("&amp;TEXT('MT 1.2 Results'!H22,"0%")&amp;")   Overall: "&amp;'MT 1.2 Results'!I22)</f>
        <v/>
      </c>
      <c r="K87">
        <f>IF('MT 1.2 Results'!I23="","","Total: "&amp;'MT 1.2 Results'!G23&amp;"/20 ("&amp;TEXT('MT 1.2 Results'!H23,"0%")&amp;")   Overall: "&amp;'MT 1.2 Results'!I23)</f>
        <v/>
      </c>
    </row>
    <row r="88">
      <c r="A88">
        <f>IF('MT 1.2 Results'!I22="","",IF('MT 1.2 Results'!I22="Green",Parameters!$C$31,IF('MT 1.2 Results'!I22="Yellow",Parameters!$C$30,Parameters!$C$29)))</f>
        <v/>
      </c>
      <c r="K88">
        <f>IF('MT 1.2 Results'!I23="","",IF('MT 1.2 Results'!I23="Green",Parameters!$C$31,IF('MT 1.2 Results'!I23="Yellow",Parameters!$C$30,Parameters!$C$29)))</f>
        <v/>
      </c>
    </row>
    <row r="90">
      <c r="A90">
        <f>IF('MT 1.2 Results'!I22="","","Breakdown:")</f>
        <v/>
      </c>
      <c r="K90">
        <f>IF('MT 1.2 Results'!I23="","","Breakdown:")</f>
        <v/>
      </c>
    </row>
    <row r="91">
      <c r="A91">
        <f>IF('MT 1.2 Results'!I22="","","Q1 Mean &amp; standard deviation (ungrouped data): "&amp;'MT 1.2 Results'!C22&amp;"/5")</f>
        <v/>
      </c>
      <c r="K91">
        <f>IF('MT 1.2 Results'!I23="","","Q1 Mean &amp; standard deviation (ungrouped data): "&amp;'MT 1.2 Results'!C23&amp;"/5")</f>
        <v/>
      </c>
    </row>
    <row r="92">
      <c r="A92">
        <f>IF('MT 1.2 Results'!I22="","","Q2 Estimating the mean from grouped data: "&amp;'MT 1.2 Results'!D22&amp;"/5")</f>
        <v/>
      </c>
      <c r="K92">
        <f>IF('MT 1.2 Results'!I23="","","Q2 Estimating the mean from grouped data: "&amp;'MT 1.2 Results'!D23&amp;"/5")</f>
        <v/>
      </c>
    </row>
    <row r="93">
      <c r="A93">
        <f>IF('MT 1.2 Results'!I22="","","Q3 Quartiles, IQR &amp; outliers: "&amp;'MT 1.2 Results'!E22&amp;"/6")</f>
        <v/>
      </c>
      <c r="K93">
        <f>IF('MT 1.2 Results'!I23="","","Q3 Quartiles, IQR &amp; outliers: "&amp;'MT 1.2 Results'!E23&amp;"/6")</f>
        <v/>
      </c>
    </row>
    <row r="94">
      <c r="A94">
        <f>IF('MT 1.2 Results'!I22="","","Q4 Comparing distributions (mean &amp; SD): "&amp;'MT 1.2 Results'!F22&amp;"/4")</f>
        <v/>
      </c>
      <c r="K94">
        <f>IF('MT 1.2 Results'!I23="","","Q4 Comparing distributions (mean &amp; SD): "&amp;'MT 1.2 Results'!F23&amp;"/4")</f>
        <v/>
      </c>
    </row>
    <row r="95">
      <c r="A95">
        <f>IF(OR('MT 1.2 Results'!I22="",'MT 1.2 Results'!J22=""),"",'MT 1.2 Results'!J22)</f>
        <v/>
      </c>
      <c r="K95">
        <f>IF(OR('MT 1.2 Results'!I23="",'MT 1.2 Results'!J23=""),"",'MT 1.2 Results'!J23)</f>
        <v/>
      </c>
    </row>
    <row r="97">
      <c r="A97">
        <f>IF('MT 1.2 Results'!I22="","","Comments:")</f>
        <v/>
      </c>
      <c r="K97">
        <f>IF('MT 1.2 Results'!I23="","","Comments:")</f>
        <v/>
      </c>
    </row>
    <row r="101">
      <c r="A101">
        <f>IF('MT 1.2 Results'!I24="","","Mini Test 1.2 — Analysis of Data")</f>
        <v/>
      </c>
      <c r="K101">
        <f>IF('MT 1.2 Results'!I25="","","Mini Test 1.2 — Analysis of Data")</f>
        <v/>
      </c>
    </row>
    <row r="102">
      <c r="A102">
        <f>IF('MT 1.2 Results'!I24="","","Name: "&amp;'MT 1.2 Results'!B24&amp;"   Class: "&amp;'MT 1.2 Results'!$B$3&amp;"   Date: "&amp;TEXT('MT 1.2 Results'!$B$5,"DD/MM/YY"))</f>
        <v/>
      </c>
      <c r="K102">
        <f>IF('MT 1.2 Results'!I25="","","Name: "&amp;'MT 1.2 Results'!B25&amp;"   Class: "&amp;'MT 1.2 Results'!$B$3&amp;"   Date: "&amp;TEXT('MT 1.2 Results'!$B$5,"DD/MM/YY"))</f>
        <v/>
      </c>
    </row>
    <row r="103">
      <c r="A103">
        <f>IF('MT 1.2 Results'!I24="","","Total: "&amp;'MT 1.2 Results'!G24&amp;"/20 ("&amp;TEXT('MT 1.2 Results'!H24,"0%")&amp;")   Overall: "&amp;'MT 1.2 Results'!I24)</f>
        <v/>
      </c>
      <c r="K103">
        <f>IF('MT 1.2 Results'!I25="","","Total: "&amp;'MT 1.2 Results'!G25&amp;"/20 ("&amp;TEXT('MT 1.2 Results'!H25,"0%")&amp;")   Overall: "&amp;'MT 1.2 Results'!I25)</f>
        <v/>
      </c>
    </row>
    <row r="104">
      <c r="A104">
        <f>IF('MT 1.2 Results'!I24="","",IF('MT 1.2 Results'!I24="Green",Parameters!$C$31,IF('MT 1.2 Results'!I24="Yellow",Parameters!$C$30,Parameters!$C$29)))</f>
        <v/>
      </c>
      <c r="K104">
        <f>IF('MT 1.2 Results'!I25="","",IF('MT 1.2 Results'!I25="Green",Parameters!$C$31,IF('MT 1.2 Results'!I25="Yellow",Parameters!$C$30,Parameters!$C$29)))</f>
        <v/>
      </c>
    </row>
    <row r="106">
      <c r="A106">
        <f>IF('MT 1.2 Results'!I24="","","Breakdown:")</f>
        <v/>
      </c>
      <c r="K106">
        <f>IF('MT 1.2 Results'!I25="","","Breakdown:")</f>
        <v/>
      </c>
    </row>
    <row r="107">
      <c r="A107">
        <f>IF('MT 1.2 Results'!I24="","","Q1 Mean &amp; standard deviation (ungrouped data): "&amp;'MT 1.2 Results'!C24&amp;"/5")</f>
        <v/>
      </c>
      <c r="K107">
        <f>IF('MT 1.2 Results'!I25="","","Q1 Mean &amp; standard deviation (ungrouped data): "&amp;'MT 1.2 Results'!C25&amp;"/5")</f>
        <v/>
      </c>
    </row>
    <row r="108">
      <c r="A108">
        <f>IF('MT 1.2 Results'!I24="","","Q2 Estimating the mean from grouped data: "&amp;'MT 1.2 Results'!D24&amp;"/5")</f>
        <v/>
      </c>
      <c r="K108">
        <f>IF('MT 1.2 Results'!I25="","","Q2 Estimating the mean from grouped data: "&amp;'MT 1.2 Results'!D25&amp;"/5")</f>
        <v/>
      </c>
    </row>
    <row r="109">
      <c r="A109">
        <f>IF('MT 1.2 Results'!I24="","","Q3 Quartiles, IQR &amp; outliers: "&amp;'MT 1.2 Results'!E24&amp;"/6")</f>
        <v/>
      </c>
      <c r="K109">
        <f>IF('MT 1.2 Results'!I25="","","Q3 Quartiles, IQR &amp; outliers: "&amp;'MT 1.2 Results'!E25&amp;"/6")</f>
        <v/>
      </c>
    </row>
    <row r="110">
      <c r="A110">
        <f>IF('MT 1.2 Results'!I24="","","Q4 Comparing distributions (mean &amp; SD): "&amp;'MT 1.2 Results'!F24&amp;"/4")</f>
        <v/>
      </c>
      <c r="K110">
        <f>IF('MT 1.2 Results'!I25="","","Q4 Comparing distributions (mean &amp; SD): "&amp;'MT 1.2 Results'!F25&amp;"/4")</f>
        <v/>
      </c>
    </row>
    <row r="111">
      <c r="A111">
        <f>IF(OR('MT 1.2 Results'!I24="",'MT 1.2 Results'!J24=""),"",'MT 1.2 Results'!J24)</f>
        <v/>
      </c>
      <c r="K111">
        <f>IF(OR('MT 1.2 Results'!I25="",'MT 1.2 Results'!J25=""),"",'MT 1.2 Results'!J25)</f>
        <v/>
      </c>
    </row>
    <row r="113">
      <c r="A113">
        <f>IF('MT 1.2 Results'!I24="","","Comments:")</f>
        <v/>
      </c>
      <c r="K113">
        <f>IF('MT 1.2 Results'!I25="","","Comments:")</f>
        <v/>
      </c>
    </row>
    <row r="117">
      <c r="A117">
        <f>IF('MT 1.2 Results'!I26="","","Mini Test 1.2 — Analysis of Data")</f>
        <v/>
      </c>
      <c r="K117">
        <f>IF('MT 1.2 Results'!I27="","","Mini Test 1.2 — Analysis of Data")</f>
        <v/>
      </c>
    </row>
    <row r="118">
      <c r="A118">
        <f>IF('MT 1.2 Results'!I26="","","Name: "&amp;'MT 1.2 Results'!B26&amp;"   Class: "&amp;'MT 1.2 Results'!$B$3&amp;"   Date: "&amp;TEXT('MT 1.2 Results'!$B$5,"DD/MM/YY"))</f>
        <v/>
      </c>
      <c r="K118">
        <f>IF('MT 1.2 Results'!I27="","","Name: "&amp;'MT 1.2 Results'!B27&amp;"   Class: "&amp;'MT 1.2 Results'!$B$3&amp;"   Date: "&amp;TEXT('MT 1.2 Results'!$B$5,"DD/MM/YY"))</f>
        <v/>
      </c>
    </row>
    <row r="119">
      <c r="A119">
        <f>IF('MT 1.2 Results'!I26="","","Total: "&amp;'MT 1.2 Results'!G26&amp;"/20 ("&amp;TEXT('MT 1.2 Results'!H26,"0%")&amp;")   Overall: "&amp;'MT 1.2 Results'!I26)</f>
        <v/>
      </c>
      <c r="K119">
        <f>IF('MT 1.2 Results'!I27="","","Total: "&amp;'MT 1.2 Results'!G27&amp;"/20 ("&amp;TEXT('MT 1.2 Results'!H27,"0%")&amp;")   Overall: "&amp;'MT 1.2 Results'!I27)</f>
        <v/>
      </c>
    </row>
    <row r="120">
      <c r="A120">
        <f>IF('MT 1.2 Results'!I26="","",IF('MT 1.2 Results'!I26="Green",Parameters!$C$31,IF('MT 1.2 Results'!I26="Yellow",Parameters!$C$30,Parameters!$C$29)))</f>
        <v/>
      </c>
      <c r="K120">
        <f>IF('MT 1.2 Results'!I27="","",IF('MT 1.2 Results'!I27="Green",Parameters!$C$31,IF('MT 1.2 Results'!I27="Yellow",Parameters!$C$30,Parameters!$C$29)))</f>
        <v/>
      </c>
    </row>
    <row r="122">
      <c r="A122">
        <f>IF('MT 1.2 Results'!I26="","","Breakdown:")</f>
        <v/>
      </c>
      <c r="K122">
        <f>IF('MT 1.2 Results'!I27="","","Breakdown:")</f>
        <v/>
      </c>
    </row>
    <row r="123">
      <c r="A123">
        <f>IF('MT 1.2 Results'!I26="","","Q1 Mean &amp; standard deviation (ungrouped data): "&amp;'MT 1.2 Results'!C26&amp;"/5")</f>
        <v/>
      </c>
      <c r="K123">
        <f>IF('MT 1.2 Results'!I27="","","Q1 Mean &amp; standard deviation (ungrouped data): "&amp;'MT 1.2 Results'!C27&amp;"/5")</f>
        <v/>
      </c>
    </row>
    <row r="124">
      <c r="A124">
        <f>IF('MT 1.2 Results'!I26="","","Q2 Estimating the mean from grouped data: "&amp;'MT 1.2 Results'!D26&amp;"/5")</f>
        <v/>
      </c>
      <c r="K124">
        <f>IF('MT 1.2 Results'!I27="","","Q2 Estimating the mean from grouped data: "&amp;'MT 1.2 Results'!D27&amp;"/5")</f>
        <v/>
      </c>
    </row>
    <row r="125">
      <c r="A125">
        <f>IF('MT 1.2 Results'!I26="","","Q3 Quartiles, IQR &amp; outliers: "&amp;'MT 1.2 Results'!E26&amp;"/6")</f>
        <v/>
      </c>
      <c r="K125">
        <f>IF('MT 1.2 Results'!I27="","","Q3 Quartiles, IQR &amp; outliers: "&amp;'MT 1.2 Results'!E27&amp;"/6")</f>
        <v/>
      </c>
    </row>
    <row r="126">
      <c r="A126">
        <f>IF('MT 1.2 Results'!I26="","","Q4 Comparing distributions (mean &amp; SD): "&amp;'MT 1.2 Results'!F26&amp;"/4")</f>
        <v/>
      </c>
      <c r="K126">
        <f>IF('MT 1.2 Results'!I27="","","Q4 Comparing distributions (mean &amp; SD): "&amp;'MT 1.2 Results'!F27&amp;"/4")</f>
        <v/>
      </c>
    </row>
    <row r="127">
      <c r="A127">
        <f>IF(OR('MT 1.2 Results'!I26="",'MT 1.2 Results'!J26=""),"",'MT 1.2 Results'!J26)</f>
        <v/>
      </c>
      <c r="K127">
        <f>IF(OR('MT 1.2 Results'!I27="",'MT 1.2 Results'!J27=""),"",'MT 1.2 Results'!J27)</f>
        <v/>
      </c>
    </row>
    <row r="129">
      <c r="A129">
        <f>IF('MT 1.2 Results'!I26="","","Comments:")</f>
        <v/>
      </c>
      <c r="K129">
        <f>IF('MT 1.2 Results'!I27="","","Comments:")</f>
        <v/>
      </c>
    </row>
    <row r="133">
      <c r="A133">
        <f>IF('MT 1.2 Results'!I28="","","Mini Test 1.2 — Analysis of Data")</f>
        <v/>
      </c>
      <c r="K133">
        <f>IF('MT 1.2 Results'!I29="","","Mini Test 1.2 — Analysis of Data")</f>
        <v/>
      </c>
    </row>
    <row r="134">
      <c r="A134">
        <f>IF('MT 1.2 Results'!I28="","","Name: "&amp;'MT 1.2 Results'!B28&amp;"   Class: "&amp;'MT 1.2 Results'!$B$3&amp;"   Date: "&amp;TEXT('MT 1.2 Results'!$B$5,"DD/MM/YY"))</f>
        <v/>
      </c>
      <c r="K134">
        <f>IF('MT 1.2 Results'!I29="","","Name: "&amp;'MT 1.2 Results'!B29&amp;"   Class: "&amp;'MT 1.2 Results'!$B$3&amp;"   Date: "&amp;TEXT('MT 1.2 Results'!$B$5,"DD/MM/YY"))</f>
        <v/>
      </c>
    </row>
    <row r="135">
      <c r="A135">
        <f>IF('MT 1.2 Results'!I28="","","Total: "&amp;'MT 1.2 Results'!G28&amp;"/20 ("&amp;TEXT('MT 1.2 Results'!H28,"0%")&amp;")   Overall: "&amp;'MT 1.2 Results'!I28)</f>
        <v/>
      </c>
      <c r="K135">
        <f>IF('MT 1.2 Results'!I29="","","Total: "&amp;'MT 1.2 Results'!G29&amp;"/20 ("&amp;TEXT('MT 1.2 Results'!H29,"0%")&amp;")   Overall: "&amp;'MT 1.2 Results'!I29)</f>
        <v/>
      </c>
    </row>
    <row r="136">
      <c r="A136">
        <f>IF('MT 1.2 Results'!I28="","",IF('MT 1.2 Results'!I28="Green",Parameters!$C$31,IF('MT 1.2 Results'!I28="Yellow",Parameters!$C$30,Parameters!$C$29)))</f>
        <v/>
      </c>
      <c r="K136">
        <f>IF('MT 1.2 Results'!I29="","",IF('MT 1.2 Results'!I29="Green",Parameters!$C$31,IF('MT 1.2 Results'!I29="Yellow",Parameters!$C$30,Parameters!$C$29)))</f>
        <v/>
      </c>
    </row>
    <row r="138">
      <c r="A138">
        <f>IF('MT 1.2 Results'!I28="","","Breakdown:")</f>
        <v/>
      </c>
      <c r="K138">
        <f>IF('MT 1.2 Results'!I29="","","Breakdown:")</f>
        <v/>
      </c>
    </row>
    <row r="139">
      <c r="A139">
        <f>IF('MT 1.2 Results'!I28="","","Q1 Mean &amp; standard deviation (ungrouped data): "&amp;'MT 1.2 Results'!C28&amp;"/5")</f>
        <v/>
      </c>
      <c r="K139">
        <f>IF('MT 1.2 Results'!I29="","","Q1 Mean &amp; standard deviation (ungrouped data): "&amp;'MT 1.2 Results'!C29&amp;"/5")</f>
        <v/>
      </c>
    </row>
    <row r="140">
      <c r="A140">
        <f>IF('MT 1.2 Results'!I28="","","Q2 Estimating the mean from grouped data: "&amp;'MT 1.2 Results'!D28&amp;"/5")</f>
        <v/>
      </c>
      <c r="K140">
        <f>IF('MT 1.2 Results'!I29="","","Q2 Estimating the mean from grouped data: "&amp;'MT 1.2 Results'!D29&amp;"/5")</f>
        <v/>
      </c>
    </row>
    <row r="141">
      <c r="A141">
        <f>IF('MT 1.2 Results'!I28="","","Q3 Quartiles, IQR &amp; outliers: "&amp;'MT 1.2 Results'!E28&amp;"/6")</f>
        <v/>
      </c>
      <c r="K141">
        <f>IF('MT 1.2 Results'!I29="","","Q3 Quartiles, IQR &amp; outliers: "&amp;'MT 1.2 Results'!E29&amp;"/6")</f>
        <v/>
      </c>
    </row>
    <row r="142">
      <c r="A142">
        <f>IF('MT 1.2 Results'!I28="","","Q4 Comparing distributions (mean &amp; SD): "&amp;'MT 1.2 Results'!F28&amp;"/4")</f>
        <v/>
      </c>
      <c r="K142">
        <f>IF('MT 1.2 Results'!I29="","","Q4 Comparing distributions (mean &amp; SD): "&amp;'MT 1.2 Results'!F29&amp;"/4")</f>
        <v/>
      </c>
    </row>
    <row r="143">
      <c r="A143">
        <f>IF(OR('MT 1.2 Results'!I28="",'MT 1.2 Results'!J28=""),"",'MT 1.2 Results'!J28)</f>
        <v/>
      </c>
      <c r="K143">
        <f>IF(OR('MT 1.2 Results'!I29="",'MT 1.2 Results'!J29=""),"",'MT 1.2 Results'!J29)</f>
        <v/>
      </c>
    </row>
    <row r="145">
      <c r="A145">
        <f>IF('MT 1.2 Results'!I28="","","Comments:")</f>
        <v/>
      </c>
      <c r="K145">
        <f>IF('MT 1.2 Results'!I29="","","Comments:")</f>
        <v/>
      </c>
    </row>
    <row r="149">
      <c r="A149">
        <f>IF('MT 1.2 Results'!I30="","","Mini Test 1.2 — Analysis of Data")</f>
        <v/>
      </c>
      <c r="K149">
        <f>IF('MT 1.2 Results'!I31="","","Mini Test 1.2 — Analysis of Data")</f>
        <v/>
      </c>
    </row>
    <row r="150">
      <c r="A150">
        <f>IF('MT 1.2 Results'!I30="","","Name: "&amp;'MT 1.2 Results'!B30&amp;"   Class: "&amp;'MT 1.2 Results'!$B$3&amp;"   Date: "&amp;TEXT('MT 1.2 Results'!$B$5,"DD/MM/YY"))</f>
        <v/>
      </c>
      <c r="K150">
        <f>IF('MT 1.2 Results'!I31="","","Name: "&amp;'MT 1.2 Results'!B31&amp;"   Class: "&amp;'MT 1.2 Results'!$B$3&amp;"   Date: "&amp;TEXT('MT 1.2 Results'!$B$5,"DD/MM/YY"))</f>
        <v/>
      </c>
    </row>
    <row r="151">
      <c r="A151">
        <f>IF('MT 1.2 Results'!I30="","","Total: "&amp;'MT 1.2 Results'!G30&amp;"/20 ("&amp;TEXT('MT 1.2 Results'!H30,"0%")&amp;")   Overall: "&amp;'MT 1.2 Results'!I30)</f>
        <v/>
      </c>
      <c r="K151">
        <f>IF('MT 1.2 Results'!I31="","","Total: "&amp;'MT 1.2 Results'!G31&amp;"/20 ("&amp;TEXT('MT 1.2 Results'!H31,"0%")&amp;")   Overall: "&amp;'MT 1.2 Results'!I31)</f>
        <v/>
      </c>
    </row>
    <row r="152">
      <c r="A152">
        <f>IF('MT 1.2 Results'!I30="","",IF('MT 1.2 Results'!I30="Green",Parameters!$C$31,IF('MT 1.2 Results'!I30="Yellow",Parameters!$C$30,Parameters!$C$29)))</f>
        <v/>
      </c>
      <c r="K152">
        <f>IF('MT 1.2 Results'!I31="","",IF('MT 1.2 Results'!I31="Green",Parameters!$C$31,IF('MT 1.2 Results'!I31="Yellow",Parameters!$C$30,Parameters!$C$29)))</f>
        <v/>
      </c>
    </row>
    <row r="154">
      <c r="A154">
        <f>IF('MT 1.2 Results'!I30="","","Breakdown:")</f>
        <v/>
      </c>
      <c r="K154">
        <f>IF('MT 1.2 Results'!I31="","","Breakdown:")</f>
        <v/>
      </c>
    </row>
    <row r="155">
      <c r="A155">
        <f>IF('MT 1.2 Results'!I30="","","Q1 Mean &amp; standard deviation (ungrouped data): "&amp;'MT 1.2 Results'!C30&amp;"/5")</f>
        <v/>
      </c>
      <c r="K155">
        <f>IF('MT 1.2 Results'!I31="","","Q1 Mean &amp; standard deviation (ungrouped data): "&amp;'MT 1.2 Results'!C31&amp;"/5")</f>
        <v/>
      </c>
    </row>
    <row r="156">
      <c r="A156">
        <f>IF('MT 1.2 Results'!I30="","","Q2 Estimating the mean from grouped data: "&amp;'MT 1.2 Results'!D30&amp;"/5")</f>
        <v/>
      </c>
      <c r="K156">
        <f>IF('MT 1.2 Results'!I31="","","Q2 Estimating the mean from grouped data: "&amp;'MT 1.2 Results'!D31&amp;"/5")</f>
        <v/>
      </c>
    </row>
    <row r="157">
      <c r="A157">
        <f>IF('MT 1.2 Results'!I30="","","Q3 Quartiles, IQR &amp; outliers: "&amp;'MT 1.2 Results'!E30&amp;"/6")</f>
        <v/>
      </c>
      <c r="K157">
        <f>IF('MT 1.2 Results'!I31="","","Q3 Quartiles, IQR &amp; outliers: "&amp;'MT 1.2 Results'!E31&amp;"/6")</f>
        <v/>
      </c>
    </row>
    <row r="158">
      <c r="A158">
        <f>IF('MT 1.2 Results'!I30="","","Q4 Comparing distributions (mean &amp; SD): "&amp;'MT 1.2 Results'!F30&amp;"/4")</f>
        <v/>
      </c>
      <c r="K158">
        <f>IF('MT 1.2 Results'!I31="","","Q4 Comparing distributions (mean &amp; SD): "&amp;'MT 1.2 Results'!F31&amp;"/4")</f>
        <v/>
      </c>
    </row>
    <row r="159">
      <c r="A159">
        <f>IF(OR('MT 1.2 Results'!I30="",'MT 1.2 Results'!J30=""),"",'MT 1.2 Results'!J30)</f>
        <v/>
      </c>
      <c r="K159">
        <f>IF(OR('MT 1.2 Results'!I31="",'MT 1.2 Results'!J31=""),"",'MT 1.2 Results'!J31)</f>
        <v/>
      </c>
    </row>
    <row r="161">
      <c r="A161">
        <f>IF('MT 1.2 Results'!I30="","","Comments:")</f>
        <v/>
      </c>
      <c r="K161">
        <f>IF('MT 1.2 Results'!I31="","","Comments:")</f>
        <v/>
      </c>
    </row>
    <row r="165">
      <c r="A165">
        <f>IF('MT 1.2 Results'!I32="","","Mini Test 1.2 — Analysis of Data")</f>
        <v/>
      </c>
      <c r="K165">
        <f>IF('MT 1.2 Results'!I33="","","Mini Test 1.2 — Analysis of Data")</f>
        <v/>
      </c>
    </row>
    <row r="166">
      <c r="A166">
        <f>IF('MT 1.2 Results'!I32="","","Name: "&amp;'MT 1.2 Results'!B32&amp;"   Class: "&amp;'MT 1.2 Results'!$B$3&amp;"   Date: "&amp;TEXT('MT 1.2 Results'!$B$5,"DD/MM/YY"))</f>
        <v/>
      </c>
      <c r="K166">
        <f>IF('MT 1.2 Results'!I33="","","Name: "&amp;'MT 1.2 Results'!B33&amp;"   Class: "&amp;'MT 1.2 Results'!$B$3&amp;"   Date: "&amp;TEXT('MT 1.2 Results'!$B$5,"DD/MM/YY"))</f>
        <v/>
      </c>
    </row>
    <row r="167">
      <c r="A167">
        <f>IF('MT 1.2 Results'!I32="","","Total: "&amp;'MT 1.2 Results'!G32&amp;"/20 ("&amp;TEXT('MT 1.2 Results'!H32,"0%")&amp;")   Overall: "&amp;'MT 1.2 Results'!I32)</f>
        <v/>
      </c>
      <c r="K167">
        <f>IF('MT 1.2 Results'!I33="","","Total: "&amp;'MT 1.2 Results'!G33&amp;"/20 ("&amp;TEXT('MT 1.2 Results'!H33,"0%")&amp;")   Overall: "&amp;'MT 1.2 Results'!I33)</f>
        <v/>
      </c>
    </row>
    <row r="168">
      <c r="A168">
        <f>IF('MT 1.2 Results'!I32="","",IF('MT 1.2 Results'!I32="Green",Parameters!$C$31,IF('MT 1.2 Results'!I32="Yellow",Parameters!$C$30,Parameters!$C$29)))</f>
        <v/>
      </c>
      <c r="K168">
        <f>IF('MT 1.2 Results'!I33="","",IF('MT 1.2 Results'!I33="Green",Parameters!$C$31,IF('MT 1.2 Results'!I33="Yellow",Parameters!$C$30,Parameters!$C$29)))</f>
        <v/>
      </c>
    </row>
    <row r="170">
      <c r="A170">
        <f>IF('MT 1.2 Results'!I32="","","Breakdown:")</f>
        <v/>
      </c>
      <c r="K170">
        <f>IF('MT 1.2 Results'!I33="","","Breakdown:")</f>
        <v/>
      </c>
    </row>
    <row r="171">
      <c r="A171">
        <f>IF('MT 1.2 Results'!I32="","","Q1 Mean &amp; standard deviation (ungrouped data): "&amp;'MT 1.2 Results'!C32&amp;"/5")</f>
        <v/>
      </c>
      <c r="K171">
        <f>IF('MT 1.2 Results'!I33="","","Q1 Mean &amp; standard deviation (ungrouped data): "&amp;'MT 1.2 Results'!C33&amp;"/5")</f>
        <v/>
      </c>
    </row>
    <row r="172">
      <c r="A172">
        <f>IF('MT 1.2 Results'!I32="","","Q2 Estimating the mean from grouped data: "&amp;'MT 1.2 Results'!D32&amp;"/5")</f>
        <v/>
      </c>
      <c r="K172">
        <f>IF('MT 1.2 Results'!I33="","","Q2 Estimating the mean from grouped data: "&amp;'MT 1.2 Results'!D33&amp;"/5")</f>
        <v/>
      </c>
    </row>
    <row r="173">
      <c r="A173">
        <f>IF('MT 1.2 Results'!I32="","","Q3 Quartiles, IQR &amp; outliers: "&amp;'MT 1.2 Results'!E32&amp;"/6")</f>
        <v/>
      </c>
      <c r="K173">
        <f>IF('MT 1.2 Results'!I33="","","Q3 Quartiles, IQR &amp; outliers: "&amp;'MT 1.2 Results'!E33&amp;"/6")</f>
        <v/>
      </c>
    </row>
    <row r="174">
      <c r="A174">
        <f>IF('MT 1.2 Results'!I32="","","Q4 Comparing distributions (mean &amp; SD): "&amp;'MT 1.2 Results'!F32&amp;"/4")</f>
        <v/>
      </c>
      <c r="K174">
        <f>IF('MT 1.2 Results'!I33="","","Q4 Comparing distributions (mean &amp; SD): "&amp;'MT 1.2 Results'!F33&amp;"/4")</f>
        <v/>
      </c>
    </row>
    <row r="175">
      <c r="A175">
        <f>IF(OR('MT 1.2 Results'!I32="",'MT 1.2 Results'!J32=""),"",'MT 1.2 Results'!J32)</f>
        <v/>
      </c>
      <c r="K175">
        <f>IF(OR('MT 1.2 Results'!I33="",'MT 1.2 Results'!J33=""),"",'MT 1.2 Results'!J33)</f>
        <v/>
      </c>
    </row>
    <row r="177">
      <c r="A177">
        <f>IF('MT 1.2 Results'!I32="","","Comments:")</f>
        <v/>
      </c>
      <c r="K177">
        <f>IF('MT 1.2 Results'!I33="","","Comments:")</f>
        <v/>
      </c>
    </row>
    <row r="181">
      <c r="A181">
        <f>IF('MT 1.2 Results'!I34="","","Mini Test 1.2 — Analysis of Data")</f>
        <v/>
      </c>
      <c r="K181">
        <f>IF('MT 1.2 Results'!I35="","","Mini Test 1.2 — Analysis of Data")</f>
        <v/>
      </c>
    </row>
    <row r="182">
      <c r="A182">
        <f>IF('MT 1.2 Results'!I34="","","Name: "&amp;'MT 1.2 Results'!B34&amp;"   Class: "&amp;'MT 1.2 Results'!$B$3&amp;"   Date: "&amp;TEXT('MT 1.2 Results'!$B$5,"DD/MM/YY"))</f>
        <v/>
      </c>
      <c r="K182">
        <f>IF('MT 1.2 Results'!I35="","","Name: "&amp;'MT 1.2 Results'!B35&amp;"   Class: "&amp;'MT 1.2 Results'!$B$3&amp;"   Date: "&amp;TEXT('MT 1.2 Results'!$B$5,"DD/MM/YY"))</f>
        <v/>
      </c>
    </row>
    <row r="183">
      <c r="A183">
        <f>IF('MT 1.2 Results'!I34="","","Total: "&amp;'MT 1.2 Results'!G34&amp;"/20 ("&amp;TEXT('MT 1.2 Results'!H34,"0%")&amp;")   Overall: "&amp;'MT 1.2 Results'!I34)</f>
        <v/>
      </c>
      <c r="K183">
        <f>IF('MT 1.2 Results'!I35="","","Total: "&amp;'MT 1.2 Results'!G35&amp;"/20 ("&amp;TEXT('MT 1.2 Results'!H35,"0%")&amp;")   Overall: "&amp;'MT 1.2 Results'!I35)</f>
        <v/>
      </c>
    </row>
    <row r="184">
      <c r="A184">
        <f>IF('MT 1.2 Results'!I34="","",IF('MT 1.2 Results'!I34="Green",Parameters!$C$31,IF('MT 1.2 Results'!I34="Yellow",Parameters!$C$30,Parameters!$C$29)))</f>
        <v/>
      </c>
      <c r="K184">
        <f>IF('MT 1.2 Results'!I35="","",IF('MT 1.2 Results'!I35="Green",Parameters!$C$31,IF('MT 1.2 Results'!I35="Yellow",Parameters!$C$30,Parameters!$C$29)))</f>
        <v/>
      </c>
    </row>
    <row r="186">
      <c r="A186">
        <f>IF('MT 1.2 Results'!I34="","","Breakdown:")</f>
        <v/>
      </c>
      <c r="K186">
        <f>IF('MT 1.2 Results'!I35="","","Breakdown:")</f>
        <v/>
      </c>
    </row>
    <row r="187">
      <c r="A187">
        <f>IF('MT 1.2 Results'!I34="","","Q1 Mean &amp; standard deviation (ungrouped data): "&amp;'MT 1.2 Results'!C34&amp;"/5")</f>
        <v/>
      </c>
      <c r="K187">
        <f>IF('MT 1.2 Results'!I35="","","Q1 Mean &amp; standard deviation (ungrouped data): "&amp;'MT 1.2 Results'!C35&amp;"/5")</f>
        <v/>
      </c>
    </row>
    <row r="188">
      <c r="A188">
        <f>IF('MT 1.2 Results'!I34="","","Q2 Estimating the mean from grouped data: "&amp;'MT 1.2 Results'!D34&amp;"/5")</f>
        <v/>
      </c>
      <c r="K188">
        <f>IF('MT 1.2 Results'!I35="","","Q2 Estimating the mean from grouped data: "&amp;'MT 1.2 Results'!D35&amp;"/5")</f>
        <v/>
      </c>
    </row>
    <row r="189">
      <c r="A189">
        <f>IF('MT 1.2 Results'!I34="","","Q3 Quartiles, IQR &amp; outliers: "&amp;'MT 1.2 Results'!E34&amp;"/6")</f>
        <v/>
      </c>
      <c r="K189">
        <f>IF('MT 1.2 Results'!I35="","","Q3 Quartiles, IQR &amp; outliers: "&amp;'MT 1.2 Results'!E35&amp;"/6")</f>
        <v/>
      </c>
    </row>
    <row r="190">
      <c r="A190">
        <f>IF('MT 1.2 Results'!I34="","","Q4 Comparing distributions (mean &amp; SD): "&amp;'MT 1.2 Results'!F34&amp;"/4")</f>
        <v/>
      </c>
      <c r="K190">
        <f>IF('MT 1.2 Results'!I35="","","Q4 Comparing distributions (mean &amp; SD): "&amp;'MT 1.2 Results'!F35&amp;"/4")</f>
        <v/>
      </c>
    </row>
    <row r="191">
      <c r="A191">
        <f>IF(OR('MT 1.2 Results'!I34="",'MT 1.2 Results'!J34=""),"",'MT 1.2 Results'!J34)</f>
        <v/>
      </c>
      <c r="K191">
        <f>IF(OR('MT 1.2 Results'!I35="",'MT 1.2 Results'!J35=""),"",'MT 1.2 Results'!J35)</f>
        <v/>
      </c>
    </row>
    <row r="193">
      <c r="A193">
        <f>IF('MT 1.2 Results'!I34="","","Comments:")</f>
        <v/>
      </c>
      <c r="K193">
        <f>IF('MT 1.2 Results'!I35="","","Comments:")</f>
        <v/>
      </c>
    </row>
    <row r="197">
      <c r="A197">
        <f>IF('MT 1.2 Results'!I36="","","Mini Test 1.2 — Analysis of Data")</f>
        <v/>
      </c>
      <c r="K197">
        <f>IF('MT 1.2 Results'!I37="","","Mini Test 1.2 — Analysis of Data")</f>
        <v/>
      </c>
    </row>
    <row r="198">
      <c r="A198">
        <f>IF('MT 1.2 Results'!I36="","","Name: "&amp;'MT 1.2 Results'!B36&amp;"   Class: "&amp;'MT 1.2 Results'!$B$3&amp;"   Date: "&amp;TEXT('MT 1.2 Results'!$B$5,"DD/MM/YY"))</f>
        <v/>
      </c>
      <c r="K198">
        <f>IF('MT 1.2 Results'!I37="","","Name: "&amp;'MT 1.2 Results'!B37&amp;"   Class: "&amp;'MT 1.2 Results'!$B$3&amp;"   Date: "&amp;TEXT('MT 1.2 Results'!$B$5,"DD/MM/YY"))</f>
        <v/>
      </c>
    </row>
    <row r="199">
      <c r="A199">
        <f>IF('MT 1.2 Results'!I36="","","Total: "&amp;'MT 1.2 Results'!G36&amp;"/20 ("&amp;TEXT('MT 1.2 Results'!H36,"0%")&amp;")   Overall: "&amp;'MT 1.2 Results'!I36)</f>
        <v/>
      </c>
      <c r="K199">
        <f>IF('MT 1.2 Results'!I37="","","Total: "&amp;'MT 1.2 Results'!G37&amp;"/20 ("&amp;TEXT('MT 1.2 Results'!H37,"0%")&amp;")   Overall: "&amp;'MT 1.2 Results'!I37)</f>
        <v/>
      </c>
    </row>
    <row r="200">
      <c r="A200">
        <f>IF('MT 1.2 Results'!I36="","",IF('MT 1.2 Results'!I36="Green",Parameters!$C$31,IF('MT 1.2 Results'!I36="Yellow",Parameters!$C$30,Parameters!$C$29)))</f>
        <v/>
      </c>
      <c r="K200">
        <f>IF('MT 1.2 Results'!I37="","",IF('MT 1.2 Results'!I37="Green",Parameters!$C$31,IF('MT 1.2 Results'!I37="Yellow",Parameters!$C$30,Parameters!$C$29)))</f>
        <v/>
      </c>
    </row>
    <row r="202">
      <c r="A202">
        <f>IF('MT 1.2 Results'!I36="","","Breakdown:")</f>
        <v/>
      </c>
      <c r="K202">
        <f>IF('MT 1.2 Results'!I37="","","Breakdown:")</f>
        <v/>
      </c>
    </row>
    <row r="203">
      <c r="A203">
        <f>IF('MT 1.2 Results'!I36="","","Q1 Mean &amp; standard deviation (ungrouped data): "&amp;'MT 1.2 Results'!C36&amp;"/5")</f>
        <v/>
      </c>
      <c r="K203">
        <f>IF('MT 1.2 Results'!I37="","","Q1 Mean &amp; standard deviation (ungrouped data): "&amp;'MT 1.2 Results'!C37&amp;"/5")</f>
        <v/>
      </c>
    </row>
    <row r="204">
      <c r="A204">
        <f>IF('MT 1.2 Results'!I36="","","Q2 Estimating the mean from grouped data: "&amp;'MT 1.2 Results'!D36&amp;"/5")</f>
        <v/>
      </c>
      <c r="K204">
        <f>IF('MT 1.2 Results'!I37="","","Q2 Estimating the mean from grouped data: "&amp;'MT 1.2 Results'!D37&amp;"/5")</f>
        <v/>
      </c>
    </row>
    <row r="205">
      <c r="A205">
        <f>IF('MT 1.2 Results'!I36="","","Q3 Quartiles, IQR &amp; outliers: "&amp;'MT 1.2 Results'!E36&amp;"/6")</f>
        <v/>
      </c>
      <c r="K205">
        <f>IF('MT 1.2 Results'!I37="","","Q3 Quartiles, IQR &amp; outliers: "&amp;'MT 1.2 Results'!E37&amp;"/6")</f>
        <v/>
      </c>
    </row>
    <row r="206">
      <c r="A206">
        <f>IF('MT 1.2 Results'!I36="","","Q4 Comparing distributions (mean &amp; SD): "&amp;'MT 1.2 Results'!F36&amp;"/4")</f>
        <v/>
      </c>
      <c r="K206">
        <f>IF('MT 1.2 Results'!I37="","","Q4 Comparing distributions (mean &amp; SD): "&amp;'MT 1.2 Results'!F37&amp;"/4")</f>
        <v/>
      </c>
    </row>
    <row r="207">
      <c r="A207">
        <f>IF(OR('MT 1.2 Results'!I36="",'MT 1.2 Results'!J36=""),"",'MT 1.2 Results'!J36)</f>
        <v/>
      </c>
      <c r="K207">
        <f>IF(OR('MT 1.2 Results'!I37="",'MT 1.2 Results'!J37=""),"",'MT 1.2 Results'!J37)</f>
        <v/>
      </c>
    </row>
    <row r="209">
      <c r="A209">
        <f>IF('MT 1.2 Results'!I36="","","Comments:")</f>
        <v/>
      </c>
      <c r="K209">
        <f>IF('MT 1.2 Results'!I37="","","Comments:")</f>
        <v/>
      </c>
    </row>
    <row r="213">
      <c r="A213">
        <f>IF('MT 1.2 Results'!I38="","","Mini Test 1.2 — Analysis of Data")</f>
        <v/>
      </c>
      <c r="K213">
        <f>IF('MT 1.2 Results'!I39="","","Mini Test 1.2 — Analysis of Data")</f>
        <v/>
      </c>
    </row>
    <row r="214">
      <c r="A214">
        <f>IF('MT 1.2 Results'!I38="","","Name: "&amp;'MT 1.2 Results'!B38&amp;"   Class: "&amp;'MT 1.2 Results'!$B$3&amp;"   Date: "&amp;TEXT('MT 1.2 Results'!$B$5,"DD/MM/YY"))</f>
        <v/>
      </c>
      <c r="K214">
        <f>IF('MT 1.2 Results'!I39="","","Name: "&amp;'MT 1.2 Results'!B39&amp;"   Class: "&amp;'MT 1.2 Results'!$B$3&amp;"   Date: "&amp;TEXT('MT 1.2 Results'!$B$5,"DD/MM/YY"))</f>
        <v/>
      </c>
    </row>
    <row r="215">
      <c r="A215">
        <f>IF('MT 1.2 Results'!I38="","","Total: "&amp;'MT 1.2 Results'!G38&amp;"/20 ("&amp;TEXT('MT 1.2 Results'!H38,"0%")&amp;")   Overall: "&amp;'MT 1.2 Results'!I38)</f>
        <v/>
      </c>
      <c r="K215">
        <f>IF('MT 1.2 Results'!I39="","","Total: "&amp;'MT 1.2 Results'!G39&amp;"/20 ("&amp;TEXT('MT 1.2 Results'!H39,"0%")&amp;")   Overall: "&amp;'MT 1.2 Results'!I39)</f>
        <v/>
      </c>
    </row>
    <row r="216">
      <c r="A216">
        <f>IF('MT 1.2 Results'!I38="","",IF('MT 1.2 Results'!I38="Green",Parameters!$C$31,IF('MT 1.2 Results'!I38="Yellow",Parameters!$C$30,Parameters!$C$29)))</f>
        <v/>
      </c>
      <c r="K216">
        <f>IF('MT 1.2 Results'!I39="","",IF('MT 1.2 Results'!I39="Green",Parameters!$C$31,IF('MT 1.2 Results'!I39="Yellow",Parameters!$C$30,Parameters!$C$29)))</f>
        <v/>
      </c>
    </row>
    <row r="218">
      <c r="A218">
        <f>IF('MT 1.2 Results'!I38="","","Breakdown:")</f>
        <v/>
      </c>
      <c r="K218">
        <f>IF('MT 1.2 Results'!I39="","","Breakdown:")</f>
        <v/>
      </c>
    </row>
    <row r="219">
      <c r="A219">
        <f>IF('MT 1.2 Results'!I38="","","Q1 Mean &amp; standard deviation (ungrouped data): "&amp;'MT 1.2 Results'!C38&amp;"/5")</f>
        <v/>
      </c>
      <c r="K219">
        <f>IF('MT 1.2 Results'!I39="","","Q1 Mean &amp; standard deviation (ungrouped data): "&amp;'MT 1.2 Results'!C39&amp;"/5")</f>
        <v/>
      </c>
    </row>
    <row r="220">
      <c r="A220">
        <f>IF('MT 1.2 Results'!I38="","","Q2 Estimating the mean from grouped data: "&amp;'MT 1.2 Results'!D38&amp;"/5")</f>
        <v/>
      </c>
      <c r="K220">
        <f>IF('MT 1.2 Results'!I39="","","Q2 Estimating the mean from grouped data: "&amp;'MT 1.2 Results'!D39&amp;"/5")</f>
        <v/>
      </c>
    </row>
    <row r="221">
      <c r="A221">
        <f>IF('MT 1.2 Results'!I38="","","Q3 Quartiles, IQR &amp; outliers: "&amp;'MT 1.2 Results'!E38&amp;"/6")</f>
        <v/>
      </c>
      <c r="K221">
        <f>IF('MT 1.2 Results'!I39="","","Q3 Quartiles, IQR &amp; outliers: "&amp;'MT 1.2 Results'!E39&amp;"/6")</f>
        <v/>
      </c>
    </row>
    <row r="222">
      <c r="A222">
        <f>IF('MT 1.2 Results'!I38="","","Q4 Comparing distributions (mean &amp; SD): "&amp;'MT 1.2 Results'!F38&amp;"/4")</f>
        <v/>
      </c>
      <c r="K222">
        <f>IF('MT 1.2 Results'!I39="","","Q4 Comparing distributions (mean &amp; SD): "&amp;'MT 1.2 Results'!F39&amp;"/4")</f>
        <v/>
      </c>
    </row>
    <row r="223">
      <c r="A223">
        <f>IF(OR('MT 1.2 Results'!I38="",'MT 1.2 Results'!J38=""),"",'MT 1.2 Results'!J38)</f>
        <v/>
      </c>
      <c r="K223">
        <f>IF(OR('MT 1.2 Results'!I39="",'MT 1.2 Results'!J39=""),"",'MT 1.2 Results'!J39)</f>
        <v/>
      </c>
    </row>
    <row r="225">
      <c r="A225">
        <f>IF('MT 1.2 Results'!I38="","","Comments:")</f>
        <v/>
      </c>
      <c r="K225">
        <f>IF('MT 1.2 Results'!I39="","","Comments:")</f>
        <v/>
      </c>
    </row>
    <row r="229">
      <c r="A229">
        <f>IF('MT 1.2 Results'!I40="","","Mini Test 1.2 — Analysis of Data")</f>
        <v/>
      </c>
      <c r="K229">
        <f>IF('MT 1.2 Results'!I41="","","Mini Test 1.2 — Analysis of Data")</f>
        <v/>
      </c>
    </row>
    <row r="230">
      <c r="A230">
        <f>IF('MT 1.2 Results'!I40="","","Name: "&amp;'MT 1.2 Results'!B40&amp;"   Class: "&amp;'MT 1.2 Results'!$B$3&amp;"   Date: "&amp;TEXT('MT 1.2 Results'!$B$5,"DD/MM/YY"))</f>
        <v/>
      </c>
      <c r="K230">
        <f>IF('MT 1.2 Results'!I41="","","Name: "&amp;'MT 1.2 Results'!B41&amp;"   Class: "&amp;'MT 1.2 Results'!$B$3&amp;"   Date: "&amp;TEXT('MT 1.2 Results'!$B$5,"DD/MM/YY"))</f>
        <v/>
      </c>
    </row>
    <row r="231">
      <c r="A231">
        <f>IF('MT 1.2 Results'!I40="","","Total: "&amp;'MT 1.2 Results'!G40&amp;"/20 ("&amp;TEXT('MT 1.2 Results'!H40,"0%")&amp;")   Overall: "&amp;'MT 1.2 Results'!I40)</f>
        <v/>
      </c>
      <c r="K231">
        <f>IF('MT 1.2 Results'!I41="","","Total: "&amp;'MT 1.2 Results'!G41&amp;"/20 ("&amp;TEXT('MT 1.2 Results'!H41,"0%")&amp;")   Overall: "&amp;'MT 1.2 Results'!I41)</f>
        <v/>
      </c>
    </row>
    <row r="232">
      <c r="A232">
        <f>IF('MT 1.2 Results'!I40="","",IF('MT 1.2 Results'!I40="Green",Parameters!$C$31,IF('MT 1.2 Results'!I40="Yellow",Parameters!$C$30,Parameters!$C$29)))</f>
        <v/>
      </c>
      <c r="K232">
        <f>IF('MT 1.2 Results'!I41="","",IF('MT 1.2 Results'!I41="Green",Parameters!$C$31,IF('MT 1.2 Results'!I41="Yellow",Parameters!$C$30,Parameters!$C$29)))</f>
        <v/>
      </c>
    </row>
    <row r="234">
      <c r="A234">
        <f>IF('MT 1.2 Results'!I40="","","Breakdown:")</f>
        <v/>
      </c>
      <c r="K234">
        <f>IF('MT 1.2 Results'!I41="","","Breakdown:")</f>
        <v/>
      </c>
    </row>
    <row r="235">
      <c r="A235">
        <f>IF('MT 1.2 Results'!I40="","","Q1 Mean &amp; standard deviation (ungrouped data): "&amp;'MT 1.2 Results'!C40&amp;"/5")</f>
        <v/>
      </c>
      <c r="K235">
        <f>IF('MT 1.2 Results'!I41="","","Q1 Mean &amp; standard deviation (ungrouped data): "&amp;'MT 1.2 Results'!C41&amp;"/5")</f>
        <v/>
      </c>
    </row>
    <row r="236">
      <c r="A236">
        <f>IF('MT 1.2 Results'!I40="","","Q2 Estimating the mean from grouped data: "&amp;'MT 1.2 Results'!D40&amp;"/5")</f>
        <v/>
      </c>
      <c r="K236">
        <f>IF('MT 1.2 Results'!I41="","","Q2 Estimating the mean from grouped data: "&amp;'MT 1.2 Results'!D41&amp;"/5")</f>
        <v/>
      </c>
    </row>
    <row r="237">
      <c r="A237">
        <f>IF('MT 1.2 Results'!I40="","","Q3 Quartiles, IQR &amp; outliers: "&amp;'MT 1.2 Results'!E40&amp;"/6")</f>
        <v/>
      </c>
      <c r="K237">
        <f>IF('MT 1.2 Results'!I41="","","Q3 Quartiles, IQR &amp; outliers: "&amp;'MT 1.2 Results'!E41&amp;"/6")</f>
        <v/>
      </c>
    </row>
    <row r="238">
      <c r="A238">
        <f>IF('MT 1.2 Results'!I40="","","Q4 Comparing distributions (mean &amp; SD): "&amp;'MT 1.2 Results'!F40&amp;"/4")</f>
        <v/>
      </c>
      <c r="K238">
        <f>IF('MT 1.2 Results'!I41="","","Q4 Comparing distributions (mean &amp; SD): "&amp;'MT 1.2 Results'!F41&amp;"/4")</f>
        <v/>
      </c>
    </row>
    <row r="239">
      <c r="A239">
        <f>IF(OR('MT 1.2 Results'!I40="",'MT 1.2 Results'!J40=""),"",'MT 1.2 Results'!J40)</f>
        <v/>
      </c>
      <c r="K239">
        <f>IF(OR('MT 1.2 Results'!I41="",'MT 1.2 Results'!J41=""),"",'MT 1.2 Results'!J41)</f>
        <v/>
      </c>
    </row>
    <row r="241">
      <c r="A241">
        <f>IF('MT 1.2 Results'!I40="","","Comments:")</f>
        <v/>
      </c>
      <c r="K241">
        <f>IF('MT 1.2 Results'!I41="","","Comments:")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0" customWidth="1" min="7" max="7"/>
    <col width="8" customWidth="1" min="8" max="8"/>
    <col width="10" customWidth="1" min="9" max="9"/>
    <col width="45" customWidth="1" min="10" max="10"/>
  </cols>
  <sheetData>
    <row r="1">
      <c r="A1" s="11" t="inlineStr">
        <is>
          <t>Mini Test 1.3 — Analysis of Data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Box plots
(/5)</t>
        </is>
      </c>
      <c r="D9" s="12" t="inlineStr">
        <is>
          <t>Q2
Comparing box plots
(/5)</t>
        </is>
      </c>
      <c r="E9" s="12" t="inlineStr">
        <is>
          <t>Q3
Cumulative frequency
(/7)</t>
        </is>
      </c>
      <c r="F9" s="12" t="inlineStr">
        <is>
          <t>Q4
Sampling &amp; misleading charts
(/5)</t>
        </is>
      </c>
      <c r="G9" s="12" t="inlineStr">
        <is>
          <t>Total
(/22)</t>
        </is>
      </c>
      <c r="H9" s="12" t="inlineStr">
        <is>
          <t>%</t>
        </is>
      </c>
      <c r="I9" s="12" t="inlineStr">
        <is>
          <t>Overall</t>
        </is>
      </c>
      <c r="J9" s="12" t="inlineStr">
        <is>
          <t>Focus for next steps</t>
        </is>
      </c>
      <c r="K9" s="12" t="inlineStr">
        <is>
          <t>Q1%</t>
        </is>
      </c>
      <c r="L9" s="12" t="inlineStr">
        <is>
          <t>Q2%</t>
        </is>
      </c>
      <c r="M9" s="12" t="inlineStr">
        <is>
          <t>Q3%</t>
        </is>
      </c>
      <c r="N9" s="12" t="inlineStr">
        <is>
          <t>Q4%</t>
        </is>
      </c>
    </row>
    <row r="10">
      <c r="A10" s="3" t="n"/>
      <c r="B10" s="3" t="inlineStr">
        <is>
          <t>Max marks</t>
        </is>
      </c>
      <c r="C10" s="3" t="n">
        <v>5</v>
      </c>
      <c r="D10" s="3" t="n">
        <v>5</v>
      </c>
      <c r="E10" s="3" t="n">
        <v>7</v>
      </c>
      <c r="F10" s="3" t="n">
        <v>5</v>
      </c>
      <c r="G10" s="3" t="n">
        <v>22</v>
      </c>
      <c r="H10" s="3" t="inlineStr">
        <is>
          <t>100%</t>
        </is>
      </c>
      <c r="I10" s="3" t="n"/>
      <c r="J10" s="3" t="n"/>
      <c r="K10" s="3" t="n"/>
      <c r="L10" s="3" t="n"/>
      <c r="M10" s="3" t="n"/>
      <c r="N10" s="3" t="n"/>
    </row>
    <row r="11">
      <c r="A11" s="13" t="n">
        <v>1</v>
      </c>
      <c r="B11" s="13" t="inlineStr">
        <is>
          <t>Example pupil (edit me)</t>
        </is>
      </c>
      <c r="C11" s="13" t="n">
        <v>4</v>
      </c>
      <c r="D11" s="13" t="n">
        <v>4</v>
      </c>
      <c r="E11" s="13" t="n">
        <v>6</v>
      </c>
      <c r="F11" s="13" t="n">
        <v>4</v>
      </c>
      <c r="G11" s="13">
        <f>IF(COUNT(C11:F11)&lt;4,"",SUM(C11:F11))</f>
        <v/>
      </c>
      <c r="H11" s="13">
        <f>IF(COUNT(C11:F11)&lt;4,"",G11/22)</f>
        <v/>
      </c>
      <c r="I11" s="13">
        <f>IF(COUNT(C11:F11)&lt;4,"",IF(H11&gt;=0.8,"Green",IF(H11&gt;=0.5,"Yellow","Red")))</f>
        <v/>
      </c>
      <c r="J11" s="13">
        <f>IF(COUNT(C11:F11)&lt;4,"",IF(I11="Green","Well done! "&amp;Parameters!$C$46,"Revise: "&amp;_xlfn.TEXTJOIN(", ",TRUE(),IF(K11&lt;1,Parameters!$A$37,""),IF(L11&lt;1,Parameters!$A$38,""),IF(M11&lt;1,Parameters!$A$39,""),IF(N11&lt;1,Parameters!$A$40,""))))</f>
        <v/>
      </c>
      <c r="K11" s="13">
        <f>IF(C11="","",C11/5)</f>
        <v/>
      </c>
      <c r="L11" s="13">
        <f>IF(D11="","",D11/5)</f>
        <v/>
      </c>
      <c r="M11" s="13">
        <f>IF(E11="","",E11/7)</f>
        <v/>
      </c>
      <c r="N11" s="13">
        <f>IF(F11="","",F11/5)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3">
        <f>IF(COUNT(C12:F12)&lt;4,"",SUM(C12:F12))</f>
        <v/>
      </c>
      <c r="H12" s="13">
        <f>IF(COUNT(C12:F12)&lt;4,"",G12/22)</f>
        <v/>
      </c>
      <c r="I12" s="13">
        <f>IF(COUNT(C12:F12)&lt;4,"",IF(H12&gt;=0.8,"Green",IF(H12&gt;=0.5,"Yellow","Red")))</f>
        <v/>
      </c>
      <c r="J12" s="13">
        <f>IF(COUNT(C12:F12)&lt;4,"",IF(I12="Green","Well done! "&amp;Parameters!$C$46,"Revise: "&amp;_xlfn.TEXTJOIN(", ",TRUE(),IF(K12&lt;1,Parameters!$A$37,""),IF(L12&lt;1,Parameters!$A$38,""),IF(M12&lt;1,Parameters!$A$39,""),IF(N12&lt;1,Parameters!$A$40,""))))</f>
        <v/>
      </c>
      <c r="K12" s="13">
        <f>IF(C12="","",C12/5)</f>
        <v/>
      </c>
      <c r="L12" s="13">
        <f>IF(D12="","",D12/5)</f>
        <v/>
      </c>
      <c r="M12" s="13">
        <f>IF(E12="","",E12/7)</f>
        <v/>
      </c>
      <c r="N12" s="13">
        <f>IF(F12="","",F12/5)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3">
        <f>IF(COUNT(C13:F13)&lt;4,"",SUM(C13:F13))</f>
        <v/>
      </c>
      <c r="H13" s="13">
        <f>IF(COUNT(C13:F13)&lt;4,"",G13/22)</f>
        <v/>
      </c>
      <c r="I13" s="13">
        <f>IF(COUNT(C13:F13)&lt;4,"",IF(H13&gt;=0.8,"Green",IF(H13&gt;=0.5,"Yellow","Red")))</f>
        <v/>
      </c>
      <c r="J13" s="13">
        <f>IF(COUNT(C13:F13)&lt;4,"",IF(I13="Green","Well done! "&amp;Parameters!$C$46,"Revise: "&amp;_xlfn.TEXTJOIN(", ",TRUE(),IF(K13&lt;1,Parameters!$A$37,""),IF(L13&lt;1,Parameters!$A$38,""),IF(M13&lt;1,Parameters!$A$39,""),IF(N13&lt;1,Parameters!$A$40,""))))</f>
        <v/>
      </c>
      <c r="K13" s="13">
        <f>IF(C13="","",C13/5)</f>
        <v/>
      </c>
      <c r="L13" s="13">
        <f>IF(D13="","",D13/5)</f>
        <v/>
      </c>
      <c r="M13" s="13">
        <f>IF(E13="","",E13/7)</f>
        <v/>
      </c>
      <c r="N13" s="13">
        <f>IF(F13="","",F13/5)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3">
        <f>IF(COUNT(C14:F14)&lt;4,"",SUM(C14:F14))</f>
        <v/>
      </c>
      <c r="H14" s="13">
        <f>IF(COUNT(C14:F14)&lt;4,"",G14/22)</f>
        <v/>
      </c>
      <c r="I14" s="13">
        <f>IF(COUNT(C14:F14)&lt;4,"",IF(H14&gt;=0.8,"Green",IF(H14&gt;=0.5,"Yellow","Red")))</f>
        <v/>
      </c>
      <c r="J14" s="13">
        <f>IF(COUNT(C14:F14)&lt;4,"",IF(I14="Green","Well done! "&amp;Parameters!$C$46,"Revise: "&amp;_xlfn.TEXTJOIN(", ",TRUE(),IF(K14&lt;1,Parameters!$A$37,""),IF(L14&lt;1,Parameters!$A$38,""),IF(M14&lt;1,Parameters!$A$39,""),IF(N14&lt;1,Parameters!$A$40,""))))</f>
        <v/>
      </c>
      <c r="K14" s="13">
        <f>IF(C14="","",C14/5)</f>
        <v/>
      </c>
      <c r="L14" s="13">
        <f>IF(D14="","",D14/5)</f>
        <v/>
      </c>
      <c r="M14" s="13">
        <f>IF(E14="","",E14/7)</f>
        <v/>
      </c>
      <c r="N14" s="13">
        <f>IF(F14="","",F14/5)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3">
        <f>IF(COUNT(C15:F15)&lt;4,"",SUM(C15:F15))</f>
        <v/>
      </c>
      <c r="H15" s="13">
        <f>IF(COUNT(C15:F15)&lt;4,"",G15/22)</f>
        <v/>
      </c>
      <c r="I15" s="13">
        <f>IF(COUNT(C15:F15)&lt;4,"",IF(H15&gt;=0.8,"Green",IF(H15&gt;=0.5,"Yellow","Red")))</f>
        <v/>
      </c>
      <c r="J15" s="13">
        <f>IF(COUNT(C15:F15)&lt;4,"",IF(I15="Green","Well done! "&amp;Parameters!$C$46,"Revise: "&amp;_xlfn.TEXTJOIN(", ",TRUE(),IF(K15&lt;1,Parameters!$A$37,""),IF(L15&lt;1,Parameters!$A$38,""),IF(M15&lt;1,Parameters!$A$39,""),IF(N15&lt;1,Parameters!$A$40,""))))</f>
        <v/>
      </c>
      <c r="K15" s="13">
        <f>IF(C15="","",C15/5)</f>
        <v/>
      </c>
      <c r="L15" s="13">
        <f>IF(D15="","",D15/5)</f>
        <v/>
      </c>
      <c r="M15" s="13">
        <f>IF(E15="","",E15/7)</f>
        <v/>
      </c>
      <c r="N15" s="13">
        <f>IF(F15="","",F15/5)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3">
        <f>IF(COUNT(C16:F16)&lt;4,"",SUM(C16:F16))</f>
        <v/>
      </c>
      <c r="H16" s="13">
        <f>IF(COUNT(C16:F16)&lt;4,"",G16/22)</f>
        <v/>
      </c>
      <c r="I16" s="13">
        <f>IF(COUNT(C16:F16)&lt;4,"",IF(H16&gt;=0.8,"Green",IF(H16&gt;=0.5,"Yellow","Red")))</f>
        <v/>
      </c>
      <c r="J16" s="13">
        <f>IF(COUNT(C16:F16)&lt;4,"",IF(I16="Green","Well done! "&amp;Parameters!$C$46,"Revise: "&amp;_xlfn.TEXTJOIN(", ",TRUE(),IF(K16&lt;1,Parameters!$A$37,""),IF(L16&lt;1,Parameters!$A$38,""),IF(M16&lt;1,Parameters!$A$39,""),IF(N16&lt;1,Parameters!$A$40,""))))</f>
        <v/>
      </c>
      <c r="K16" s="13">
        <f>IF(C16="","",C16/5)</f>
        <v/>
      </c>
      <c r="L16" s="13">
        <f>IF(D16="","",D16/5)</f>
        <v/>
      </c>
      <c r="M16" s="13">
        <f>IF(E16="","",E16/7)</f>
        <v/>
      </c>
      <c r="N16" s="13">
        <f>IF(F16="","",F16/5)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3">
        <f>IF(COUNT(C17:F17)&lt;4,"",SUM(C17:F17))</f>
        <v/>
      </c>
      <c r="H17" s="13">
        <f>IF(COUNT(C17:F17)&lt;4,"",G17/22)</f>
        <v/>
      </c>
      <c r="I17" s="13">
        <f>IF(COUNT(C17:F17)&lt;4,"",IF(H17&gt;=0.8,"Green",IF(H17&gt;=0.5,"Yellow","Red")))</f>
        <v/>
      </c>
      <c r="J17" s="13">
        <f>IF(COUNT(C17:F17)&lt;4,"",IF(I17="Green","Well done! "&amp;Parameters!$C$46,"Revise: "&amp;_xlfn.TEXTJOIN(", ",TRUE(),IF(K17&lt;1,Parameters!$A$37,""),IF(L17&lt;1,Parameters!$A$38,""),IF(M17&lt;1,Parameters!$A$39,""),IF(N17&lt;1,Parameters!$A$40,""))))</f>
        <v/>
      </c>
      <c r="K17" s="13">
        <f>IF(C17="","",C17/5)</f>
        <v/>
      </c>
      <c r="L17" s="13">
        <f>IF(D17="","",D17/5)</f>
        <v/>
      </c>
      <c r="M17" s="13">
        <f>IF(E17="","",E17/7)</f>
        <v/>
      </c>
      <c r="N17" s="13">
        <f>IF(F17="","",F17/5)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3">
        <f>IF(COUNT(C18:F18)&lt;4,"",SUM(C18:F18))</f>
        <v/>
      </c>
      <c r="H18" s="13">
        <f>IF(COUNT(C18:F18)&lt;4,"",G18/22)</f>
        <v/>
      </c>
      <c r="I18" s="13">
        <f>IF(COUNT(C18:F18)&lt;4,"",IF(H18&gt;=0.8,"Green",IF(H18&gt;=0.5,"Yellow","Red")))</f>
        <v/>
      </c>
      <c r="J18" s="13">
        <f>IF(COUNT(C18:F18)&lt;4,"",IF(I18="Green","Well done! "&amp;Parameters!$C$46,"Revise: "&amp;_xlfn.TEXTJOIN(", ",TRUE(),IF(K18&lt;1,Parameters!$A$37,""),IF(L18&lt;1,Parameters!$A$38,""),IF(M18&lt;1,Parameters!$A$39,""),IF(N18&lt;1,Parameters!$A$40,""))))</f>
        <v/>
      </c>
      <c r="K18" s="13">
        <f>IF(C18="","",C18/5)</f>
        <v/>
      </c>
      <c r="L18" s="13">
        <f>IF(D18="","",D18/5)</f>
        <v/>
      </c>
      <c r="M18" s="13">
        <f>IF(E18="","",E18/7)</f>
        <v/>
      </c>
      <c r="N18" s="13">
        <f>IF(F18="","",F18/5)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3">
        <f>IF(COUNT(C19:F19)&lt;4,"",SUM(C19:F19))</f>
        <v/>
      </c>
      <c r="H19" s="13">
        <f>IF(COUNT(C19:F19)&lt;4,"",G19/22)</f>
        <v/>
      </c>
      <c r="I19" s="13">
        <f>IF(COUNT(C19:F19)&lt;4,"",IF(H19&gt;=0.8,"Green",IF(H19&gt;=0.5,"Yellow","Red")))</f>
        <v/>
      </c>
      <c r="J19" s="13">
        <f>IF(COUNT(C19:F19)&lt;4,"",IF(I19="Green","Well done! "&amp;Parameters!$C$46,"Revise: "&amp;_xlfn.TEXTJOIN(", ",TRUE(),IF(K19&lt;1,Parameters!$A$37,""),IF(L19&lt;1,Parameters!$A$38,""),IF(M19&lt;1,Parameters!$A$39,""),IF(N19&lt;1,Parameters!$A$40,""))))</f>
        <v/>
      </c>
      <c r="K19" s="13">
        <f>IF(C19="","",C19/5)</f>
        <v/>
      </c>
      <c r="L19" s="13">
        <f>IF(D19="","",D19/5)</f>
        <v/>
      </c>
      <c r="M19" s="13">
        <f>IF(E19="","",E19/7)</f>
        <v/>
      </c>
      <c r="N19" s="13">
        <f>IF(F19="","",F19/5)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3">
        <f>IF(COUNT(C20:F20)&lt;4,"",SUM(C20:F20))</f>
        <v/>
      </c>
      <c r="H20" s="13">
        <f>IF(COUNT(C20:F20)&lt;4,"",G20/22)</f>
        <v/>
      </c>
      <c r="I20" s="13">
        <f>IF(COUNT(C20:F20)&lt;4,"",IF(H20&gt;=0.8,"Green",IF(H20&gt;=0.5,"Yellow","Red")))</f>
        <v/>
      </c>
      <c r="J20" s="13">
        <f>IF(COUNT(C20:F20)&lt;4,"",IF(I20="Green","Well done! "&amp;Parameters!$C$46,"Revise: "&amp;_xlfn.TEXTJOIN(", ",TRUE(),IF(K20&lt;1,Parameters!$A$37,""),IF(L20&lt;1,Parameters!$A$38,""),IF(M20&lt;1,Parameters!$A$39,""),IF(N20&lt;1,Parameters!$A$40,""))))</f>
        <v/>
      </c>
      <c r="K20" s="13">
        <f>IF(C20="","",C20/5)</f>
        <v/>
      </c>
      <c r="L20" s="13">
        <f>IF(D20="","",D20/5)</f>
        <v/>
      </c>
      <c r="M20" s="13">
        <f>IF(E20="","",E20/7)</f>
        <v/>
      </c>
      <c r="N20" s="13">
        <f>IF(F20="","",F20/5)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3">
        <f>IF(COUNT(C21:F21)&lt;4,"",SUM(C21:F21))</f>
        <v/>
      </c>
      <c r="H21" s="13">
        <f>IF(COUNT(C21:F21)&lt;4,"",G21/22)</f>
        <v/>
      </c>
      <c r="I21" s="13">
        <f>IF(COUNT(C21:F21)&lt;4,"",IF(H21&gt;=0.8,"Green",IF(H21&gt;=0.5,"Yellow","Red")))</f>
        <v/>
      </c>
      <c r="J21" s="13">
        <f>IF(COUNT(C21:F21)&lt;4,"",IF(I21="Green","Well done! "&amp;Parameters!$C$46,"Revise: "&amp;_xlfn.TEXTJOIN(", ",TRUE(),IF(K21&lt;1,Parameters!$A$37,""),IF(L21&lt;1,Parameters!$A$38,""),IF(M21&lt;1,Parameters!$A$39,""),IF(N21&lt;1,Parameters!$A$40,""))))</f>
        <v/>
      </c>
      <c r="K21" s="13">
        <f>IF(C21="","",C21/5)</f>
        <v/>
      </c>
      <c r="L21" s="13">
        <f>IF(D21="","",D21/5)</f>
        <v/>
      </c>
      <c r="M21" s="13">
        <f>IF(E21="","",E21/7)</f>
        <v/>
      </c>
      <c r="N21" s="13">
        <f>IF(F21="","",F21/5)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3">
        <f>IF(COUNT(C22:F22)&lt;4,"",SUM(C22:F22))</f>
        <v/>
      </c>
      <c r="H22" s="13">
        <f>IF(COUNT(C22:F22)&lt;4,"",G22/22)</f>
        <v/>
      </c>
      <c r="I22" s="13">
        <f>IF(COUNT(C22:F22)&lt;4,"",IF(H22&gt;=0.8,"Green",IF(H22&gt;=0.5,"Yellow","Red")))</f>
        <v/>
      </c>
      <c r="J22" s="13">
        <f>IF(COUNT(C22:F22)&lt;4,"",IF(I22="Green","Well done! "&amp;Parameters!$C$46,"Revise: "&amp;_xlfn.TEXTJOIN(", ",TRUE(),IF(K22&lt;1,Parameters!$A$37,""),IF(L22&lt;1,Parameters!$A$38,""),IF(M22&lt;1,Parameters!$A$39,""),IF(N22&lt;1,Parameters!$A$40,""))))</f>
        <v/>
      </c>
      <c r="K22" s="13">
        <f>IF(C22="","",C22/5)</f>
        <v/>
      </c>
      <c r="L22" s="13">
        <f>IF(D22="","",D22/5)</f>
        <v/>
      </c>
      <c r="M22" s="13">
        <f>IF(E22="","",E22/7)</f>
        <v/>
      </c>
      <c r="N22" s="13">
        <f>IF(F22="","",F22/5)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3">
        <f>IF(COUNT(C23:F23)&lt;4,"",SUM(C23:F23))</f>
        <v/>
      </c>
      <c r="H23" s="13">
        <f>IF(COUNT(C23:F23)&lt;4,"",G23/22)</f>
        <v/>
      </c>
      <c r="I23" s="13">
        <f>IF(COUNT(C23:F23)&lt;4,"",IF(H23&gt;=0.8,"Green",IF(H23&gt;=0.5,"Yellow","Red")))</f>
        <v/>
      </c>
      <c r="J23" s="13">
        <f>IF(COUNT(C23:F23)&lt;4,"",IF(I23="Green","Well done! "&amp;Parameters!$C$46,"Revise: "&amp;_xlfn.TEXTJOIN(", ",TRUE(),IF(K23&lt;1,Parameters!$A$37,""),IF(L23&lt;1,Parameters!$A$38,""),IF(M23&lt;1,Parameters!$A$39,""),IF(N23&lt;1,Parameters!$A$40,""))))</f>
        <v/>
      </c>
      <c r="K23" s="13">
        <f>IF(C23="","",C23/5)</f>
        <v/>
      </c>
      <c r="L23" s="13">
        <f>IF(D23="","",D23/5)</f>
        <v/>
      </c>
      <c r="M23" s="13">
        <f>IF(E23="","",E23/7)</f>
        <v/>
      </c>
      <c r="N23" s="13">
        <f>IF(F23="","",F23/5)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3">
        <f>IF(COUNT(C24:F24)&lt;4,"",SUM(C24:F24))</f>
        <v/>
      </c>
      <c r="H24" s="13">
        <f>IF(COUNT(C24:F24)&lt;4,"",G24/22)</f>
        <v/>
      </c>
      <c r="I24" s="13">
        <f>IF(COUNT(C24:F24)&lt;4,"",IF(H24&gt;=0.8,"Green",IF(H24&gt;=0.5,"Yellow","Red")))</f>
        <v/>
      </c>
      <c r="J24" s="13">
        <f>IF(COUNT(C24:F24)&lt;4,"",IF(I24="Green","Well done! "&amp;Parameters!$C$46,"Revise: "&amp;_xlfn.TEXTJOIN(", ",TRUE(),IF(K24&lt;1,Parameters!$A$37,""),IF(L24&lt;1,Parameters!$A$38,""),IF(M24&lt;1,Parameters!$A$39,""),IF(N24&lt;1,Parameters!$A$40,""))))</f>
        <v/>
      </c>
      <c r="K24" s="13">
        <f>IF(C24="","",C24/5)</f>
        <v/>
      </c>
      <c r="L24" s="13">
        <f>IF(D24="","",D24/5)</f>
        <v/>
      </c>
      <c r="M24" s="13">
        <f>IF(E24="","",E24/7)</f>
        <v/>
      </c>
      <c r="N24" s="13">
        <f>IF(F24="","",F24/5)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3">
        <f>IF(COUNT(C25:F25)&lt;4,"",SUM(C25:F25))</f>
        <v/>
      </c>
      <c r="H25" s="13">
        <f>IF(COUNT(C25:F25)&lt;4,"",G25/22)</f>
        <v/>
      </c>
      <c r="I25" s="13">
        <f>IF(COUNT(C25:F25)&lt;4,"",IF(H25&gt;=0.8,"Green",IF(H25&gt;=0.5,"Yellow","Red")))</f>
        <v/>
      </c>
      <c r="J25" s="13">
        <f>IF(COUNT(C25:F25)&lt;4,"",IF(I25="Green","Well done! "&amp;Parameters!$C$46,"Revise: "&amp;_xlfn.TEXTJOIN(", ",TRUE(),IF(K25&lt;1,Parameters!$A$37,""),IF(L25&lt;1,Parameters!$A$38,""),IF(M25&lt;1,Parameters!$A$39,""),IF(N25&lt;1,Parameters!$A$40,""))))</f>
        <v/>
      </c>
      <c r="K25" s="13">
        <f>IF(C25="","",C25/5)</f>
        <v/>
      </c>
      <c r="L25" s="13">
        <f>IF(D25="","",D25/5)</f>
        <v/>
      </c>
      <c r="M25" s="13">
        <f>IF(E25="","",E25/7)</f>
        <v/>
      </c>
      <c r="N25" s="13">
        <f>IF(F25="","",F25/5)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3">
        <f>IF(COUNT(C26:F26)&lt;4,"",SUM(C26:F26))</f>
        <v/>
      </c>
      <c r="H26" s="13">
        <f>IF(COUNT(C26:F26)&lt;4,"",G26/22)</f>
        <v/>
      </c>
      <c r="I26" s="13">
        <f>IF(COUNT(C26:F26)&lt;4,"",IF(H26&gt;=0.8,"Green",IF(H26&gt;=0.5,"Yellow","Red")))</f>
        <v/>
      </c>
      <c r="J26" s="13">
        <f>IF(COUNT(C26:F26)&lt;4,"",IF(I26="Green","Well done! "&amp;Parameters!$C$46,"Revise: "&amp;_xlfn.TEXTJOIN(", ",TRUE(),IF(K26&lt;1,Parameters!$A$37,""),IF(L26&lt;1,Parameters!$A$38,""),IF(M26&lt;1,Parameters!$A$39,""),IF(N26&lt;1,Parameters!$A$40,""))))</f>
        <v/>
      </c>
      <c r="K26" s="13">
        <f>IF(C26="","",C26/5)</f>
        <v/>
      </c>
      <c r="L26" s="13">
        <f>IF(D26="","",D26/5)</f>
        <v/>
      </c>
      <c r="M26" s="13">
        <f>IF(E26="","",E26/7)</f>
        <v/>
      </c>
      <c r="N26" s="13">
        <f>IF(F26="","",F26/5)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3">
        <f>IF(COUNT(C27:F27)&lt;4,"",SUM(C27:F27))</f>
        <v/>
      </c>
      <c r="H27" s="13">
        <f>IF(COUNT(C27:F27)&lt;4,"",G27/22)</f>
        <v/>
      </c>
      <c r="I27" s="13">
        <f>IF(COUNT(C27:F27)&lt;4,"",IF(H27&gt;=0.8,"Green",IF(H27&gt;=0.5,"Yellow","Red")))</f>
        <v/>
      </c>
      <c r="J27" s="13">
        <f>IF(COUNT(C27:F27)&lt;4,"",IF(I27="Green","Well done! "&amp;Parameters!$C$46,"Revise: "&amp;_xlfn.TEXTJOIN(", ",TRUE(),IF(K27&lt;1,Parameters!$A$37,""),IF(L27&lt;1,Parameters!$A$38,""),IF(M27&lt;1,Parameters!$A$39,""),IF(N27&lt;1,Parameters!$A$40,""))))</f>
        <v/>
      </c>
      <c r="K27" s="13">
        <f>IF(C27="","",C27/5)</f>
        <v/>
      </c>
      <c r="L27" s="13">
        <f>IF(D27="","",D27/5)</f>
        <v/>
      </c>
      <c r="M27" s="13">
        <f>IF(E27="","",E27/7)</f>
        <v/>
      </c>
      <c r="N27" s="13">
        <f>IF(F27="","",F27/5)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3">
        <f>IF(COUNT(C28:F28)&lt;4,"",SUM(C28:F28))</f>
        <v/>
      </c>
      <c r="H28" s="13">
        <f>IF(COUNT(C28:F28)&lt;4,"",G28/22)</f>
        <v/>
      </c>
      <c r="I28" s="13">
        <f>IF(COUNT(C28:F28)&lt;4,"",IF(H28&gt;=0.8,"Green",IF(H28&gt;=0.5,"Yellow","Red")))</f>
        <v/>
      </c>
      <c r="J28" s="13">
        <f>IF(COUNT(C28:F28)&lt;4,"",IF(I28="Green","Well done! "&amp;Parameters!$C$46,"Revise: "&amp;_xlfn.TEXTJOIN(", ",TRUE(),IF(K28&lt;1,Parameters!$A$37,""),IF(L28&lt;1,Parameters!$A$38,""),IF(M28&lt;1,Parameters!$A$39,""),IF(N28&lt;1,Parameters!$A$40,""))))</f>
        <v/>
      </c>
      <c r="K28" s="13">
        <f>IF(C28="","",C28/5)</f>
        <v/>
      </c>
      <c r="L28" s="13">
        <f>IF(D28="","",D28/5)</f>
        <v/>
      </c>
      <c r="M28" s="13">
        <f>IF(E28="","",E28/7)</f>
        <v/>
      </c>
      <c r="N28" s="13">
        <f>IF(F28="","",F28/5)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3">
        <f>IF(COUNT(C29:F29)&lt;4,"",SUM(C29:F29))</f>
        <v/>
      </c>
      <c r="H29" s="13">
        <f>IF(COUNT(C29:F29)&lt;4,"",G29/22)</f>
        <v/>
      </c>
      <c r="I29" s="13">
        <f>IF(COUNT(C29:F29)&lt;4,"",IF(H29&gt;=0.8,"Green",IF(H29&gt;=0.5,"Yellow","Red")))</f>
        <v/>
      </c>
      <c r="J29" s="13">
        <f>IF(COUNT(C29:F29)&lt;4,"",IF(I29="Green","Well done! "&amp;Parameters!$C$46,"Revise: "&amp;_xlfn.TEXTJOIN(", ",TRUE(),IF(K29&lt;1,Parameters!$A$37,""),IF(L29&lt;1,Parameters!$A$38,""),IF(M29&lt;1,Parameters!$A$39,""),IF(N29&lt;1,Parameters!$A$40,""))))</f>
        <v/>
      </c>
      <c r="K29" s="13">
        <f>IF(C29="","",C29/5)</f>
        <v/>
      </c>
      <c r="L29" s="13">
        <f>IF(D29="","",D29/5)</f>
        <v/>
      </c>
      <c r="M29" s="13">
        <f>IF(E29="","",E29/7)</f>
        <v/>
      </c>
      <c r="N29" s="13">
        <f>IF(F29="","",F29/5)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3">
        <f>IF(COUNT(C30:F30)&lt;4,"",SUM(C30:F30))</f>
        <v/>
      </c>
      <c r="H30" s="13">
        <f>IF(COUNT(C30:F30)&lt;4,"",G30/22)</f>
        <v/>
      </c>
      <c r="I30" s="13">
        <f>IF(COUNT(C30:F30)&lt;4,"",IF(H30&gt;=0.8,"Green",IF(H30&gt;=0.5,"Yellow","Red")))</f>
        <v/>
      </c>
      <c r="J30" s="13">
        <f>IF(COUNT(C30:F30)&lt;4,"",IF(I30="Green","Well done! "&amp;Parameters!$C$46,"Revise: "&amp;_xlfn.TEXTJOIN(", ",TRUE(),IF(K30&lt;1,Parameters!$A$37,""),IF(L30&lt;1,Parameters!$A$38,""),IF(M30&lt;1,Parameters!$A$39,""),IF(N30&lt;1,Parameters!$A$40,""))))</f>
        <v/>
      </c>
      <c r="K30" s="13">
        <f>IF(C30="","",C30/5)</f>
        <v/>
      </c>
      <c r="L30" s="13">
        <f>IF(D30="","",D30/5)</f>
        <v/>
      </c>
      <c r="M30" s="13">
        <f>IF(E30="","",E30/7)</f>
        <v/>
      </c>
      <c r="N30" s="13">
        <f>IF(F30="","",F30/5)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3">
        <f>IF(COUNT(C31:F31)&lt;4,"",SUM(C31:F31))</f>
        <v/>
      </c>
      <c r="H31" s="13">
        <f>IF(COUNT(C31:F31)&lt;4,"",G31/22)</f>
        <v/>
      </c>
      <c r="I31" s="13">
        <f>IF(COUNT(C31:F31)&lt;4,"",IF(H31&gt;=0.8,"Green",IF(H31&gt;=0.5,"Yellow","Red")))</f>
        <v/>
      </c>
      <c r="J31" s="13">
        <f>IF(COUNT(C31:F31)&lt;4,"",IF(I31="Green","Well done! "&amp;Parameters!$C$46,"Revise: "&amp;_xlfn.TEXTJOIN(", ",TRUE(),IF(K31&lt;1,Parameters!$A$37,""),IF(L31&lt;1,Parameters!$A$38,""),IF(M31&lt;1,Parameters!$A$39,""),IF(N31&lt;1,Parameters!$A$40,""))))</f>
        <v/>
      </c>
      <c r="K31" s="13">
        <f>IF(C31="","",C31/5)</f>
        <v/>
      </c>
      <c r="L31" s="13">
        <f>IF(D31="","",D31/5)</f>
        <v/>
      </c>
      <c r="M31" s="13">
        <f>IF(E31="","",E31/7)</f>
        <v/>
      </c>
      <c r="N31" s="13">
        <f>IF(F31="","",F31/5)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3">
        <f>IF(COUNT(C32:F32)&lt;4,"",SUM(C32:F32))</f>
        <v/>
      </c>
      <c r="H32" s="13">
        <f>IF(COUNT(C32:F32)&lt;4,"",G32/22)</f>
        <v/>
      </c>
      <c r="I32" s="13">
        <f>IF(COUNT(C32:F32)&lt;4,"",IF(H32&gt;=0.8,"Green",IF(H32&gt;=0.5,"Yellow","Red")))</f>
        <v/>
      </c>
      <c r="J32" s="13">
        <f>IF(COUNT(C32:F32)&lt;4,"",IF(I32="Green","Well done! "&amp;Parameters!$C$46,"Revise: "&amp;_xlfn.TEXTJOIN(", ",TRUE(),IF(K32&lt;1,Parameters!$A$37,""),IF(L32&lt;1,Parameters!$A$38,""),IF(M32&lt;1,Parameters!$A$39,""),IF(N32&lt;1,Parameters!$A$40,""))))</f>
        <v/>
      </c>
      <c r="K32" s="13">
        <f>IF(C32="","",C32/5)</f>
        <v/>
      </c>
      <c r="L32" s="13">
        <f>IF(D32="","",D32/5)</f>
        <v/>
      </c>
      <c r="M32" s="13">
        <f>IF(E32="","",E32/7)</f>
        <v/>
      </c>
      <c r="N32" s="13">
        <f>IF(F32="","",F32/5)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3">
        <f>IF(COUNT(C33:F33)&lt;4,"",SUM(C33:F33))</f>
        <v/>
      </c>
      <c r="H33" s="13">
        <f>IF(COUNT(C33:F33)&lt;4,"",G33/22)</f>
        <v/>
      </c>
      <c r="I33" s="13">
        <f>IF(COUNT(C33:F33)&lt;4,"",IF(H33&gt;=0.8,"Green",IF(H33&gt;=0.5,"Yellow","Red")))</f>
        <v/>
      </c>
      <c r="J33" s="13">
        <f>IF(COUNT(C33:F33)&lt;4,"",IF(I33="Green","Well done! "&amp;Parameters!$C$46,"Revise: "&amp;_xlfn.TEXTJOIN(", ",TRUE(),IF(K33&lt;1,Parameters!$A$37,""),IF(L33&lt;1,Parameters!$A$38,""),IF(M33&lt;1,Parameters!$A$39,""),IF(N33&lt;1,Parameters!$A$40,""))))</f>
        <v/>
      </c>
      <c r="K33" s="13">
        <f>IF(C33="","",C33/5)</f>
        <v/>
      </c>
      <c r="L33" s="13">
        <f>IF(D33="","",D33/5)</f>
        <v/>
      </c>
      <c r="M33" s="13">
        <f>IF(E33="","",E33/7)</f>
        <v/>
      </c>
      <c r="N33" s="13">
        <f>IF(F33="","",F33/5)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3">
        <f>IF(COUNT(C34:F34)&lt;4,"",SUM(C34:F34))</f>
        <v/>
      </c>
      <c r="H34" s="13">
        <f>IF(COUNT(C34:F34)&lt;4,"",G34/22)</f>
        <v/>
      </c>
      <c r="I34" s="13">
        <f>IF(COUNT(C34:F34)&lt;4,"",IF(H34&gt;=0.8,"Green",IF(H34&gt;=0.5,"Yellow","Red")))</f>
        <v/>
      </c>
      <c r="J34" s="13">
        <f>IF(COUNT(C34:F34)&lt;4,"",IF(I34="Green","Well done! "&amp;Parameters!$C$46,"Revise: "&amp;_xlfn.TEXTJOIN(", ",TRUE(),IF(K34&lt;1,Parameters!$A$37,""),IF(L34&lt;1,Parameters!$A$38,""),IF(M34&lt;1,Parameters!$A$39,""),IF(N34&lt;1,Parameters!$A$40,""))))</f>
        <v/>
      </c>
      <c r="K34" s="13">
        <f>IF(C34="","",C34/5)</f>
        <v/>
      </c>
      <c r="L34" s="13">
        <f>IF(D34="","",D34/5)</f>
        <v/>
      </c>
      <c r="M34" s="13">
        <f>IF(E34="","",E34/7)</f>
        <v/>
      </c>
      <c r="N34" s="13">
        <f>IF(F34="","",F34/5)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3">
        <f>IF(COUNT(C35:F35)&lt;4,"",SUM(C35:F35))</f>
        <v/>
      </c>
      <c r="H35" s="13">
        <f>IF(COUNT(C35:F35)&lt;4,"",G35/22)</f>
        <v/>
      </c>
      <c r="I35" s="13">
        <f>IF(COUNT(C35:F35)&lt;4,"",IF(H35&gt;=0.8,"Green",IF(H35&gt;=0.5,"Yellow","Red")))</f>
        <v/>
      </c>
      <c r="J35" s="13">
        <f>IF(COUNT(C35:F35)&lt;4,"",IF(I35="Green","Well done! "&amp;Parameters!$C$46,"Revise: "&amp;_xlfn.TEXTJOIN(", ",TRUE(),IF(K35&lt;1,Parameters!$A$37,""),IF(L35&lt;1,Parameters!$A$38,""),IF(M35&lt;1,Parameters!$A$39,""),IF(N35&lt;1,Parameters!$A$40,""))))</f>
        <v/>
      </c>
      <c r="K35" s="13">
        <f>IF(C35="","",C35/5)</f>
        <v/>
      </c>
      <c r="L35" s="13">
        <f>IF(D35="","",D35/5)</f>
        <v/>
      </c>
      <c r="M35" s="13">
        <f>IF(E35="","",E35/7)</f>
        <v/>
      </c>
      <c r="N35" s="13">
        <f>IF(F35="","",F35/5)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3">
        <f>IF(COUNT(C36:F36)&lt;4,"",SUM(C36:F36))</f>
        <v/>
      </c>
      <c r="H36" s="13">
        <f>IF(COUNT(C36:F36)&lt;4,"",G36/22)</f>
        <v/>
      </c>
      <c r="I36" s="13">
        <f>IF(COUNT(C36:F36)&lt;4,"",IF(H36&gt;=0.8,"Green",IF(H36&gt;=0.5,"Yellow","Red")))</f>
        <v/>
      </c>
      <c r="J36" s="13">
        <f>IF(COUNT(C36:F36)&lt;4,"",IF(I36="Green","Well done! "&amp;Parameters!$C$46,"Revise: "&amp;_xlfn.TEXTJOIN(", ",TRUE(),IF(K36&lt;1,Parameters!$A$37,""),IF(L36&lt;1,Parameters!$A$38,""),IF(M36&lt;1,Parameters!$A$39,""),IF(N36&lt;1,Parameters!$A$40,""))))</f>
        <v/>
      </c>
      <c r="K36" s="13">
        <f>IF(C36="","",C36/5)</f>
        <v/>
      </c>
      <c r="L36" s="13">
        <f>IF(D36="","",D36/5)</f>
        <v/>
      </c>
      <c r="M36" s="13">
        <f>IF(E36="","",E36/7)</f>
        <v/>
      </c>
      <c r="N36" s="13">
        <f>IF(F36="","",F36/5)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3">
        <f>IF(COUNT(C37:F37)&lt;4,"",SUM(C37:F37))</f>
        <v/>
      </c>
      <c r="H37" s="13">
        <f>IF(COUNT(C37:F37)&lt;4,"",G37/22)</f>
        <v/>
      </c>
      <c r="I37" s="13">
        <f>IF(COUNT(C37:F37)&lt;4,"",IF(H37&gt;=0.8,"Green",IF(H37&gt;=0.5,"Yellow","Red")))</f>
        <v/>
      </c>
      <c r="J37" s="13">
        <f>IF(COUNT(C37:F37)&lt;4,"",IF(I37="Green","Well done! "&amp;Parameters!$C$46,"Revise: "&amp;_xlfn.TEXTJOIN(", ",TRUE(),IF(K37&lt;1,Parameters!$A$37,""),IF(L37&lt;1,Parameters!$A$38,""),IF(M37&lt;1,Parameters!$A$39,""),IF(N37&lt;1,Parameters!$A$40,""))))</f>
        <v/>
      </c>
      <c r="K37" s="13">
        <f>IF(C37="","",C37/5)</f>
        <v/>
      </c>
      <c r="L37" s="13">
        <f>IF(D37="","",D37/5)</f>
        <v/>
      </c>
      <c r="M37" s="13">
        <f>IF(E37="","",E37/7)</f>
        <v/>
      </c>
      <c r="N37" s="13">
        <f>IF(F37="","",F37/5)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3">
        <f>IF(COUNT(C38:F38)&lt;4,"",SUM(C38:F38))</f>
        <v/>
      </c>
      <c r="H38" s="13">
        <f>IF(COUNT(C38:F38)&lt;4,"",G38/22)</f>
        <v/>
      </c>
      <c r="I38" s="13">
        <f>IF(COUNT(C38:F38)&lt;4,"",IF(H38&gt;=0.8,"Green",IF(H38&gt;=0.5,"Yellow","Red")))</f>
        <v/>
      </c>
      <c r="J38" s="13">
        <f>IF(COUNT(C38:F38)&lt;4,"",IF(I38="Green","Well done! "&amp;Parameters!$C$46,"Revise: "&amp;_xlfn.TEXTJOIN(", ",TRUE(),IF(K38&lt;1,Parameters!$A$37,""),IF(L38&lt;1,Parameters!$A$38,""),IF(M38&lt;1,Parameters!$A$39,""),IF(N38&lt;1,Parameters!$A$40,""))))</f>
        <v/>
      </c>
      <c r="K38" s="13">
        <f>IF(C38="","",C38/5)</f>
        <v/>
      </c>
      <c r="L38" s="13">
        <f>IF(D38="","",D38/5)</f>
        <v/>
      </c>
      <c r="M38" s="13">
        <f>IF(E38="","",E38/7)</f>
        <v/>
      </c>
      <c r="N38" s="13">
        <f>IF(F38="","",F38/5)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3">
        <f>IF(COUNT(C39:F39)&lt;4,"",SUM(C39:F39))</f>
        <v/>
      </c>
      <c r="H39" s="13">
        <f>IF(COUNT(C39:F39)&lt;4,"",G39/22)</f>
        <v/>
      </c>
      <c r="I39" s="13">
        <f>IF(COUNT(C39:F39)&lt;4,"",IF(H39&gt;=0.8,"Green",IF(H39&gt;=0.5,"Yellow","Red")))</f>
        <v/>
      </c>
      <c r="J39" s="13">
        <f>IF(COUNT(C39:F39)&lt;4,"",IF(I39="Green","Well done! "&amp;Parameters!$C$46,"Revise: "&amp;_xlfn.TEXTJOIN(", ",TRUE(),IF(K39&lt;1,Parameters!$A$37,""),IF(L39&lt;1,Parameters!$A$38,""),IF(M39&lt;1,Parameters!$A$39,""),IF(N39&lt;1,Parameters!$A$40,""))))</f>
        <v/>
      </c>
      <c r="K39" s="13">
        <f>IF(C39="","",C39/5)</f>
        <v/>
      </c>
      <c r="L39" s="13">
        <f>IF(D39="","",D39/5)</f>
        <v/>
      </c>
      <c r="M39" s="13">
        <f>IF(E39="","",E39/7)</f>
        <v/>
      </c>
      <c r="N39" s="13">
        <f>IF(F39="","",F39/5)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3">
        <f>IF(COUNT(C40:F40)&lt;4,"",SUM(C40:F40))</f>
        <v/>
      </c>
      <c r="H40" s="13">
        <f>IF(COUNT(C40:F40)&lt;4,"",G40/22)</f>
        <v/>
      </c>
      <c r="I40" s="13">
        <f>IF(COUNT(C40:F40)&lt;4,"",IF(H40&gt;=0.8,"Green",IF(H40&gt;=0.5,"Yellow","Red")))</f>
        <v/>
      </c>
      <c r="J40" s="13">
        <f>IF(COUNT(C40:F40)&lt;4,"",IF(I40="Green","Well done! "&amp;Parameters!$C$46,"Revise: "&amp;_xlfn.TEXTJOIN(", ",TRUE(),IF(K40&lt;1,Parameters!$A$37,""),IF(L40&lt;1,Parameters!$A$38,""),IF(M40&lt;1,Parameters!$A$39,""),IF(N40&lt;1,Parameters!$A$40,""))))</f>
        <v/>
      </c>
      <c r="K40" s="13">
        <f>IF(C40="","",C40/5)</f>
        <v/>
      </c>
      <c r="L40" s="13">
        <f>IF(D40="","",D40/5)</f>
        <v/>
      </c>
      <c r="M40" s="13">
        <f>IF(E40="","",E40/7)</f>
        <v/>
      </c>
      <c r="N40" s="13">
        <f>IF(F40="","",F40/5)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3">
        <f>IF(COUNT(C41:F41)&lt;4,"",SUM(C41:F41))</f>
        <v/>
      </c>
      <c r="H41" s="13">
        <f>IF(COUNT(C41:F41)&lt;4,"",G41/22)</f>
        <v/>
      </c>
      <c r="I41" s="13">
        <f>IF(COUNT(C41:F41)&lt;4,"",IF(H41&gt;=0.8,"Green",IF(H41&gt;=0.5,"Yellow","Red")))</f>
        <v/>
      </c>
      <c r="J41" s="13">
        <f>IF(COUNT(C41:F41)&lt;4,"",IF(I41="Green","Well done! "&amp;Parameters!$C$46,"Revise: "&amp;_xlfn.TEXTJOIN(", ",TRUE(),IF(K41&lt;1,Parameters!$A$37,""),IF(L41&lt;1,Parameters!$A$38,""),IF(M41&lt;1,Parameters!$A$39,""),IF(N41&lt;1,Parameters!$A$40,""))))</f>
        <v/>
      </c>
      <c r="K41" s="13">
        <f>IF(C41="","",C41/5)</f>
        <v/>
      </c>
      <c r="L41" s="13">
        <f>IF(D41="","",D41/5)</f>
        <v/>
      </c>
      <c r="M41" s="13">
        <f>IF(E41="","",E41/7)</f>
        <v/>
      </c>
      <c r="N41" s="13">
        <f>IF(F41="","",F41/5)</f>
        <v/>
      </c>
    </row>
  </sheetData>
  <conditionalFormatting sqref="C11">
    <cfRule type="expression" priority="1" dxfId="0">
      <formula>AND(COUNT(C11:F11)=4,C11=5)</formula>
    </cfRule>
    <cfRule type="expression" priority="2" dxfId="1">
      <formula>AND(COUNT(C11:F11)=4,C11&lt;5*0.4)</formula>
    </cfRule>
    <cfRule type="expression" priority="3" dxfId="2">
      <formula>AND(COUNT(C11:F11)=4,C11&gt;=5*0.4,C11&lt;5)</formula>
    </cfRule>
  </conditionalFormatting>
  <conditionalFormatting sqref="C12">
    <cfRule type="expression" priority="4" dxfId="0">
      <formula>AND(COUNT(C12:F12)=4,C12=5)</formula>
    </cfRule>
    <cfRule type="expression" priority="5" dxfId="1">
      <formula>AND(COUNT(C12:F12)=4,C12&lt;5*0.4)</formula>
    </cfRule>
    <cfRule type="expression" priority="6" dxfId="2">
      <formula>AND(COUNT(C12:F12)=4,C12&gt;=5*0.4,C12&lt;5)</formula>
    </cfRule>
  </conditionalFormatting>
  <conditionalFormatting sqref="C13">
    <cfRule type="expression" priority="7" dxfId="0">
      <formula>AND(COUNT(C13:F13)=4,C13=5)</formula>
    </cfRule>
    <cfRule type="expression" priority="8" dxfId="1">
      <formula>AND(COUNT(C13:F13)=4,C13&lt;5*0.4)</formula>
    </cfRule>
    <cfRule type="expression" priority="9" dxfId="2">
      <formula>AND(COUNT(C13:F13)=4,C13&gt;=5*0.4,C13&lt;5)</formula>
    </cfRule>
  </conditionalFormatting>
  <conditionalFormatting sqref="C14">
    <cfRule type="expression" priority="10" dxfId="0">
      <formula>AND(COUNT(C14:F14)=4,C14=5)</formula>
    </cfRule>
    <cfRule type="expression" priority="11" dxfId="1">
      <formula>AND(COUNT(C14:F14)=4,C14&lt;5*0.4)</formula>
    </cfRule>
    <cfRule type="expression" priority="12" dxfId="2">
      <formula>AND(COUNT(C14:F14)=4,C14&gt;=5*0.4,C14&lt;5)</formula>
    </cfRule>
  </conditionalFormatting>
  <conditionalFormatting sqref="C15">
    <cfRule type="expression" priority="13" dxfId="0">
      <formula>AND(COUNT(C15:F15)=4,C15=5)</formula>
    </cfRule>
    <cfRule type="expression" priority="14" dxfId="1">
      <formula>AND(COUNT(C15:F15)=4,C15&lt;5*0.4)</formula>
    </cfRule>
    <cfRule type="expression" priority="15" dxfId="2">
      <formula>AND(COUNT(C15:F15)=4,C15&gt;=5*0.4,C15&lt;5)</formula>
    </cfRule>
  </conditionalFormatting>
  <conditionalFormatting sqref="C16">
    <cfRule type="expression" priority="16" dxfId="0">
      <formula>AND(COUNT(C16:F16)=4,C16=5)</formula>
    </cfRule>
    <cfRule type="expression" priority="17" dxfId="1">
      <formula>AND(COUNT(C16:F16)=4,C16&lt;5*0.4)</formula>
    </cfRule>
    <cfRule type="expression" priority="18" dxfId="2">
      <formula>AND(COUNT(C16:F16)=4,C16&gt;=5*0.4,C16&lt;5)</formula>
    </cfRule>
  </conditionalFormatting>
  <conditionalFormatting sqref="C17">
    <cfRule type="expression" priority="19" dxfId="0">
      <formula>AND(COUNT(C17:F17)=4,C17=5)</formula>
    </cfRule>
    <cfRule type="expression" priority="20" dxfId="1">
      <formula>AND(COUNT(C17:F17)=4,C17&lt;5*0.4)</formula>
    </cfRule>
    <cfRule type="expression" priority="21" dxfId="2">
      <formula>AND(COUNT(C17:F17)=4,C17&gt;=5*0.4,C17&lt;5)</formula>
    </cfRule>
  </conditionalFormatting>
  <conditionalFormatting sqref="C18">
    <cfRule type="expression" priority="22" dxfId="0">
      <formula>AND(COUNT(C18:F18)=4,C18=5)</formula>
    </cfRule>
    <cfRule type="expression" priority="23" dxfId="1">
      <formula>AND(COUNT(C18:F18)=4,C18&lt;5*0.4)</formula>
    </cfRule>
    <cfRule type="expression" priority="24" dxfId="2">
      <formula>AND(COUNT(C18:F18)=4,C18&gt;=5*0.4,C18&lt;5)</formula>
    </cfRule>
  </conditionalFormatting>
  <conditionalFormatting sqref="C19">
    <cfRule type="expression" priority="25" dxfId="0">
      <formula>AND(COUNT(C19:F19)=4,C19=5)</formula>
    </cfRule>
    <cfRule type="expression" priority="26" dxfId="1">
      <formula>AND(COUNT(C19:F19)=4,C19&lt;5*0.4)</formula>
    </cfRule>
    <cfRule type="expression" priority="27" dxfId="2">
      <formula>AND(COUNT(C19:F19)=4,C19&gt;=5*0.4,C19&lt;5)</formula>
    </cfRule>
  </conditionalFormatting>
  <conditionalFormatting sqref="C20">
    <cfRule type="expression" priority="28" dxfId="0">
      <formula>AND(COUNT(C20:F20)=4,C20=5)</formula>
    </cfRule>
    <cfRule type="expression" priority="29" dxfId="1">
      <formula>AND(COUNT(C20:F20)=4,C20&lt;5*0.4)</formula>
    </cfRule>
    <cfRule type="expression" priority="30" dxfId="2">
      <formula>AND(COUNT(C20:F20)=4,C20&gt;=5*0.4,C20&lt;5)</formula>
    </cfRule>
  </conditionalFormatting>
  <conditionalFormatting sqref="C21">
    <cfRule type="expression" priority="31" dxfId="0">
      <formula>AND(COUNT(C21:F21)=4,C21=5)</formula>
    </cfRule>
    <cfRule type="expression" priority="32" dxfId="1">
      <formula>AND(COUNT(C21:F21)=4,C21&lt;5*0.4)</formula>
    </cfRule>
    <cfRule type="expression" priority="33" dxfId="2">
      <formula>AND(COUNT(C21:F21)=4,C21&gt;=5*0.4,C21&lt;5)</formula>
    </cfRule>
  </conditionalFormatting>
  <conditionalFormatting sqref="C22">
    <cfRule type="expression" priority="34" dxfId="0">
      <formula>AND(COUNT(C22:F22)=4,C22=5)</formula>
    </cfRule>
    <cfRule type="expression" priority="35" dxfId="1">
      <formula>AND(COUNT(C22:F22)=4,C22&lt;5*0.4)</formula>
    </cfRule>
    <cfRule type="expression" priority="36" dxfId="2">
      <formula>AND(COUNT(C22:F22)=4,C22&gt;=5*0.4,C22&lt;5)</formula>
    </cfRule>
  </conditionalFormatting>
  <conditionalFormatting sqref="C23">
    <cfRule type="expression" priority="37" dxfId="0">
      <formula>AND(COUNT(C23:F23)=4,C23=5)</formula>
    </cfRule>
    <cfRule type="expression" priority="38" dxfId="1">
      <formula>AND(COUNT(C23:F23)=4,C23&lt;5*0.4)</formula>
    </cfRule>
    <cfRule type="expression" priority="39" dxfId="2">
      <formula>AND(COUNT(C23:F23)=4,C23&gt;=5*0.4,C23&lt;5)</formula>
    </cfRule>
  </conditionalFormatting>
  <conditionalFormatting sqref="C24">
    <cfRule type="expression" priority="40" dxfId="0">
      <formula>AND(COUNT(C24:F24)=4,C24=5)</formula>
    </cfRule>
    <cfRule type="expression" priority="41" dxfId="1">
      <formula>AND(COUNT(C24:F24)=4,C24&lt;5*0.4)</formula>
    </cfRule>
    <cfRule type="expression" priority="42" dxfId="2">
      <formula>AND(COUNT(C24:F24)=4,C24&gt;=5*0.4,C24&lt;5)</formula>
    </cfRule>
  </conditionalFormatting>
  <conditionalFormatting sqref="C25">
    <cfRule type="expression" priority="43" dxfId="0">
      <formula>AND(COUNT(C25:F25)=4,C25=5)</formula>
    </cfRule>
    <cfRule type="expression" priority="44" dxfId="1">
      <formula>AND(COUNT(C25:F25)=4,C25&lt;5*0.4)</formula>
    </cfRule>
    <cfRule type="expression" priority="45" dxfId="2">
      <formula>AND(COUNT(C25:F25)=4,C25&gt;=5*0.4,C25&lt;5)</formula>
    </cfRule>
  </conditionalFormatting>
  <conditionalFormatting sqref="C26">
    <cfRule type="expression" priority="46" dxfId="0">
      <formula>AND(COUNT(C26:F26)=4,C26=5)</formula>
    </cfRule>
    <cfRule type="expression" priority="47" dxfId="1">
      <formula>AND(COUNT(C26:F26)=4,C26&lt;5*0.4)</formula>
    </cfRule>
    <cfRule type="expression" priority="48" dxfId="2">
      <formula>AND(COUNT(C26:F26)=4,C26&gt;=5*0.4,C26&lt;5)</formula>
    </cfRule>
  </conditionalFormatting>
  <conditionalFormatting sqref="C27">
    <cfRule type="expression" priority="49" dxfId="0">
      <formula>AND(COUNT(C27:F27)=4,C27=5)</formula>
    </cfRule>
    <cfRule type="expression" priority="50" dxfId="1">
      <formula>AND(COUNT(C27:F27)=4,C27&lt;5*0.4)</formula>
    </cfRule>
    <cfRule type="expression" priority="51" dxfId="2">
      <formula>AND(COUNT(C27:F27)=4,C27&gt;=5*0.4,C27&lt;5)</formula>
    </cfRule>
  </conditionalFormatting>
  <conditionalFormatting sqref="C28">
    <cfRule type="expression" priority="52" dxfId="0">
      <formula>AND(COUNT(C28:F28)=4,C28=5)</formula>
    </cfRule>
    <cfRule type="expression" priority="53" dxfId="1">
      <formula>AND(COUNT(C28:F28)=4,C28&lt;5*0.4)</formula>
    </cfRule>
    <cfRule type="expression" priority="54" dxfId="2">
      <formula>AND(COUNT(C28:F28)=4,C28&gt;=5*0.4,C28&lt;5)</formula>
    </cfRule>
  </conditionalFormatting>
  <conditionalFormatting sqref="C29">
    <cfRule type="expression" priority="55" dxfId="0">
      <formula>AND(COUNT(C29:F29)=4,C29=5)</formula>
    </cfRule>
    <cfRule type="expression" priority="56" dxfId="1">
      <formula>AND(COUNT(C29:F29)=4,C29&lt;5*0.4)</formula>
    </cfRule>
    <cfRule type="expression" priority="57" dxfId="2">
      <formula>AND(COUNT(C29:F29)=4,C29&gt;=5*0.4,C29&lt;5)</formula>
    </cfRule>
  </conditionalFormatting>
  <conditionalFormatting sqref="C30">
    <cfRule type="expression" priority="58" dxfId="0">
      <formula>AND(COUNT(C30:F30)=4,C30=5)</formula>
    </cfRule>
    <cfRule type="expression" priority="59" dxfId="1">
      <formula>AND(COUNT(C30:F30)=4,C30&lt;5*0.4)</formula>
    </cfRule>
    <cfRule type="expression" priority="60" dxfId="2">
      <formula>AND(COUNT(C30:F30)=4,C30&gt;=5*0.4,C30&lt;5)</formula>
    </cfRule>
  </conditionalFormatting>
  <conditionalFormatting sqref="C31">
    <cfRule type="expression" priority="61" dxfId="0">
      <formula>AND(COUNT(C31:F31)=4,C31=5)</formula>
    </cfRule>
    <cfRule type="expression" priority="62" dxfId="1">
      <formula>AND(COUNT(C31:F31)=4,C31&lt;5*0.4)</formula>
    </cfRule>
    <cfRule type="expression" priority="63" dxfId="2">
      <formula>AND(COUNT(C31:F31)=4,C31&gt;=5*0.4,C31&lt;5)</formula>
    </cfRule>
  </conditionalFormatting>
  <conditionalFormatting sqref="C32">
    <cfRule type="expression" priority="64" dxfId="0">
      <formula>AND(COUNT(C32:F32)=4,C32=5)</formula>
    </cfRule>
    <cfRule type="expression" priority="65" dxfId="1">
      <formula>AND(COUNT(C32:F32)=4,C32&lt;5*0.4)</formula>
    </cfRule>
    <cfRule type="expression" priority="66" dxfId="2">
      <formula>AND(COUNT(C32:F32)=4,C32&gt;=5*0.4,C32&lt;5)</formula>
    </cfRule>
  </conditionalFormatting>
  <conditionalFormatting sqref="C33">
    <cfRule type="expression" priority="67" dxfId="0">
      <formula>AND(COUNT(C33:F33)=4,C33=5)</formula>
    </cfRule>
    <cfRule type="expression" priority="68" dxfId="1">
      <formula>AND(COUNT(C33:F33)=4,C33&lt;5*0.4)</formula>
    </cfRule>
    <cfRule type="expression" priority="69" dxfId="2">
      <formula>AND(COUNT(C33:F33)=4,C33&gt;=5*0.4,C33&lt;5)</formula>
    </cfRule>
  </conditionalFormatting>
  <conditionalFormatting sqref="C34">
    <cfRule type="expression" priority="70" dxfId="0">
      <formula>AND(COUNT(C34:F34)=4,C34=5)</formula>
    </cfRule>
    <cfRule type="expression" priority="71" dxfId="1">
      <formula>AND(COUNT(C34:F34)=4,C34&lt;5*0.4)</formula>
    </cfRule>
    <cfRule type="expression" priority="72" dxfId="2">
      <formula>AND(COUNT(C34:F34)=4,C34&gt;=5*0.4,C34&lt;5)</formula>
    </cfRule>
  </conditionalFormatting>
  <conditionalFormatting sqref="C35">
    <cfRule type="expression" priority="73" dxfId="0">
      <formula>AND(COUNT(C35:F35)=4,C35=5)</formula>
    </cfRule>
    <cfRule type="expression" priority="74" dxfId="1">
      <formula>AND(COUNT(C35:F35)=4,C35&lt;5*0.4)</formula>
    </cfRule>
    <cfRule type="expression" priority="75" dxfId="2">
      <formula>AND(COUNT(C35:F35)=4,C35&gt;=5*0.4,C35&lt;5)</formula>
    </cfRule>
  </conditionalFormatting>
  <conditionalFormatting sqref="C36">
    <cfRule type="expression" priority="76" dxfId="0">
      <formula>AND(COUNT(C36:F36)=4,C36=5)</formula>
    </cfRule>
    <cfRule type="expression" priority="77" dxfId="1">
      <formula>AND(COUNT(C36:F36)=4,C36&lt;5*0.4)</formula>
    </cfRule>
    <cfRule type="expression" priority="78" dxfId="2">
      <formula>AND(COUNT(C36:F36)=4,C36&gt;=5*0.4,C36&lt;5)</formula>
    </cfRule>
  </conditionalFormatting>
  <conditionalFormatting sqref="C37">
    <cfRule type="expression" priority="79" dxfId="0">
      <formula>AND(COUNT(C37:F37)=4,C37=5)</formula>
    </cfRule>
    <cfRule type="expression" priority="80" dxfId="1">
      <formula>AND(COUNT(C37:F37)=4,C37&lt;5*0.4)</formula>
    </cfRule>
    <cfRule type="expression" priority="81" dxfId="2">
      <formula>AND(COUNT(C37:F37)=4,C37&gt;=5*0.4,C37&lt;5)</formula>
    </cfRule>
  </conditionalFormatting>
  <conditionalFormatting sqref="C38">
    <cfRule type="expression" priority="82" dxfId="0">
      <formula>AND(COUNT(C38:F38)=4,C38=5)</formula>
    </cfRule>
    <cfRule type="expression" priority="83" dxfId="1">
      <formula>AND(COUNT(C38:F38)=4,C38&lt;5*0.4)</formula>
    </cfRule>
    <cfRule type="expression" priority="84" dxfId="2">
      <formula>AND(COUNT(C38:F38)=4,C38&gt;=5*0.4,C38&lt;5)</formula>
    </cfRule>
  </conditionalFormatting>
  <conditionalFormatting sqref="C39">
    <cfRule type="expression" priority="85" dxfId="0">
      <formula>AND(COUNT(C39:F39)=4,C39=5)</formula>
    </cfRule>
    <cfRule type="expression" priority="86" dxfId="1">
      <formula>AND(COUNT(C39:F39)=4,C39&lt;5*0.4)</formula>
    </cfRule>
    <cfRule type="expression" priority="87" dxfId="2">
      <formula>AND(COUNT(C39:F39)=4,C39&gt;=5*0.4,C39&lt;5)</formula>
    </cfRule>
  </conditionalFormatting>
  <conditionalFormatting sqref="C40">
    <cfRule type="expression" priority="88" dxfId="0">
      <formula>AND(COUNT(C40:F40)=4,C40=5)</formula>
    </cfRule>
    <cfRule type="expression" priority="89" dxfId="1">
      <formula>AND(COUNT(C40:F40)=4,C40&lt;5*0.4)</formula>
    </cfRule>
    <cfRule type="expression" priority="90" dxfId="2">
      <formula>AND(COUNT(C40:F40)=4,C40&gt;=5*0.4,C40&lt;5)</formula>
    </cfRule>
  </conditionalFormatting>
  <conditionalFormatting sqref="C41">
    <cfRule type="expression" priority="91" dxfId="0">
      <formula>AND(COUNT(C41:F41)=4,C41=5)</formula>
    </cfRule>
    <cfRule type="expression" priority="92" dxfId="1">
      <formula>AND(COUNT(C41:F41)=4,C41&lt;5*0.4)</formula>
    </cfRule>
    <cfRule type="expression" priority="93" dxfId="2">
      <formula>AND(COUNT(C41:F41)=4,C41&gt;=5*0.4,C41&lt;5)</formula>
    </cfRule>
  </conditionalFormatting>
  <conditionalFormatting sqref="D11">
    <cfRule type="expression" priority="94" dxfId="0">
      <formula>AND(COUNT(C11:F11)=4,D11=5)</formula>
    </cfRule>
    <cfRule type="expression" priority="95" dxfId="1">
      <formula>AND(COUNT(C11:F11)=4,D11&lt;5*0.4)</formula>
    </cfRule>
    <cfRule type="expression" priority="96" dxfId="2">
      <formula>AND(COUNT(C11:F11)=4,D11&gt;=5*0.4,D11&lt;5)</formula>
    </cfRule>
  </conditionalFormatting>
  <conditionalFormatting sqref="D12">
    <cfRule type="expression" priority="97" dxfId="0">
      <formula>AND(COUNT(C12:F12)=4,D12=5)</formula>
    </cfRule>
    <cfRule type="expression" priority="98" dxfId="1">
      <formula>AND(COUNT(C12:F12)=4,D12&lt;5*0.4)</formula>
    </cfRule>
    <cfRule type="expression" priority="99" dxfId="2">
      <formula>AND(COUNT(C12:F12)=4,D12&gt;=5*0.4,D12&lt;5)</formula>
    </cfRule>
  </conditionalFormatting>
  <conditionalFormatting sqref="D13">
    <cfRule type="expression" priority="100" dxfId="0">
      <formula>AND(COUNT(C13:F13)=4,D13=5)</formula>
    </cfRule>
    <cfRule type="expression" priority="101" dxfId="1">
      <formula>AND(COUNT(C13:F13)=4,D13&lt;5*0.4)</formula>
    </cfRule>
    <cfRule type="expression" priority="102" dxfId="2">
      <formula>AND(COUNT(C13:F13)=4,D13&gt;=5*0.4,D13&lt;5)</formula>
    </cfRule>
  </conditionalFormatting>
  <conditionalFormatting sqref="D14">
    <cfRule type="expression" priority="103" dxfId="0">
      <formula>AND(COUNT(C14:F14)=4,D14=5)</formula>
    </cfRule>
    <cfRule type="expression" priority="104" dxfId="1">
      <formula>AND(COUNT(C14:F14)=4,D14&lt;5*0.4)</formula>
    </cfRule>
    <cfRule type="expression" priority="105" dxfId="2">
      <formula>AND(COUNT(C14:F14)=4,D14&gt;=5*0.4,D14&lt;5)</formula>
    </cfRule>
  </conditionalFormatting>
  <conditionalFormatting sqref="D15">
    <cfRule type="expression" priority="106" dxfId="0">
      <formula>AND(COUNT(C15:F15)=4,D15=5)</formula>
    </cfRule>
    <cfRule type="expression" priority="107" dxfId="1">
      <formula>AND(COUNT(C15:F15)=4,D15&lt;5*0.4)</formula>
    </cfRule>
    <cfRule type="expression" priority="108" dxfId="2">
      <formula>AND(COUNT(C15:F15)=4,D15&gt;=5*0.4,D15&lt;5)</formula>
    </cfRule>
  </conditionalFormatting>
  <conditionalFormatting sqref="D16">
    <cfRule type="expression" priority="109" dxfId="0">
      <formula>AND(COUNT(C16:F16)=4,D16=5)</formula>
    </cfRule>
    <cfRule type="expression" priority="110" dxfId="1">
      <formula>AND(COUNT(C16:F16)=4,D16&lt;5*0.4)</formula>
    </cfRule>
    <cfRule type="expression" priority="111" dxfId="2">
      <formula>AND(COUNT(C16:F16)=4,D16&gt;=5*0.4,D16&lt;5)</formula>
    </cfRule>
  </conditionalFormatting>
  <conditionalFormatting sqref="D17">
    <cfRule type="expression" priority="112" dxfId="0">
      <formula>AND(COUNT(C17:F17)=4,D17=5)</formula>
    </cfRule>
    <cfRule type="expression" priority="113" dxfId="1">
      <formula>AND(COUNT(C17:F17)=4,D17&lt;5*0.4)</formula>
    </cfRule>
    <cfRule type="expression" priority="114" dxfId="2">
      <formula>AND(COUNT(C17:F17)=4,D17&gt;=5*0.4,D17&lt;5)</formula>
    </cfRule>
  </conditionalFormatting>
  <conditionalFormatting sqref="D18">
    <cfRule type="expression" priority="115" dxfId="0">
      <formula>AND(COUNT(C18:F18)=4,D18=5)</formula>
    </cfRule>
    <cfRule type="expression" priority="116" dxfId="1">
      <formula>AND(COUNT(C18:F18)=4,D18&lt;5*0.4)</formula>
    </cfRule>
    <cfRule type="expression" priority="117" dxfId="2">
      <formula>AND(COUNT(C18:F18)=4,D18&gt;=5*0.4,D18&lt;5)</formula>
    </cfRule>
  </conditionalFormatting>
  <conditionalFormatting sqref="D19">
    <cfRule type="expression" priority="118" dxfId="0">
      <formula>AND(COUNT(C19:F19)=4,D19=5)</formula>
    </cfRule>
    <cfRule type="expression" priority="119" dxfId="1">
      <formula>AND(COUNT(C19:F19)=4,D19&lt;5*0.4)</formula>
    </cfRule>
    <cfRule type="expression" priority="120" dxfId="2">
      <formula>AND(COUNT(C19:F19)=4,D19&gt;=5*0.4,D19&lt;5)</formula>
    </cfRule>
  </conditionalFormatting>
  <conditionalFormatting sqref="D20">
    <cfRule type="expression" priority="121" dxfId="0">
      <formula>AND(COUNT(C20:F20)=4,D20=5)</formula>
    </cfRule>
    <cfRule type="expression" priority="122" dxfId="1">
      <formula>AND(COUNT(C20:F20)=4,D20&lt;5*0.4)</formula>
    </cfRule>
    <cfRule type="expression" priority="123" dxfId="2">
      <formula>AND(COUNT(C20:F20)=4,D20&gt;=5*0.4,D20&lt;5)</formula>
    </cfRule>
  </conditionalFormatting>
  <conditionalFormatting sqref="D21">
    <cfRule type="expression" priority="124" dxfId="0">
      <formula>AND(COUNT(C21:F21)=4,D21=5)</formula>
    </cfRule>
    <cfRule type="expression" priority="125" dxfId="1">
      <formula>AND(COUNT(C21:F21)=4,D21&lt;5*0.4)</formula>
    </cfRule>
    <cfRule type="expression" priority="126" dxfId="2">
      <formula>AND(COUNT(C21:F21)=4,D21&gt;=5*0.4,D21&lt;5)</formula>
    </cfRule>
  </conditionalFormatting>
  <conditionalFormatting sqref="D22">
    <cfRule type="expression" priority="127" dxfId="0">
      <formula>AND(COUNT(C22:F22)=4,D22=5)</formula>
    </cfRule>
    <cfRule type="expression" priority="128" dxfId="1">
      <formula>AND(COUNT(C22:F22)=4,D22&lt;5*0.4)</formula>
    </cfRule>
    <cfRule type="expression" priority="129" dxfId="2">
      <formula>AND(COUNT(C22:F22)=4,D22&gt;=5*0.4,D22&lt;5)</formula>
    </cfRule>
  </conditionalFormatting>
  <conditionalFormatting sqref="D23">
    <cfRule type="expression" priority="130" dxfId="0">
      <formula>AND(COUNT(C23:F23)=4,D23=5)</formula>
    </cfRule>
    <cfRule type="expression" priority="131" dxfId="1">
      <formula>AND(COUNT(C23:F23)=4,D23&lt;5*0.4)</formula>
    </cfRule>
    <cfRule type="expression" priority="132" dxfId="2">
      <formula>AND(COUNT(C23:F23)=4,D23&gt;=5*0.4,D23&lt;5)</formula>
    </cfRule>
  </conditionalFormatting>
  <conditionalFormatting sqref="D24">
    <cfRule type="expression" priority="133" dxfId="0">
      <formula>AND(COUNT(C24:F24)=4,D24=5)</formula>
    </cfRule>
    <cfRule type="expression" priority="134" dxfId="1">
      <formula>AND(COUNT(C24:F24)=4,D24&lt;5*0.4)</formula>
    </cfRule>
    <cfRule type="expression" priority="135" dxfId="2">
      <formula>AND(COUNT(C24:F24)=4,D24&gt;=5*0.4,D24&lt;5)</formula>
    </cfRule>
  </conditionalFormatting>
  <conditionalFormatting sqref="D25">
    <cfRule type="expression" priority="136" dxfId="0">
      <formula>AND(COUNT(C25:F25)=4,D25=5)</formula>
    </cfRule>
    <cfRule type="expression" priority="137" dxfId="1">
      <formula>AND(COUNT(C25:F25)=4,D25&lt;5*0.4)</formula>
    </cfRule>
    <cfRule type="expression" priority="138" dxfId="2">
      <formula>AND(COUNT(C25:F25)=4,D25&gt;=5*0.4,D25&lt;5)</formula>
    </cfRule>
  </conditionalFormatting>
  <conditionalFormatting sqref="D26">
    <cfRule type="expression" priority="139" dxfId="0">
      <formula>AND(COUNT(C26:F26)=4,D26=5)</formula>
    </cfRule>
    <cfRule type="expression" priority="140" dxfId="1">
      <formula>AND(COUNT(C26:F26)=4,D26&lt;5*0.4)</formula>
    </cfRule>
    <cfRule type="expression" priority="141" dxfId="2">
      <formula>AND(COUNT(C26:F26)=4,D26&gt;=5*0.4,D26&lt;5)</formula>
    </cfRule>
  </conditionalFormatting>
  <conditionalFormatting sqref="D27">
    <cfRule type="expression" priority="142" dxfId="0">
      <formula>AND(COUNT(C27:F27)=4,D27=5)</formula>
    </cfRule>
    <cfRule type="expression" priority="143" dxfId="1">
      <formula>AND(COUNT(C27:F27)=4,D27&lt;5*0.4)</formula>
    </cfRule>
    <cfRule type="expression" priority="144" dxfId="2">
      <formula>AND(COUNT(C27:F27)=4,D27&gt;=5*0.4,D27&lt;5)</formula>
    </cfRule>
  </conditionalFormatting>
  <conditionalFormatting sqref="D28">
    <cfRule type="expression" priority="145" dxfId="0">
      <formula>AND(COUNT(C28:F28)=4,D28=5)</formula>
    </cfRule>
    <cfRule type="expression" priority="146" dxfId="1">
      <formula>AND(COUNT(C28:F28)=4,D28&lt;5*0.4)</formula>
    </cfRule>
    <cfRule type="expression" priority="147" dxfId="2">
      <formula>AND(COUNT(C28:F28)=4,D28&gt;=5*0.4,D28&lt;5)</formula>
    </cfRule>
  </conditionalFormatting>
  <conditionalFormatting sqref="D29">
    <cfRule type="expression" priority="148" dxfId="0">
      <formula>AND(COUNT(C29:F29)=4,D29=5)</formula>
    </cfRule>
    <cfRule type="expression" priority="149" dxfId="1">
      <formula>AND(COUNT(C29:F29)=4,D29&lt;5*0.4)</formula>
    </cfRule>
    <cfRule type="expression" priority="150" dxfId="2">
      <formula>AND(COUNT(C29:F29)=4,D29&gt;=5*0.4,D29&lt;5)</formula>
    </cfRule>
  </conditionalFormatting>
  <conditionalFormatting sqref="D30">
    <cfRule type="expression" priority="151" dxfId="0">
      <formula>AND(COUNT(C30:F30)=4,D30=5)</formula>
    </cfRule>
    <cfRule type="expression" priority="152" dxfId="1">
      <formula>AND(COUNT(C30:F30)=4,D30&lt;5*0.4)</formula>
    </cfRule>
    <cfRule type="expression" priority="153" dxfId="2">
      <formula>AND(COUNT(C30:F30)=4,D30&gt;=5*0.4,D30&lt;5)</formula>
    </cfRule>
  </conditionalFormatting>
  <conditionalFormatting sqref="D31">
    <cfRule type="expression" priority="154" dxfId="0">
      <formula>AND(COUNT(C31:F31)=4,D31=5)</formula>
    </cfRule>
    <cfRule type="expression" priority="155" dxfId="1">
      <formula>AND(COUNT(C31:F31)=4,D31&lt;5*0.4)</formula>
    </cfRule>
    <cfRule type="expression" priority="156" dxfId="2">
      <formula>AND(COUNT(C31:F31)=4,D31&gt;=5*0.4,D31&lt;5)</formula>
    </cfRule>
  </conditionalFormatting>
  <conditionalFormatting sqref="D32">
    <cfRule type="expression" priority="157" dxfId="0">
      <formula>AND(COUNT(C32:F32)=4,D32=5)</formula>
    </cfRule>
    <cfRule type="expression" priority="158" dxfId="1">
      <formula>AND(COUNT(C32:F32)=4,D32&lt;5*0.4)</formula>
    </cfRule>
    <cfRule type="expression" priority="159" dxfId="2">
      <formula>AND(COUNT(C32:F32)=4,D32&gt;=5*0.4,D32&lt;5)</formula>
    </cfRule>
  </conditionalFormatting>
  <conditionalFormatting sqref="D33">
    <cfRule type="expression" priority="160" dxfId="0">
      <formula>AND(COUNT(C33:F33)=4,D33=5)</formula>
    </cfRule>
    <cfRule type="expression" priority="161" dxfId="1">
      <formula>AND(COUNT(C33:F33)=4,D33&lt;5*0.4)</formula>
    </cfRule>
    <cfRule type="expression" priority="162" dxfId="2">
      <formula>AND(COUNT(C33:F33)=4,D33&gt;=5*0.4,D33&lt;5)</formula>
    </cfRule>
  </conditionalFormatting>
  <conditionalFormatting sqref="D34">
    <cfRule type="expression" priority="163" dxfId="0">
      <formula>AND(COUNT(C34:F34)=4,D34=5)</formula>
    </cfRule>
    <cfRule type="expression" priority="164" dxfId="1">
      <formula>AND(COUNT(C34:F34)=4,D34&lt;5*0.4)</formula>
    </cfRule>
    <cfRule type="expression" priority="165" dxfId="2">
      <formula>AND(COUNT(C34:F34)=4,D34&gt;=5*0.4,D34&lt;5)</formula>
    </cfRule>
  </conditionalFormatting>
  <conditionalFormatting sqref="D35">
    <cfRule type="expression" priority="166" dxfId="0">
      <formula>AND(COUNT(C35:F35)=4,D35=5)</formula>
    </cfRule>
    <cfRule type="expression" priority="167" dxfId="1">
      <formula>AND(COUNT(C35:F35)=4,D35&lt;5*0.4)</formula>
    </cfRule>
    <cfRule type="expression" priority="168" dxfId="2">
      <formula>AND(COUNT(C35:F35)=4,D35&gt;=5*0.4,D35&lt;5)</formula>
    </cfRule>
  </conditionalFormatting>
  <conditionalFormatting sqref="D36">
    <cfRule type="expression" priority="169" dxfId="0">
      <formula>AND(COUNT(C36:F36)=4,D36=5)</formula>
    </cfRule>
    <cfRule type="expression" priority="170" dxfId="1">
      <formula>AND(COUNT(C36:F36)=4,D36&lt;5*0.4)</formula>
    </cfRule>
    <cfRule type="expression" priority="171" dxfId="2">
      <formula>AND(COUNT(C36:F36)=4,D36&gt;=5*0.4,D36&lt;5)</formula>
    </cfRule>
  </conditionalFormatting>
  <conditionalFormatting sqref="D37">
    <cfRule type="expression" priority="172" dxfId="0">
      <formula>AND(COUNT(C37:F37)=4,D37=5)</formula>
    </cfRule>
    <cfRule type="expression" priority="173" dxfId="1">
      <formula>AND(COUNT(C37:F37)=4,D37&lt;5*0.4)</formula>
    </cfRule>
    <cfRule type="expression" priority="174" dxfId="2">
      <formula>AND(COUNT(C37:F37)=4,D37&gt;=5*0.4,D37&lt;5)</formula>
    </cfRule>
  </conditionalFormatting>
  <conditionalFormatting sqref="D38">
    <cfRule type="expression" priority="175" dxfId="0">
      <formula>AND(COUNT(C38:F38)=4,D38=5)</formula>
    </cfRule>
    <cfRule type="expression" priority="176" dxfId="1">
      <formula>AND(COUNT(C38:F38)=4,D38&lt;5*0.4)</formula>
    </cfRule>
    <cfRule type="expression" priority="177" dxfId="2">
      <formula>AND(COUNT(C38:F38)=4,D38&gt;=5*0.4,D38&lt;5)</formula>
    </cfRule>
  </conditionalFormatting>
  <conditionalFormatting sqref="D39">
    <cfRule type="expression" priority="178" dxfId="0">
      <formula>AND(COUNT(C39:F39)=4,D39=5)</formula>
    </cfRule>
    <cfRule type="expression" priority="179" dxfId="1">
      <formula>AND(COUNT(C39:F39)=4,D39&lt;5*0.4)</formula>
    </cfRule>
    <cfRule type="expression" priority="180" dxfId="2">
      <formula>AND(COUNT(C39:F39)=4,D39&gt;=5*0.4,D39&lt;5)</formula>
    </cfRule>
  </conditionalFormatting>
  <conditionalFormatting sqref="D40">
    <cfRule type="expression" priority="181" dxfId="0">
      <formula>AND(COUNT(C40:F40)=4,D40=5)</formula>
    </cfRule>
    <cfRule type="expression" priority="182" dxfId="1">
      <formula>AND(COUNT(C40:F40)=4,D40&lt;5*0.4)</formula>
    </cfRule>
    <cfRule type="expression" priority="183" dxfId="2">
      <formula>AND(COUNT(C40:F40)=4,D40&gt;=5*0.4,D40&lt;5)</formula>
    </cfRule>
  </conditionalFormatting>
  <conditionalFormatting sqref="D41">
    <cfRule type="expression" priority="184" dxfId="0">
      <formula>AND(COUNT(C41:F41)=4,D41=5)</formula>
    </cfRule>
    <cfRule type="expression" priority="185" dxfId="1">
      <formula>AND(COUNT(C41:F41)=4,D41&lt;5*0.4)</formula>
    </cfRule>
    <cfRule type="expression" priority="186" dxfId="2">
      <formula>AND(COUNT(C41:F41)=4,D41&gt;=5*0.4,D41&lt;5)</formula>
    </cfRule>
  </conditionalFormatting>
  <conditionalFormatting sqref="E11">
    <cfRule type="expression" priority="187" dxfId="0">
      <formula>AND(COUNT(C11:F11)=4,E11=7)</formula>
    </cfRule>
    <cfRule type="expression" priority="188" dxfId="1">
      <formula>AND(COUNT(C11:F11)=4,E11&lt;7*0.4)</formula>
    </cfRule>
    <cfRule type="expression" priority="189" dxfId="2">
      <formula>AND(COUNT(C11:F11)=4,E11&gt;=7*0.4,E11&lt;7)</formula>
    </cfRule>
  </conditionalFormatting>
  <conditionalFormatting sqref="E12">
    <cfRule type="expression" priority="190" dxfId="0">
      <formula>AND(COUNT(C12:F12)=4,E12=7)</formula>
    </cfRule>
    <cfRule type="expression" priority="191" dxfId="1">
      <formula>AND(COUNT(C12:F12)=4,E12&lt;7*0.4)</formula>
    </cfRule>
    <cfRule type="expression" priority="192" dxfId="2">
      <formula>AND(COUNT(C12:F12)=4,E12&gt;=7*0.4,E12&lt;7)</formula>
    </cfRule>
  </conditionalFormatting>
  <conditionalFormatting sqref="E13">
    <cfRule type="expression" priority="193" dxfId="0">
      <formula>AND(COUNT(C13:F13)=4,E13=7)</formula>
    </cfRule>
    <cfRule type="expression" priority="194" dxfId="1">
      <formula>AND(COUNT(C13:F13)=4,E13&lt;7*0.4)</formula>
    </cfRule>
    <cfRule type="expression" priority="195" dxfId="2">
      <formula>AND(COUNT(C13:F13)=4,E13&gt;=7*0.4,E13&lt;7)</formula>
    </cfRule>
  </conditionalFormatting>
  <conditionalFormatting sqref="E14">
    <cfRule type="expression" priority="196" dxfId="0">
      <formula>AND(COUNT(C14:F14)=4,E14=7)</formula>
    </cfRule>
    <cfRule type="expression" priority="197" dxfId="1">
      <formula>AND(COUNT(C14:F14)=4,E14&lt;7*0.4)</formula>
    </cfRule>
    <cfRule type="expression" priority="198" dxfId="2">
      <formula>AND(COUNT(C14:F14)=4,E14&gt;=7*0.4,E14&lt;7)</formula>
    </cfRule>
  </conditionalFormatting>
  <conditionalFormatting sqref="E15">
    <cfRule type="expression" priority="199" dxfId="0">
      <formula>AND(COUNT(C15:F15)=4,E15=7)</formula>
    </cfRule>
    <cfRule type="expression" priority="200" dxfId="1">
      <formula>AND(COUNT(C15:F15)=4,E15&lt;7*0.4)</formula>
    </cfRule>
    <cfRule type="expression" priority="201" dxfId="2">
      <formula>AND(COUNT(C15:F15)=4,E15&gt;=7*0.4,E15&lt;7)</formula>
    </cfRule>
  </conditionalFormatting>
  <conditionalFormatting sqref="E16">
    <cfRule type="expression" priority="202" dxfId="0">
      <formula>AND(COUNT(C16:F16)=4,E16=7)</formula>
    </cfRule>
    <cfRule type="expression" priority="203" dxfId="1">
      <formula>AND(COUNT(C16:F16)=4,E16&lt;7*0.4)</formula>
    </cfRule>
    <cfRule type="expression" priority="204" dxfId="2">
      <formula>AND(COUNT(C16:F16)=4,E16&gt;=7*0.4,E16&lt;7)</formula>
    </cfRule>
  </conditionalFormatting>
  <conditionalFormatting sqref="E17">
    <cfRule type="expression" priority="205" dxfId="0">
      <formula>AND(COUNT(C17:F17)=4,E17=7)</formula>
    </cfRule>
    <cfRule type="expression" priority="206" dxfId="1">
      <formula>AND(COUNT(C17:F17)=4,E17&lt;7*0.4)</formula>
    </cfRule>
    <cfRule type="expression" priority="207" dxfId="2">
      <formula>AND(COUNT(C17:F17)=4,E17&gt;=7*0.4,E17&lt;7)</formula>
    </cfRule>
  </conditionalFormatting>
  <conditionalFormatting sqref="E18">
    <cfRule type="expression" priority="208" dxfId="0">
      <formula>AND(COUNT(C18:F18)=4,E18=7)</formula>
    </cfRule>
    <cfRule type="expression" priority="209" dxfId="1">
      <formula>AND(COUNT(C18:F18)=4,E18&lt;7*0.4)</formula>
    </cfRule>
    <cfRule type="expression" priority="210" dxfId="2">
      <formula>AND(COUNT(C18:F18)=4,E18&gt;=7*0.4,E18&lt;7)</formula>
    </cfRule>
  </conditionalFormatting>
  <conditionalFormatting sqref="E19">
    <cfRule type="expression" priority="211" dxfId="0">
      <formula>AND(COUNT(C19:F19)=4,E19=7)</formula>
    </cfRule>
    <cfRule type="expression" priority="212" dxfId="1">
      <formula>AND(COUNT(C19:F19)=4,E19&lt;7*0.4)</formula>
    </cfRule>
    <cfRule type="expression" priority="213" dxfId="2">
      <formula>AND(COUNT(C19:F19)=4,E19&gt;=7*0.4,E19&lt;7)</formula>
    </cfRule>
  </conditionalFormatting>
  <conditionalFormatting sqref="E20">
    <cfRule type="expression" priority="214" dxfId="0">
      <formula>AND(COUNT(C20:F20)=4,E20=7)</formula>
    </cfRule>
    <cfRule type="expression" priority="215" dxfId="1">
      <formula>AND(COUNT(C20:F20)=4,E20&lt;7*0.4)</formula>
    </cfRule>
    <cfRule type="expression" priority="216" dxfId="2">
      <formula>AND(COUNT(C20:F20)=4,E20&gt;=7*0.4,E20&lt;7)</formula>
    </cfRule>
  </conditionalFormatting>
  <conditionalFormatting sqref="E21">
    <cfRule type="expression" priority="217" dxfId="0">
      <formula>AND(COUNT(C21:F21)=4,E21=7)</formula>
    </cfRule>
    <cfRule type="expression" priority="218" dxfId="1">
      <formula>AND(COUNT(C21:F21)=4,E21&lt;7*0.4)</formula>
    </cfRule>
    <cfRule type="expression" priority="219" dxfId="2">
      <formula>AND(COUNT(C21:F21)=4,E21&gt;=7*0.4,E21&lt;7)</formula>
    </cfRule>
  </conditionalFormatting>
  <conditionalFormatting sqref="E22">
    <cfRule type="expression" priority="220" dxfId="0">
      <formula>AND(COUNT(C22:F22)=4,E22=7)</formula>
    </cfRule>
    <cfRule type="expression" priority="221" dxfId="1">
      <formula>AND(COUNT(C22:F22)=4,E22&lt;7*0.4)</formula>
    </cfRule>
    <cfRule type="expression" priority="222" dxfId="2">
      <formula>AND(COUNT(C22:F22)=4,E22&gt;=7*0.4,E22&lt;7)</formula>
    </cfRule>
  </conditionalFormatting>
  <conditionalFormatting sqref="E23">
    <cfRule type="expression" priority="223" dxfId="0">
      <formula>AND(COUNT(C23:F23)=4,E23=7)</formula>
    </cfRule>
    <cfRule type="expression" priority="224" dxfId="1">
      <formula>AND(COUNT(C23:F23)=4,E23&lt;7*0.4)</formula>
    </cfRule>
    <cfRule type="expression" priority="225" dxfId="2">
      <formula>AND(COUNT(C23:F23)=4,E23&gt;=7*0.4,E23&lt;7)</formula>
    </cfRule>
  </conditionalFormatting>
  <conditionalFormatting sqref="E24">
    <cfRule type="expression" priority="226" dxfId="0">
      <formula>AND(COUNT(C24:F24)=4,E24=7)</formula>
    </cfRule>
    <cfRule type="expression" priority="227" dxfId="1">
      <formula>AND(COUNT(C24:F24)=4,E24&lt;7*0.4)</formula>
    </cfRule>
    <cfRule type="expression" priority="228" dxfId="2">
      <formula>AND(COUNT(C24:F24)=4,E24&gt;=7*0.4,E24&lt;7)</formula>
    </cfRule>
  </conditionalFormatting>
  <conditionalFormatting sqref="E25">
    <cfRule type="expression" priority="229" dxfId="0">
      <formula>AND(COUNT(C25:F25)=4,E25=7)</formula>
    </cfRule>
    <cfRule type="expression" priority="230" dxfId="1">
      <formula>AND(COUNT(C25:F25)=4,E25&lt;7*0.4)</formula>
    </cfRule>
    <cfRule type="expression" priority="231" dxfId="2">
      <formula>AND(COUNT(C25:F25)=4,E25&gt;=7*0.4,E25&lt;7)</formula>
    </cfRule>
  </conditionalFormatting>
  <conditionalFormatting sqref="E26">
    <cfRule type="expression" priority="232" dxfId="0">
      <formula>AND(COUNT(C26:F26)=4,E26=7)</formula>
    </cfRule>
    <cfRule type="expression" priority="233" dxfId="1">
      <formula>AND(COUNT(C26:F26)=4,E26&lt;7*0.4)</formula>
    </cfRule>
    <cfRule type="expression" priority="234" dxfId="2">
      <formula>AND(COUNT(C26:F26)=4,E26&gt;=7*0.4,E26&lt;7)</formula>
    </cfRule>
  </conditionalFormatting>
  <conditionalFormatting sqref="E27">
    <cfRule type="expression" priority="235" dxfId="0">
      <formula>AND(COUNT(C27:F27)=4,E27=7)</formula>
    </cfRule>
    <cfRule type="expression" priority="236" dxfId="1">
      <formula>AND(COUNT(C27:F27)=4,E27&lt;7*0.4)</formula>
    </cfRule>
    <cfRule type="expression" priority="237" dxfId="2">
      <formula>AND(COUNT(C27:F27)=4,E27&gt;=7*0.4,E27&lt;7)</formula>
    </cfRule>
  </conditionalFormatting>
  <conditionalFormatting sqref="E28">
    <cfRule type="expression" priority="238" dxfId="0">
      <formula>AND(COUNT(C28:F28)=4,E28=7)</formula>
    </cfRule>
    <cfRule type="expression" priority="239" dxfId="1">
      <formula>AND(COUNT(C28:F28)=4,E28&lt;7*0.4)</formula>
    </cfRule>
    <cfRule type="expression" priority="240" dxfId="2">
      <formula>AND(COUNT(C28:F28)=4,E28&gt;=7*0.4,E28&lt;7)</formula>
    </cfRule>
  </conditionalFormatting>
  <conditionalFormatting sqref="E29">
    <cfRule type="expression" priority="241" dxfId="0">
      <formula>AND(COUNT(C29:F29)=4,E29=7)</formula>
    </cfRule>
    <cfRule type="expression" priority="242" dxfId="1">
      <formula>AND(COUNT(C29:F29)=4,E29&lt;7*0.4)</formula>
    </cfRule>
    <cfRule type="expression" priority="243" dxfId="2">
      <formula>AND(COUNT(C29:F29)=4,E29&gt;=7*0.4,E29&lt;7)</formula>
    </cfRule>
  </conditionalFormatting>
  <conditionalFormatting sqref="E30">
    <cfRule type="expression" priority="244" dxfId="0">
      <formula>AND(COUNT(C30:F30)=4,E30=7)</formula>
    </cfRule>
    <cfRule type="expression" priority="245" dxfId="1">
      <formula>AND(COUNT(C30:F30)=4,E30&lt;7*0.4)</formula>
    </cfRule>
    <cfRule type="expression" priority="246" dxfId="2">
      <formula>AND(COUNT(C30:F30)=4,E30&gt;=7*0.4,E30&lt;7)</formula>
    </cfRule>
  </conditionalFormatting>
  <conditionalFormatting sqref="E31">
    <cfRule type="expression" priority="247" dxfId="0">
      <formula>AND(COUNT(C31:F31)=4,E31=7)</formula>
    </cfRule>
    <cfRule type="expression" priority="248" dxfId="1">
      <formula>AND(COUNT(C31:F31)=4,E31&lt;7*0.4)</formula>
    </cfRule>
    <cfRule type="expression" priority="249" dxfId="2">
      <formula>AND(COUNT(C31:F31)=4,E31&gt;=7*0.4,E31&lt;7)</formula>
    </cfRule>
  </conditionalFormatting>
  <conditionalFormatting sqref="E32">
    <cfRule type="expression" priority="250" dxfId="0">
      <formula>AND(COUNT(C32:F32)=4,E32=7)</formula>
    </cfRule>
    <cfRule type="expression" priority="251" dxfId="1">
      <formula>AND(COUNT(C32:F32)=4,E32&lt;7*0.4)</formula>
    </cfRule>
    <cfRule type="expression" priority="252" dxfId="2">
      <formula>AND(COUNT(C32:F32)=4,E32&gt;=7*0.4,E32&lt;7)</formula>
    </cfRule>
  </conditionalFormatting>
  <conditionalFormatting sqref="E33">
    <cfRule type="expression" priority="253" dxfId="0">
      <formula>AND(COUNT(C33:F33)=4,E33=7)</formula>
    </cfRule>
    <cfRule type="expression" priority="254" dxfId="1">
      <formula>AND(COUNT(C33:F33)=4,E33&lt;7*0.4)</formula>
    </cfRule>
    <cfRule type="expression" priority="255" dxfId="2">
      <formula>AND(COUNT(C33:F33)=4,E33&gt;=7*0.4,E33&lt;7)</formula>
    </cfRule>
  </conditionalFormatting>
  <conditionalFormatting sqref="E34">
    <cfRule type="expression" priority="256" dxfId="0">
      <formula>AND(COUNT(C34:F34)=4,E34=7)</formula>
    </cfRule>
    <cfRule type="expression" priority="257" dxfId="1">
      <formula>AND(COUNT(C34:F34)=4,E34&lt;7*0.4)</formula>
    </cfRule>
    <cfRule type="expression" priority="258" dxfId="2">
      <formula>AND(COUNT(C34:F34)=4,E34&gt;=7*0.4,E34&lt;7)</formula>
    </cfRule>
  </conditionalFormatting>
  <conditionalFormatting sqref="E35">
    <cfRule type="expression" priority="259" dxfId="0">
      <formula>AND(COUNT(C35:F35)=4,E35=7)</formula>
    </cfRule>
    <cfRule type="expression" priority="260" dxfId="1">
      <formula>AND(COUNT(C35:F35)=4,E35&lt;7*0.4)</formula>
    </cfRule>
    <cfRule type="expression" priority="261" dxfId="2">
      <formula>AND(COUNT(C35:F35)=4,E35&gt;=7*0.4,E35&lt;7)</formula>
    </cfRule>
  </conditionalFormatting>
  <conditionalFormatting sqref="E36">
    <cfRule type="expression" priority="262" dxfId="0">
      <formula>AND(COUNT(C36:F36)=4,E36=7)</formula>
    </cfRule>
    <cfRule type="expression" priority="263" dxfId="1">
      <formula>AND(COUNT(C36:F36)=4,E36&lt;7*0.4)</formula>
    </cfRule>
    <cfRule type="expression" priority="264" dxfId="2">
      <formula>AND(COUNT(C36:F36)=4,E36&gt;=7*0.4,E36&lt;7)</formula>
    </cfRule>
  </conditionalFormatting>
  <conditionalFormatting sqref="E37">
    <cfRule type="expression" priority="265" dxfId="0">
      <formula>AND(COUNT(C37:F37)=4,E37=7)</formula>
    </cfRule>
    <cfRule type="expression" priority="266" dxfId="1">
      <formula>AND(COUNT(C37:F37)=4,E37&lt;7*0.4)</formula>
    </cfRule>
    <cfRule type="expression" priority="267" dxfId="2">
      <formula>AND(COUNT(C37:F37)=4,E37&gt;=7*0.4,E37&lt;7)</formula>
    </cfRule>
  </conditionalFormatting>
  <conditionalFormatting sqref="E38">
    <cfRule type="expression" priority="268" dxfId="0">
      <formula>AND(COUNT(C38:F38)=4,E38=7)</formula>
    </cfRule>
    <cfRule type="expression" priority="269" dxfId="1">
      <formula>AND(COUNT(C38:F38)=4,E38&lt;7*0.4)</formula>
    </cfRule>
    <cfRule type="expression" priority="270" dxfId="2">
      <formula>AND(COUNT(C38:F38)=4,E38&gt;=7*0.4,E38&lt;7)</formula>
    </cfRule>
  </conditionalFormatting>
  <conditionalFormatting sqref="E39">
    <cfRule type="expression" priority="271" dxfId="0">
      <formula>AND(COUNT(C39:F39)=4,E39=7)</formula>
    </cfRule>
    <cfRule type="expression" priority="272" dxfId="1">
      <formula>AND(COUNT(C39:F39)=4,E39&lt;7*0.4)</formula>
    </cfRule>
    <cfRule type="expression" priority="273" dxfId="2">
      <formula>AND(COUNT(C39:F39)=4,E39&gt;=7*0.4,E39&lt;7)</formula>
    </cfRule>
  </conditionalFormatting>
  <conditionalFormatting sqref="E40">
    <cfRule type="expression" priority="274" dxfId="0">
      <formula>AND(COUNT(C40:F40)=4,E40=7)</formula>
    </cfRule>
    <cfRule type="expression" priority="275" dxfId="1">
      <formula>AND(COUNT(C40:F40)=4,E40&lt;7*0.4)</formula>
    </cfRule>
    <cfRule type="expression" priority="276" dxfId="2">
      <formula>AND(COUNT(C40:F40)=4,E40&gt;=7*0.4,E40&lt;7)</formula>
    </cfRule>
  </conditionalFormatting>
  <conditionalFormatting sqref="E41">
    <cfRule type="expression" priority="277" dxfId="0">
      <formula>AND(COUNT(C41:F41)=4,E41=7)</formula>
    </cfRule>
    <cfRule type="expression" priority="278" dxfId="1">
      <formula>AND(COUNT(C41:F41)=4,E41&lt;7*0.4)</formula>
    </cfRule>
    <cfRule type="expression" priority="279" dxfId="2">
      <formula>AND(COUNT(C41:F41)=4,E41&gt;=7*0.4,E41&lt;7)</formula>
    </cfRule>
  </conditionalFormatting>
  <conditionalFormatting sqref="F11">
    <cfRule type="expression" priority="280" dxfId="0">
      <formula>AND(COUNT(C11:F11)=4,F11=5)</formula>
    </cfRule>
    <cfRule type="expression" priority="281" dxfId="1">
      <formula>AND(COUNT(C11:F11)=4,F11&lt;5*0.4)</formula>
    </cfRule>
    <cfRule type="expression" priority="282" dxfId="2">
      <formula>AND(COUNT(C11:F11)=4,F11&gt;=5*0.4,F11&lt;5)</formula>
    </cfRule>
  </conditionalFormatting>
  <conditionalFormatting sqref="F12">
    <cfRule type="expression" priority="283" dxfId="0">
      <formula>AND(COUNT(C12:F12)=4,F12=5)</formula>
    </cfRule>
    <cfRule type="expression" priority="284" dxfId="1">
      <formula>AND(COUNT(C12:F12)=4,F12&lt;5*0.4)</formula>
    </cfRule>
    <cfRule type="expression" priority="285" dxfId="2">
      <formula>AND(COUNT(C12:F12)=4,F12&gt;=5*0.4,F12&lt;5)</formula>
    </cfRule>
  </conditionalFormatting>
  <conditionalFormatting sqref="F13">
    <cfRule type="expression" priority="286" dxfId="0">
      <formula>AND(COUNT(C13:F13)=4,F13=5)</formula>
    </cfRule>
    <cfRule type="expression" priority="287" dxfId="1">
      <formula>AND(COUNT(C13:F13)=4,F13&lt;5*0.4)</formula>
    </cfRule>
    <cfRule type="expression" priority="288" dxfId="2">
      <formula>AND(COUNT(C13:F13)=4,F13&gt;=5*0.4,F13&lt;5)</formula>
    </cfRule>
  </conditionalFormatting>
  <conditionalFormatting sqref="F14">
    <cfRule type="expression" priority="289" dxfId="0">
      <formula>AND(COUNT(C14:F14)=4,F14=5)</formula>
    </cfRule>
    <cfRule type="expression" priority="290" dxfId="1">
      <formula>AND(COUNT(C14:F14)=4,F14&lt;5*0.4)</formula>
    </cfRule>
    <cfRule type="expression" priority="291" dxfId="2">
      <formula>AND(COUNT(C14:F14)=4,F14&gt;=5*0.4,F14&lt;5)</formula>
    </cfRule>
  </conditionalFormatting>
  <conditionalFormatting sqref="F15">
    <cfRule type="expression" priority="292" dxfId="0">
      <formula>AND(COUNT(C15:F15)=4,F15=5)</formula>
    </cfRule>
    <cfRule type="expression" priority="293" dxfId="1">
      <formula>AND(COUNT(C15:F15)=4,F15&lt;5*0.4)</formula>
    </cfRule>
    <cfRule type="expression" priority="294" dxfId="2">
      <formula>AND(COUNT(C15:F15)=4,F15&gt;=5*0.4,F15&lt;5)</formula>
    </cfRule>
  </conditionalFormatting>
  <conditionalFormatting sqref="F16">
    <cfRule type="expression" priority="295" dxfId="0">
      <formula>AND(COUNT(C16:F16)=4,F16=5)</formula>
    </cfRule>
    <cfRule type="expression" priority="296" dxfId="1">
      <formula>AND(COUNT(C16:F16)=4,F16&lt;5*0.4)</formula>
    </cfRule>
    <cfRule type="expression" priority="297" dxfId="2">
      <formula>AND(COUNT(C16:F16)=4,F16&gt;=5*0.4,F16&lt;5)</formula>
    </cfRule>
  </conditionalFormatting>
  <conditionalFormatting sqref="F17">
    <cfRule type="expression" priority="298" dxfId="0">
      <formula>AND(COUNT(C17:F17)=4,F17=5)</formula>
    </cfRule>
    <cfRule type="expression" priority="299" dxfId="1">
      <formula>AND(COUNT(C17:F17)=4,F17&lt;5*0.4)</formula>
    </cfRule>
    <cfRule type="expression" priority="300" dxfId="2">
      <formula>AND(COUNT(C17:F17)=4,F17&gt;=5*0.4,F17&lt;5)</formula>
    </cfRule>
  </conditionalFormatting>
  <conditionalFormatting sqref="F18">
    <cfRule type="expression" priority="301" dxfId="0">
      <formula>AND(COUNT(C18:F18)=4,F18=5)</formula>
    </cfRule>
    <cfRule type="expression" priority="302" dxfId="1">
      <formula>AND(COUNT(C18:F18)=4,F18&lt;5*0.4)</formula>
    </cfRule>
    <cfRule type="expression" priority="303" dxfId="2">
      <formula>AND(COUNT(C18:F18)=4,F18&gt;=5*0.4,F18&lt;5)</formula>
    </cfRule>
  </conditionalFormatting>
  <conditionalFormatting sqref="F19">
    <cfRule type="expression" priority="304" dxfId="0">
      <formula>AND(COUNT(C19:F19)=4,F19=5)</formula>
    </cfRule>
    <cfRule type="expression" priority="305" dxfId="1">
      <formula>AND(COUNT(C19:F19)=4,F19&lt;5*0.4)</formula>
    </cfRule>
    <cfRule type="expression" priority="306" dxfId="2">
      <formula>AND(COUNT(C19:F19)=4,F19&gt;=5*0.4,F19&lt;5)</formula>
    </cfRule>
  </conditionalFormatting>
  <conditionalFormatting sqref="F20">
    <cfRule type="expression" priority="307" dxfId="0">
      <formula>AND(COUNT(C20:F20)=4,F20=5)</formula>
    </cfRule>
    <cfRule type="expression" priority="308" dxfId="1">
      <formula>AND(COUNT(C20:F20)=4,F20&lt;5*0.4)</formula>
    </cfRule>
    <cfRule type="expression" priority="309" dxfId="2">
      <formula>AND(COUNT(C20:F20)=4,F20&gt;=5*0.4,F20&lt;5)</formula>
    </cfRule>
  </conditionalFormatting>
  <conditionalFormatting sqref="F21">
    <cfRule type="expression" priority="310" dxfId="0">
      <formula>AND(COUNT(C21:F21)=4,F21=5)</formula>
    </cfRule>
    <cfRule type="expression" priority="311" dxfId="1">
      <formula>AND(COUNT(C21:F21)=4,F21&lt;5*0.4)</formula>
    </cfRule>
    <cfRule type="expression" priority="312" dxfId="2">
      <formula>AND(COUNT(C21:F21)=4,F21&gt;=5*0.4,F21&lt;5)</formula>
    </cfRule>
  </conditionalFormatting>
  <conditionalFormatting sqref="F22">
    <cfRule type="expression" priority="313" dxfId="0">
      <formula>AND(COUNT(C22:F22)=4,F22=5)</formula>
    </cfRule>
    <cfRule type="expression" priority="314" dxfId="1">
      <formula>AND(COUNT(C22:F22)=4,F22&lt;5*0.4)</formula>
    </cfRule>
    <cfRule type="expression" priority="315" dxfId="2">
      <formula>AND(COUNT(C22:F22)=4,F22&gt;=5*0.4,F22&lt;5)</formula>
    </cfRule>
  </conditionalFormatting>
  <conditionalFormatting sqref="F23">
    <cfRule type="expression" priority="316" dxfId="0">
      <formula>AND(COUNT(C23:F23)=4,F23=5)</formula>
    </cfRule>
    <cfRule type="expression" priority="317" dxfId="1">
      <formula>AND(COUNT(C23:F23)=4,F23&lt;5*0.4)</formula>
    </cfRule>
    <cfRule type="expression" priority="318" dxfId="2">
      <formula>AND(COUNT(C23:F23)=4,F23&gt;=5*0.4,F23&lt;5)</formula>
    </cfRule>
  </conditionalFormatting>
  <conditionalFormatting sqref="F24">
    <cfRule type="expression" priority="319" dxfId="0">
      <formula>AND(COUNT(C24:F24)=4,F24=5)</formula>
    </cfRule>
    <cfRule type="expression" priority="320" dxfId="1">
      <formula>AND(COUNT(C24:F24)=4,F24&lt;5*0.4)</formula>
    </cfRule>
    <cfRule type="expression" priority="321" dxfId="2">
      <formula>AND(COUNT(C24:F24)=4,F24&gt;=5*0.4,F24&lt;5)</formula>
    </cfRule>
  </conditionalFormatting>
  <conditionalFormatting sqref="F25">
    <cfRule type="expression" priority="322" dxfId="0">
      <formula>AND(COUNT(C25:F25)=4,F25=5)</formula>
    </cfRule>
    <cfRule type="expression" priority="323" dxfId="1">
      <formula>AND(COUNT(C25:F25)=4,F25&lt;5*0.4)</formula>
    </cfRule>
    <cfRule type="expression" priority="324" dxfId="2">
      <formula>AND(COUNT(C25:F25)=4,F25&gt;=5*0.4,F25&lt;5)</formula>
    </cfRule>
  </conditionalFormatting>
  <conditionalFormatting sqref="F26">
    <cfRule type="expression" priority="325" dxfId="0">
      <formula>AND(COUNT(C26:F26)=4,F26=5)</formula>
    </cfRule>
    <cfRule type="expression" priority="326" dxfId="1">
      <formula>AND(COUNT(C26:F26)=4,F26&lt;5*0.4)</formula>
    </cfRule>
    <cfRule type="expression" priority="327" dxfId="2">
      <formula>AND(COUNT(C26:F26)=4,F26&gt;=5*0.4,F26&lt;5)</formula>
    </cfRule>
  </conditionalFormatting>
  <conditionalFormatting sqref="F27">
    <cfRule type="expression" priority="328" dxfId="0">
      <formula>AND(COUNT(C27:F27)=4,F27=5)</formula>
    </cfRule>
    <cfRule type="expression" priority="329" dxfId="1">
      <formula>AND(COUNT(C27:F27)=4,F27&lt;5*0.4)</formula>
    </cfRule>
    <cfRule type="expression" priority="330" dxfId="2">
      <formula>AND(COUNT(C27:F27)=4,F27&gt;=5*0.4,F27&lt;5)</formula>
    </cfRule>
  </conditionalFormatting>
  <conditionalFormatting sqref="F28">
    <cfRule type="expression" priority="331" dxfId="0">
      <formula>AND(COUNT(C28:F28)=4,F28=5)</formula>
    </cfRule>
    <cfRule type="expression" priority="332" dxfId="1">
      <formula>AND(COUNT(C28:F28)=4,F28&lt;5*0.4)</formula>
    </cfRule>
    <cfRule type="expression" priority="333" dxfId="2">
      <formula>AND(COUNT(C28:F28)=4,F28&gt;=5*0.4,F28&lt;5)</formula>
    </cfRule>
  </conditionalFormatting>
  <conditionalFormatting sqref="F29">
    <cfRule type="expression" priority="334" dxfId="0">
      <formula>AND(COUNT(C29:F29)=4,F29=5)</formula>
    </cfRule>
    <cfRule type="expression" priority="335" dxfId="1">
      <formula>AND(COUNT(C29:F29)=4,F29&lt;5*0.4)</formula>
    </cfRule>
    <cfRule type="expression" priority="336" dxfId="2">
      <formula>AND(COUNT(C29:F29)=4,F29&gt;=5*0.4,F29&lt;5)</formula>
    </cfRule>
  </conditionalFormatting>
  <conditionalFormatting sqref="F30">
    <cfRule type="expression" priority="337" dxfId="0">
      <formula>AND(COUNT(C30:F30)=4,F30=5)</formula>
    </cfRule>
    <cfRule type="expression" priority="338" dxfId="1">
      <formula>AND(COUNT(C30:F30)=4,F30&lt;5*0.4)</formula>
    </cfRule>
    <cfRule type="expression" priority="339" dxfId="2">
      <formula>AND(COUNT(C30:F30)=4,F30&gt;=5*0.4,F30&lt;5)</formula>
    </cfRule>
  </conditionalFormatting>
  <conditionalFormatting sqref="F31">
    <cfRule type="expression" priority="340" dxfId="0">
      <formula>AND(COUNT(C31:F31)=4,F31=5)</formula>
    </cfRule>
    <cfRule type="expression" priority="341" dxfId="1">
      <formula>AND(COUNT(C31:F31)=4,F31&lt;5*0.4)</formula>
    </cfRule>
    <cfRule type="expression" priority="342" dxfId="2">
      <formula>AND(COUNT(C31:F31)=4,F31&gt;=5*0.4,F31&lt;5)</formula>
    </cfRule>
  </conditionalFormatting>
  <conditionalFormatting sqref="F32">
    <cfRule type="expression" priority="343" dxfId="0">
      <formula>AND(COUNT(C32:F32)=4,F32=5)</formula>
    </cfRule>
    <cfRule type="expression" priority="344" dxfId="1">
      <formula>AND(COUNT(C32:F32)=4,F32&lt;5*0.4)</formula>
    </cfRule>
    <cfRule type="expression" priority="345" dxfId="2">
      <formula>AND(COUNT(C32:F32)=4,F32&gt;=5*0.4,F32&lt;5)</formula>
    </cfRule>
  </conditionalFormatting>
  <conditionalFormatting sqref="F33">
    <cfRule type="expression" priority="346" dxfId="0">
      <formula>AND(COUNT(C33:F33)=4,F33=5)</formula>
    </cfRule>
    <cfRule type="expression" priority="347" dxfId="1">
      <formula>AND(COUNT(C33:F33)=4,F33&lt;5*0.4)</formula>
    </cfRule>
    <cfRule type="expression" priority="348" dxfId="2">
      <formula>AND(COUNT(C33:F33)=4,F33&gt;=5*0.4,F33&lt;5)</formula>
    </cfRule>
  </conditionalFormatting>
  <conditionalFormatting sqref="F34">
    <cfRule type="expression" priority="349" dxfId="0">
      <formula>AND(COUNT(C34:F34)=4,F34=5)</formula>
    </cfRule>
    <cfRule type="expression" priority="350" dxfId="1">
      <formula>AND(COUNT(C34:F34)=4,F34&lt;5*0.4)</formula>
    </cfRule>
    <cfRule type="expression" priority="351" dxfId="2">
      <formula>AND(COUNT(C34:F34)=4,F34&gt;=5*0.4,F34&lt;5)</formula>
    </cfRule>
  </conditionalFormatting>
  <conditionalFormatting sqref="F35">
    <cfRule type="expression" priority="352" dxfId="0">
      <formula>AND(COUNT(C35:F35)=4,F35=5)</formula>
    </cfRule>
    <cfRule type="expression" priority="353" dxfId="1">
      <formula>AND(COUNT(C35:F35)=4,F35&lt;5*0.4)</formula>
    </cfRule>
    <cfRule type="expression" priority="354" dxfId="2">
      <formula>AND(COUNT(C35:F35)=4,F35&gt;=5*0.4,F35&lt;5)</formula>
    </cfRule>
  </conditionalFormatting>
  <conditionalFormatting sqref="F36">
    <cfRule type="expression" priority="355" dxfId="0">
      <formula>AND(COUNT(C36:F36)=4,F36=5)</formula>
    </cfRule>
    <cfRule type="expression" priority="356" dxfId="1">
      <formula>AND(COUNT(C36:F36)=4,F36&lt;5*0.4)</formula>
    </cfRule>
    <cfRule type="expression" priority="357" dxfId="2">
      <formula>AND(COUNT(C36:F36)=4,F36&gt;=5*0.4,F36&lt;5)</formula>
    </cfRule>
  </conditionalFormatting>
  <conditionalFormatting sqref="F37">
    <cfRule type="expression" priority="358" dxfId="0">
      <formula>AND(COUNT(C37:F37)=4,F37=5)</formula>
    </cfRule>
    <cfRule type="expression" priority="359" dxfId="1">
      <formula>AND(COUNT(C37:F37)=4,F37&lt;5*0.4)</formula>
    </cfRule>
    <cfRule type="expression" priority="360" dxfId="2">
      <formula>AND(COUNT(C37:F37)=4,F37&gt;=5*0.4,F37&lt;5)</formula>
    </cfRule>
  </conditionalFormatting>
  <conditionalFormatting sqref="F38">
    <cfRule type="expression" priority="361" dxfId="0">
      <formula>AND(COUNT(C38:F38)=4,F38=5)</formula>
    </cfRule>
    <cfRule type="expression" priority="362" dxfId="1">
      <formula>AND(COUNT(C38:F38)=4,F38&lt;5*0.4)</formula>
    </cfRule>
    <cfRule type="expression" priority="363" dxfId="2">
      <formula>AND(COUNT(C38:F38)=4,F38&gt;=5*0.4,F38&lt;5)</formula>
    </cfRule>
  </conditionalFormatting>
  <conditionalFormatting sqref="F39">
    <cfRule type="expression" priority="364" dxfId="0">
      <formula>AND(COUNT(C39:F39)=4,F39=5)</formula>
    </cfRule>
    <cfRule type="expression" priority="365" dxfId="1">
      <formula>AND(COUNT(C39:F39)=4,F39&lt;5*0.4)</formula>
    </cfRule>
    <cfRule type="expression" priority="366" dxfId="2">
      <formula>AND(COUNT(C39:F39)=4,F39&gt;=5*0.4,F39&lt;5)</formula>
    </cfRule>
  </conditionalFormatting>
  <conditionalFormatting sqref="F40">
    <cfRule type="expression" priority="367" dxfId="0">
      <formula>AND(COUNT(C40:F40)=4,F40=5)</formula>
    </cfRule>
    <cfRule type="expression" priority="368" dxfId="1">
      <formula>AND(COUNT(C40:F40)=4,F40&lt;5*0.4)</formula>
    </cfRule>
    <cfRule type="expression" priority="369" dxfId="2">
      <formula>AND(COUNT(C40:F40)=4,F40&gt;=5*0.4,F40&lt;5)</formula>
    </cfRule>
  </conditionalFormatting>
  <conditionalFormatting sqref="F41">
    <cfRule type="expression" priority="370" dxfId="0">
      <formula>AND(COUNT(C41:F41)=4,F41=5)</formula>
    </cfRule>
    <cfRule type="expression" priority="371" dxfId="1">
      <formula>AND(COUNT(C41:F41)=4,F41&lt;5*0.4)</formula>
    </cfRule>
    <cfRule type="expression" priority="372" dxfId="2">
      <formula>AND(COUNT(C41:F41)=4,F41&gt;=5*0.4,F41&lt;5)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Mini Test 1.3 — Analysis of Data</t>
        </is>
      </c>
    </row>
    <row r="2">
      <c r="A2" s="2" t="inlineStr">
        <is>
          <t>Every block below pulls live from 'MT 1.3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SUMPRODUCT(--ISNUMBER('MT 1.3 Results'!I12:I41))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IF('MT 1.3 Results'!I12="","","Mini Test 1.3 — Analysis of Data")</f>
        <v/>
      </c>
      <c r="K5">
        <f>IF('MT 1.3 Results'!I13="","","Mini Test 1.3 — Analysis of Data")</f>
        <v/>
      </c>
    </row>
    <row r="6">
      <c r="A6">
        <f>IF('MT 1.3 Results'!I12="","","Name: "&amp;'MT 1.3 Results'!B12&amp;"   Class: "&amp;'MT 1.3 Results'!$B$3&amp;"   Date: "&amp;TEXT('MT 1.3 Results'!$B$5,"DD/MM/YY"))</f>
        <v/>
      </c>
      <c r="K6">
        <f>IF('MT 1.3 Results'!I13="","","Name: "&amp;'MT 1.3 Results'!B13&amp;"   Class: "&amp;'MT 1.3 Results'!$B$3&amp;"   Date: "&amp;TEXT('MT 1.3 Results'!$B$5,"DD/MM/YY"))</f>
        <v/>
      </c>
    </row>
    <row r="7">
      <c r="A7">
        <f>IF('MT 1.3 Results'!I12="","","Total: "&amp;'MT 1.3 Results'!G12&amp;"/22 ("&amp;TEXT('MT 1.3 Results'!H12,"0%")&amp;")   Overall: "&amp;'MT 1.3 Results'!I12)</f>
        <v/>
      </c>
      <c r="K7">
        <f>IF('MT 1.3 Results'!I13="","","Total: "&amp;'MT 1.3 Results'!G13&amp;"/22 ("&amp;TEXT('MT 1.3 Results'!H13,"0%")&amp;")   Overall: "&amp;'MT 1.3 Results'!I13)</f>
        <v/>
      </c>
    </row>
    <row r="8">
      <c r="A8">
        <f>IF('MT 1.3 Results'!I12="","",IF('MT 1.3 Results'!I12="Green",Parameters!$C$46,IF('MT 1.3 Results'!I12="Yellow",Parameters!$C$45,Parameters!$C$44)))</f>
        <v/>
      </c>
      <c r="K8">
        <f>IF('MT 1.3 Results'!I13="","",IF('MT 1.3 Results'!I13="Green",Parameters!$C$46,IF('MT 1.3 Results'!I13="Yellow",Parameters!$C$45,Parameters!$C$44)))</f>
        <v/>
      </c>
    </row>
    <row r="10">
      <c r="A10">
        <f>IF('MT 1.3 Results'!I12="","","Breakdown:")</f>
        <v/>
      </c>
      <c r="K10">
        <f>IF('MT 1.3 Results'!I13="","","Breakdown:")</f>
        <v/>
      </c>
    </row>
    <row r="11">
      <c r="A11">
        <f>IF('MT 1.3 Results'!I12="","","Q1 Drawing a box plot &amp; skewness: "&amp;'MT 1.3 Results'!C12&amp;"/5")</f>
        <v/>
      </c>
      <c r="K11">
        <f>IF('MT 1.3 Results'!I13="","","Q1 Drawing a box plot &amp; skewness: "&amp;'MT 1.3 Results'!C13&amp;"/5")</f>
        <v/>
      </c>
    </row>
    <row r="12">
      <c r="A12">
        <f>IF('MT 1.3 Results'!I12="","","Q2 Comparing box plots &amp; IQR: "&amp;'MT 1.3 Results'!D12&amp;"/5")</f>
        <v/>
      </c>
      <c r="K12">
        <f>IF('MT 1.3 Results'!I13="","","Q2 Comparing box plots &amp; IQR: "&amp;'MT 1.3 Results'!D13&amp;"/5")</f>
        <v/>
      </c>
    </row>
    <row r="13">
      <c r="A13">
        <f>IF('MT 1.3 Results'!I12="","","Q3 Cumulative frequency table &amp; graph: "&amp;'MT 1.3 Results'!E12&amp;"/7")</f>
        <v/>
      </c>
      <c r="K13">
        <f>IF('MT 1.3 Results'!I13="","","Q3 Cumulative frequency table &amp; graph: "&amp;'MT 1.3 Results'!E13&amp;"/7")</f>
        <v/>
      </c>
    </row>
    <row r="14">
      <c r="A14">
        <f>IF('MT 1.3 Results'!I12="","","Q4 Sampling bias &amp; misleading pie charts: "&amp;'MT 1.3 Results'!F12&amp;"/5")</f>
        <v/>
      </c>
      <c r="K14">
        <f>IF('MT 1.3 Results'!I13="","","Q4 Sampling bias &amp; misleading pie charts: "&amp;'MT 1.3 Results'!F13&amp;"/5")</f>
        <v/>
      </c>
    </row>
    <row r="15">
      <c r="A15">
        <f>IF(OR('MT 1.3 Results'!I12="",'MT 1.3 Results'!J12=""),"",'MT 1.3 Results'!J12)</f>
        <v/>
      </c>
      <c r="K15">
        <f>IF(OR('MT 1.3 Results'!I13="",'MT 1.3 Results'!J13=""),"",'MT 1.3 Results'!J13)</f>
        <v/>
      </c>
    </row>
    <row r="17">
      <c r="A17">
        <f>IF('MT 1.3 Results'!I12="","","Comments:")</f>
        <v/>
      </c>
      <c r="K17">
        <f>IF('MT 1.3 Results'!I13="","","Comments:")</f>
        <v/>
      </c>
    </row>
    <row r="21">
      <c r="A21">
        <f>IF('MT 1.3 Results'!I14="","","Mini Test 1.3 — Analysis of Data")</f>
        <v/>
      </c>
      <c r="K21">
        <f>IF('MT 1.3 Results'!I15="","","Mini Test 1.3 — Analysis of Data")</f>
        <v/>
      </c>
    </row>
    <row r="22">
      <c r="A22">
        <f>IF('MT 1.3 Results'!I14="","","Name: "&amp;'MT 1.3 Results'!B14&amp;"   Class: "&amp;'MT 1.3 Results'!$B$3&amp;"   Date: "&amp;TEXT('MT 1.3 Results'!$B$5,"DD/MM/YY"))</f>
        <v/>
      </c>
      <c r="K22">
        <f>IF('MT 1.3 Results'!I15="","","Name: "&amp;'MT 1.3 Results'!B15&amp;"   Class: "&amp;'MT 1.3 Results'!$B$3&amp;"   Date: "&amp;TEXT('MT 1.3 Results'!$B$5,"DD/MM/YY"))</f>
        <v/>
      </c>
    </row>
    <row r="23">
      <c r="A23">
        <f>IF('MT 1.3 Results'!I14="","","Total: "&amp;'MT 1.3 Results'!G14&amp;"/22 ("&amp;TEXT('MT 1.3 Results'!H14,"0%")&amp;")   Overall: "&amp;'MT 1.3 Results'!I14)</f>
        <v/>
      </c>
      <c r="K23">
        <f>IF('MT 1.3 Results'!I15="","","Total: "&amp;'MT 1.3 Results'!G15&amp;"/22 ("&amp;TEXT('MT 1.3 Results'!H15,"0%")&amp;")   Overall: "&amp;'MT 1.3 Results'!I15)</f>
        <v/>
      </c>
    </row>
    <row r="24">
      <c r="A24">
        <f>IF('MT 1.3 Results'!I14="","",IF('MT 1.3 Results'!I14="Green",Parameters!$C$46,IF('MT 1.3 Results'!I14="Yellow",Parameters!$C$45,Parameters!$C$44)))</f>
        <v/>
      </c>
      <c r="K24">
        <f>IF('MT 1.3 Results'!I15="","",IF('MT 1.3 Results'!I15="Green",Parameters!$C$46,IF('MT 1.3 Results'!I15="Yellow",Parameters!$C$45,Parameters!$C$44)))</f>
        <v/>
      </c>
    </row>
    <row r="26">
      <c r="A26">
        <f>IF('MT 1.3 Results'!I14="","","Breakdown:")</f>
        <v/>
      </c>
      <c r="K26">
        <f>IF('MT 1.3 Results'!I15="","","Breakdown:")</f>
        <v/>
      </c>
    </row>
    <row r="27">
      <c r="A27">
        <f>IF('MT 1.3 Results'!I14="","","Q1 Drawing a box plot &amp; skewness: "&amp;'MT 1.3 Results'!C14&amp;"/5")</f>
        <v/>
      </c>
      <c r="K27">
        <f>IF('MT 1.3 Results'!I15="","","Q1 Drawing a box plot &amp; skewness: "&amp;'MT 1.3 Results'!C15&amp;"/5")</f>
        <v/>
      </c>
    </row>
    <row r="28">
      <c r="A28">
        <f>IF('MT 1.3 Results'!I14="","","Q2 Comparing box plots &amp; IQR: "&amp;'MT 1.3 Results'!D14&amp;"/5")</f>
        <v/>
      </c>
      <c r="K28">
        <f>IF('MT 1.3 Results'!I15="","","Q2 Comparing box plots &amp; IQR: "&amp;'MT 1.3 Results'!D15&amp;"/5")</f>
        <v/>
      </c>
    </row>
    <row r="29">
      <c r="A29">
        <f>IF('MT 1.3 Results'!I14="","","Q3 Cumulative frequency table &amp; graph: "&amp;'MT 1.3 Results'!E14&amp;"/7")</f>
        <v/>
      </c>
      <c r="K29">
        <f>IF('MT 1.3 Results'!I15="","","Q3 Cumulative frequency table &amp; graph: "&amp;'MT 1.3 Results'!E15&amp;"/7")</f>
        <v/>
      </c>
    </row>
    <row r="30">
      <c r="A30">
        <f>IF('MT 1.3 Results'!I14="","","Q4 Sampling bias &amp; misleading pie charts: "&amp;'MT 1.3 Results'!F14&amp;"/5")</f>
        <v/>
      </c>
      <c r="K30">
        <f>IF('MT 1.3 Results'!I15="","","Q4 Sampling bias &amp; misleading pie charts: "&amp;'MT 1.3 Results'!F15&amp;"/5")</f>
        <v/>
      </c>
    </row>
    <row r="31">
      <c r="A31">
        <f>IF(OR('MT 1.3 Results'!I14="",'MT 1.3 Results'!J14=""),"",'MT 1.3 Results'!J14)</f>
        <v/>
      </c>
      <c r="K31">
        <f>IF(OR('MT 1.3 Results'!I15="",'MT 1.3 Results'!J15=""),"",'MT 1.3 Results'!J15)</f>
        <v/>
      </c>
    </row>
    <row r="33">
      <c r="A33">
        <f>IF('MT 1.3 Results'!I14="","","Comments:")</f>
        <v/>
      </c>
      <c r="K33">
        <f>IF('MT 1.3 Results'!I15="","","Comments:")</f>
        <v/>
      </c>
    </row>
    <row r="37">
      <c r="A37">
        <f>IF('MT 1.3 Results'!I16="","","Mini Test 1.3 — Analysis of Data")</f>
        <v/>
      </c>
      <c r="K37">
        <f>IF('MT 1.3 Results'!I17="","","Mini Test 1.3 — Analysis of Data")</f>
        <v/>
      </c>
    </row>
    <row r="38">
      <c r="A38">
        <f>IF('MT 1.3 Results'!I16="","","Name: "&amp;'MT 1.3 Results'!B16&amp;"   Class: "&amp;'MT 1.3 Results'!$B$3&amp;"   Date: "&amp;TEXT('MT 1.3 Results'!$B$5,"DD/MM/YY"))</f>
        <v/>
      </c>
      <c r="K38">
        <f>IF('MT 1.3 Results'!I17="","","Name: "&amp;'MT 1.3 Results'!B17&amp;"   Class: "&amp;'MT 1.3 Results'!$B$3&amp;"   Date: "&amp;TEXT('MT 1.3 Results'!$B$5,"DD/MM/YY"))</f>
        <v/>
      </c>
    </row>
    <row r="39">
      <c r="A39">
        <f>IF('MT 1.3 Results'!I16="","","Total: "&amp;'MT 1.3 Results'!G16&amp;"/22 ("&amp;TEXT('MT 1.3 Results'!H16,"0%")&amp;")   Overall: "&amp;'MT 1.3 Results'!I16)</f>
        <v/>
      </c>
      <c r="K39">
        <f>IF('MT 1.3 Results'!I17="","","Total: "&amp;'MT 1.3 Results'!G17&amp;"/22 ("&amp;TEXT('MT 1.3 Results'!H17,"0%")&amp;")   Overall: "&amp;'MT 1.3 Results'!I17)</f>
        <v/>
      </c>
    </row>
    <row r="40">
      <c r="A40">
        <f>IF('MT 1.3 Results'!I16="","",IF('MT 1.3 Results'!I16="Green",Parameters!$C$46,IF('MT 1.3 Results'!I16="Yellow",Parameters!$C$45,Parameters!$C$44)))</f>
        <v/>
      </c>
      <c r="K40">
        <f>IF('MT 1.3 Results'!I17="","",IF('MT 1.3 Results'!I17="Green",Parameters!$C$46,IF('MT 1.3 Results'!I17="Yellow",Parameters!$C$45,Parameters!$C$44)))</f>
        <v/>
      </c>
    </row>
    <row r="42">
      <c r="A42">
        <f>IF('MT 1.3 Results'!I16="","","Breakdown:")</f>
        <v/>
      </c>
      <c r="K42">
        <f>IF('MT 1.3 Results'!I17="","","Breakdown:")</f>
        <v/>
      </c>
    </row>
    <row r="43">
      <c r="A43">
        <f>IF('MT 1.3 Results'!I16="","","Q1 Drawing a box plot &amp; skewness: "&amp;'MT 1.3 Results'!C16&amp;"/5")</f>
        <v/>
      </c>
      <c r="K43">
        <f>IF('MT 1.3 Results'!I17="","","Q1 Drawing a box plot &amp; skewness: "&amp;'MT 1.3 Results'!C17&amp;"/5")</f>
        <v/>
      </c>
    </row>
    <row r="44">
      <c r="A44">
        <f>IF('MT 1.3 Results'!I16="","","Q2 Comparing box plots &amp; IQR: "&amp;'MT 1.3 Results'!D16&amp;"/5")</f>
        <v/>
      </c>
      <c r="K44">
        <f>IF('MT 1.3 Results'!I17="","","Q2 Comparing box plots &amp; IQR: "&amp;'MT 1.3 Results'!D17&amp;"/5")</f>
        <v/>
      </c>
    </row>
    <row r="45">
      <c r="A45">
        <f>IF('MT 1.3 Results'!I16="","","Q3 Cumulative frequency table &amp; graph: "&amp;'MT 1.3 Results'!E16&amp;"/7")</f>
        <v/>
      </c>
      <c r="K45">
        <f>IF('MT 1.3 Results'!I17="","","Q3 Cumulative frequency table &amp; graph: "&amp;'MT 1.3 Results'!E17&amp;"/7")</f>
        <v/>
      </c>
    </row>
    <row r="46">
      <c r="A46">
        <f>IF('MT 1.3 Results'!I16="","","Q4 Sampling bias &amp; misleading pie charts: "&amp;'MT 1.3 Results'!F16&amp;"/5")</f>
        <v/>
      </c>
      <c r="K46">
        <f>IF('MT 1.3 Results'!I17="","","Q4 Sampling bias &amp; misleading pie charts: "&amp;'MT 1.3 Results'!F17&amp;"/5")</f>
        <v/>
      </c>
    </row>
    <row r="47">
      <c r="A47">
        <f>IF(OR('MT 1.3 Results'!I16="",'MT 1.3 Results'!J16=""),"",'MT 1.3 Results'!J16)</f>
        <v/>
      </c>
      <c r="K47">
        <f>IF(OR('MT 1.3 Results'!I17="",'MT 1.3 Results'!J17=""),"",'MT 1.3 Results'!J17)</f>
        <v/>
      </c>
    </row>
    <row r="49">
      <c r="A49">
        <f>IF('MT 1.3 Results'!I16="","","Comments:")</f>
        <v/>
      </c>
      <c r="K49">
        <f>IF('MT 1.3 Results'!I17="","","Comments:")</f>
        <v/>
      </c>
    </row>
    <row r="53">
      <c r="A53">
        <f>IF('MT 1.3 Results'!I18="","","Mini Test 1.3 — Analysis of Data")</f>
        <v/>
      </c>
      <c r="K53">
        <f>IF('MT 1.3 Results'!I19="","","Mini Test 1.3 — Analysis of Data")</f>
        <v/>
      </c>
    </row>
    <row r="54">
      <c r="A54">
        <f>IF('MT 1.3 Results'!I18="","","Name: "&amp;'MT 1.3 Results'!B18&amp;"   Class: "&amp;'MT 1.3 Results'!$B$3&amp;"   Date: "&amp;TEXT('MT 1.3 Results'!$B$5,"DD/MM/YY"))</f>
        <v/>
      </c>
      <c r="K54">
        <f>IF('MT 1.3 Results'!I19="","","Name: "&amp;'MT 1.3 Results'!B19&amp;"   Class: "&amp;'MT 1.3 Results'!$B$3&amp;"   Date: "&amp;TEXT('MT 1.3 Results'!$B$5,"DD/MM/YY"))</f>
        <v/>
      </c>
    </row>
    <row r="55">
      <c r="A55">
        <f>IF('MT 1.3 Results'!I18="","","Total: "&amp;'MT 1.3 Results'!G18&amp;"/22 ("&amp;TEXT('MT 1.3 Results'!H18,"0%")&amp;")   Overall: "&amp;'MT 1.3 Results'!I18)</f>
        <v/>
      </c>
      <c r="K55">
        <f>IF('MT 1.3 Results'!I19="","","Total: "&amp;'MT 1.3 Results'!G19&amp;"/22 ("&amp;TEXT('MT 1.3 Results'!H19,"0%")&amp;")   Overall: "&amp;'MT 1.3 Results'!I19)</f>
        <v/>
      </c>
    </row>
    <row r="56">
      <c r="A56">
        <f>IF('MT 1.3 Results'!I18="","",IF('MT 1.3 Results'!I18="Green",Parameters!$C$46,IF('MT 1.3 Results'!I18="Yellow",Parameters!$C$45,Parameters!$C$44)))</f>
        <v/>
      </c>
      <c r="K56">
        <f>IF('MT 1.3 Results'!I19="","",IF('MT 1.3 Results'!I19="Green",Parameters!$C$46,IF('MT 1.3 Results'!I19="Yellow",Parameters!$C$45,Parameters!$C$44)))</f>
        <v/>
      </c>
    </row>
    <row r="58">
      <c r="A58">
        <f>IF('MT 1.3 Results'!I18="","","Breakdown:")</f>
        <v/>
      </c>
      <c r="K58">
        <f>IF('MT 1.3 Results'!I19="","","Breakdown:")</f>
        <v/>
      </c>
    </row>
    <row r="59">
      <c r="A59">
        <f>IF('MT 1.3 Results'!I18="","","Q1 Drawing a box plot &amp; skewness: "&amp;'MT 1.3 Results'!C18&amp;"/5")</f>
        <v/>
      </c>
      <c r="K59">
        <f>IF('MT 1.3 Results'!I19="","","Q1 Drawing a box plot &amp; skewness: "&amp;'MT 1.3 Results'!C19&amp;"/5")</f>
        <v/>
      </c>
    </row>
    <row r="60">
      <c r="A60">
        <f>IF('MT 1.3 Results'!I18="","","Q2 Comparing box plots &amp; IQR: "&amp;'MT 1.3 Results'!D18&amp;"/5")</f>
        <v/>
      </c>
      <c r="K60">
        <f>IF('MT 1.3 Results'!I19="","","Q2 Comparing box plots &amp; IQR: "&amp;'MT 1.3 Results'!D19&amp;"/5")</f>
        <v/>
      </c>
    </row>
    <row r="61">
      <c r="A61">
        <f>IF('MT 1.3 Results'!I18="","","Q3 Cumulative frequency table &amp; graph: "&amp;'MT 1.3 Results'!E18&amp;"/7")</f>
        <v/>
      </c>
      <c r="K61">
        <f>IF('MT 1.3 Results'!I19="","","Q3 Cumulative frequency table &amp; graph: "&amp;'MT 1.3 Results'!E19&amp;"/7")</f>
        <v/>
      </c>
    </row>
    <row r="62">
      <c r="A62">
        <f>IF('MT 1.3 Results'!I18="","","Q4 Sampling bias &amp; misleading pie charts: "&amp;'MT 1.3 Results'!F18&amp;"/5")</f>
        <v/>
      </c>
      <c r="K62">
        <f>IF('MT 1.3 Results'!I19="","","Q4 Sampling bias &amp; misleading pie charts: "&amp;'MT 1.3 Results'!F19&amp;"/5")</f>
        <v/>
      </c>
    </row>
    <row r="63">
      <c r="A63">
        <f>IF(OR('MT 1.3 Results'!I18="",'MT 1.3 Results'!J18=""),"",'MT 1.3 Results'!J18)</f>
        <v/>
      </c>
      <c r="K63">
        <f>IF(OR('MT 1.3 Results'!I19="",'MT 1.3 Results'!J19=""),"",'MT 1.3 Results'!J19)</f>
        <v/>
      </c>
    </row>
    <row r="65">
      <c r="A65">
        <f>IF('MT 1.3 Results'!I18="","","Comments:")</f>
        <v/>
      </c>
      <c r="K65">
        <f>IF('MT 1.3 Results'!I19="","","Comments:")</f>
        <v/>
      </c>
    </row>
    <row r="69">
      <c r="A69">
        <f>IF('MT 1.3 Results'!I20="","","Mini Test 1.3 — Analysis of Data")</f>
        <v/>
      </c>
      <c r="K69">
        <f>IF('MT 1.3 Results'!I21="","","Mini Test 1.3 — Analysis of Data")</f>
        <v/>
      </c>
    </row>
    <row r="70">
      <c r="A70">
        <f>IF('MT 1.3 Results'!I20="","","Name: "&amp;'MT 1.3 Results'!B20&amp;"   Class: "&amp;'MT 1.3 Results'!$B$3&amp;"   Date: "&amp;TEXT('MT 1.3 Results'!$B$5,"DD/MM/YY"))</f>
        <v/>
      </c>
      <c r="K70">
        <f>IF('MT 1.3 Results'!I21="","","Name: "&amp;'MT 1.3 Results'!B21&amp;"   Class: "&amp;'MT 1.3 Results'!$B$3&amp;"   Date: "&amp;TEXT('MT 1.3 Results'!$B$5,"DD/MM/YY"))</f>
        <v/>
      </c>
    </row>
    <row r="71">
      <c r="A71">
        <f>IF('MT 1.3 Results'!I20="","","Total: "&amp;'MT 1.3 Results'!G20&amp;"/22 ("&amp;TEXT('MT 1.3 Results'!H20,"0%")&amp;")   Overall: "&amp;'MT 1.3 Results'!I20)</f>
        <v/>
      </c>
      <c r="K71">
        <f>IF('MT 1.3 Results'!I21="","","Total: "&amp;'MT 1.3 Results'!G21&amp;"/22 ("&amp;TEXT('MT 1.3 Results'!H21,"0%")&amp;")   Overall: "&amp;'MT 1.3 Results'!I21)</f>
        <v/>
      </c>
    </row>
    <row r="72">
      <c r="A72">
        <f>IF('MT 1.3 Results'!I20="","",IF('MT 1.3 Results'!I20="Green",Parameters!$C$46,IF('MT 1.3 Results'!I20="Yellow",Parameters!$C$45,Parameters!$C$44)))</f>
        <v/>
      </c>
      <c r="K72">
        <f>IF('MT 1.3 Results'!I21="","",IF('MT 1.3 Results'!I21="Green",Parameters!$C$46,IF('MT 1.3 Results'!I21="Yellow",Parameters!$C$45,Parameters!$C$44)))</f>
        <v/>
      </c>
    </row>
    <row r="74">
      <c r="A74">
        <f>IF('MT 1.3 Results'!I20="","","Breakdown:")</f>
        <v/>
      </c>
      <c r="K74">
        <f>IF('MT 1.3 Results'!I21="","","Breakdown:")</f>
        <v/>
      </c>
    </row>
    <row r="75">
      <c r="A75">
        <f>IF('MT 1.3 Results'!I20="","","Q1 Drawing a box plot &amp; skewness: "&amp;'MT 1.3 Results'!C20&amp;"/5")</f>
        <v/>
      </c>
      <c r="K75">
        <f>IF('MT 1.3 Results'!I21="","","Q1 Drawing a box plot &amp; skewness: "&amp;'MT 1.3 Results'!C21&amp;"/5")</f>
        <v/>
      </c>
    </row>
    <row r="76">
      <c r="A76">
        <f>IF('MT 1.3 Results'!I20="","","Q2 Comparing box plots &amp; IQR: "&amp;'MT 1.3 Results'!D20&amp;"/5")</f>
        <v/>
      </c>
      <c r="K76">
        <f>IF('MT 1.3 Results'!I21="","","Q2 Comparing box plots &amp; IQR: "&amp;'MT 1.3 Results'!D21&amp;"/5")</f>
        <v/>
      </c>
    </row>
    <row r="77">
      <c r="A77">
        <f>IF('MT 1.3 Results'!I20="","","Q3 Cumulative frequency table &amp; graph: "&amp;'MT 1.3 Results'!E20&amp;"/7")</f>
        <v/>
      </c>
      <c r="K77">
        <f>IF('MT 1.3 Results'!I21="","","Q3 Cumulative frequency table &amp; graph: "&amp;'MT 1.3 Results'!E21&amp;"/7")</f>
        <v/>
      </c>
    </row>
    <row r="78">
      <c r="A78">
        <f>IF('MT 1.3 Results'!I20="","","Q4 Sampling bias &amp; misleading pie charts: "&amp;'MT 1.3 Results'!F20&amp;"/5")</f>
        <v/>
      </c>
      <c r="K78">
        <f>IF('MT 1.3 Results'!I21="","","Q4 Sampling bias &amp; misleading pie charts: "&amp;'MT 1.3 Results'!F21&amp;"/5")</f>
        <v/>
      </c>
    </row>
    <row r="79">
      <c r="A79">
        <f>IF(OR('MT 1.3 Results'!I20="",'MT 1.3 Results'!J20=""),"",'MT 1.3 Results'!J20)</f>
        <v/>
      </c>
      <c r="K79">
        <f>IF(OR('MT 1.3 Results'!I21="",'MT 1.3 Results'!J21=""),"",'MT 1.3 Results'!J21)</f>
        <v/>
      </c>
    </row>
    <row r="81">
      <c r="A81">
        <f>IF('MT 1.3 Results'!I20="","","Comments:")</f>
        <v/>
      </c>
      <c r="K81">
        <f>IF('MT 1.3 Results'!I21="","","Comments:")</f>
        <v/>
      </c>
    </row>
    <row r="85">
      <c r="A85">
        <f>IF('MT 1.3 Results'!I22="","","Mini Test 1.3 — Analysis of Data")</f>
        <v/>
      </c>
      <c r="K85">
        <f>IF('MT 1.3 Results'!I23="","","Mini Test 1.3 — Analysis of Data")</f>
        <v/>
      </c>
    </row>
    <row r="86">
      <c r="A86">
        <f>IF('MT 1.3 Results'!I22="","","Name: "&amp;'MT 1.3 Results'!B22&amp;"   Class: "&amp;'MT 1.3 Results'!$B$3&amp;"   Date: "&amp;TEXT('MT 1.3 Results'!$B$5,"DD/MM/YY"))</f>
        <v/>
      </c>
      <c r="K86">
        <f>IF('MT 1.3 Results'!I23="","","Name: "&amp;'MT 1.3 Results'!B23&amp;"   Class: "&amp;'MT 1.3 Results'!$B$3&amp;"   Date: "&amp;TEXT('MT 1.3 Results'!$B$5,"DD/MM/YY"))</f>
        <v/>
      </c>
    </row>
    <row r="87">
      <c r="A87">
        <f>IF('MT 1.3 Results'!I22="","","Total: "&amp;'MT 1.3 Results'!G22&amp;"/22 ("&amp;TEXT('MT 1.3 Results'!H22,"0%")&amp;")   Overall: "&amp;'MT 1.3 Results'!I22)</f>
        <v/>
      </c>
      <c r="K87">
        <f>IF('MT 1.3 Results'!I23="","","Total: "&amp;'MT 1.3 Results'!G23&amp;"/22 ("&amp;TEXT('MT 1.3 Results'!H23,"0%")&amp;")   Overall: "&amp;'MT 1.3 Results'!I23)</f>
        <v/>
      </c>
    </row>
    <row r="88">
      <c r="A88">
        <f>IF('MT 1.3 Results'!I22="","",IF('MT 1.3 Results'!I22="Green",Parameters!$C$46,IF('MT 1.3 Results'!I22="Yellow",Parameters!$C$45,Parameters!$C$44)))</f>
        <v/>
      </c>
      <c r="K88">
        <f>IF('MT 1.3 Results'!I23="","",IF('MT 1.3 Results'!I23="Green",Parameters!$C$46,IF('MT 1.3 Results'!I23="Yellow",Parameters!$C$45,Parameters!$C$44)))</f>
        <v/>
      </c>
    </row>
    <row r="90">
      <c r="A90">
        <f>IF('MT 1.3 Results'!I22="","","Breakdown:")</f>
        <v/>
      </c>
      <c r="K90">
        <f>IF('MT 1.3 Results'!I23="","","Breakdown:")</f>
        <v/>
      </c>
    </row>
    <row r="91">
      <c r="A91">
        <f>IF('MT 1.3 Results'!I22="","","Q1 Drawing a box plot &amp; skewness: "&amp;'MT 1.3 Results'!C22&amp;"/5")</f>
        <v/>
      </c>
      <c r="K91">
        <f>IF('MT 1.3 Results'!I23="","","Q1 Drawing a box plot &amp; skewness: "&amp;'MT 1.3 Results'!C23&amp;"/5")</f>
        <v/>
      </c>
    </row>
    <row r="92">
      <c r="A92">
        <f>IF('MT 1.3 Results'!I22="","","Q2 Comparing box plots &amp; IQR: "&amp;'MT 1.3 Results'!D22&amp;"/5")</f>
        <v/>
      </c>
      <c r="K92">
        <f>IF('MT 1.3 Results'!I23="","","Q2 Comparing box plots &amp; IQR: "&amp;'MT 1.3 Results'!D23&amp;"/5")</f>
        <v/>
      </c>
    </row>
    <row r="93">
      <c r="A93">
        <f>IF('MT 1.3 Results'!I22="","","Q3 Cumulative frequency table &amp; graph: "&amp;'MT 1.3 Results'!E22&amp;"/7")</f>
        <v/>
      </c>
      <c r="K93">
        <f>IF('MT 1.3 Results'!I23="","","Q3 Cumulative frequency table &amp; graph: "&amp;'MT 1.3 Results'!E23&amp;"/7")</f>
        <v/>
      </c>
    </row>
    <row r="94">
      <c r="A94">
        <f>IF('MT 1.3 Results'!I22="","","Q4 Sampling bias &amp; misleading pie charts: "&amp;'MT 1.3 Results'!F22&amp;"/5")</f>
        <v/>
      </c>
      <c r="K94">
        <f>IF('MT 1.3 Results'!I23="","","Q4 Sampling bias &amp; misleading pie charts: "&amp;'MT 1.3 Results'!F23&amp;"/5")</f>
        <v/>
      </c>
    </row>
    <row r="95">
      <c r="A95">
        <f>IF(OR('MT 1.3 Results'!I22="",'MT 1.3 Results'!J22=""),"",'MT 1.3 Results'!J22)</f>
        <v/>
      </c>
      <c r="K95">
        <f>IF(OR('MT 1.3 Results'!I23="",'MT 1.3 Results'!J23=""),"",'MT 1.3 Results'!J23)</f>
        <v/>
      </c>
    </row>
    <row r="97">
      <c r="A97">
        <f>IF('MT 1.3 Results'!I22="","","Comments:")</f>
        <v/>
      </c>
      <c r="K97">
        <f>IF('MT 1.3 Results'!I23="","","Comments:")</f>
        <v/>
      </c>
    </row>
    <row r="101">
      <c r="A101">
        <f>IF('MT 1.3 Results'!I24="","","Mini Test 1.3 — Analysis of Data")</f>
        <v/>
      </c>
      <c r="K101">
        <f>IF('MT 1.3 Results'!I25="","","Mini Test 1.3 — Analysis of Data")</f>
        <v/>
      </c>
    </row>
    <row r="102">
      <c r="A102">
        <f>IF('MT 1.3 Results'!I24="","","Name: "&amp;'MT 1.3 Results'!B24&amp;"   Class: "&amp;'MT 1.3 Results'!$B$3&amp;"   Date: "&amp;TEXT('MT 1.3 Results'!$B$5,"DD/MM/YY"))</f>
        <v/>
      </c>
      <c r="K102">
        <f>IF('MT 1.3 Results'!I25="","","Name: "&amp;'MT 1.3 Results'!B25&amp;"   Class: "&amp;'MT 1.3 Results'!$B$3&amp;"   Date: "&amp;TEXT('MT 1.3 Results'!$B$5,"DD/MM/YY"))</f>
        <v/>
      </c>
    </row>
    <row r="103">
      <c r="A103">
        <f>IF('MT 1.3 Results'!I24="","","Total: "&amp;'MT 1.3 Results'!G24&amp;"/22 ("&amp;TEXT('MT 1.3 Results'!H24,"0%")&amp;")   Overall: "&amp;'MT 1.3 Results'!I24)</f>
        <v/>
      </c>
      <c r="K103">
        <f>IF('MT 1.3 Results'!I25="","","Total: "&amp;'MT 1.3 Results'!G25&amp;"/22 ("&amp;TEXT('MT 1.3 Results'!H25,"0%")&amp;")   Overall: "&amp;'MT 1.3 Results'!I25)</f>
        <v/>
      </c>
    </row>
    <row r="104">
      <c r="A104">
        <f>IF('MT 1.3 Results'!I24="","",IF('MT 1.3 Results'!I24="Green",Parameters!$C$46,IF('MT 1.3 Results'!I24="Yellow",Parameters!$C$45,Parameters!$C$44)))</f>
        <v/>
      </c>
      <c r="K104">
        <f>IF('MT 1.3 Results'!I25="","",IF('MT 1.3 Results'!I25="Green",Parameters!$C$46,IF('MT 1.3 Results'!I25="Yellow",Parameters!$C$45,Parameters!$C$44)))</f>
        <v/>
      </c>
    </row>
    <row r="106">
      <c r="A106">
        <f>IF('MT 1.3 Results'!I24="","","Breakdown:")</f>
        <v/>
      </c>
      <c r="K106">
        <f>IF('MT 1.3 Results'!I25="","","Breakdown:")</f>
        <v/>
      </c>
    </row>
    <row r="107">
      <c r="A107">
        <f>IF('MT 1.3 Results'!I24="","","Q1 Drawing a box plot &amp; skewness: "&amp;'MT 1.3 Results'!C24&amp;"/5")</f>
        <v/>
      </c>
      <c r="K107">
        <f>IF('MT 1.3 Results'!I25="","","Q1 Drawing a box plot &amp; skewness: "&amp;'MT 1.3 Results'!C25&amp;"/5")</f>
        <v/>
      </c>
    </row>
    <row r="108">
      <c r="A108">
        <f>IF('MT 1.3 Results'!I24="","","Q2 Comparing box plots &amp; IQR: "&amp;'MT 1.3 Results'!D24&amp;"/5")</f>
        <v/>
      </c>
      <c r="K108">
        <f>IF('MT 1.3 Results'!I25="","","Q2 Comparing box plots &amp; IQR: "&amp;'MT 1.3 Results'!D25&amp;"/5")</f>
        <v/>
      </c>
    </row>
    <row r="109">
      <c r="A109">
        <f>IF('MT 1.3 Results'!I24="","","Q3 Cumulative frequency table &amp; graph: "&amp;'MT 1.3 Results'!E24&amp;"/7")</f>
        <v/>
      </c>
      <c r="K109">
        <f>IF('MT 1.3 Results'!I25="","","Q3 Cumulative frequency table &amp; graph: "&amp;'MT 1.3 Results'!E25&amp;"/7")</f>
        <v/>
      </c>
    </row>
    <row r="110">
      <c r="A110">
        <f>IF('MT 1.3 Results'!I24="","","Q4 Sampling bias &amp; misleading pie charts: "&amp;'MT 1.3 Results'!F24&amp;"/5")</f>
        <v/>
      </c>
      <c r="K110">
        <f>IF('MT 1.3 Results'!I25="","","Q4 Sampling bias &amp; misleading pie charts: "&amp;'MT 1.3 Results'!F25&amp;"/5")</f>
        <v/>
      </c>
    </row>
    <row r="111">
      <c r="A111">
        <f>IF(OR('MT 1.3 Results'!I24="",'MT 1.3 Results'!J24=""),"",'MT 1.3 Results'!J24)</f>
        <v/>
      </c>
      <c r="K111">
        <f>IF(OR('MT 1.3 Results'!I25="",'MT 1.3 Results'!J25=""),"",'MT 1.3 Results'!J25)</f>
        <v/>
      </c>
    </row>
    <row r="113">
      <c r="A113">
        <f>IF('MT 1.3 Results'!I24="","","Comments:")</f>
        <v/>
      </c>
      <c r="K113">
        <f>IF('MT 1.3 Results'!I25="","","Comments:")</f>
        <v/>
      </c>
    </row>
    <row r="117">
      <c r="A117">
        <f>IF('MT 1.3 Results'!I26="","","Mini Test 1.3 — Analysis of Data")</f>
        <v/>
      </c>
      <c r="K117">
        <f>IF('MT 1.3 Results'!I27="","","Mini Test 1.3 — Analysis of Data")</f>
        <v/>
      </c>
    </row>
    <row r="118">
      <c r="A118">
        <f>IF('MT 1.3 Results'!I26="","","Name: "&amp;'MT 1.3 Results'!B26&amp;"   Class: "&amp;'MT 1.3 Results'!$B$3&amp;"   Date: "&amp;TEXT('MT 1.3 Results'!$B$5,"DD/MM/YY"))</f>
        <v/>
      </c>
      <c r="K118">
        <f>IF('MT 1.3 Results'!I27="","","Name: "&amp;'MT 1.3 Results'!B27&amp;"   Class: "&amp;'MT 1.3 Results'!$B$3&amp;"   Date: "&amp;TEXT('MT 1.3 Results'!$B$5,"DD/MM/YY"))</f>
        <v/>
      </c>
    </row>
    <row r="119">
      <c r="A119">
        <f>IF('MT 1.3 Results'!I26="","","Total: "&amp;'MT 1.3 Results'!G26&amp;"/22 ("&amp;TEXT('MT 1.3 Results'!H26,"0%")&amp;")   Overall: "&amp;'MT 1.3 Results'!I26)</f>
        <v/>
      </c>
      <c r="K119">
        <f>IF('MT 1.3 Results'!I27="","","Total: "&amp;'MT 1.3 Results'!G27&amp;"/22 ("&amp;TEXT('MT 1.3 Results'!H27,"0%")&amp;")   Overall: "&amp;'MT 1.3 Results'!I27)</f>
        <v/>
      </c>
    </row>
    <row r="120">
      <c r="A120">
        <f>IF('MT 1.3 Results'!I26="","",IF('MT 1.3 Results'!I26="Green",Parameters!$C$46,IF('MT 1.3 Results'!I26="Yellow",Parameters!$C$45,Parameters!$C$44)))</f>
        <v/>
      </c>
      <c r="K120">
        <f>IF('MT 1.3 Results'!I27="","",IF('MT 1.3 Results'!I27="Green",Parameters!$C$46,IF('MT 1.3 Results'!I27="Yellow",Parameters!$C$45,Parameters!$C$44)))</f>
        <v/>
      </c>
    </row>
    <row r="122">
      <c r="A122">
        <f>IF('MT 1.3 Results'!I26="","","Breakdown:")</f>
        <v/>
      </c>
      <c r="K122">
        <f>IF('MT 1.3 Results'!I27="","","Breakdown:")</f>
        <v/>
      </c>
    </row>
    <row r="123">
      <c r="A123">
        <f>IF('MT 1.3 Results'!I26="","","Q1 Drawing a box plot &amp; skewness: "&amp;'MT 1.3 Results'!C26&amp;"/5")</f>
        <v/>
      </c>
      <c r="K123">
        <f>IF('MT 1.3 Results'!I27="","","Q1 Drawing a box plot &amp; skewness: "&amp;'MT 1.3 Results'!C27&amp;"/5")</f>
        <v/>
      </c>
    </row>
    <row r="124">
      <c r="A124">
        <f>IF('MT 1.3 Results'!I26="","","Q2 Comparing box plots &amp; IQR: "&amp;'MT 1.3 Results'!D26&amp;"/5")</f>
        <v/>
      </c>
      <c r="K124">
        <f>IF('MT 1.3 Results'!I27="","","Q2 Comparing box plots &amp; IQR: "&amp;'MT 1.3 Results'!D27&amp;"/5")</f>
        <v/>
      </c>
    </row>
    <row r="125">
      <c r="A125">
        <f>IF('MT 1.3 Results'!I26="","","Q3 Cumulative frequency table &amp; graph: "&amp;'MT 1.3 Results'!E26&amp;"/7")</f>
        <v/>
      </c>
      <c r="K125">
        <f>IF('MT 1.3 Results'!I27="","","Q3 Cumulative frequency table &amp; graph: "&amp;'MT 1.3 Results'!E27&amp;"/7")</f>
        <v/>
      </c>
    </row>
    <row r="126">
      <c r="A126">
        <f>IF('MT 1.3 Results'!I26="","","Q4 Sampling bias &amp; misleading pie charts: "&amp;'MT 1.3 Results'!F26&amp;"/5")</f>
        <v/>
      </c>
      <c r="K126">
        <f>IF('MT 1.3 Results'!I27="","","Q4 Sampling bias &amp; misleading pie charts: "&amp;'MT 1.3 Results'!F27&amp;"/5")</f>
        <v/>
      </c>
    </row>
    <row r="127">
      <c r="A127">
        <f>IF(OR('MT 1.3 Results'!I26="",'MT 1.3 Results'!J26=""),"",'MT 1.3 Results'!J26)</f>
        <v/>
      </c>
      <c r="K127">
        <f>IF(OR('MT 1.3 Results'!I27="",'MT 1.3 Results'!J27=""),"",'MT 1.3 Results'!J27)</f>
        <v/>
      </c>
    </row>
    <row r="129">
      <c r="A129">
        <f>IF('MT 1.3 Results'!I26="","","Comments:")</f>
        <v/>
      </c>
      <c r="K129">
        <f>IF('MT 1.3 Results'!I27="","","Comments:")</f>
        <v/>
      </c>
    </row>
    <row r="133">
      <c r="A133">
        <f>IF('MT 1.3 Results'!I28="","","Mini Test 1.3 — Analysis of Data")</f>
        <v/>
      </c>
      <c r="K133">
        <f>IF('MT 1.3 Results'!I29="","","Mini Test 1.3 — Analysis of Data")</f>
        <v/>
      </c>
    </row>
    <row r="134">
      <c r="A134">
        <f>IF('MT 1.3 Results'!I28="","","Name: "&amp;'MT 1.3 Results'!B28&amp;"   Class: "&amp;'MT 1.3 Results'!$B$3&amp;"   Date: "&amp;TEXT('MT 1.3 Results'!$B$5,"DD/MM/YY"))</f>
        <v/>
      </c>
      <c r="K134">
        <f>IF('MT 1.3 Results'!I29="","","Name: "&amp;'MT 1.3 Results'!B29&amp;"   Class: "&amp;'MT 1.3 Results'!$B$3&amp;"   Date: "&amp;TEXT('MT 1.3 Results'!$B$5,"DD/MM/YY"))</f>
        <v/>
      </c>
    </row>
    <row r="135">
      <c r="A135">
        <f>IF('MT 1.3 Results'!I28="","","Total: "&amp;'MT 1.3 Results'!G28&amp;"/22 ("&amp;TEXT('MT 1.3 Results'!H28,"0%")&amp;")   Overall: "&amp;'MT 1.3 Results'!I28)</f>
        <v/>
      </c>
      <c r="K135">
        <f>IF('MT 1.3 Results'!I29="","","Total: "&amp;'MT 1.3 Results'!G29&amp;"/22 ("&amp;TEXT('MT 1.3 Results'!H29,"0%")&amp;")   Overall: "&amp;'MT 1.3 Results'!I29)</f>
        <v/>
      </c>
    </row>
    <row r="136">
      <c r="A136">
        <f>IF('MT 1.3 Results'!I28="","",IF('MT 1.3 Results'!I28="Green",Parameters!$C$46,IF('MT 1.3 Results'!I28="Yellow",Parameters!$C$45,Parameters!$C$44)))</f>
        <v/>
      </c>
      <c r="K136">
        <f>IF('MT 1.3 Results'!I29="","",IF('MT 1.3 Results'!I29="Green",Parameters!$C$46,IF('MT 1.3 Results'!I29="Yellow",Parameters!$C$45,Parameters!$C$44)))</f>
        <v/>
      </c>
    </row>
    <row r="138">
      <c r="A138">
        <f>IF('MT 1.3 Results'!I28="","","Breakdown:")</f>
        <v/>
      </c>
      <c r="K138">
        <f>IF('MT 1.3 Results'!I29="","","Breakdown:")</f>
        <v/>
      </c>
    </row>
    <row r="139">
      <c r="A139">
        <f>IF('MT 1.3 Results'!I28="","","Q1 Drawing a box plot &amp; skewness: "&amp;'MT 1.3 Results'!C28&amp;"/5")</f>
        <v/>
      </c>
      <c r="K139">
        <f>IF('MT 1.3 Results'!I29="","","Q1 Drawing a box plot &amp; skewness: "&amp;'MT 1.3 Results'!C29&amp;"/5")</f>
        <v/>
      </c>
    </row>
    <row r="140">
      <c r="A140">
        <f>IF('MT 1.3 Results'!I28="","","Q2 Comparing box plots &amp; IQR: "&amp;'MT 1.3 Results'!D28&amp;"/5")</f>
        <v/>
      </c>
      <c r="K140">
        <f>IF('MT 1.3 Results'!I29="","","Q2 Comparing box plots &amp; IQR: "&amp;'MT 1.3 Results'!D29&amp;"/5")</f>
        <v/>
      </c>
    </row>
    <row r="141">
      <c r="A141">
        <f>IF('MT 1.3 Results'!I28="","","Q3 Cumulative frequency table &amp; graph: "&amp;'MT 1.3 Results'!E28&amp;"/7")</f>
        <v/>
      </c>
      <c r="K141">
        <f>IF('MT 1.3 Results'!I29="","","Q3 Cumulative frequency table &amp; graph: "&amp;'MT 1.3 Results'!E29&amp;"/7")</f>
        <v/>
      </c>
    </row>
    <row r="142">
      <c r="A142">
        <f>IF('MT 1.3 Results'!I28="","","Q4 Sampling bias &amp; misleading pie charts: "&amp;'MT 1.3 Results'!F28&amp;"/5")</f>
        <v/>
      </c>
      <c r="K142">
        <f>IF('MT 1.3 Results'!I29="","","Q4 Sampling bias &amp; misleading pie charts: "&amp;'MT 1.3 Results'!F29&amp;"/5")</f>
        <v/>
      </c>
    </row>
    <row r="143">
      <c r="A143">
        <f>IF(OR('MT 1.3 Results'!I28="",'MT 1.3 Results'!J28=""),"",'MT 1.3 Results'!J28)</f>
        <v/>
      </c>
      <c r="K143">
        <f>IF(OR('MT 1.3 Results'!I29="",'MT 1.3 Results'!J29=""),"",'MT 1.3 Results'!J29)</f>
        <v/>
      </c>
    </row>
    <row r="145">
      <c r="A145">
        <f>IF('MT 1.3 Results'!I28="","","Comments:")</f>
        <v/>
      </c>
      <c r="K145">
        <f>IF('MT 1.3 Results'!I29="","","Comments:")</f>
        <v/>
      </c>
    </row>
    <row r="149">
      <c r="A149">
        <f>IF('MT 1.3 Results'!I30="","","Mini Test 1.3 — Analysis of Data")</f>
        <v/>
      </c>
      <c r="K149">
        <f>IF('MT 1.3 Results'!I31="","","Mini Test 1.3 — Analysis of Data")</f>
        <v/>
      </c>
    </row>
    <row r="150">
      <c r="A150">
        <f>IF('MT 1.3 Results'!I30="","","Name: "&amp;'MT 1.3 Results'!B30&amp;"   Class: "&amp;'MT 1.3 Results'!$B$3&amp;"   Date: "&amp;TEXT('MT 1.3 Results'!$B$5,"DD/MM/YY"))</f>
        <v/>
      </c>
      <c r="K150">
        <f>IF('MT 1.3 Results'!I31="","","Name: "&amp;'MT 1.3 Results'!B31&amp;"   Class: "&amp;'MT 1.3 Results'!$B$3&amp;"   Date: "&amp;TEXT('MT 1.3 Results'!$B$5,"DD/MM/YY"))</f>
        <v/>
      </c>
    </row>
    <row r="151">
      <c r="A151">
        <f>IF('MT 1.3 Results'!I30="","","Total: "&amp;'MT 1.3 Results'!G30&amp;"/22 ("&amp;TEXT('MT 1.3 Results'!H30,"0%")&amp;")   Overall: "&amp;'MT 1.3 Results'!I30)</f>
        <v/>
      </c>
      <c r="K151">
        <f>IF('MT 1.3 Results'!I31="","","Total: "&amp;'MT 1.3 Results'!G31&amp;"/22 ("&amp;TEXT('MT 1.3 Results'!H31,"0%")&amp;")   Overall: "&amp;'MT 1.3 Results'!I31)</f>
        <v/>
      </c>
    </row>
    <row r="152">
      <c r="A152">
        <f>IF('MT 1.3 Results'!I30="","",IF('MT 1.3 Results'!I30="Green",Parameters!$C$46,IF('MT 1.3 Results'!I30="Yellow",Parameters!$C$45,Parameters!$C$44)))</f>
        <v/>
      </c>
      <c r="K152">
        <f>IF('MT 1.3 Results'!I31="","",IF('MT 1.3 Results'!I31="Green",Parameters!$C$46,IF('MT 1.3 Results'!I31="Yellow",Parameters!$C$45,Parameters!$C$44)))</f>
        <v/>
      </c>
    </row>
    <row r="154">
      <c r="A154">
        <f>IF('MT 1.3 Results'!I30="","","Breakdown:")</f>
        <v/>
      </c>
      <c r="K154">
        <f>IF('MT 1.3 Results'!I31="","","Breakdown:")</f>
        <v/>
      </c>
    </row>
    <row r="155">
      <c r="A155">
        <f>IF('MT 1.3 Results'!I30="","","Q1 Drawing a box plot &amp; skewness: "&amp;'MT 1.3 Results'!C30&amp;"/5")</f>
        <v/>
      </c>
      <c r="K155">
        <f>IF('MT 1.3 Results'!I31="","","Q1 Drawing a box plot &amp; skewness: "&amp;'MT 1.3 Results'!C31&amp;"/5")</f>
        <v/>
      </c>
    </row>
    <row r="156">
      <c r="A156">
        <f>IF('MT 1.3 Results'!I30="","","Q2 Comparing box plots &amp; IQR: "&amp;'MT 1.3 Results'!D30&amp;"/5")</f>
        <v/>
      </c>
      <c r="K156">
        <f>IF('MT 1.3 Results'!I31="","","Q2 Comparing box plots &amp; IQR: "&amp;'MT 1.3 Results'!D31&amp;"/5")</f>
        <v/>
      </c>
    </row>
    <row r="157">
      <c r="A157">
        <f>IF('MT 1.3 Results'!I30="","","Q3 Cumulative frequency table &amp; graph: "&amp;'MT 1.3 Results'!E30&amp;"/7")</f>
        <v/>
      </c>
      <c r="K157">
        <f>IF('MT 1.3 Results'!I31="","","Q3 Cumulative frequency table &amp; graph: "&amp;'MT 1.3 Results'!E31&amp;"/7")</f>
        <v/>
      </c>
    </row>
    <row r="158">
      <c r="A158">
        <f>IF('MT 1.3 Results'!I30="","","Q4 Sampling bias &amp; misleading pie charts: "&amp;'MT 1.3 Results'!F30&amp;"/5")</f>
        <v/>
      </c>
      <c r="K158">
        <f>IF('MT 1.3 Results'!I31="","","Q4 Sampling bias &amp; misleading pie charts: "&amp;'MT 1.3 Results'!F31&amp;"/5")</f>
        <v/>
      </c>
    </row>
    <row r="159">
      <c r="A159">
        <f>IF(OR('MT 1.3 Results'!I30="",'MT 1.3 Results'!J30=""),"",'MT 1.3 Results'!J30)</f>
        <v/>
      </c>
      <c r="K159">
        <f>IF(OR('MT 1.3 Results'!I31="",'MT 1.3 Results'!J31=""),"",'MT 1.3 Results'!J31)</f>
        <v/>
      </c>
    </row>
    <row r="161">
      <c r="A161">
        <f>IF('MT 1.3 Results'!I30="","","Comments:")</f>
        <v/>
      </c>
      <c r="K161">
        <f>IF('MT 1.3 Results'!I31="","","Comments:")</f>
        <v/>
      </c>
    </row>
    <row r="165">
      <c r="A165">
        <f>IF('MT 1.3 Results'!I32="","","Mini Test 1.3 — Analysis of Data")</f>
        <v/>
      </c>
      <c r="K165">
        <f>IF('MT 1.3 Results'!I33="","","Mini Test 1.3 — Analysis of Data")</f>
        <v/>
      </c>
    </row>
    <row r="166">
      <c r="A166">
        <f>IF('MT 1.3 Results'!I32="","","Name: "&amp;'MT 1.3 Results'!B32&amp;"   Class: "&amp;'MT 1.3 Results'!$B$3&amp;"   Date: "&amp;TEXT('MT 1.3 Results'!$B$5,"DD/MM/YY"))</f>
        <v/>
      </c>
      <c r="K166">
        <f>IF('MT 1.3 Results'!I33="","","Name: "&amp;'MT 1.3 Results'!B33&amp;"   Class: "&amp;'MT 1.3 Results'!$B$3&amp;"   Date: "&amp;TEXT('MT 1.3 Results'!$B$5,"DD/MM/YY"))</f>
        <v/>
      </c>
    </row>
    <row r="167">
      <c r="A167">
        <f>IF('MT 1.3 Results'!I32="","","Total: "&amp;'MT 1.3 Results'!G32&amp;"/22 ("&amp;TEXT('MT 1.3 Results'!H32,"0%")&amp;")   Overall: "&amp;'MT 1.3 Results'!I32)</f>
        <v/>
      </c>
      <c r="K167">
        <f>IF('MT 1.3 Results'!I33="","","Total: "&amp;'MT 1.3 Results'!G33&amp;"/22 ("&amp;TEXT('MT 1.3 Results'!H33,"0%")&amp;")   Overall: "&amp;'MT 1.3 Results'!I33)</f>
        <v/>
      </c>
    </row>
    <row r="168">
      <c r="A168">
        <f>IF('MT 1.3 Results'!I32="","",IF('MT 1.3 Results'!I32="Green",Parameters!$C$46,IF('MT 1.3 Results'!I32="Yellow",Parameters!$C$45,Parameters!$C$44)))</f>
        <v/>
      </c>
      <c r="K168">
        <f>IF('MT 1.3 Results'!I33="","",IF('MT 1.3 Results'!I33="Green",Parameters!$C$46,IF('MT 1.3 Results'!I33="Yellow",Parameters!$C$45,Parameters!$C$44)))</f>
        <v/>
      </c>
    </row>
    <row r="170">
      <c r="A170">
        <f>IF('MT 1.3 Results'!I32="","","Breakdown:")</f>
        <v/>
      </c>
      <c r="K170">
        <f>IF('MT 1.3 Results'!I33="","","Breakdown:")</f>
        <v/>
      </c>
    </row>
    <row r="171">
      <c r="A171">
        <f>IF('MT 1.3 Results'!I32="","","Q1 Drawing a box plot &amp; skewness: "&amp;'MT 1.3 Results'!C32&amp;"/5")</f>
        <v/>
      </c>
      <c r="K171">
        <f>IF('MT 1.3 Results'!I33="","","Q1 Drawing a box plot &amp; skewness: "&amp;'MT 1.3 Results'!C33&amp;"/5")</f>
        <v/>
      </c>
    </row>
    <row r="172">
      <c r="A172">
        <f>IF('MT 1.3 Results'!I32="","","Q2 Comparing box plots &amp; IQR: "&amp;'MT 1.3 Results'!D32&amp;"/5")</f>
        <v/>
      </c>
      <c r="K172">
        <f>IF('MT 1.3 Results'!I33="","","Q2 Comparing box plots &amp; IQR: "&amp;'MT 1.3 Results'!D33&amp;"/5")</f>
        <v/>
      </c>
    </row>
    <row r="173">
      <c r="A173">
        <f>IF('MT 1.3 Results'!I32="","","Q3 Cumulative frequency table &amp; graph: "&amp;'MT 1.3 Results'!E32&amp;"/7")</f>
        <v/>
      </c>
      <c r="K173">
        <f>IF('MT 1.3 Results'!I33="","","Q3 Cumulative frequency table &amp; graph: "&amp;'MT 1.3 Results'!E33&amp;"/7")</f>
        <v/>
      </c>
    </row>
    <row r="174">
      <c r="A174">
        <f>IF('MT 1.3 Results'!I32="","","Q4 Sampling bias &amp; misleading pie charts: "&amp;'MT 1.3 Results'!F32&amp;"/5")</f>
        <v/>
      </c>
      <c r="K174">
        <f>IF('MT 1.3 Results'!I33="","","Q4 Sampling bias &amp; misleading pie charts: "&amp;'MT 1.3 Results'!F33&amp;"/5")</f>
        <v/>
      </c>
    </row>
    <row r="175">
      <c r="A175">
        <f>IF(OR('MT 1.3 Results'!I32="",'MT 1.3 Results'!J32=""),"",'MT 1.3 Results'!J32)</f>
        <v/>
      </c>
      <c r="K175">
        <f>IF(OR('MT 1.3 Results'!I33="",'MT 1.3 Results'!J33=""),"",'MT 1.3 Results'!J33)</f>
        <v/>
      </c>
    </row>
    <row r="177">
      <c r="A177">
        <f>IF('MT 1.3 Results'!I32="","","Comments:")</f>
        <v/>
      </c>
      <c r="K177">
        <f>IF('MT 1.3 Results'!I33="","","Comments:")</f>
        <v/>
      </c>
    </row>
    <row r="181">
      <c r="A181">
        <f>IF('MT 1.3 Results'!I34="","","Mini Test 1.3 — Analysis of Data")</f>
        <v/>
      </c>
      <c r="K181">
        <f>IF('MT 1.3 Results'!I35="","","Mini Test 1.3 — Analysis of Data")</f>
        <v/>
      </c>
    </row>
    <row r="182">
      <c r="A182">
        <f>IF('MT 1.3 Results'!I34="","","Name: "&amp;'MT 1.3 Results'!B34&amp;"   Class: "&amp;'MT 1.3 Results'!$B$3&amp;"   Date: "&amp;TEXT('MT 1.3 Results'!$B$5,"DD/MM/YY"))</f>
        <v/>
      </c>
      <c r="K182">
        <f>IF('MT 1.3 Results'!I35="","","Name: "&amp;'MT 1.3 Results'!B35&amp;"   Class: "&amp;'MT 1.3 Results'!$B$3&amp;"   Date: "&amp;TEXT('MT 1.3 Results'!$B$5,"DD/MM/YY"))</f>
        <v/>
      </c>
    </row>
    <row r="183">
      <c r="A183">
        <f>IF('MT 1.3 Results'!I34="","","Total: "&amp;'MT 1.3 Results'!G34&amp;"/22 ("&amp;TEXT('MT 1.3 Results'!H34,"0%")&amp;")   Overall: "&amp;'MT 1.3 Results'!I34)</f>
        <v/>
      </c>
      <c r="K183">
        <f>IF('MT 1.3 Results'!I35="","","Total: "&amp;'MT 1.3 Results'!G35&amp;"/22 ("&amp;TEXT('MT 1.3 Results'!H35,"0%")&amp;")   Overall: "&amp;'MT 1.3 Results'!I35)</f>
        <v/>
      </c>
    </row>
    <row r="184">
      <c r="A184">
        <f>IF('MT 1.3 Results'!I34="","",IF('MT 1.3 Results'!I34="Green",Parameters!$C$46,IF('MT 1.3 Results'!I34="Yellow",Parameters!$C$45,Parameters!$C$44)))</f>
        <v/>
      </c>
      <c r="K184">
        <f>IF('MT 1.3 Results'!I35="","",IF('MT 1.3 Results'!I35="Green",Parameters!$C$46,IF('MT 1.3 Results'!I35="Yellow",Parameters!$C$45,Parameters!$C$44)))</f>
        <v/>
      </c>
    </row>
    <row r="186">
      <c r="A186">
        <f>IF('MT 1.3 Results'!I34="","","Breakdown:")</f>
        <v/>
      </c>
      <c r="K186">
        <f>IF('MT 1.3 Results'!I35="","","Breakdown:")</f>
        <v/>
      </c>
    </row>
    <row r="187">
      <c r="A187">
        <f>IF('MT 1.3 Results'!I34="","","Q1 Drawing a box plot &amp; skewness: "&amp;'MT 1.3 Results'!C34&amp;"/5")</f>
        <v/>
      </c>
      <c r="K187">
        <f>IF('MT 1.3 Results'!I35="","","Q1 Drawing a box plot &amp; skewness: "&amp;'MT 1.3 Results'!C35&amp;"/5")</f>
        <v/>
      </c>
    </row>
    <row r="188">
      <c r="A188">
        <f>IF('MT 1.3 Results'!I34="","","Q2 Comparing box plots &amp; IQR: "&amp;'MT 1.3 Results'!D34&amp;"/5")</f>
        <v/>
      </c>
      <c r="K188">
        <f>IF('MT 1.3 Results'!I35="","","Q2 Comparing box plots &amp; IQR: "&amp;'MT 1.3 Results'!D35&amp;"/5")</f>
        <v/>
      </c>
    </row>
    <row r="189">
      <c r="A189">
        <f>IF('MT 1.3 Results'!I34="","","Q3 Cumulative frequency table &amp; graph: "&amp;'MT 1.3 Results'!E34&amp;"/7")</f>
        <v/>
      </c>
      <c r="K189">
        <f>IF('MT 1.3 Results'!I35="","","Q3 Cumulative frequency table &amp; graph: "&amp;'MT 1.3 Results'!E35&amp;"/7")</f>
        <v/>
      </c>
    </row>
    <row r="190">
      <c r="A190">
        <f>IF('MT 1.3 Results'!I34="","","Q4 Sampling bias &amp; misleading pie charts: "&amp;'MT 1.3 Results'!F34&amp;"/5")</f>
        <v/>
      </c>
      <c r="K190">
        <f>IF('MT 1.3 Results'!I35="","","Q4 Sampling bias &amp; misleading pie charts: "&amp;'MT 1.3 Results'!F35&amp;"/5")</f>
        <v/>
      </c>
    </row>
    <row r="191">
      <c r="A191">
        <f>IF(OR('MT 1.3 Results'!I34="",'MT 1.3 Results'!J34=""),"",'MT 1.3 Results'!J34)</f>
        <v/>
      </c>
      <c r="K191">
        <f>IF(OR('MT 1.3 Results'!I35="",'MT 1.3 Results'!J35=""),"",'MT 1.3 Results'!J35)</f>
        <v/>
      </c>
    </row>
    <row r="193">
      <c r="A193">
        <f>IF('MT 1.3 Results'!I34="","","Comments:")</f>
        <v/>
      </c>
      <c r="K193">
        <f>IF('MT 1.3 Results'!I35="","","Comments:")</f>
        <v/>
      </c>
    </row>
    <row r="197">
      <c r="A197">
        <f>IF('MT 1.3 Results'!I36="","","Mini Test 1.3 — Analysis of Data")</f>
        <v/>
      </c>
      <c r="K197">
        <f>IF('MT 1.3 Results'!I37="","","Mini Test 1.3 — Analysis of Data")</f>
        <v/>
      </c>
    </row>
    <row r="198">
      <c r="A198">
        <f>IF('MT 1.3 Results'!I36="","","Name: "&amp;'MT 1.3 Results'!B36&amp;"   Class: "&amp;'MT 1.3 Results'!$B$3&amp;"   Date: "&amp;TEXT('MT 1.3 Results'!$B$5,"DD/MM/YY"))</f>
        <v/>
      </c>
      <c r="K198">
        <f>IF('MT 1.3 Results'!I37="","","Name: "&amp;'MT 1.3 Results'!B37&amp;"   Class: "&amp;'MT 1.3 Results'!$B$3&amp;"   Date: "&amp;TEXT('MT 1.3 Results'!$B$5,"DD/MM/YY"))</f>
        <v/>
      </c>
    </row>
    <row r="199">
      <c r="A199">
        <f>IF('MT 1.3 Results'!I36="","","Total: "&amp;'MT 1.3 Results'!G36&amp;"/22 ("&amp;TEXT('MT 1.3 Results'!H36,"0%")&amp;")   Overall: "&amp;'MT 1.3 Results'!I36)</f>
        <v/>
      </c>
      <c r="K199">
        <f>IF('MT 1.3 Results'!I37="","","Total: "&amp;'MT 1.3 Results'!G37&amp;"/22 ("&amp;TEXT('MT 1.3 Results'!H37,"0%")&amp;")   Overall: "&amp;'MT 1.3 Results'!I37)</f>
        <v/>
      </c>
    </row>
    <row r="200">
      <c r="A200">
        <f>IF('MT 1.3 Results'!I36="","",IF('MT 1.3 Results'!I36="Green",Parameters!$C$46,IF('MT 1.3 Results'!I36="Yellow",Parameters!$C$45,Parameters!$C$44)))</f>
        <v/>
      </c>
      <c r="K200">
        <f>IF('MT 1.3 Results'!I37="","",IF('MT 1.3 Results'!I37="Green",Parameters!$C$46,IF('MT 1.3 Results'!I37="Yellow",Parameters!$C$45,Parameters!$C$44)))</f>
        <v/>
      </c>
    </row>
    <row r="202">
      <c r="A202">
        <f>IF('MT 1.3 Results'!I36="","","Breakdown:")</f>
        <v/>
      </c>
      <c r="K202">
        <f>IF('MT 1.3 Results'!I37="","","Breakdown:")</f>
        <v/>
      </c>
    </row>
    <row r="203">
      <c r="A203">
        <f>IF('MT 1.3 Results'!I36="","","Q1 Drawing a box plot &amp; skewness: "&amp;'MT 1.3 Results'!C36&amp;"/5")</f>
        <v/>
      </c>
      <c r="K203">
        <f>IF('MT 1.3 Results'!I37="","","Q1 Drawing a box plot &amp; skewness: "&amp;'MT 1.3 Results'!C37&amp;"/5")</f>
        <v/>
      </c>
    </row>
    <row r="204">
      <c r="A204">
        <f>IF('MT 1.3 Results'!I36="","","Q2 Comparing box plots &amp; IQR: "&amp;'MT 1.3 Results'!D36&amp;"/5")</f>
        <v/>
      </c>
      <c r="K204">
        <f>IF('MT 1.3 Results'!I37="","","Q2 Comparing box plots &amp; IQR: "&amp;'MT 1.3 Results'!D37&amp;"/5")</f>
        <v/>
      </c>
    </row>
    <row r="205">
      <c r="A205">
        <f>IF('MT 1.3 Results'!I36="","","Q3 Cumulative frequency table &amp; graph: "&amp;'MT 1.3 Results'!E36&amp;"/7")</f>
        <v/>
      </c>
      <c r="K205">
        <f>IF('MT 1.3 Results'!I37="","","Q3 Cumulative frequency table &amp; graph: "&amp;'MT 1.3 Results'!E37&amp;"/7")</f>
        <v/>
      </c>
    </row>
    <row r="206">
      <c r="A206">
        <f>IF('MT 1.3 Results'!I36="","","Q4 Sampling bias &amp; misleading pie charts: "&amp;'MT 1.3 Results'!F36&amp;"/5")</f>
        <v/>
      </c>
      <c r="K206">
        <f>IF('MT 1.3 Results'!I37="","","Q4 Sampling bias &amp; misleading pie charts: "&amp;'MT 1.3 Results'!F37&amp;"/5")</f>
        <v/>
      </c>
    </row>
    <row r="207">
      <c r="A207">
        <f>IF(OR('MT 1.3 Results'!I36="",'MT 1.3 Results'!J36=""),"",'MT 1.3 Results'!J36)</f>
        <v/>
      </c>
      <c r="K207">
        <f>IF(OR('MT 1.3 Results'!I37="",'MT 1.3 Results'!J37=""),"",'MT 1.3 Results'!J37)</f>
        <v/>
      </c>
    </row>
    <row r="209">
      <c r="A209">
        <f>IF('MT 1.3 Results'!I36="","","Comments:")</f>
        <v/>
      </c>
      <c r="K209">
        <f>IF('MT 1.3 Results'!I37="","","Comments:")</f>
        <v/>
      </c>
    </row>
    <row r="213">
      <c r="A213">
        <f>IF('MT 1.3 Results'!I38="","","Mini Test 1.3 — Analysis of Data")</f>
        <v/>
      </c>
      <c r="K213">
        <f>IF('MT 1.3 Results'!I39="","","Mini Test 1.3 — Analysis of Data")</f>
        <v/>
      </c>
    </row>
    <row r="214">
      <c r="A214">
        <f>IF('MT 1.3 Results'!I38="","","Name: "&amp;'MT 1.3 Results'!B38&amp;"   Class: "&amp;'MT 1.3 Results'!$B$3&amp;"   Date: "&amp;TEXT('MT 1.3 Results'!$B$5,"DD/MM/YY"))</f>
        <v/>
      </c>
      <c r="K214">
        <f>IF('MT 1.3 Results'!I39="","","Name: "&amp;'MT 1.3 Results'!B39&amp;"   Class: "&amp;'MT 1.3 Results'!$B$3&amp;"   Date: "&amp;TEXT('MT 1.3 Results'!$B$5,"DD/MM/YY"))</f>
        <v/>
      </c>
    </row>
    <row r="215">
      <c r="A215">
        <f>IF('MT 1.3 Results'!I38="","","Total: "&amp;'MT 1.3 Results'!G38&amp;"/22 ("&amp;TEXT('MT 1.3 Results'!H38,"0%")&amp;")   Overall: "&amp;'MT 1.3 Results'!I38)</f>
        <v/>
      </c>
      <c r="K215">
        <f>IF('MT 1.3 Results'!I39="","","Total: "&amp;'MT 1.3 Results'!G39&amp;"/22 ("&amp;TEXT('MT 1.3 Results'!H39,"0%")&amp;")   Overall: "&amp;'MT 1.3 Results'!I39)</f>
        <v/>
      </c>
    </row>
    <row r="216">
      <c r="A216">
        <f>IF('MT 1.3 Results'!I38="","",IF('MT 1.3 Results'!I38="Green",Parameters!$C$46,IF('MT 1.3 Results'!I38="Yellow",Parameters!$C$45,Parameters!$C$44)))</f>
        <v/>
      </c>
      <c r="K216">
        <f>IF('MT 1.3 Results'!I39="","",IF('MT 1.3 Results'!I39="Green",Parameters!$C$46,IF('MT 1.3 Results'!I39="Yellow",Parameters!$C$45,Parameters!$C$44)))</f>
        <v/>
      </c>
    </row>
    <row r="218">
      <c r="A218">
        <f>IF('MT 1.3 Results'!I38="","","Breakdown:")</f>
        <v/>
      </c>
      <c r="K218">
        <f>IF('MT 1.3 Results'!I39="","","Breakdown:")</f>
        <v/>
      </c>
    </row>
    <row r="219">
      <c r="A219">
        <f>IF('MT 1.3 Results'!I38="","","Q1 Drawing a box plot &amp; skewness: "&amp;'MT 1.3 Results'!C38&amp;"/5")</f>
        <v/>
      </c>
      <c r="K219">
        <f>IF('MT 1.3 Results'!I39="","","Q1 Drawing a box plot &amp; skewness: "&amp;'MT 1.3 Results'!C39&amp;"/5")</f>
        <v/>
      </c>
    </row>
    <row r="220">
      <c r="A220">
        <f>IF('MT 1.3 Results'!I38="","","Q2 Comparing box plots &amp; IQR: "&amp;'MT 1.3 Results'!D38&amp;"/5")</f>
        <v/>
      </c>
      <c r="K220">
        <f>IF('MT 1.3 Results'!I39="","","Q2 Comparing box plots &amp; IQR: "&amp;'MT 1.3 Results'!D39&amp;"/5")</f>
        <v/>
      </c>
    </row>
    <row r="221">
      <c r="A221">
        <f>IF('MT 1.3 Results'!I38="","","Q3 Cumulative frequency table &amp; graph: "&amp;'MT 1.3 Results'!E38&amp;"/7")</f>
        <v/>
      </c>
      <c r="K221">
        <f>IF('MT 1.3 Results'!I39="","","Q3 Cumulative frequency table &amp; graph: "&amp;'MT 1.3 Results'!E39&amp;"/7")</f>
        <v/>
      </c>
    </row>
    <row r="222">
      <c r="A222">
        <f>IF('MT 1.3 Results'!I38="","","Q4 Sampling bias &amp; misleading pie charts: "&amp;'MT 1.3 Results'!F38&amp;"/5")</f>
        <v/>
      </c>
      <c r="K222">
        <f>IF('MT 1.3 Results'!I39="","","Q4 Sampling bias &amp; misleading pie charts: "&amp;'MT 1.3 Results'!F39&amp;"/5")</f>
        <v/>
      </c>
    </row>
    <row r="223">
      <c r="A223">
        <f>IF(OR('MT 1.3 Results'!I38="",'MT 1.3 Results'!J38=""),"",'MT 1.3 Results'!J38)</f>
        <v/>
      </c>
      <c r="K223">
        <f>IF(OR('MT 1.3 Results'!I39="",'MT 1.3 Results'!J39=""),"",'MT 1.3 Results'!J39)</f>
        <v/>
      </c>
    </row>
    <row r="225">
      <c r="A225">
        <f>IF('MT 1.3 Results'!I38="","","Comments:")</f>
        <v/>
      </c>
      <c r="K225">
        <f>IF('MT 1.3 Results'!I39="","","Comments:")</f>
        <v/>
      </c>
    </row>
    <row r="229">
      <c r="A229">
        <f>IF('MT 1.3 Results'!I40="","","Mini Test 1.3 — Analysis of Data")</f>
        <v/>
      </c>
      <c r="K229">
        <f>IF('MT 1.3 Results'!I41="","","Mini Test 1.3 — Analysis of Data")</f>
        <v/>
      </c>
    </row>
    <row r="230">
      <c r="A230">
        <f>IF('MT 1.3 Results'!I40="","","Name: "&amp;'MT 1.3 Results'!B40&amp;"   Class: "&amp;'MT 1.3 Results'!$B$3&amp;"   Date: "&amp;TEXT('MT 1.3 Results'!$B$5,"DD/MM/YY"))</f>
        <v/>
      </c>
      <c r="K230">
        <f>IF('MT 1.3 Results'!I41="","","Name: "&amp;'MT 1.3 Results'!B41&amp;"   Class: "&amp;'MT 1.3 Results'!$B$3&amp;"   Date: "&amp;TEXT('MT 1.3 Results'!$B$5,"DD/MM/YY"))</f>
        <v/>
      </c>
    </row>
    <row r="231">
      <c r="A231">
        <f>IF('MT 1.3 Results'!I40="","","Total: "&amp;'MT 1.3 Results'!G40&amp;"/22 ("&amp;TEXT('MT 1.3 Results'!H40,"0%")&amp;")   Overall: "&amp;'MT 1.3 Results'!I40)</f>
        <v/>
      </c>
      <c r="K231">
        <f>IF('MT 1.3 Results'!I41="","","Total: "&amp;'MT 1.3 Results'!G41&amp;"/22 ("&amp;TEXT('MT 1.3 Results'!H41,"0%")&amp;")   Overall: "&amp;'MT 1.3 Results'!I41)</f>
        <v/>
      </c>
    </row>
    <row r="232">
      <c r="A232">
        <f>IF('MT 1.3 Results'!I40="","",IF('MT 1.3 Results'!I40="Green",Parameters!$C$46,IF('MT 1.3 Results'!I40="Yellow",Parameters!$C$45,Parameters!$C$44)))</f>
        <v/>
      </c>
      <c r="K232">
        <f>IF('MT 1.3 Results'!I41="","",IF('MT 1.3 Results'!I41="Green",Parameters!$C$46,IF('MT 1.3 Results'!I41="Yellow",Parameters!$C$45,Parameters!$C$44)))</f>
        <v/>
      </c>
    </row>
    <row r="234">
      <c r="A234">
        <f>IF('MT 1.3 Results'!I40="","","Breakdown:")</f>
        <v/>
      </c>
      <c r="K234">
        <f>IF('MT 1.3 Results'!I41="","","Breakdown:")</f>
        <v/>
      </c>
    </row>
    <row r="235">
      <c r="A235">
        <f>IF('MT 1.3 Results'!I40="","","Q1 Drawing a box plot &amp; skewness: "&amp;'MT 1.3 Results'!C40&amp;"/5")</f>
        <v/>
      </c>
      <c r="K235">
        <f>IF('MT 1.3 Results'!I41="","","Q1 Drawing a box plot &amp; skewness: "&amp;'MT 1.3 Results'!C41&amp;"/5")</f>
        <v/>
      </c>
    </row>
    <row r="236">
      <c r="A236">
        <f>IF('MT 1.3 Results'!I40="","","Q2 Comparing box plots &amp; IQR: "&amp;'MT 1.3 Results'!D40&amp;"/5")</f>
        <v/>
      </c>
      <c r="K236">
        <f>IF('MT 1.3 Results'!I41="","","Q2 Comparing box plots &amp; IQR: "&amp;'MT 1.3 Results'!D41&amp;"/5")</f>
        <v/>
      </c>
    </row>
    <row r="237">
      <c r="A237">
        <f>IF('MT 1.3 Results'!I40="","","Q3 Cumulative frequency table &amp; graph: "&amp;'MT 1.3 Results'!E40&amp;"/7")</f>
        <v/>
      </c>
      <c r="K237">
        <f>IF('MT 1.3 Results'!I41="","","Q3 Cumulative frequency table &amp; graph: "&amp;'MT 1.3 Results'!E41&amp;"/7")</f>
        <v/>
      </c>
    </row>
    <row r="238">
      <c r="A238">
        <f>IF('MT 1.3 Results'!I40="","","Q4 Sampling bias &amp; misleading pie charts: "&amp;'MT 1.3 Results'!F40&amp;"/5")</f>
        <v/>
      </c>
      <c r="K238">
        <f>IF('MT 1.3 Results'!I41="","","Q4 Sampling bias &amp; misleading pie charts: "&amp;'MT 1.3 Results'!F41&amp;"/5")</f>
        <v/>
      </c>
    </row>
    <row r="239">
      <c r="A239">
        <f>IF(OR('MT 1.3 Results'!I40="",'MT 1.3 Results'!J40=""),"",'MT 1.3 Results'!J40)</f>
        <v/>
      </c>
      <c r="K239">
        <f>IF(OR('MT 1.3 Results'!I41="",'MT 1.3 Results'!J41=""),"",'MT 1.3 Results'!J41)</f>
        <v/>
      </c>
    </row>
    <row r="241">
      <c r="A241">
        <f>IF('MT 1.3 Results'!I40="","","Comments:")</f>
        <v/>
      </c>
      <c r="K241">
        <f>IF('MT 1.3 Results'!I41="","","Comments:")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8" customWidth="1" min="10" max="10"/>
    <col width="10" customWidth="1" min="11" max="11"/>
    <col width="45" customWidth="1" min="12" max="12"/>
  </cols>
  <sheetData>
    <row r="1">
      <c r="A1" s="11" t="inlineStr">
        <is>
          <t>Chapter 1 End of Topic Test — Analysis of Data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Types of data
(/6)</t>
        </is>
      </c>
      <c r="D9" s="12" t="inlineStr">
        <is>
          <t>Q2
Averages &amp; spread
(/8)</t>
        </is>
      </c>
      <c r="E9" s="12" t="inlineStr">
        <is>
          <t>Q3
Bar chart
(/6)</t>
        </is>
      </c>
      <c r="F9" s="12" t="inlineStr">
        <is>
          <t>Q4
Stem-and-leaf
(/6)</t>
        </is>
      </c>
      <c r="G9" s="12" t="inlineStr">
        <is>
          <t>Q5
Pie chart
(/6)</t>
        </is>
      </c>
      <c r="H9" s="12" t="inlineStr">
        <is>
          <t>Q6
Stratified sampling
(/15)</t>
        </is>
      </c>
      <c r="I9" s="12" t="inlineStr">
        <is>
          <t>Total
(/47)</t>
        </is>
      </c>
      <c r="J9" s="12" t="inlineStr">
        <is>
          <t>%</t>
        </is>
      </c>
      <c r="K9" s="12" t="inlineStr">
        <is>
          <t>Overall</t>
        </is>
      </c>
      <c r="L9" s="12" t="inlineStr">
        <is>
          <t>Focus for next steps</t>
        </is>
      </c>
      <c r="M9" s="12" t="inlineStr">
        <is>
          <t>Q1%</t>
        </is>
      </c>
      <c r="N9" s="12" t="inlineStr">
        <is>
          <t>Q2%</t>
        </is>
      </c>
      <c r="O9" s="12" t="inlineStr">
        <is>
          <t>Q3%</t>
        </is>
      </c>
      <c r="P9" s="12" t="inlineStr">
        <is>
          <t>Q4%</t>
        </is>
      </c>
      <c r="Q9" s="12" t="inlineStr">
        <is>
          <t>Q5%</t>
        </is>
      </c>
      <c r="R9" s="12" t="inlineStr">
        <is>
          <t>Q6%</t>
        </is>
      </c>
    </row>
    <row r="10">
      <c r="A10" s="3" t="n"/>
      <c r="B10" s="3" t="inlineStr">
        <is>
          <t>Max marks</t>
        </is>
      </c>
      <c r="C10" s="3" t="n">
        <v>6</v>
      </c>
      <c r="D10" s="3" t="n">
        <v>8</v>
      </c>
      <c r="E10" s="3" t="n">
        <v>6</v>
      </c>
      <c r="F10" s="3" t="n">
        <v>6</v>
      </c>
      <c r="G10" s="3" t="n">
        <v>6</v>
      </c>
      <c r="H10" s="3" t="n">
        <v>15</v>
      </c>
      <c r="I10" s="3" t="n">
        <v>47</v>
      </c>
      <c r="J10" s="3" t="inlineStr">
        <is>
          <t>100%</t>
        </is>
      </c>
      <c r="K10" s="3" t="n"/>
      <c r="L10" s="3" t="n"/>
      <c r="M10" s="3" t="n"/>
      <c r="N10" s="3" t="n"/>
      <c r="O10" s="3" t="n"/>
      <c r="P10" s="3" t="n"/>
      <c r="Q10" s="3" t="n"/>
      <c r="R10" s="3" t="n"/>
    </row>
    <row r="11">
      <c r="A11" s="13" t="n">
        <v>1</v>
      </c>
      <c r="B11" s="13" t="inlineStr">
        <is>
          <t>Example pupil (edit me)</t>
        </is>
      </c>
      <c r="C11" s="13" t="n">
        <v>5</v>
      </c>
      <c r="D11" s="13" t="n">
        <v>6</v>
      </c>
      <c r="E11" s="13" t="n">
        <v>5</v>
      </c>
      <c r="F11" s="13" t="n">
        <v>5</v>
      </c>
      <c r="G11" s="13" t="n">
        <v>5</v>
      </c>
      <c r="H11" s="13" t="n">
        <v>12</v>
      </c>
      <c r="I11" s="13">
        <f>IF(COUNT(C11:H11)&lt;6,"",SUM(C11:H11))</f>
        <v/>
      </c>
      <c r="J11" s="13">
        <f>IF(COUNT(C11:H11)&lt;6,"",I11/47)</f>
        <v/>
      </c>
      <c r="K11" s="13">
        <f>IF(COUNT(C11:H11)&lt;6,"",IF(J11&gt;=0.8,"Green",IF(J11&gt;=0.5,"Yellow","Red")))</f>
        <v/>
      </c>
      <c r="L11" s="13">
        <f>IF(COUNT(C11:H11)&lt;6,"",IF(K11="Green","Well done! "&amp;Parameters!$C$63,"Revise: "&amp;_xlfn.TEXTJOIN(", ",TRUE(),IF(M11&lt;1,Parameters!$A$52,""),IF(N11&lt;1,Parameters!$A$53,""),IF(O11&lt;1,Parameters!$A$54,""),IF(P11&lt;1,Parameters!$A$55,""),IF(Q11&lt;1,Parameters!$A$56,""),IF(R11&lt;1,Parameters!$A$57,""))))</f>
        <v/>
      </c>
      <c r="M11" s="13">
        <f>IF(C11="","",C11/6)</f>
        <v/>
      </c>
      <c r="N11" s="13">
        <f>IF(D11="","",D11/8)</f>
        <v/>
      </c>
      <c r="O11" s="13">
        <f>IF(E11="","",E11/6)</f>
        <v/>
      </c>
      <c r="P11" s="13">
        <f>IF(F11="","",F11/6)</f>
        <v/>
      </c>
      <c r="Q11" s="13">
        <f>IF(G11="","",G11/6)</f>
        <v/>
      </c>
      <c r="R11" s="13">
        <f>IF(H11="","",H11/15)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4" t="n"/>
      <c r="H12" s="14" t="n"/>
      <c r="I12" s="13">
        <f>IF(COUNT(C12:H12)&lt;6,"",SUM(C12:H12))</f>
        <v/>
      </c>
      <c r="J12" s="13">
        <f>IF(COUNT(C12:H12)&lt;6,"",I12/47)</f>
        <v/>
      </c>
      <c r="K12" s="13">
        <f>IF(COUNT(C12:H12)&lt;6,"",IF(J12&gt;=0.8,"Green",IF(J12&gt;=0.5,"Yellow","Red")))</f>
        <v/>
      </c>
      <c r="L12" s="13">
        <f>IF(COUNT(C12:H12)&lt;6,"",IF(K12="Green","Well done! "&amp;Parameters!$C$63,"Revise: "&amp;_xlfn.TEXTJOIN(", ",TRUE(),IF(M12&lt;1,Parameters!$A$52,""),IF(N12&lt;1,Parameters!$A$53,""),IF(O12&lt;1,Parameters!$A$54,""),IF(P12&lt;1,Parameters!$A$55,""),IF(Q12&lt;1,Parameters!$A$56,""),IF(R12&lt;1,Parameters!$A$57,""))))</f>
        <v/>
      </c>
      <c r="M12" s="13">
        <f>IF(C12="","",C12/6)</f>
        <v/>
      </c>
      <c r="N12" s="13">
        <f>IF(D12="","",D12/8)</f>
        <v/>
      </c>
      <c r="O12" s="13">
        <f>IF(E12="","",E12/6)</f>
        <v/>
      </c>
      <c r="P12" s="13">
        <f>IF(F12="","",F12/6)</f>
        <v/>
      </c>
      <c r="Q12" s="13">
        <f>IF(G12="","",G12/6)</f>
        <v/>
      </c>
      <c r="R12" s="13">
        <f>IF(H12="","",H12/15)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4" t="n"/>
      <c r="H13" s="14" t="n"/>
      <c r="I13" s="13">
        <f>IF(COUNT(C13:H13)&lt;6,"",SUM(C13:H13))</f>
        <v/>
      </c>
      <c r="J13" s="13">
        <f>IF(COUNT(C13:H13)&lt;6,"",I13/47)</f>
        <v/>
      </c>
      <c r="K13" s="13">
        <f>IF(COUNT(C13:H13)&lt;6,"",IF(J13&gt;=0.8,"Green",IF(J13&gt;=0.5,"Yellow","Red")))</f>
        <v/>
      </c>
      <c r="L13" s="13">
        <f>IF(COUNT(C13:H13)&lt;6,"",IF(K13="Green","Well done! "&amp;Parameters!$C$63,"Revise: "&amp;_xlfn.TEXTJOIN(", ",TRUE(),IF(M13&lt;1,Parameters!$A$52,""),IF(N13&lt;1,Parameters!$A$53,""),IF(O13&lt;1,Parameters!$A$54,""),IF(P13&lt;1,Parameters!$A$55,""),IF(Q13&lt;1,Parameters!$A$56,""),IF(R13&lt;1,Parameters!$A$57,""))))</f>
        <v/>
      </c>
      <c r="M13" s="13">
        <f>IF(C13="","",C13/6)</f>
        <v/>
      </c>
      <c r="N13" s="13">
        <f>IF(D13="","",D13/8)</f>
        <v/>
      </c>
      <c r="O13" s="13">
        <f>IF(E13="","",E13/6)</f>
        <v/>
      </c>
      <c r="P13" s="13">
        <f>IF(F13="","",F13/6)</f>
        <v/>
      </c>
      <c r="Q13" s="13">
        <f>IF(G13="","",G13/6)</f>
        <v/>
      </c>
      <c r="R13" s="13">
        <f>IF(H13="","",H13/15)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4" t="n"/>
      <c r="H14" s="14" t="n"/>
      <c r="I14" s="13">
        <f>IF(COUNT(C14:H14)&lt;6,"",SUM(C14:H14))</f>
        <v/>
      </c>
      <c r="J14" s="13">
        <f>IF(COUNT(C14:H14)&lt;6,"",I14/47)</f>
        <v/>
      </c>
      <c r="K14" s="13">
        <f>IF(COUNT(C14:H14)&lt;6,"",IF(J14&gt;=0.8,"Green",IF(J14&gt;=0.5,"Yellow","Red")))</f>
        <v/>
      </c>
      <c r="L14" s="13">
        <f>IF(COUNT(C14:H14)&lt;6,"",IF(K14="Green","Well done! "&amp;Parameters!$C$63,"Revise: "&amp;_xlfn.TEXTJOIN(", ",TRUE(),IF(M14&lt;1,Parameters!$A$52,""),IF(N14&lt;1,Parameters!$A$53,""),IF(O14&lt;1,Parameters!$A$54,""),IF(P14&lt;1,Parameters!$A$55,""),IF(Q14&lt;1,Parameters!$A$56,""),IF(R14&lt;1,Parameters!$A$57,""))))</f>
        <v/>
      </c>
      <c r="M14" s="13">
        <f>IF(C14="","",C14/6)</f>
        <v/>
      </c>
      <c r="N14" s="13">
        <f>IF(D14="","",D14/8)</f>
        <v/>
      </c>
      <c r="O14" s="13">
        <f>IF(E14="","",E14/6)</f>
        <v/>
      </c>
      <c r="P14" s="13">
        <f>IF(F14="","",F14/6)</f>
        <v/>
      </c>
      <c r="Q14" s="13">
        <f>IF(G14="","",G14/6)</f>
        <v/>
      </c>
      <c r="R14" s="13">
        <f>IF(H14="","",H14/15)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4" t="n"/>
      <c r="H15" s="14" t="n"/>
      <c r="I15" s="13">
        <f>IF(COUNT(C15:H15)&lt;6,"",SUM(C15:H15))</f>
        <v/>
      </c>
      <c r="J15" s="13">
        <f>IF(COUNT(C15:H15)&lt;6,"",I15/47)</f>
        <v/>
      </c>
      <c r="K15" s="13">
        <f>IF(COUNT(C15:H15)&lt;6,"",IF(J15&gt;=0.8,"Green",IF(J15&gt;=0.5,"Yellow","Red")))</f>
        <v/>
      </c>
      <c r="L15" s="13">
        <f>IF(COUNT(C15:H15)&lt;6,"",IF(K15="Green","Well done! "&amp;Parameters!$C$63,"Revise: "&amp;_xlfn.TEXTJOIN(", ",TRUE(),IF(M15&lt;1,Parameters!$A$52,""),IF(N15&lt;1,Parameters!$A$53,""),IF(O15&lt;1,Parameters!$A$54,""),IF(P15&lt;1,Parameters!$A$55,""),IF(Q15&lt;1,Parameters!$A$56,""),IF(R15&lt;1,Parameters!$A$57,""))))</f>
        <v/>
      </c>
      <c r="M15" s="13">
        <f>IF(C15="","",C15/6)</f>
        <v/>
      </c>
      <c r="N15" s="13">
        <f>IF(D15="","",D15/8)</f>
        <v/>
      </c>
      <c r="O15" s="13">
        <f>IF(E15="","",E15/6)</f>
        <v/>
      </c>
      <c r="P15" s="13">
        <f>IF(F15="","",F15/6)</f>
        <v/>
      </c>
      <c r="Q15" s="13">
        <f>IF(G15="","",G15/6)</f>
        <v/>
      </c>
      <c r="R15" s="13">
        <f>IF(H15="","",H15/15)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4" t="n"/>
      <c r="H16" s="14" t="n"/>
      <c r="I16" s="13">
        <f>IF(COUNT(C16:H16)&lt;6,"",SUM(C16:H16))</f>
        <v/>
      </c>
      <c r="J16" s="13">
        <f>IF(COUNT(C16:H16)&lt;6,"",I16/47)</f>
        <v/>
      </c>
      <c r="K16" s="13">
        <f>IF(COUNT(C16:H16)&lt;6,"",IF(J16&gt;=0.8,"Green",IF(J16&gt;=0.5,"Yellow","Red")))</f>
        <v/>
      </c>
      <c r="L16" s="13">
        <f>IF(COUNT(C16:H16)&lt;6,"",IF(K16="Green","Well done! "&amp;Parameters!$C$63,"Revise: "&amp;_xlfn.TEXTJOIN(", ",TRUE(),IF(M16&lt;1,Parameters!$A$52,""),IF(N16&lt;1,Parameters!$A$53,""),IF(O16&lt;1,Parameters!$A$54,""),IF(P16&lt;1,Parameters!$A$55,""),IF(Q16&lt;1,Parameters!$A$56,""),IF(R16&lt;1,Parameters!$A$57,""))))</f>
        <v/>
      </c>
      <c r="M16" s="13">
        <f>IF(C16="","",C16/6)</f>
        <v/>
      </c>
      <c r="N16" s="13">
        <f>IF(D16="","",D16/8)</f>
        <v/>
      </c>
      <c r="O16" s="13">
        <f>IF(E16="","",E16/6)</f>
        <v/>
      </c>
      <c r="P16" s="13">
        <f>IF(F16="","",F16/6)</f>
        <v/>
      </c>
      <c r="Q16" s="13">
        <f>IF(G16="","",G16/6)</f>
        <v/>
      </c>
      <c r="R16" s="13">
        <f>IF(H16="","",H16/15)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4" t="n"/>
      <c r="H17" s="14" t="n"/>
      <c r="I17" s="13">
        <f>IF(COUNT(C17:H17)&lt;6,"",SUM(C17:H17))</f>
        <v/>
      </c>
      <c r="J17" s="13">
        <f>IF(COUNT(C17:H17)&lt;6,"",I17/47)</f>
        <v/>
      </c>
      <c r="K17" s="13">
        <f>IF(COUNT(C17:H17)&lt;6,"",IF(J17&gt;=0.8,"Green",IF(J17&gt;=0.5,"Yellow","Red")))</f>
        <v/>
      </c>
      <c r="L17" s="13">
        <f>IF(COUNT(C17:H17)&lt;6,"",IF(K17="Green","Well done! "&amp;Parameters!$C$63,"Revise: "&amp;_xlfn.TEXTJOIN(", ",TRUE(),IF(M17&lt;1,Parameters!$A$52,""),IF(N17&lt;1,Parameters!$A$53,""),IF(O17&lt;1,Parameters!$A$54,""),IF(P17&lt;1,Parameters!$A$55,""),IF(Q17&lt;1,Parameters!$A$56,""),IF(R17&lt;1,Parameters!$A$57,""))))</f>
        <v/>
      </c>
      <c r="M17" s="13">
        <f>IF(C17="","",C17/6)</f>
        <v/>
      </c>
      <c r="N17" s="13">
        <f>IF(D17="","",D17/8)</f>
        <v/>
      </c>
      <c r="O17" s="13">
        <f>IF(E17="","",E17/6)</f>
        <v/>
      </c>
      <c r="P17" s="13">
        <f>IF(F17="","",F17/6)</f>
        <v/>
      </c>
      <c r="Q17" s="13">
        <f>IF(G17="","",G17/6)</f>
        <v/>
      </c>
      <c r="R17" s="13">
        <f>IF(H17="","",H17/15)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4" t="n"/>
      <c r="H18" s="14" t="n"/>
      <c r="I18" s="13">
        <f>IF(COUNT(C18:H18)&lt;6,"",SUM(C18:H18))</f>
        <v/>
      </c>
      <c r="J18" s="13">
        <f>IF(COUNT(C18:H18)&lt;6,"",I18/47)</f>
        <v/>
      </c>
      <c r="K18" s="13">
        <f>IF(COUNT(C18:H18)&lt;6,"",IF(J18&gt;=0.8,"Green",IF(J18&gt;=0.5,"Yellow","Red")))</f>
        <v/>
      </c>
      <c r="L18" s="13">
        <f>IF(COUNT(C18:H18)&lt;6,"",IF(K18="Green","Well done! "&amp;Parameters!$C$63,"Revise: "&amp;_xlfn.TEXTJOIN(", ",TRUE(),IF(M18&lt;1,Parameters!$A$52,""),IF(N18&lt;1,Parameters!$A$53,""),IF(O18&lt;1,Parameters!$A$54,""),IF(P18&lt;1,Parameters!$A$55,""),IF(Q18&lt;1,Parameters!$A$56,""),IF(R18&lt;1,Parameters!$A$57,""))))</f>
        <v/>
      </c>
      <c r="M18" s="13">
        <f>IF(C18="","",C18/6)</f>
        <v/>
      </c>
      <c r="N18" s="13">
        <f>IF(D18="","",D18/8)</f>
        <v/>
      </c>
      <c r="O18" s="13">
        <f>IF(E18="","",E18/6)</f>
        <v/>
      </c>
      <c r="P18" s="13">
        <f>IF(F18="","",F18/6)</f>
        <v/>
      </c>
      <c r="Q18" s="13">
        <f>IF(G18="","",G18/6)</f>
        <v/>
      </c>
      <c r="R18" s="13">
        <f>IF(H18="","",H18/15)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4" t="n"/>
      <c r="H19" s="14" t="n"/>
      <c r="I19" s="13">
        <f>IF(COUNT(C19:H19)&lt;6,"",SUM(C19:H19))</f>
        <v/>
      </c>
      <c r="J19" s="13">
        <f>IF(COUNT(C19:H19)&lt;6,"",I19/47)</f>
        <v/>
      </c>
      <c r="K19" s="13">
        <f>IF(COUNT(C19:H19)&lt;6,"",IF(J19&gt;=0.8,"Green",IF(J19&gt;=0.5,"Yellow","Red")))</f>
        <v/>
      </c>
      <c r="L19" s="13">
        <f>IF(COUNT(C19:H19)&lt;6,"",IF(K19="Green","Well done! "&amp;Parameters!$C$63,"Revise: "&amp;_xlfn.TEXTJOIN(", ",TRUE(),IF(M19&lt;1,Parameters!$A$52,""),IF(N19&lt;1,Parameters!$A$53,""),IF(O19&lt;1,Parameters!$A$54,""),IF(P19&lt;1,Parameters!$A$55,""),IF(Q19&lt;1,Parameters!$A$56,""),IF(R19&lt;1,Parameters!$A$57,""))))</f>
        <v/>
      </c>
      <c r="M19" s="13">
        <f>IF(C19="","",C19/6)</f>
        <v/>
      </c>
      <c r="N19" s="13">
        <f>IF(D19="","",D19/8)</f>
        <v/>
      </c>
      <c r="O19" s="13">
        <f>IF(E19="","",E19/6)</f>
        <v/>
      </c>
      <c r="P19" s="13">
        <f>IF(F19="","",F19/6)</f>
        <v/>
      </c>
      <c r="Q19" s="13">
        <f>IF(G19="","",G19/6)</f>
        <v/>
      </c>
      <c r="R19" s="13">
        <f>IF(H19="","",H19/15)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4" t="n"/>
      <c r="H20" s="14" t="n"/>
      <c r="I20" s="13">
        <f>IF(COUNT(C20:H20)&lt;6,"",SUM(C20:H20))</f>
        <v/>
      </c>
      <c r="J20" s="13">
        <f>IF(COUNT(C20:H20)&lt;6,"",I20/47)</f>
        <v/>
      </c>
      <c r="K20" s="13">
        <f>IF(COUNT(C20:H20)&lt;6,"",IF(J20&gt;=0.8,"Green",IF(J20&gt;=0.5,"Yellow","Red")))</f>
        <v/>
      </c>
      <c r="L20" s="13">
        <f>IF(COUNT(C20:H20)&lt;6,"",IF(K20="Green","Well done! "&amp;Parameters!$C$63,"Revise: "&amp;_xlfn.TEXTJOIN(", ",TRUE(),IF(M20&lt;1,Parameters!$A$52,""),IF(N20&lt;1,Parameters!$A$53,""),IF(O20&lt;1,Parameters!$A$54,""),IF(P20&lt;1,Parameters!$A$55,""),IF(Q20&lt;1,Parameters!$A$56,""),IF(R20&lt;1,Parameters!$A$57,""))))</f>
        <v/>
      </c>
      <c r="M20" s="13">
        <f>IF(C20="","",C20/6)</f>
        <v/>
      </c>
      <c r="N20" s="13">
        <f>IF(D20="","",D20/8)</f>
        <v/>
      </c>
      <c r="O20" s="13">
        <f>IF(E20="","",E20/6)</f>
        <v/>
      </c>
      <c r="P20" s="13">
        <f>IF(F20="","",F20/6)</f>
        <v/>
      </c>
      <c r="Q20" s="13">
        <f>IF(G20="","",G20/6)</f>
        <v/>
      </c>
      <c r="R20" s="13">
        <f>IF(H20="","",H20/15)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4" t="n"/>
      <c r="H21" s="14" t="n"/>
      <c r="I21" s="13">
        <f>IF(COUNT(C21:H21)&lt;6,"",SUM(C21:H21))</f>
        <v/>
      </c>
      <c r="J21" s="13">
        <f>IF(COUNT(C21:H21)&lt;6,"",I21/47)</f>
        <v/>
      </c>
      <c r="K21" s="13">
        <f>IF(COUNT(C21:H21)&lt;6,"",IF(J21&gt;=0.8,"Green",IF(J21&gt;=0.5,"Yellow","Red")))</f>
        <v/>
      </c>
      <c r="L21" s="13">
        <f>IF(COUNT(C21:H21)&lt;6,"",IF(K21="Green","Well done! "&amp;Parameters!$C$63,"Revise: "&amp;_xlfn.TEXTJOIN(", ",TRUE(),IF(M21&lt;1,Parameters!$A$52,""),IF(N21&lt;1,Parameters!$A$53,""),IF(O21&lt;1,Parameters!$A$54,""),IF(P21&lt;1,Parameters!$A$55,""),IF(Q21&lt;1,Parameters!$A$56,""),IF(R21&lt;1,Parameters!$A$57,""))))</f>
        <v/>
      </c>
      <c r="M21" s="13">
        <f>IF(C21="","",C21/6)</f>
        <v/>
      </c>
      <c r="N21" s="13">
        <f>IF(D21="","",D21/8)</f>
        <v/>
      </c>
      <c r="O21" s="13">
        <f>IF(E21="","",E21/6)</f>
        <v/>
      </c>
      <c r="P21" s="13">
        <f>IF(F21="","",F21/6)</f>
        <v/>
      </c>
      <c r="Q21" s="13">
        <f>IF(G21="","",G21/6)</f>
        <v/>
      </c>
      <c r="R21" s="13">
        <f>IF(H21="","",H21/15)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4" t="n"/>
      <c r="H22" s="14" t="n"/>
      <c r="I22" s="13">
        <f>IF(COUNT(C22:H22)&lt;6,"",SUM(C22:H22))</f>
        <v/>
      </c>
      <c r="J22" s="13">
        <f>IF(COUNT(C22:H22)&lt;6,"",I22/47)</f>
        <v/>
      </c>
      <c r="K22" s="13">
        <f>IF(COUNT(C22:H22)&lt;6,"",IF(J22&gt;=0.8,"Green",IF(J22&gt;=0.5,"Yellow","Red")))</f>
        <v/>
      </c>
      <c r="L22" s="13">
        <f>IF(COUNT(C22:H22)&lt;6,"",IF(K22="Green","Well done! "&amp;Parameters!$C$63,"Revise: "&amp;_xlfn.TEXTJOIN(", ",TRUE(),IF(M22&lt;1,Parameters!$A$52,""),IF(N22&lt;1,Parameters!$A$53,""),IF(O22&lt;1,Parameters!$A$54,""),IF(P22&lt;1,Parameters!$A$55,""),IF(Q22&lt;1,Parameters!$A$56,""),IF(R22&lt;1,Parameters!$A$57,""))))</f>
        <v/>
      </c>
      <c r="M22" s="13">
        <f>IF(C22="","",C22/6)</f>
        <v/>
      </c>
      <c r="N22" s="13">
        <f>IF(D22="","",D22/8)</f>
        <v/>
      </c>
      <c r="O22" s="13">
        <f>IF(E22="","",E22/6)</f>
        <v/>
      </c>
      <c r="P22" s="13">
        <f>IF(F22="","",F22/6)</f>
        <v/>
      </c>
      <c r="Q22" s="13">
        <f>IF(G22="","",G22/6)</f>
        <v/>
      </c>
      <c r="R22" s="13">
        <f>IF(H22="","",H22/15)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4" t="n"/>
      <c r="H23" s="14" t="n"/>
      <c r="I23" s="13">
        <f>IF(COUNT(C23:H23)&lt;6,"",SUM(C23:H23))</f>
        <v/>
      </c>
      <c r="J23" s="13">
        <f>IF(COUNT(C23:H23)&lt;6,"",I23/47)</f>
        <v/>
      </c>
      <c r="K23" s="13">
        <f>IF(COUNT(C23:H23)&lt;6,"",IF(J23&gt;=0.8,"Green",IF(J23&gt;=0.5,"Yellow","Red")))</f>
        <v/>
      </c>
      <c r="L23" s="13">
        <f>IF(COUNT(C23:H23)&lt;6,"",IF(K23="Green","Well done! "&amp;Parameters!$C$63,"Revise: "&amp;_xlfn.TEXTJOIN(", ",TRUE(),IF(M23&lt;1,Parameters!$A$52,""),IF(N23&lt;1,Parameters!$A$53,""),IF(O23&lt;1,Parameters!$A$54,""),IF(P23&lt;1,Parameters!$A$55,""),IF(Q23&lt;1,Parameters!$A$56,""),IF(R23&lt;1,Parameters!$A$57,""))))</f>
        <v/>
      </c>
      <c r="M23" s="13">
        <f>IF(C23="","",C23/6)</f>
        <v/>
      </c>
      <c r="N23" s="13">
        <f>IF(D23="","",D23/8)</f>
        <v/>
      </c>
      <c r="O23" s="13">
        <f>IF(E23="","",E23/6)</f>
        <v/>
      </c>
      <c r="P23" s="13">
        <f>IF(F23="","",F23/6)</f>
        <v/>
      </c>
      <c r="Q23" s="13">
        <f>IF(G23="","",G23/6)</f>
        <v/>
      </c>
      <c r="R23" s="13">
        <f>IF(H23="","",H23/15)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4" t="n"/>
      <c r="H24" s="14" t="n"/>
      <c r="I24" s="13">
        <f>IF(COUNT(C24:H24)&lt;6,"",SUM(C24:H24))</f>
        <v/>
      </c>
      <c r="J24" s="13">
        <f>IF(COUNT(C24:H24)&lt;6,"",I24/47)</f>
        <v/>
      </c>
      <c r="K24" s="13">
        <f>IF(COUNT(C24:H24)&lt;6,"",IF(J24&gt;=0.8,"Green",IF(J24&gt;=0.5,"Yellow","Red")))</f>
        <v/>
      </c>
      <c r="L24" s="13">
        <f>IF(COUNT(C24:H24)&lt;6,"",IF(K24="Green","Well done! "&amp;Parameters!$C$63,"Revise: "&amp;_xlfn.TEXTJOIN(", ",TRUE(),IF(M24&lt;1,Parameters!$A$52,""),IF(N24&lt;1,Parameters!$A$53,""),IF(O24&lt;1,Parameters!$A$54,""),IF(P24&lt;1,Parameters!$A$55,""),IF(Q24&lt;1,Parameters!$A$56,""),IF(R24&lt;1,Parameters!$A$57,""))))</f>
        <v/>
      </c>
      <c r="M24" s="13">
        <f>IF(C24="","",C24/6)</f>
        <v/>
      </c>
      <c r="N24" s="13">
        <f>IF(D24="","",D24/8)</f>
        <v/>
      </c>
      <c r="O24" s="13">
        <f>IF(E24="","",E24/6)</f>
        <v/>
      </c>
      <c r="P24" s="13">
        <f>IF(F24="","",F24/6)</f>
        <v/>
      </c>
      <c r="Q24" s="13">
        <f>IF(G24="","",G24/6)</f>
        <v/>
      </c>
      <c r="R24" s="13">
        <f>IF(H24="","",H24/15)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4" t="n"/>
      <c r="H25" s="14" t="n"/>
      <c r="I25" s="13">
        <f>IF(COUNT(C25:H25)&lt;6,"",SUM(C25:H25))</f>
        <v/>
      </c>
      <c r="J25" s="13">
        <f>IF(COUNT(C25:H25)&lt;6,"",I25/47)</f>
        <v/>
      </c>
      <c r="K25" s="13">
        <f>IF(COUNT(C25:H25)&lt;6,"",IF(J25&gt;=0.8,"Green",IF(J25&gt;=0.5,"Yellow","Red")))</f>
        <v/>
      </c>
      <c r="L25" s="13">
        <f>IF(COUNT(C25:H25)&lt;6,"",IF(K25="Green","Well done! "&amp;Parameters!$C$63,"Revise: "&amp;_xlfn.TEXTJOIN(", ",TRUE(),IF(M25&lt;1,Parameters!$A$52,""),IF(N25&lt;1,Parameters!$A$53,""),IF(O25&lt;1,Parameters!$A$54,""),IF(P25&lt;1,Parameters!$A$55,""),IF(Q25&lt;1,Parameters!$A$56,""),IF(R25&lt;1,Parameters!$A$57,""))))</f>
        <v/>
      </c>
      <c r="M25" s="13">
        <f>IF(C25="","",C25/6)</f>
        <v/>
      </c>
      <c r="N25" s="13">
        <f>IF(D25="","",D25/8)</f>
        <v/>
      </c>
      <c r="O25" s="13">
        <f>IF(E25="","",E25/6)</f>
        <v/>
      </c>
      <c r="P25" s="13">
        <f>IF(F25="","",F25/6)</f>
        <v/>
      </c>
      <c r="Q25" s="13">
        <f>IF(G25="","",G25/6)</f>
        <v/>
      </c>
      <c r="R25" s="13">
        <f>IF(H25="","",H25/15)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4" t="n"/>
      <c r="H26" s="14" t="n"/>
      <c r="I26" s="13">
        <f>IF(COUNT(C26:H26)&lt;6,"",SUM(C26:H26))</f>
        <v/>
      </c>
      <c r="J26" s="13">
        <f>IF(COUNT(C26:H26)&lt;6,"",I26/47)</f>
        <v/>
      </c>
      <c r="K26" s="13">
        <f>IF(COUNT(C26:H26)&lt;6,"",IF(J26&gt;=0.8,"Green",IF(J26&gt;=0.5,"Yellow","Red")))</f>
        <v/>
      </c>
      <c r="L26" s="13">
        <f>IF(COUNT(C26:H26)&lt;6,"",IF(K26="Green","Well done! "&amp;Parameters!$C$63,"Revise: "&amp;_xlfn.TEXTJOIN(", ",TRUE(),IF(M26&lt;1,Parameters!$A$52,""),IF(N26&lt;1,Parameters!$A$53,""),IF(O26&lt;1,Parameters!$A$54,""),IF(P26&lt;1,Parameters!$A$55,""),IF(Q26&lt;1,Parameters!$A$56,""),IF(R26&lt;1,Parameters!$A$57,""))))</f>
        <v/>
      </c>
      <c r="M26" s="13">
        <f>IF(C26="","",C26/6)</f>
        <v/>
      </c>
      <c r="N26" s="13">
        <f>IF(D26="","",D26/8)</f>
        <v/>
      </c>
      <c r="O26" s="13">
        <f>IF(E26="","",E26/6)</f>
        <v/>
      </c>
      <c r="P26" s="13">
        <f>IF(F26="","",F26/6)</f>
        <v/>
      </c>
      <c r="Q26" s="13">
        <f>IF(G26="","",G26/6)</f>
        <v/>
      </c>
      <c r="R26" s="13">
        <f>IF(H26="","",H26/15)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4" t="n"/>
      <c r="H27" s="14" t="n"/>
      <c r="I27" s="13">
        <f>IF(COUNT(C27:H27)&lt;6,"",SUM(C27:H27))</f>
        <v/>
      </c>
      <c r="J27" s="13">
        <f>IF(COUNT(C27:H27)&lt;6,"",I27/47)</f>
        <v/>
      </c>
      <c r="K27" s="13">
        <f>IF(COUNT(C27:H27)&lt;6,"",IF(J27&gt;=0.8,"Green",IF(J27&gt;=0.5,"Yellow","Red")))</f>
        <v/>
      </c>
      <c r="L27" s="13">
        <f>IF(COUNT(C27:H27)&lt;6,"",IF(K27="Green","Well done! "&amp;Parameters!$C$63,"Revise: "&amp;_xlfn.TEXTJOIN(", ",TRUE(),IF(M27&lt;1,Parameters!$A$52,""),IF(N27&lt;1,Parameters!$A$53,""),IF(O27&lt;1,Parameters!$A$54,""),IF(P27&lt;1,Parameters!$A$55,""),IF(Q27&lt;1,Parameters!$A$56,""),IF(R27&lt;1,Parameters!$A$57,""))))</f>
        <v/>
      </c>
      <c r="M27" s="13">
        <f>IF(C27="","",C27/6)</f>
        <v/>
      </c>
      <c r="N27" s="13">
        <f>IF(D27="","",D27/8)</f>
        <v/>
      </c>
      <c r="O27" s="13">
        <f>IF(E27="","",E27/6)</f>
        <v/>
      </c>
      <c r="P27" s="13">
        <f>IF(F27="","",F27/6)</f>
        <v/>
      </c>
      <c r="Q27" s="13">
        <f>IF(G27="","",G27/6)</f>
        <v/>
      </c>
      <c r="R27" s="13">
        <f>IF(H27="","",H27/15)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4" t="n"/>
      <c r="H28" s="14" t="n"/>
      <c r="I28" s="13">
        <f>IF(COUNT(C28:H28)&lt;6,"",SUM(C28:H28))</f>
        <v/>
      </c>
      <c r="J28" s="13">
        <f>IF(COUNT(C28:H28)&lt;6,"",I28/47)</f>
        <v/>
      </c>
      <c r="K28" s="13">
        <f>IF(COUNT(C28:H28)&lt;6,"",IF(J28&gt;=0.8,"Green",IF(J28&gt;=0.5,"Yellow","Red")))</f>
        <v/>
      </c>
      <c r="L28" s="13">
        <f>IF(COUNT(C28:H28)&lt;6,"",IF(K28="Green","Well done! "&amp;Parameters!$C$63,"Revise: "&amp;_xlfn.TEXTJOIN(", ",TRUE(),IF(M28&lt;1,Parameters!$A$52,""),IF(N28&lt;1,Parameters!$A$53,""),IF(O28&lt;1,Parameters!$A$54,""),IF(P28&lt;1,Parameters!$A$55,""),IF(Q28&lt;1,Parameters!$A$56,""),IF(R28&lt;1,Parameters!$A$57,""))))</f>
        <v/>
      </c>
      <c r="M28" s="13">
        <f>IF(C28="","",C28/6)</f>
        <v/>
      </c>
      <c r="N28" s="13">
        <f>IF(D28="","",D28/8)</f>
        <v/>
      </c>
      <c r="O28" s="13">
        <f>IF(E28="","",E28/6)</f>
        <v/>
      </c>
      <c r="P28" s="13">
        <f>IF(F28="","",F28/6)</f>
        <v/>
      </c>
      <c r="Q28" s="13">
        <f>IF(G28="","",G28/6)</f>
        <v/>
      </c>
      <c r="R28" s="13">
        <f>IF(H28="","",H28/15)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4" t="n"/>
      <c r="H29" s="14" t="n"/>
      <c r="I29" s="13">
        <f>IF(COUNT(C29:H29)&lt;6,"",SUM(C29:H29))</f>
        <v/>
      </c>
      <c r="J29" s="13">
        <f>IF(COUNT(C29:H29)&lt;6,"",I29/47)</f>
        <v/>
      </c>
      <c r="K29" s="13">
        <f>IF(COUNT(C29:H29)&lt;6,"",IF(J29&gt;=0.8,"Green",IF(J29&gt;=0.5,"Yellow","Red")))</f>
        <v/>
      </c>
      <c r="L29" s="13">
        <f>IF(COUNT(C29:H29)&lt;6,"",IF(K29="Green","Well done! "&amp;Parameters!$C$63,"Revise: "&amp;_xlfn.TEXTJOIN(", ",TRUE(),IF(M29&lt;1,Parameters!$A$52,""),IF(N29&lt;1,Parameters!$A$53,""),IF(O29&lt;1,Parameters!$A$54,""),IF(P29&lt;1,Parameters!$A$55,""),IF(Q29&lt;1,Parameters!$A$56,""),IF(R29&lt;1,Parameters!$A$57,""))))</f>
        <v/>
      </c>
      <c r="M29" s="13">
        <f>IF(C29="","",C29/6)</f>
        <v/>
      </c>
      <c r="N29" s="13">
        <f>IF(D29="","",D29/8)</f>
        <v/>
      </c>
      <c r="O29" s="13">
        <f>IF(E29="","",E29/6)</f>
        <v/>
      </c>
      <c r="P29" s="13">
        <f>IF(F29="","",F29/6)</f>
        <v/>
      </c>
      <c r="Q29" s="13">
        <f>IF(G29="","",G29/6)</f>
        <v/>
      </c>
      <c r="R29" s="13">
        <f>IF(H29="","",H29/15)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4" t="n"/>
      <c r="H30" s="14" t="n"/>
      <c r="I30" s="13">
        <f>IF(COUNT(C30:H30)&lt;6,"",SUM(C30:H30))</f>
        <v/>
      </c>
      <c r="J30" s="13">
        <f>IF(COUNT(C30:H30)&lt;6,"",I30/47)</f>
        <v/>
      </c>
      <c r="K30" s="13">
        <f>IF(COUNT(C30:H30)&lt;6,"",IF(J30&gt;=0.8,"Green",IF(J30&gt;=0.5,"Yellow","Red")))</f>
        <v/>
      </c>
      <c r="L30" s="13">
        <f>IF(COUNT(C30:H30)&lt;6,"",IF(K30="Green","Well done! "&amp;Parameters!$C$63,"Revise: "&amp;_xlfn.TEXTJOIN(", ",TRUE(),IF(M30&lt;1,Parameters!$A$52,""),IF(N30&lt;1,Parameters!$A$53,""),IF(O30&lt;1,Parameters!$A$54,""),IF(P30&lt;1,Parameters!$A$55,""),IF(Q30&lt;1,Parameters!$A$56,""),IF(R30&lt;1,Parameters!$A$57,""))))</f>
        <v/>
      </c>
      <c r="M30" s="13">
        <f>IF(C30="","",C30/6)</f>
        <v/>
      </c>
      <c r="N30" s="13">
        <f>IF(D30="","",D30/8)</f>
        <v/>
      </c>
      <c r="O30" s="13">
        <f>IF(E30="","",E30/6)</f>
        <v/>
      </c>
      <c r="P30" s="13">
        <f>IF(F30="","",F30/6)</f>
        <v/>
      </c>
      <c r="Q30" s="13">
        <f>IF(G30="","",G30/6)</f>
        <v/>
      </c>
      <c r="R30" s="13">
        <f>IF(H30="","",H30/15)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4" t="n"/>
      <c r="H31" s="14" t="n"/>
      <c r="I31" s="13">
        <f>IF(COUNT(C31:H31)&lt;6,"",SUM(C31:H31))</f>
        <v/>
      </c>
      <c r="J31" s="13">
        <f>IF(COUNT(C31:H31)&lt;6,"",I31/47)</f>
        <v/>
      </c>
      <c r="K31" s="13">
        <f>IF(COUNT(C31:H31)&lt;6,"",IF(J31&gt;=0.8,"Green",IF(J31&gt;=0.5,"Yellow","Red")))</f>
        <v/>
      </c>
      <c r="L31" s="13">
        <f>IF(COUNT(C31:H31)&lt;6,"",IF(K31="Green","Well done! "&amp;Parameters!$C$63,"Revise: "&amp;_xlfn.TEXTJOIN(", ",TRUE(),IF(M31&lt;1,Parameters!$A$52,""),IF(N31&lt;1,Parameters!$A$53,""),IF(O31&lt;1,Parameters!$A$54,""),IF(P31&lt;1,Parameters!$A$55,""),IF(Q31&lt;1,Parameters!$A$56,""),IF(R31&lt;1,Parameters!$A$57,""))))</f>
        <v/>
      </c>
      <c r="M31" s="13">
        <f>IF(C31="","",C31/6)</f>
        <v/>
      </c>
      <c r="N31" s="13">
        <f>IF(D31="","",D31/8)</f>
        <v/>
      </c>
      <c r="O31" s="13">
        <f>IF(E31="","",E31/6)</f>
        <v/>
      </c>
      <c r="P31" s="13">
        <f>IF(F31="","",F31/6)</f>
        <v/>
      </c>
      <c r="Q31" s="13">
        <f>IF(G31="","",G31/6)</f>
        <v/>
      </c>
      <c r="R31" s="13">
        <f>IF(H31="","",H31/15)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4" t="n"/>
      <c r="H32" s="14" t="n"/>
      <c r="I32" s="13">
        <f>IF(COUNT(C32:H32)&lt;6,"",SUM(C32:H32))</f>
        <v/>
      </c>
      <c r="J32" s="13">
        <f>IF(COUNT(C32:H32)&lt;6,"",I32/47)</f>
        <v/>
      </c>
      <c r="K32" s="13">
        <f>IF(COUNT(C32:H32)&lt;6,"",IF(J32&gt;=0.8,"Green",IF(J32&gt;=0.5,"Yellow","Red")))</f>
        <v/>
      </c>
      <c r="L32" s="13">
        <f>IF(COUNT(C32:H32)&lt;6,"",IF(K32="Green","Well done! "&amp;Parameters!$C$63,"Revise: "&amp;_xlfn.TEXTJOIN(", ",TRUE(),IF(M32&lt;1,Parameters!$A$52,""),IF(N32&lt;1,Parameters!$A$53,""),IF(O32&lt;1,Parameters!$A$54,""),IF(P32&lt;1,Parameters!$A$55,""),IF(Q32&lt;1,Parameters!$A$56,""),IF(R32&lt;1,Parameters!$A$57,""))))</f>
        <v/>
      </c>
      <c r="M32" s="13">
        <f>IF(C32="","",C32/6)</f>
        <v/>
      </c>
      <c r="N32" s="13">
        <f>IF(D32="","",D32/8)</f>
        <v/>
      </c>
      <c r="O32" s="13">
        <f>IF(E32="","",E32/6)</f>
        <v/>
      </c>
      <c r="P32" s="13">
        <f>IF(F32="","",F32/6)</f>
        <v/>
      </c>
      <c r="Q32" s="13">
        <f>IF(G32="","",G32/6)</f>
        <v/>
      </c>
      <c r="R32" s="13">
        <f>IF(H32="","",H32/15)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4" t="n"/>
      <c r="H33" s="14" t="n"/>
      <c r="I33" s="13">
        <f>IF(COUNT(C33:H33)&lt;6,"",SUM(C33:H33))</f>
        <v/>
      </c>
      <c r="J33" s="13">
        <f>IF(COUNT(C33:H33)&lt;6,"",I33/47)</f>
        <v/>
      </c>
      <c r="K33" s="13">
        <f>IF(COUNT(C33:H33)&lt;6,"",IF(J33&gt;=0.8,"Green",IF(J33&gt;=0.5,"Yellow","Red")))</f>
        <v/>
      </c>
      <c r="L33" s="13">
        <f>IF(COUNT(C33:H33)&lt;6,"",IF(K33="Green","Well done! "&amp;Parameters!$C$63,"Revise: "&amp;_xlfn.TEXTJOIN(", ",TRUE(),IF(M33&lt;1,Parameters!$A$52,""),IF(N33&lt;1,Parameters!$A$53,""),IF(O33&lt;1,Parameters!$A$54,""),IF(P33&lt;1,Parameters!$A$55,""),IF(Q33&lt;1,Parameters!$A$56,""),IF(R33&lt;1,Parameters!$A$57,""))))</f>
        <v/>
      </c>
      <c r="M33" s="13">
        <f>IF(C33="","",C33/6)</f>
        <v/>
      </c>
      <c r="N33" s="13">
        <f>IF(D33="","",D33/8)</f>
        <v/>
      </c>
      <c r="O33" s="13">
        <f>IF(E33="","",E33/6)</f>
        <v/>
      </c>
      <c r="P33" s="13">
        <f>IF(F33="","",F33/6)</f>
        <v/>
      </c>
      <c r="Q33" s="13">
        <f>IF(G33="","",G33/6)</f>
        <v/>
      </c>
      <c r="R33" s="13">
        <f>IF(H33="","",H33/15)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4" t="n"/>
      <c r="H34" s="14" t="n"/>
      <c r="I34" s="13">
        <f>IF(COUNT(C34:H34)&lt;6,"",SUM(C34:H34))</f>
        <v/>
      </c>
      <c r="J34" s="13">
        <f>IF(COUNT(C34:H34)&lt;6,"",I34/47)</f>
        <v/>
      </c>
      <c r="K34" s="13">
        <f>IF(COUNT(C34:H34)&lt;6,"",IF(J34&gt;=0.8,"Green",IF(J34&gt;=0.5,"Yellow","Red")))</f>
        <v/>
      </c>
      <c r="L34" s="13">
        <f>IF(COUNT(C34:H34)&lt;6,"",IF(K34="Green","Well done! "&amp;Parameters!$C$63,"Revise: "&amp;_xlfn.TEXTJOIN(", ",TRUE(),IF(M34&lt;1,Parameters!$A$52,""),IF(N34&lt;1,Parameters!$A$53,""),IF(O34&lt;1,Parameters!$A$54,""),IF(P34&lt;1,Parameters!$A$55,""),IF(Q34&lt;1,Parameters!$A$56,""),IF(R34&lt;1,Parameters!$A$57,""))))</f>
        <v/>
      </c>
      <c r="M34" s="13">
        <f>IF(C34="","",C34/6)</f>
        <v/>
      </c>
      <c r="N34" s="13">
        <f>IF(D34="","",D34/8)</f>
        <v/>
      </c>
      <c r="O34" s="13">
        <f>IF(E34="","",E34/6)</f>
        <v/>
      </c>
      <c r="P34" s="13">
        <f>IF(F34="","",F34/6)</f>
        <v/>
      </c>
      <c r="Q34" s="13">
        <f>IF(G34="","",G34/6)</f>
        <v/>
      </c>
      <c r="R34" s="13">
        <f>IF(H34="","",H34/15)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4" t="n"/>
      <c r="H35" s="14" t="n"/>
      <c r="I35" s="13">
        <f>IF(COUNT(C35:H35)&lt;6,"",SUM(C35:H35))</f>
        <v/>
      </c>
      <c r="J35" s="13">
        <f>IF(COUNT(C35:H35)&lt;6,"",I35/47)</f>
        <v/>
      </c>
      <c r="K35" s="13">
        <f>IF(COUNT(C35:H35)&lt;6,"",IF(J35&gt;=0.8,"Green",IF(J35&gt;=0.5,"Yellow","Red")))</f>
        <v/>
      </c>
      <c r="L35" s="13">
        <f>IF(COUNT(C35:H35)&lt;6,"",IF(K35="Green","Well done! "&amp;Parameters!$C$63,"Revise: "&amp;_xlfn.TEXTJOIN(", ",TRUE(),IF(M35&lt;1,Parameters!$A$52,""),IF(N35&lt;1,Parameters!$A$53,""),IF(O35&lt;1,Parameters!$A$54,""),IF(P35&lt;1,Parameters!$A$55,""),IF(Q35&lt;1,Parameters!$A$56,""),IF(R35&lt;1,Parameters!$A$57,""))))</f>
        <v/>
      </c>
      <c r="M35" s="13">
        <f>IF(C35="","",C35/6)</f>
        <v/>
      </c>
      <c r="N35" s="13">
        <f>IF(D35="","",D35/8)</f>
        <v/>
      </c>
      <c r="O35" s="13">
        <f>IF(E35="","",E35/6)</f>
        <v/>
      </c>
      <c r="P35" s="13">
        <f>IF(F35="","",F35/6)</f>
        <v/>
      </c>
      <c r="Q35" s="13">
        <f>IF(G35="","",G35/6)</f>
        <v/>
      </c>
      <c r="R35" s="13">
        <f>IF(H35="","",H35/15)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4" t="n"/>
      <c r="H36" s="14" t="n"/>
      <c r="I36" s="13">
        <f>IF(COUNT(C36:H36)&lt;6,"",SUM(C36:H36))</f>
        <v/>
      </c>
      <c r="J36" s="13">
        <f>IF(COUNT(C36:H36)&lt;6,"",I36/47)</f>
        <v/>
      </c>
      <c r="K36" s="13">
        <f>IF(COUNT(C36:H36)&lt;6,"",IF(J36&gt;=0.8,"Green",IF(J36&gt;=0.5,"Yellow","Red")))</f>
        <v/>
      </c>
      <c r="L36" s="13">
        <f>IF(COUNT(C36:H36)&lt;6,"",IF(K36="Green","Well done! "&amp;Parameters!$C$63,"Revise: "&amp;_xlfn.TEXTJOIN(", ",TRUE(),IF(M36&lt;1,Parameters!$A$52,""),IF(N36&lt;1,Parameters!$A$53,""),IF(O36&lt;1,Parameters!$A$54,""),IF(P36&lt;1,Parameters!$A$55,""),IF(Q36&lt;1,Parameters!$A$56,""),IF(R36&lt;1,Parameters!$A$57,""))))</f>
        <v/>
      </c>
      <c r="M36" s="13">
        <f>IF(C36="","",C36/6)</f>
        <v/>
      </c>
      <c r="N36" s="13">
        <f>IF(D36="","",D36/8)</f>
        <v/>
      </c>
      <c r="O36" s="13">
        <f>IF(E36="","",E36/6)</f>
        <v/>
      </c>
      <c r="P36" s="13">
        <f>IF(F36="","",F36/6)</f>
        <v/>
      </c>
      <c r="Q36" s="13">
        <f>IF(G36="","",G36/6)</f>
        <v/>
      </c>
      <c r="R36" s="13">
        <f>IF(H36="","",H36/15)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4" t="n"/>
      <c r="H37" s="14" t="n"/>
      <c r="I37" s="13">
        <f>IF(COUNT(C37:H37)&lt;6,"",SUM(C37:H37))</f>
        <v/>
      </c>
      <c r="J37" s="13">
        <f>IF(COUNT(C37:H37)&lt;6,"",I37/47)</f>
        <v/>
      </c>
      <c r="K37" s="13">
        <f>IF(COUNT(C37:H37)&lt;6,"",IF(J37&gt;=0.8,"Green",IF(J37&gt;=0.5,"Yellow","Red")))</f>
        <v/>
      </c>
      <c r="L37" s="13">
        <f>IF(COUNT(C37:H37)&lt;6,"",IF(K37="Green","Well done! "&amp;Parameters!$C$63,"Revise: "&amp;_xlfn.TEXTJOIN(", ",TRUE(),IF(M37&lt;1,Parameters!$A$52,""),IF(N37&lt;1,Parameters!$A$53,""),IF(O37&lt;1,Parameters!$A$54,""),IF(P37&lt;1,Parameters!$A$55,""),IF(Q37&lt;1,Parameters!$A$56,""),IF(R37&lt;1,Parameters!$A$57,""))))</f>
        <v/>
      </c>
      <c r="M37" s="13">
        <f>IF(C37="","",C37/6)</f>
        <v/>
      </c>
      <c r="N37" s="13">
        <f>IF(D37="","",D37/8)</f>
        <v/>
      </c>
      <c r="O37" s="13">
        <f>IF(E37="","",E37/6)</f>
        <v/>
      </c>
      <c r="P37" s="13">
        <f>IF(F37="","",F37/6)</f>
        <v/>
      </c>
      <c r="Q37" s="13">
        <f>IF(G37="","",G37/6)</f>
        <v/>
      </c>
      <c r="R37" s="13">
        <f>IF(H37="","",H37/15)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4" t="n"/>
      <c r="H38" s="14" t="n"/>
      <c r="I38" s="13">
        <f>IF(COUNT(C38:H38)&lt;6,"",SUM(C38:H38))</f>
        <v/>
      </c>
      <c r="J38" s="13">
        <f>IF(COUNT(C38:H38)&lt;6,"",I38/47)</f>
        <v/>
      </c>
      <c r="K38" s="13">
        <f>IF(COUNT(C38:H38)&lt;6,"",IF(J38&gt;=0.8,"Green",IF(J38&gt;=0.5,"Yellow","Red")))</f>
        <v/>
      </c>
      <c r="L38" s="13">
        <f>IF(COUNT(C38:H38)&lt;6,"",IF(K38="Green","Well done! "&amp;Parameters!$C$63,"Revise: "&amp;_xlfn.TEXTJOIN(", ",TRUE(),IF(M38&lt;1,Parameters!$A$52,""),IF(N38&lt;1,Parameters!$A$53,""),IF(O38&lt;1,Parameters!$A$54,""),IF(P38&lt;1,Parameters!$A$55,""),IF(Q38&lt;1,Parameters!$A$56,""),IF(R38&lt;1,Parameters!$A$57,""))))</f>
        <v/>
      </c>
      <c r="M38" s="13">
        <f>IF(C38="","",C38/6)</f>
        <v/>
      </c>
      <c r="N38" s="13">
        <f>IF(D38="","",D38/8)</f>
        <v/>
      </c>
      <c r="O38" s="13">
        <f>IF(E38="","",E38/6)</f>
        <v/>
      </c>
      <c r="P38" s="13">
        <f>IF(F38="","",F38/6)</f>
        <v/>
      </c>
      <c r="Q38" s="13">
        <f>IF(G38="","",G38/6)</f>
        <v/>
      </c>
      <c r="R38" s="13">
        <f>IF(H38="","",H38/15)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4" t="n"/>
      <c r="H39" s="14" t="n"/>
      <c r="I39" s="13">
        <f>IF(COUNT(C39:H39)&lt;6,"",SUM(C39:H39))</f>
        <v/>
      </c>
      <c r="J39" s="13">
        <f>IF(COUNT(C39:H39)&lt;6,"",I39/47)</f>
        <v/>
      </c>
      <c r="K39" s="13">
        <f>IF(COUNT(C39:H39)&lt;6,"",IF(J39&gt;=0.8,"Green",IF(J39&gt;=0.5,"Yellow","Red")))</f>
        <v/>
      </c>
      <c r="L39" s="13">
        <f>IF(COUNT(C39:H39)&lt;6,"",IF(K39="Green","Well done! "&amp;Parameters!$C$63,"Revise: "&amp;_xlfn.TEXTJOIN(", ",TRUE(),IF(M39&lt;1,Parameters!$A$52,""),IF(N39&lt;1,Parameters!$A$53,""),IF(O39&lt;1,Parameters!$A$54,""),IF(P39&lt;1,Parameters!$A$55,""),IF(Q39&lt;1,Parameters!$A$56,""),IF(R39&lt;1,Parameters!$A$57,""))))</f>
        <v/>
      </c>
      <c r="M39" s="13">
        <f>IF(C39="","",C39/6)</f>
        <v/>
      </c>
      <c r="N39" s="13">
        <f>IF(D39="","",D39/8)</f>
        <v/>
      </c>
      <c r="O39" s="13">
        <f>IF(E39="","",E39/6)</f>
        <v/>
      </c>
      <c r="P39" s="13">
        <f>IF(F39="","",F39/6)</f>
        <v/>
      </c>
      <c r="Q39" s="13">
        <f>IF(G39="","",G39/6)</f>
        <v/>
      </c>
      <c r="R39" s="13">
        <f>IF(H39="","",H39/15)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4" t="n"/>
      <c r="H40" s="14" t="n"/>
      <c r="I40" s="13">
        <f>IF(COUNT(C40:H40)&lt;6,"",SUM(C40:H40))</f>
        <v/>
      </c>
      <c r="J40" s="13">
        <f>IF(COUNT(C40:H40)&lt;6,"",I40/47)</f>
        <v/>
      </c>
      <c r="K40" s="13">
        <f>IF(COUNT(C40:H40)&lt;6,"",IF(J40&gt;=0.8,"Green",IF(J40&gt;=0.5,"Yellow","Red")))</f>
        <v/>
      </c>
      <c r="L40" s="13">
        <f>IF(COUNT(C40:H40)&lt;6,"",IF(K40="Green","Well done! "&amp;Parameters!$C$63,"Revise: "&amp;_xlfn.TEXTJOIN(", ",TRUE(),IF(M40&lt;1,Parameters!$A$52,""),IF(N40&lt;1,Parameters!$A$53,""),IF(O40&lt;1,Parameters!$A$54,""),IF(P40&lt;1,Parameters!$A$55,""),IF(Q40&lt;1,Parameters!$A$56,""),IF(R40&lt;1,Parameters!$A$57,""))))</f>
        <v/>
      </c>
      <c r="M40" s="13">
        <f>IF(C40="","",C40/6)</f>
        <v/>
      </c>
      <c r="N40" s="13">
        <f>IF(D40="","",D40/8)</f>
        <v/>
      </c>
      <c r="O40" s="13">
        <f>IF(E40="","",E40/6)</f>
        <v/>
      </c>
      <c r="P40" s="13">
        <f>IF(F40="","",F40/6)</f>
        <v/>
      </c>
      <c r="Q40" s="13">
        <f>IF(G40="","",G40/6)</f>
        <v/>
      </c>
      <c r="R40" s="13">
        <f>IF(H40="","",H40/15)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4" t="n"/>
      <c r="H41" s="14" t="n"/>
      <c r="I41" s="13">
        <f>IF(COUNT(C41:H41)&lt;6,"",SUM(C41:H41))</f>
        <v/>
      </c>
      <c r="J41" s="13">
        <f>IF(COUNT(C41:H41)&lt;6,"",I41/47)</f>
        <v/>
      </c>
      <c r="K41" s="13">
        <f>IF(COUNT(C41:H41)&lt;6,"",IF(J41&gt;=0.8,"Green",IF(J41&gt;=0.5,"Yellow","Red")))</f>
        <v/>
      </c>
      <c r="L41" s="13">
        <f>IF(COUNT(C41:H41)&lt;6,"",IF(K41="Green","Well done! "&amp;Parameters!$C$63,"Revise: "&amp;_xlfn.TEXTJOIN(", ",TRUE(),IF(M41&lt;1,Parameters!$A$52,""),IF(N41&lt;1,Parameters!$A$53,""),IF(O41&lt;1,Parameters!$A$54,""),IF(P41&lt;1,Parameters!$A$55,""),IF(Q41&lt;1,Parameters!$A$56,""),IF(R41&lt;1,Parameters!$A$57,""))))</f>
        <v/>
      </c>
      <c r="M41" s="13">
        <f>IF(C41="","",C41/6)</f>
        <v/>
      </c>
      <c r="N41" s="13">
        <f>IF(D41="","",D41/8)</f>
        <v/>
      </c>
      <c r="O41" s="13">
        <f>IF(E41="","",E41/6)</f>
        <v/>
      </c>
      <c r="P41" s="13">
        <f>IF(F41="","",F41/6)</f>
        <v/>
      </c>
      <c r="Q41" s="13">
        <f>IF(G41="","",G41/6)</f>
        <v/>
      </c>
      <c r="R41" s="13">
        <f>IF(H41="","",H41/15)</f>
        <v/>
      </c>
    </row>
  </sheetData>
  <conditionalFormatting sqref="C11">
    <cfRule type="expression" priority="1" dxfId="0">
      <formula>AND(COUNT(C11:H11)=6,C11=6)</formula>
    </cfRule>
    <cfRule type="expression" priority="2" dxfId="1">
      <formula>AND(COUNT(C11:H11)=6,C11&lt;6*0.4)</formula>
    </cfRule>
    <cfRule type="expression" priority="3" dxfId="2">
      <formula>AND(COUNT(C11:H11)=6,C11&gt;=6*0.4,C11&lt;6)</formula>
    </cfRule>
  </conditionalFormatting>
  <conditionalFormatting sqref="C12">
    <cfRule type="expression" priority="4" dxfId="0">
      <formula>AND(COUNT(C12:H12)=6,C12=6)</formula>
    </cfRule>
    <cfRule type="expression" priority="5" dxfId="1">
      <formula>AND(COUNT(C12:H12)=6,C12&lt;6*0.4)</formula>
    </cfRule>
    <cfRule type="expression" priority="6" dxfId="2">
      <formula>AND(COUNT(C12:H12)=6,C12&gt;=6*0.4,C12&lt;6)</formula>
    </cfRule>
  </conditionalFormatting>
  <conditionalFormatting sqref="C13">
    <cfRule type="expression" priority="7" dxfId="0">
      <formula>AND(COUNT(C13:H13)=6,C13=6)</formula>
    </cfRule>
    <cfRule type="expression" priority="8" dxfId="1">
      <formula>AND(COUNT(C13:H13)=6,C13&lt;6*0.4)</formula>
    </cfRule>
    <cfRule type="expression" priority="9" dxfId="2">
      <formula>AND(COUNT(C13:H13)=6,C13&gt;=6*0.4,C13&lt;6)</formula>
    </cfRule>
  </conditionalFormatting>
  <conditionalFormatting sqref="C14">
    <cfRule type="expression" priority="10" dxfId="0">
      <formula>AND(COUNT(C14:H14)=6,C14=6)</formula>
    </cfRule>
    <cfRule type="expression" priority="11" dxfId="1">
      <formula>AND(COUNT(C14:H14)=6,C14&lt;6*0.4)</formula>
    </cfRule>
    <cfRule type="expression" priority="12" dxfId="2">
      <formula>AND(COUNT(C14:H14)=6,C14&gt;=6*0.4,C14&lt;6)</formula>
    </cfRule>
  </conditionalFormatting>
  <conditionalFormatting sqref="C15">
    <cfRule type="expression" priority="13" dxfId="0">
      <formula>AND(COUNT(C15:H15)=6,C15=6)</formula>
    </cfRule>
    <cfRule type="expression" priority="14" dxfId="1">
      <formula>AND(COUNT(C15:H15)=6,C15&lt;6*0.4)</formula>
    </cfRule>
    <cfRule type="expression" priority="15" dxfId="2">
      <formula>AND(COUNT(C15:H15)=6,C15&gt;=6*0.4,C15&lt;6)</formula>
    </cfRule>
  </conditionalFormatting>
  <conditionalFormatting sqref="C16">
    <cfRule type="expression" priority="16" dxfId="0">
      <formula>AND(COUNT(C16:H16)=6,C16=6)</formula>
    </cfRule>
    <cfRule type="expression" priority="17" dxfId="1">
      <formula>AND(COUNT(C16:H16)=6,C16&lt;6*0.4)</formula>
    </cfRule>
    <cfRule type="expression" priority="18" dxfId="2">
      <formula>AND(COUNT(C16:H16)=6,C16&gt;=6*0.4,C16&lt;6)</formula>
    </cfRule>
  </conditionalFormatting>
  <conditionalFormatting sqref="C17">
    <cfRule type="expression" priority="19" dxfId="0">
      <formula>AND(COUNT(C17:H17)=6,C17=6)</formula>
    </cfRule>
    <cfRule type="expression" priority="20" dxfId="1">
      <formula>AND(COUNT(C17:H17)=6,C17&lt;6*0.4)</formula>
    </cfRule>
    <cfRule type="expression" priority="21" dxfId="2">
      <formula>AND(COUNT(C17:H17)=6,C17&gt;=6*0.4,C17&lt;6)</formula>
    </cfRule>
  </conditionalFormatting>
  <conditionalFormatting sqref="C18">
    <cfRule type="expression" priority="22" dxfId="0">
      <formula>AND(COUNT(C18:H18)=6,C18=6)</formula>
    </cfRule>
    <cfRule type="expression" priority="23" dxfId="1">
      <formula>AND(COUNT(C18:H18)=6,C18&lt;6*0.4)</formula>
    </cfRule>
    <cfRule type="expression" priority="24" dxfId="2">
      <formula>AND(COUNT(C18:H18)=6,C18&gt;=6*0.4,C18&lt;6)</formula>
    </cfRule>
  </conditionalFormatting>
  <conditionalFormatting sqref="C19">
    <cfRule type="expression" priority="25" dxfId="0">
      <formula>AND(COUNT(C19:H19)=6,C19=6)</formula>
    </cfRule>
    <cfRule type="expression" priority="26" dxfId="1">
      <formula>AND(COUNT(C19:H19)=6,C19&lt;6*0.4)</formula>
    </cfRule>
    <cfRule type="expression" priority="27" dxfId="2">
      <formula>AND(COUNT(C19:H19)=6,C19&gt;=6*0.4,C19&lt;6)</formula>
    </cfRule>
  </conditionalFormatting>
  <conditionalFormatting sqref="C20">
    <cfRule type="expression" priority="28" dxfId="0">
      <formula>AND(COUNT(C20:H20)=6,C20=6)</formula>
    </cfRule>
    <cfRule type="expression" priority="29" dxfId="1">
      <formula>AND(COUNT(C20:H20)=6,C20&lt;6*0.4)</formula>
    </cfRule>
    <cfRule type="expression" priority="30" dxfId="2">
      <formula>AND(COUNT(C20:H20)=6,C20&gt;=6*0.4,C20&lt;6)</formula>
    </cfRule>
  </conditionalFormatting>
  <conditionalFormatting sqref="C21">
    <cfRule type="expression" priority="31" dxfId="0">
      <formula>AND(COUNT(C21:H21)=6,C21=6)</formula>
    </cfRule>
    <cfRule type="expression" priority="32" dxfId="1">
      <formula>AND(COUNT(C21:H21)=6,C21&lt;6*0.4)</formula>
    </cfRule>
    <cfRule type="expression" priority="33" dxfId="2">
      <formula>AND(COUNT(C21:H21)=6,C21&gt;=6*0.4,C21&lt;6)</formula>
    </cfRule>
  </conditionalFormatting>
  <conditionalFormatting sqref="C22">
    <cfRule type="expression" priority="34" dxfId="0">
      <formula>AND(COUNT(C22:H22)=6,C22=6)</formula>
    </cfRule>
    <cfRule type="expression" priority="35" dxfId="1">
      <formula>AND(COUNT(C22:H22)=6,C22&lt;6*0.4)</formula>
    </cfRule>
    <cfRule type="expression" priority="36" dxfId="2">
      <formula>AND(COUNT(C22:H22)=6,C22&gt;=6*0.4,C22&lt;6)</formula>
    </cfRule>
  </conditionalFormatting>
  <conditionalFormatting sqref="C23">
    <cfRule type="expression" priority="37" dxfId="0">
      <formula>AND(COUNT(C23:H23)=6,C23=6)</formula>
    </cfRule>
    <cfRule type="expression" priority="38" dxfId="1">
      <formula>AND(COUNT(C23:H23)=6,C23&lt;6*0.4)</formula>
    </cfRule>
    <cfRule type="expression" priority="39" dxfId="2">
      <formula>AND(COUNT(C23:H23)=6,C23&gt;=6*0.4,C23&lt;6)</formula>
    </cfRule>
  </conditionalFormatting>
  <conditionalFormatting sqref="C24">
    <cfRule type="expression" priority="40" dxfId="0">
      <formula>AND(COUNT(C24:H24)=6,C24=6)</formula>
    </cfRule>
    <cfRule type="expression" priority="41" dxfId="1">
      <formula>AND(COUNT(C24:H24)=6,C24&lt;6*0.4)</formula>
    </cfRule>
    <cfRule type="expression" priority="42" dxfId="2">
      <formula>AND(COUNT(C24:H24)=6,C24&gt;=6*0.4,C24&lt;6)</formula>
    </cfRule>
  </conditionalFormatting>
  <conditionalFormatting sqref="C25">
    <cfRule type="expression" priority="43" dxfId="0">
      <formula>AND(COUNT(C25:H25)=6,C25=6)</formula>
    </cfRule>
    <cfRule type="expression" priority="44" dxfId="1">
      <formula>AND(COUNT(C25:H25)=6,C25&lt;6*0.4)</formula>
    </cfRule>
    <cfRule type="expression" priority="45" dxfId="2">
      <formula>AND(COUNT(C25:H25)=6,C25&gt;=6*0.4,C25&lt;6)</formula>
    </cfRule>
  </conditionalFormatting>
  <conditionalFormatting sqref="C26">
    <cfRule type="expression" priority="46" dxfId="0">
      <formula>AND(COUNT(C26:H26)=6,C26=6)</formula>
    </cfRule>
    <cfRule type="expression" priority="47" dxfId="1">
      <formula>AND(COUNT(C26:H26)=6,C26&lt;6*0.4)</formula>
    </cfRule>
    <cfRule type="expression" priority="48" dxfId="2">
      <formula>AND(COUNT(C26:H26)=6,C26&gt;=6*0.4,C26&lt;6)</formula>
    </cfRule>
  </conditionalFormatting>
  <conditionalFormatting sqref="C27">
    <cfRule type="expression" priority="49" dxfId="0">
      <formula>AND(COUNT(C27:H27)=6,C27=6)</formula>
    </cfRule>
    <cfRule type="expression" priority="50" dxfId="1">
      <formula>AND(COUNT(C27:H27)=6,C27&lt;6*0.4)</formula>
    </cfRule>
    <cfRule type="expression" priority="51" dxfId="2">
      <formula>AND(COUNT(C27:H27)=6,C27&gt;=6*0.4,C27&lt;6)</formula>
    </cfRule>
  </conditionalFormatting>
  <conditionalFormatting sqref="C28">
    <cfRule type="expression" priority="52" dxfId="0">
      <formula>AND(COUNT(C28:H28)=6,C28=6)</formula>
    </cfRule>
    <cfRule type="expression" priority="53" dxfId="1">
      <formula>AND(COUNT(C28:H28)=6,C28&lt;6*0.4)</formula>
    </cfRule>
    <cfRule type="expression" priority="54" dxfId="2">
      <formula>AND(COUNT(C28:H28)=6,C28&gt;=6*0.4,C28&lt;6)</formula>
    </cfRule>
  </conditionalFormatting>
  <conditionalFormatting sqref="C29">
    <cfRule type="expression" priority="55" dxfId="0">
      <formula>AND(COUNT(C29:H29)=6,C29=6)</formula>
    </cfRule>
    <cfRule type="expression" priority="56" dxfId="1">
      <formula>AND(COUNT(C29:H29)=6,C29&lt;6*0.4)</formula>
    </cfRule>
    <cfRule type="expression" priority="57" dxfId="2">
      <formula>AND(COUNT(C29:H29)=6,C29&gt;=6*0.4,C29&lt;6)</formula>
    </cfRule>
  </conditionalFormatting>
  <conditionalFormatting sqref="C30">
    <cfRule type="expression" priority="58" dxfId="0">
      <formula>AND(COUNT(C30:H30)=6,C30=6)</formula>
    </cfRule>
    <cfRule type="expression" priority="59" dxfId="1">
      <formula>AND(COUNT(C30:H30)=6,C30&lt;6*0.4)</formula>
    </cfRule>
    <cfRule type="expression" priority="60" dxfId="2">
      <formula>AND(COUNT(C30:H30)=6,C30&gt;=6*0.4,C30&lt;6)</formula>
    </cfRule>
  </conditionalFormatting>
  <conditionalFormatting sqref="C31">
    <cfRule type="expression" priority="61" dxfId="0">
      <formula>AND(COUNT(C31:H31)=6,C31=6)</formula>
    </cfRule>
    <cfRule type="expression" priority="62" dxfId="1">
      <formula>AND(COUNT(C31:H31)=6,C31&lt;6*0.4)</formula>
    </cfRule>
    <cfRule type="expression" priority="63" dxfId="2">
      <formula>AND(COUNT(C31:H31)=6,C31&gt;=6*0.4,C31&lt;6)</formula>
    </cfRule>
  </conditionalFormatting>
  <conditionalFormatting sqref="C32">
    <cfRule type="expression" priority="64" dxfId="0">
      <formula>AND(COUNT(C32:H32)=6,C32=6)</formula>
    </cfRule>
    <cfRule type="expression" priority="65" dxfId="1">
      <formula>AND(COUNT(C32:H32)=6,C32&lt;6*0.4)</formula>
    </cfRule>
    <cfRule type="expression" priority="66" dxfId="2">
      <formula>AND(COUNT(C32:H32)=6,C32&gt;=6*0.4,C32&lt;6)</formula>
    </cfRule>
  </conditionalFormatting>
  <conditionalFormatting sqref="C33">
    <cfRule type="expression" priority="67" dxfId="0">
      <formula>AND(COUNT(C33:H33)=6,C33=6)</formula>
    </cfRule>
    <cfRule type="expression" priority="68" dxfId="1">
      <formula>AND(COUNT(C33:H33)=6,C33&lt;6*0.4)</formula>
    </cfRule>
    <cfRule type="expression" priority="69" dxfId="2">
      <formula>AND(COUNT(C33:H33)=6,C33&gt;=6*0.4,C33&lt;6)</formula>
    </cfRule>
  </conditionalFormatting>
  <conditionalFormatting sqref="C34">
    <cfRule type="expression" priority="70" dxfId="0">
      <formula>AND(COUNT(C34:H34)=6,C34=6)</formula>
    </cfRule>
    <cfRule type="expression" priority="71" dxfId="1">
      <formula>AND(COUNT(C34:H34)=6,C34&lt;6*0.4)</formula>
    </cfRule>
    <cfRule type="expression" priority="72" dxfId="2">
      <formula>AND(COUNT(C34:H34)=6,C34&gt;=6*0.4,C34&lt;6)</formula>
    </cfRule>
  </conditionalFormatting>
  <conditionalFormatting sqref="C35">
    <cfRule type="expression" priority="73" dxfId="0">
      <formula>AND(COUNT(C35:H35)=6,C35=6)</formula>
    </cfRule>
    <cfRule type="expression" priority="74" dxfId="1">
      <formula>AND(COUNT(C35:H35)=6,C35&lt;6*0.4)</formula>
    </cfRule>
    <cfRule type="expression" priority="75" dxfId="2">
      <formula>AND(COUNT(C35:H35)=6,C35&gt;=6*0.4,C35&lt;6)</formula>
    </cfRule>
  </conditionalFormatting>
  <conditionalFormatting sqref="C36">
    <cfRule type="expression" priority="76" dxfId="0">
      <formula>AND(COUNT(C36:H36)=6,C36=6)</formula>
    </cfRule>
    <cfRule type="expression" priority="77" dxfId="1">
      <formula>AND(COUNT(C36:H36)=6,C36&lt;6*0.4)</formula>
    </cfRule>
    <cfRule type="expression" priority="78" dxfId="2">
      <formula>AND(COUNT(C36:H36)=6,C36&gt;=6*0.4,C36&lt;6)</formula>
    </cfRule>
  </conditionalFormatting>
  <conditionalFormatting sqref="C37">
    <cfRule type="expression" priority="79" dxfId="0">
      <formula>AND(COUNT(C37:H37)=6,C37=6)</formula>
    </cfRule>
    <cfRule type="expression" priority="80" dxfId="1">
      <formula>AND(COUNT(C37:H37)=6,C37&lt;6*0.4)</formula>
    </cfRule>
    <cfRule type="expression" priority="81" dxfId="2">
      <formula>AND(COUNT(C37:H37)=6,C37&gt;=6*0.4,C37&lt;6)</formula>
    </cfRule>
  </conditionalFormatting>
  <conditionalFormatting sqref="C38">
    <cfRule type="expression" priority="82" dxfId="0">
      <formula>AND(COUNT(C38:H38)=6,C38=6)</formula>
    </cfRule>
    <cfRule type="expression" priority="83" dxfId="1">
      <formula>AND(COUNT(C38:H38)=6,C38&lt;6*0.4)</formula>
    </cfRule>
    <cfRule type="expression" priority="84" dxfId="2">
      <formula>AND(COUNT(C38:H38)=6,C38&gt;=6*0.4,C38&lt;6)</formula>
    </cfRule>
  </conditionalFormatting>
  <conditionalFormatting sqref="C39">
    <cfRule type="expression" priority="85" dxfId="0">
      <formula>AND(COUNT(C39:H39)=6,C39=6)</formula>
    </cfRule>
    <cfRule type="expression" priority="86" dxfId="1">
      <formula>AND(COUNT(C39:H39)=6,C39&lt;6*0.4)</formula>
    </cfRule>
    <cfRule type="expression" priority="87" dxfId="2">
      <formula>AND(COUNT(C39:H39)=6,C39&gt;=6*0.4,C39&lt;6)</formula>
    </cfRule>
  </conditionalFormatting>
  <conditionalFormatting sqref="C40">
    <cfRule type="expression" priority="88" dxfId="0">
      <formula>AND(COUNT(C40:H40)=6,C40=6)</formula>
    </cfRule>
    <cfRule type="expression" priority="89" dxfId="1">
      <formula>AND(COUNT(C40:H40)=6,C40&lt;6*0.4)</formula>
    </cfRule>
    <cfRule type="expression" priority="90" dxfId="2">
      <formula>AND(COUNT(C40:H40)=6,C40&gt;=6*0.4,C40&lt;6)</formula>
    </cfRule>
  </conditionalFormatting>
  <conditionalFormatting sqref="C41">
    <cfRule type="expression" priority="91" dxfId="0">
      <formula>AND(COUNT(C41:H41)=6,C41=6)</formula>
    </cfRule>
    <cfRule type="expression" priority="92" dxfId="1">
      <formula>AND(COUNT(C41:H41)=6,C41&lt;6*0.4)</formula>
    </cfRule>
    <cfRule type="expression" priority="93" dxfId="2">
      <formula>AND(COUNT(C41:H41)=6,C41&gt;=6*0.4,C41&lt;6)</formula>
    </cfRule>
  </conditionalFormatting>
  <conditionalFormatting sqref="D11">
    <cfRule type="expression" priority="94" dxfId="0">
      <formula>AND(COUNT(C11:H11)=6,D11=8)</formula>
    </cfRule>
    <cfRule type="expression" priority="95" dxfId="1">
      <formula>AND(COUNT(C11:H11)=6,D11&lt;8*0.4)</formula>
    </cfRule>
    <cfRule type="expression" priority="96" dxfId="2">
      <formula>AND(COUNT(C11:H11)=6,D11&gt;=8*0.4,D11&lt;8)</formula>
    </cfRule>
  </conditionalFormatting>
  <conditionalFormatting sqref="D12">
    <cfRule type="expression" priority="97" dxfId="0">
      <formula>AND(COUNT(C12:H12)=6,D12=8)</formula>
    </cfRule>
    <cfRule type="expression" priority="98" dxfId="1">
      <formula>AND(COUNT(C12:H12)=6,D12&lt;8*0.4)</formula>
    </cfRule>
    <cfRule type="expression" priority="99" dxfId="2">
      <formula>AND(COUNT(C12:H12)=6,D12&gt;=8*0.4,D12&lt;8)</formula>
    </cfRule>
  </conditionalFormatting>
  <conditionalFormatting sqref="D13">
    <cfRule type="expression" priority="100" dxfId="0">
      <formula>AND(COUNT(C13:H13)=6,D13=8)</formula>
    </cfRule>
    <cfRule type="expression" priority="101" dxfId="1">
      <formula>AND(COUNT(C13:H13)=6,D13&lt;8*0.4)</formula>
    </cfRule>
    <cfRule type="expression" priority="102" dxfId="2">
      <formula>AND(COUNT(C13:H13)=6,D13&gt;=8*0.4,D13&lt;8)</formula>
    </cfRule>
  </conditionalFormatting>
  <conditionalFormatting sqref="D14">
    <cfRule type="expression" priority="103" dxfId="0">
      <formula>AND(COUNT(C14:H14)=6,D14=8)</formula>
    </cfRule>
    <cfRule type="expression" priority="104" dxfId="1">
      <formula>AND(COUNT(C14:H14)=6,D14&lt;8*0.4)</formula>
    </cfRule>
    <cfRule type="expression" priority="105" dxfId="2">
      <formula>AND(COUNT(C14:H14)=6,D14&gt;=8*0.4,D14&lt;8)</formula>
    </cfRule>
  </conditionalFormatting>
  <conditionalFormatting sqref="D15">
    <cfRule type="expression" priority="106" dxfId="0">
      <formula>AND(COUNT(C15:H15)=6,D15=8)</formula>
    </cfRule>
    <cfRule type="expression" priority="107" dxfId="1">
      <formula>AND(COUNT(C15:H15)=6,D15&lt;8*0.4)</formula>
    </cfRule>
    <cfRule type="expression" priority="108" dxfId="2">
      <formula>AND(COUNT(C15:H15)=6,D15&gt;=8*0.4,D15&lt;8)</formula>
    </cfRule>
  </conditionalFormatting>
  <conditionalFormatting sqref="D16">
    <cfRule type="expression" priority="109" dxfId="0">
      <formula>AND(COUNT(C16:H16)=6,D16=8)</formula>
    </cfRule>
    <cfRule type="expression" priority="110" dxfId="1">
      <formula>AND(COUNT(C16:H16)=6,D16&lt;8*0.4)</formula>
    </cfRule>
    <cfRule type="expression" priority="111" dxfId="2">
      <formula>AND(COUNT(C16:H16)=6,D16&gt;=8*0.4,D16&lt;8)</formula>
    </cfRule>
  </conditionalFormatting>
  <conditionalFormatting sqref="D17">
    <cfRule type="expression" priority="112" dxfId="0">
      <formula>AND(COUNT(C17:H17)=6,D17=8)</formula>
    </cfRule>
    <cfRule type="expression" priority="113" dxfId="1">
      <formula>AND(COUNT(C17:H17)=6,D17&lt;8*0.4)</formula>
    </cfRule>
    <cfRule type="expression" priority="114" dxfId="2">
      <formula>AND(COUNT(C17:H17)=6,D17&gt;=8*0.4,D17&lt;8)</formula>
    </cfRule>
  </conditionalFormatting>
  <conditionalFormatting sqref="D18">
    <cfRule type="expression" priority="115" dxfId="0">
      <formula>AND(COUNT(C18:H18)=6,D18=8)</formula>
    </cfRule>
    <cfRule type="expression" priority="116" dxfId="1">
      <formula>AND(COUNT(C18:H18)=6,D18&lt;8*0.4)</formula>
    </cfRule>
    <cfRule type="expression" priority="117" dxfId="2">
      <formula>AND(COUNT(C18:H18)=6,D18&gt;=8*0.4,D18&lt;8)</formula>
    </cfRule>
  </conditionalFormatting>
  <conditionalFormatting sqref="D19">
    <cfRule type="expression" priority="118" dxfId="0">
      <formula>AND(COUNT(C19:H19)=6,D19=8)</formula>
    </cfRule>
    <cfRule type="expression" priority="119" dxfId="1">
      <formula>AND(COUNT(C19:H19)=6,D19&lt;8*0.4)</formula>
    </cfRule>
    <cfRule type="expression" priority="120" dxfId="2">
      <formula>AND(COUNT(C19:H19)=6,D19&gt;=8*0.4,D19&lt;8)</formula>
    </cfRule>
  </conditionalFormatting>
  <conditionalFormatting sqref="D20">
    <cfRule type="expression" priority="121" dxfId="0">
      <formula>AND(COUNT(C20:H20)=6,D20=8)</formula>
    </cfRule>
    <cfRule type="expression" priority="122" dxfId="1">
      <formula>AND(COUNT(C20:H20)=6,D20&lt;8*0.4)</formula>
    </cfRule>
    <cfRule type="expression" priority="123" dxfId="2">
      <formula>AND(COUNT(C20:H20)=6,D20&gt;=8*0.4,D20&lt;8)</formula>
    </cfRule>
  </conditionalFormatting>
  <conditionalFormatting sqref="D21">
    <cfRule type="expression" priority="124" dxfId="0">
      <formula>AND(COUNT(C21:H21)=6,D21=8)</formula>
    </cfRule>
    <cfRule type="expression" priority="125" dxfId="1">
      <formula>AND(COUNT(C21:H21)=6,D21&lt;8*0.4)</formula>
    </cfRule>
    <cfRule type="expression" priority="126" dxfId="2">
      <formula>AND(COUNT(C21:H21)=6,D21&gt;=8*0.4,D21&lt;8)</formula>
    </cfRule>
  </conditionalFormatting>
  <conditionalFormatting sqref="D22">
    <cfRule type="expression" priority="127" dxfId="0">
      <formula>AND(COUNT(C22:H22)=6,D22=8)</formula>
    </cfRule>
    <cfRule type="expression" priority="128" dxfId="1">
      <formula>AND(COUNT(C22:H22)=6,D22&lt;8*0.4)</formula>
    </cfRule>
    <cfRule type="expression" priority="129" dxfId="2">
      <formula>AND(COUNT(C22:H22)=6,D22&gt;=8*0.4,D22&lt;8)</formula>
    </cfRule>
  </conditionalFormatting>
  <conditionalFormatting sqref="D23">
    <cfRule type="expression" priority="130" dxfId="0">
      <formula>AND(COUNT(C23:H23)=6,D23=8)</formula>
    </cfRule>
    <cfRule type="expression" priority="131" dxfId="1">
      <formula>AND(COUNT(C23:H23)=6,D23&lt;8*0.4)</formula>
    </cfRule>
    <cfRule type="expression" priority="132" dxfId="2">
      <formula>AND(COUNT(C23:H23)=6,D23&gt;=8*0.4,D23&lt;8)</formula>
    </cfRule>
  </conditionalFormatting>
  <conditionalFormatting sqref="D24">
    <cfRule type="expression" priority="133" dxfId="0">
      <formula>AND(COUNT(C24:H24)=6,D24=8)</formula>
    </cfRule>
    <cfRule type="expression" priority="134" dxfId="1">
      <formula>AND(COUNT(C24:H24)=6,D24&lt;8*0.4)</formula>
    </cfRule>
    <cfRule type="expression" priority="135" dxfId="2">
      <formula>AND(COUNT(C24:H24)=6,D24&gt;=8*0.4,D24&lt;8)</formula>
    </cfRule>
  </conditionalFormatting>
  <conditionalFormatting sqref="D25">
    <cfRule type="expression" priority="136" dxfId="0">
      <formula>AND(COUNT(C25:H25)=6,D25=8)</formula>
    </cfRule>
    <cfRule type="expression" priority="137" dxfId="1">
      <formula>AND(COUNT(C25:H25)=6,D25&lt;8*0.4)</formula>
    </cfRule>
    <cfRule type="expression" priority="138" dxfId="2">
      <formula>AND(COUNT(C25:H25)=6,D25&gt;=8*0.4,D25&lt;8)</formula>
    </cfRule>
  </conditionalFormatting>
  <conditionalFormatting sqref="D26">
    <cfRule type="expression" priority="139" dxfId="0">
      <formula>AND(COUNT(C26:H26)=6,D26=8)</formula>
    </cfRule>
    <cfRule type="expression" priority="140" dxfId="1">
      <formula>AND(COUNT(C26:H26)=6,D26&lt;8*0.4)</formula>
    </cfRule>
    <cfRule type="expression" priority="141" dxfId="2">
      <formula>AND(COUNT(C26:H26)=6,D26&gt;=8*0.4,D26&lt;8)</formula>
    </cfRule>
  </conditionalFormatting>
  <conditionalFormatting sqref="D27">
    <cfRule type="expression" priority="142" dxfId="0">
      <formula>AND(COUNT(C27:H27)=6,D27=8)</formula>
    </cfRule>
    <cfRule type="expression" priority="143" dxfId="1">
      <formula>AND(COUNT(C27:H27)=6,D27&lt;8*0.4)</formula>
    </cfRule>
    <cfRule type="expression" priority="144" dxfId="2">
      <formula>AND(COUNT(C27:H27)=6,D27&gt;=8*0.4,D27&lt;8)</formula>
    </cfRule>
  </conditionalFormatting>
  <conditionalFormatting sqref="D28">
    <cfRule type="expression" priority="145" dxfId="0">
      <formula>AND(COUNT(C28:H28)=6,D28=8)</formula>
    </cfRule>
    <cfRule type="expression" priority="146" dxfId="1">
      <formula>AND(COUNT(C28:H28)=6,D28&lt;8*0.4)</formula>
    </cfRule>
    <cfRule type="expression" priority="147" dxfId="2">
      <formula>AND(COUNT(C28:H28)=6,D28&gt;=8*0.4,D28&lt;8)</formula>
    </cfRule>
  </conditionalFormatting>
  <conditionalFormatting sqref="D29">
    <cfRule type="expression" priority="148" dxfId="0">
      <formula>AND(COUNT(C29:H29)=6,D29=8)</formula>
    </cfRule>
    <cfRule type="expression" priority="149" dxfId="1">
      <formula>AND(COUNT(C29:H29)=6,D29&lt;8*0.4)</formula>
    </cfRule>
    <cfRule type="expression" priority="150" dxfId="2">
      <formula>AND(COUNT(C29:H29)=6,D29&gt;=8*0.4,D29&lt;8)</formula>
    </cfRule>
  </conditionalFormatting>
  <conditionalFormatting sqref="D30">
    <cfRule type="expression" priority="151" dxfId="0">
      <formula>AND(COUNT(C30:H30)=6,D30=8)</formula>
    </cfRule>
    <cfRule type="expression" priority="152" dxfId="1">
      <formula>AND(COUNT(C30:H30)=6,D30&lt;8*0.4)</formula>
    </cfRule>
    <cfRule type="expression" priority="153" dxfId="2">
      <formula>AND(COUNT(C30:H30)=6,D30&gt;=8*0.4,D30&lt;8)</formula>
    </cfRule>
  </conditionalFormatting>
  <conditionalFormatting sqref="D31">
    <cfRule type="expression" priority="154" dxfId="0">
      <formula>AND(COUNT(C31:H31)=6,D31=8)</formula>
    </cfRule>
    <cfRule type="expression" priority="155" dxfId="1">
      <formula>AND(COUNT(C31:H31)=6,D31&lt;8*0.4)</formula>
    </cfRule>
    <cfRule type="expression" priority="156" dxfId="2">
      <formula>AND(COUNT(C31:H31)=6,D31&gt;=8*0.4,D31&lt;8)</formula>
    </cfRule>
  </conditionalFormatting>
  <conditionalFormatting sqref="D32">
    <cfRule type="expression" priority="157" dxfId="0">
      <formula>AND(COUNT(C32:H32)=6,D32=8)</formula>
    </cfRule>
    <cfRule type="expression" priority="158" dxfId="1">
      <formula>AND(COUNT(C32:H32)=6,D32&lt;8*0.4)</formula>
    </cfRule>
    <cfRule type="expression" priority="159" dxfId="2">
      <formula>AND(COUNT(C32:H32)=6,D32&gt;=8*0.4,D32&lt;8)</formula>
    </cfRule>
  </conditionalFormatting>
  <conditionalFormatting sqref="D33">
    <cfRule type="expression" priority="160" dxfId="0">
      <formula>AND(COUNT(C33:H33)=6,D33=8)</formula>
    </cfRule>
    <cfRule type="expression" priority="161" dxfId="1">
      <formula>AND(COUNT(C33:H33)=6,D33&lt;8*0.4)</formula>
    </cfRule>
    <cfRule type="expression" priority="162" dxfId="2">
      <formula>AND(COUNT(C33:H33)=6,D33&gt;=8*0.4,D33&lt;8)</formula>
    </cfRule>
  </conditionalFormatting>
  <conditionalFormatting sqref="D34">
    <cfRule type="expression" priority="163" dxfId="0">
      <formula>AND(COUNT(C34:H34)=6,D34=8)</formula>
    </cfRule>
    <cfRule type="expression" priority="164" dxfId="1">
      <formula>AND(COUNT(C34:H34)=6,D34&lt;8*0.4)</formula>
    </cfRule>
    <cfRule type="expression" priority="165" dxfId="2">
      <formula>AND(COUNT(C34:H34)=6,D34&gt;=8*0.4,D34&lt;8)</formula>
    </cfRule>
  </conditionalFormatting>
  <conditionalFormatting sqref="D35">
    <cfRule type="expression" priority="166" dxfId="0">
      <formula>AND(COUNT(C35:H35)=6,D35=8)</formula>
    </cfRule>
    <cfRule type="expression" priority="167" dxfId="1">
      <formula>AND(COUNT(C35:H35)=6,D35&lt;8*0.4)</formula>
    </cfRule>
    <cfRule type="expression" priority="168" dxfId="2">
      <formula>AND(COUNT(C35:H35)=6,D35&gt;=8*0.4,D35&lt;8)</formula>
    </cfRule>
  </conditionalFormatting>
  <conditionalFormatting sqref="D36">
    <cfRule type="expression" priority="169" dxfId="0">
      <formula>AND(COUNT(C36:H36)=6,D36=8)</formula>
    </cfRule>
    <cfRule type="expression" priority="170" dxfId="1">
      <formula>AND(COUNT(C36:H36)=6,D36&lt;8*0.4)</formula>
    </cfRule>
    <cfRule type="expression" priority="171" dxfId="2">
      <formula>AND(COUNT(C36:H36)=6,D36&gt;=8*0.4,D36&lt;8)</formula>
    </cfRule>
  </conditionalFormatting>
  <conditionalFormatting sqref="D37">
    <cfRule type="expression" priority="172" dxfId="0">
      <formula>AND(COUNT(C37:H37)=6,D37=8)</formula>
    </cfRule>
    <cfRule type="expression" priority="173" dxfId="1">
      <formula>AND(COUNT(C37:H37)=6,D37&lt;8*0.4)</formula>
    </cfRule>
    <cfRule type="expression" priority="174" dxfId="2">
      <formula>AND(COUNT(C37:H37)=6,D37&gt;=8*0.4,D37&lt;8)</formula>
    </cfRule>
  </conditionalFormatting>
  <conditionalFormatting sqref="D38">
    <cfRule type="expression" priority="175" dxfId="0">
      <formula>AND(COUNT(C38:H38)=6,D38=8)</formula>
    </cfRule>
    <cfRule type="expression" priority="176" dxfId="1">
      <formula>AND(COUNT(C38:H38)=6,D38&lt;8*0.4)</formula>
    </cfRule>
    <cfRule type="expression" priority="177" dxfId="2">
      <formula>AND(COUNT(C38:H38)=6,D38&gt;=8*0.4,D38&lt;8)</formula>
    </cfRule>
  </conditionalFormatting>
  <conditionalFormatting sqref="D39">
    <cfRule type="expression" priority="178" dxfId="0">
      <formula>AND(COUNT(C39:H39)=6,D39=8)</formula>
    </cfRule>
    <cfRule type="expression" priority="179" dxfId="1">
      <formula>AND(COUNT(C39:H39)=6,D39&lt;8*0.4)</formula>
    </cfRule>
    <cfRule type="expression" priority="180" dxfId="2">
      <formula>AND(COUNT(C39:H39)=6,D39&gt;=8*0.4,D39&lt;8)</formula>
    </cfRule>
  </conditionalFormatting>
  <conditionalFormatting sqref="D40">
    <cfRule type="expression" priority="181" dxfId="0">
      <formula>AND(COUNT(C40:H40)=6,D40=8)</formula>
    </cfRule>
    <cfRule type="expression" priority="182" dxfId="1">
      <formula>AND(COUNT(C40:H40)=6,D40&lt;8*0.4)</formula>
    </cfRule>
    <cfRule type="expression" priority="183" dxfId="2">
      <formula>AND(COUNT(C40:H40)=6,D40&gt;=8*0.4,D40&lt;8)</formula>
    </cfRule>
  </conditionalFormatting>
  <conditionalFormatting sqref="D41">
    <cfRule type="expression" priority="184" dxfId="0">
      <formula>AND(COUNT(C41:H41)=6,D41=8)</formula>
    </cfRule>
    <cfRule type="expression" priority="185" dxfId="1">
      <formula>AND(COUNT(C41:H41)=6,D41&lt;8*0.4)</formula>
    </cfRule>
    <cfRule type="expression" priority="186" dxfId="2">
      <formula>AND(COUNT(C41:H41)=6,D41&gt;=8*0.4,D41&lt;8)</formula>
    </cfRule>
  </conditionalFormatting>
  <conditionalFormatting sqref="E11">
    <cfRule type="expression" priority="187" dxfId="0">
      <formula>AND(COUNT(C11:H11)=6,E11=6)</formula>
    </cfRule>
    <cfRule type="expression" priority="188" dxfId="1">
      <formula>AND(COUNT(C11:H11)=6,E11&lt;6*0.4)</formula>
    </cfRule>
    <cfRule type="expression" priority="189" dxfId="2">
      <formula>AND(COUNT(C11:H11)=6,E11&gt;=6*0.4,E11&lt;6)</formula>
    </cfRule>
  </conditionalFormatting>
  <conditionalFormatting sqref="E12">
    <cfRule type="expression" priority="190" dxfId="0">
      <formula>AND(COUNT(C12:H12)=6,E12=6)</formula>
    </cfRule>
    <cfRule type="expression" priority="191" dxfId="1">
      <formula>AND(COUNT(C12:H12)=6,E12&lt;6*0.4)</formula>
    </cfRule>
    <cfRule type="expression" priority="192" dxfId="2">
      <formula>AND(COUNT(C12:H12)=6,E12&gt;=6*0.4,E12&lt;6)</formula>
    </cfRule>
  </conditionalFormatting>
  <conditionalFormatting sqref="E13">
    <cfRule type="expression" priority="193" dxfId="0">
      <formula>AND(COUNT(C13:H13)=6,E13=6)</formula>
    </cfRule>
    <cfRule type="expression" priority="194" dxfId="1">
      <formula>AND(COUNT(C13:H13)=6,E13&lt;6*0.4)</formula>
    </cfRule>
    <cfRule type="expression" priority="195" dxfId="2">
      <formula>AND(COUNT(C13:H13)=6,E13&gt;=6*0.4,E13&lt;6)</formula>
    </cfRule>
  </conditionalFormatting>
  <conditionalFormatting sqref="E14">
    <cfRule type="expression" priority="196" dxfId="0">
      <formula>AND(COUNT(C14:H14)=6,E14=6)</formula>
    </cfRule>
    <cfRule type="expression" priority="197" dxfId="1">
      <formula>AND(COUNT(C14:H14)=6,E14&lt;6*0.4)</formula>
    </cfRule>
    <cfRule type="expression" priority="198" dxfId="2">
      <formula>AND(COUNT(C14:H14)=6,E14&gt;=6*0.4,E14&lt;6)</formula>
    </cfRule>
  </conditionalFormatting>
  <conditionalFormatting sqref="E15">
    <cfRule type="expression" priority="199" dxfId="0">
      <formula>AND(COUNT(C15:H15)=6,E15=6)</formula>
    </cfRule>
    <cfRule type="expression" priority="200" dxfId="1">
      <formula>AND(COUNT(C15:H15)=6,E15&lt;6*0.4)</formula>
    </cfRule>
    <cfRule type="expression" priority="201" dxfId="2">
      <formula>AND(COUNT(C15:H15)=6,E15&gt;=6*0.4,E15&lt;6)</formula>
    </cfRule>
  </conditionalFormatting>
  <conditionalFormatting sqref="E16">
    <cfRule type="expression" priority="202" dxfId="0">
      <formula>AND(COUNT(C16:H16)=6,E16=6)</formula>
    </cfRule>
    <cfRule type="expression" priority="203" dxfId="1">
      <formula>AND(COUNT(C16:H16)=6,E16&lt;6*0.4)</formula>
    </cfRule>
    <cfRule type="expression" priority="204" dxfId="2">
      <formula>AND(COUNT(C16:H16)=6,E16&gt;=6*0.4,E16&lt;6)</formula>
    </cfRule>
  </conditionalFormatting>
  <conditionalFormatting sqref="E17">
    <cfRule type="expression" priority="205" dxfId="0">
      <formula>AND(COUNT(C17:H17)=6,E17=6)</formula>
    </cfRule>
    <cfRule type="expression" priority="206" dxfId="1">
      <formula>AND(COUNT(C17:H17)=6,E17&lt;6*0.4)</formula>
    </cfRule>
    <cfRule type="expression" priority="207" dxfId="2">
      <formula>AND(COUNT(C17:H17)=6,E17&gt;=6*0.4,E17&lt;6)</formula>
    </cfRule>
  </conditionalFormatting>
  <conditionalFormatting sqref="E18">
    <cfRule type="expression" priority="208" dxfId="0">
      <formula>AND(COUNT(C18:H18)=6,E18=6)</formula>
    </cfRule>
    <cfRule type="expression" priority="209" dxfId="1">
      <formula>AND(COUNT(C18:H18)=6,E18&lt;6*0.4)</formula>
    </cfRule>
    <cfRule type="expression" priority="210" dxfId="2">
      <formula>AND(COUNT(C18:H18)=6,E18&gt;=6*0.4,E18&lt;6)</formula>
    </cfRule>
  </conditionalFormatting>
  <conditionalFormatting sqref="E19">
    <cfRule type="expression" priority="211" dxfId="0">
      <formula>AND(COUNT(C19:H19)=6,E19=6)</formula>
    </cfRule>
    <cfRule type="expression" priority="212" dxfId="1">
      <formula>AND(COUNT(C19:H19)=6,E19&lt;6*0.4)</formula>
    </cfRule>
    <cfRule type="expression" priority="213" dxfId="2">
      <formula>AND(COUNT(C19:H19)=6,E19&gt;=6*0.4,E19&lt;6)</formula>
    </cfRule>
  </conditionalFormatting>
  <conditionalFormatting sqref="E20">
    <cfRule type="expression" priority="214" dxfId="0">
      <formula>AND(COUNT(C20:H20)=6,E20=6)</formula>
    </cfRule>
    <cfRule type="expression" priority="215" dxfId="1">
      <formula>AND(COUNT(C20:H20)=6,E20&lt;6*0.4)</formula>
    </cfRule>
    <cfRule type="expression" priority="216" dxfId="2">
      <formula>AND(COUNT(C20:H20)=6,E20&gt;=6*0.4,E20&lt;6)</formula>
    </cfRule>
  </conditionalFormatting>
  <conditionalFormatting sqref="E21">
    <cfRule type="expression" priority="217" dxfId="0">
      <formula>AND(COUNT(C21:H21)=6,E21=6)</formula>
    </cfRule>
    <cfRule type="expression" priority="218" dxfId="1">
      <formula>AND(COUNT(C21:H21)=6,E21&lt;6*0.4)</formula>
    </cfRule>
    <cfRule type="expression" priority="219" dxfId="2">
      <formula>AND(COUNT(C21:H21)=6,E21&gt;=6*0.4,E21&lt;6)</formula>
    </cfRule>
  </conditionalFormatting>
  <conditionalFormatting sqref="E22">
    <cfRule type="expression" priority="220" dxfId="0">
      <formula>AND(COUNT(C22:H22)=6,E22=6)</formula>
    </cfRule>
    <cfRule type="expression" priority="221" dxfId="1">
      <formula>AND(COUNT(C22:H22)=6,E22&lt;6*0.4)</formula>
    </cfRule>
    <cfRule type="expression" priority="222" dxfId="2">
      <formula>AND(COUNT(C22:H22)=6,E22&gt;=6*0.4,E22&lt;6)</formula>
    </cfRule>
  </conditionalFormatting>
  <conditionalFormatting sqref="E23">
    <cfRule type="expression" priority="223" dxfId="0">
      <formula>AND(COUNT(C23:H23)=6,E23=6)</formula>
    </cfRule>
    <cfRule type="expression" priority="224" dxfId="1">
      <formula>AND(COUNT(C23:H23)=6,E23&lt;6*0.4)</formula>
    </cfRule>
    <cfRule type="expression" priority="225" dxfId="2">
      <formula>AND(COUNT(C23:H23)=6,E23&gt;=6*0.4,E23&lt;6)</formula>
    </cfRule>
  </conditionalFormatting>
  <conditionalFormatting sqref="E24">
    <cfRule type="expression" priority="226" dxfId="0">
      <formula>AND(COUNT(C24:H24)=6,E24=6)</formula>
    </cfRule>
    <cfRule type="expression" priority="227" dxfId="1">
      <formula>AND(COUNT(C24:H24)=6,E24&lt;6*0.4)</formula>
    </cfRule>
    <cfRule type="expression" priority="228" dxfId="2">
      <formula>AND(COUNT(C24:H24)=6,E24&gt;=6*0.4,E24&lt;6)</formula>
    </cfRule>
  </conditionalFormatting>
  <conditionalFormatting sqref="E25">
    <cfRule type="expression" priority="229" dxfId="0">
      <formula>AND(COUNT(C25:H25)=6,E25=6)</formula>
    </cfRule>
    <cfRule type="expression" priority="230" dxfId="1">
      <formula>AND(COUNT(C25:H25)=6,E25&lt;6*0.4)</formula>
    </cfRule>
    <cfRule type="expression" priority="231" dxfId="2">
      <formula>AND(COUNT(C25:H25)=6,E25&gt;=6*0.4,E25&lt;6)</formula>
    </cfRule>
  </conditionalFormatting>
  <conditionalFormatting sqref="E26">
    <cfRule type="expression" priority="232" dxfId="0">
      <formula>AND(COUNT(C26:H26)=6,E26=6)</formula>
    </cfRule>
    <cfRule type="expression" priority="233" dxfId="1">
      <formula>AND(COUNT(C26:H26)=6,E26&lt;6*0.4)</formula>
    </cfRule>
    <cfRule type="expression" priority="234" dxfId="2">
      <formula>AND(COUNT(C26:H26)=6,E26&gt;=6*0.4,E26&lt;6)</formula>
    </cfRule>
  </conditionalFormatting>
  <conditionalFormatting sqref="E27">
    <cfRule type="expression" priority="235" dxfId="0">
      <formula>AND(COUNT(C27:H27)=6,E27=6)</formula>
    </cfRule>
    <cfRule type="expression" priority="236" dxfId="1">
      <formula>AND(COUNT(C27:H27)=6,E27&lt;6*0.4)</formula>
    </cfRule>
    <cfRule type="expression" priority="237" dxfId="2">
      <formula>AND(COUNT(C27:H27)=6,E27&gt;=6*0.4,E27&lt;6)</formula>
    </cfRule>
  </conditionalFormatting>
  <conditionalFormatting sqref="E28">
    <cfRule type="expression" priority="238" dxfId="0">
      <formula>AND(COUNT(C28:H28)=6,E28=6)</formula>
    </cfRule>
    <cfRule type="expression" priority="239" dxfId="1">
      <formula>AND(COUNT(C28:H28)=6,E28&lt;6*0.4)</formula>
    </cfRule>
    <cfRule type="expression" priority="240" dxfId="2">
      <formula>AND(COUNT(C28:H28)=6,E28&gt;=6*0.4,E28&lt;6)</formula>
    </cfRule>
  </conditionalFormatting>
  <conditionalFormatting sqref="E29">
    <cfRule type="expression" priority="241" dxfId="0">
      <formula>AND(COUNT(C29:H29)=6,E29=6)</formula>
    </cfRule>
    <cfRule type="expression" priority="242" dxfId="1">
      <formula>AND(COUNT(C29:H29)=6,E29&lt;6*0.4)</formula>
    </cfRule>
    <cfRule type="expression" priority="243" dxfId="2">
      <formula>AND(COUNT(C29:H29)=6,E29&gt;=6*0.4,E29&lt;6)</formula>
    </cfRule>
  </conditionalFormatting>
  <conditionalFormatting sqref="E30">
    <cfRule type="expression" priority="244" dxfId="0">
      <formula>AND(COUNT(C30:H30)=6,E30=6)</formula>
    </cfRule>
    <cfRule type="expression" priority="245" dxfId="1">
      <formula>AND(COUNT(C30:H30)=6,E30&lt;6*0.4)</formula>
    </cfRule>
    <cfRule type="expression" priority="246" dxfId="2">
      <formula>AND(COUNT(C30:H30)=6,E30&gt;=6*0.4,E30&lt;6)</formula>
    </cfRule>
  </conditionalFormatting>
  <conditionalFormatting sqref="E31">
    <cfRule type="expression" priority="247" dxfId="0">
      <formula>AND(COUNT(C31:H31)=6,E31=6)</formula>
    </cfRule>
    <cfRule type="expression" priority="248" dxfId="1">
      <formula>AND(COUNT(C31:H31)=6,E31&lt;6*0.4)</formula>
    </cfRule>
    <cfRule type="expression" priority="249" dxfId="2">
      <formula>AND(COUNT(C31:H31)=6,E31&gt;=6*0.4,E31&lt;6)</formula>
    </cfRule>
  </conditionalFormatting>
  <conditionalFormatting sqref="E32">
    <cfRule type="expression" priority="250" dxfId="0">
      <formula>AND(COUNT(C32:H32)=6,E32=6)</formula>
    </cfRule>
    <cfRule type="expression" priority="251" dxfId="1">
      <formula>AND(COUNT(C32:H32)=6,E32&lt;6*0.4)</formula>
    </cfRule>
    <cfRule type="expression" priority="252" dxfId="2">
      <formula>AND(COUNT(C32:H32)=6,E32&gt;=6*0.4,E32&lt;6)</formula>
    </cfRule>
  </conditionalFormatting>
  <conditionalFormatting sqref="E33">
    <cfRule type="expression" priority="253" dxfId="0">
      <formula>AND(COUNT(C33:H33)=6,E33=6)</formula>
    </cfRule>
    <cfRule type="expression" priority="254" dxfId="1">
      <formula>AND(COUNT(C33:H33)=6,E33&lt;6*0.4)</formula>
    </cfRule>
    <cfRule type="expression" priority="255" dxfId="2">
      <formula>AND(COUNT(C33:H33)=6,E33&gt;=6*0.4,E33&lt;6)</formula>
    </cfRule>
  </conditionalFormatting>
  <conditionalFormatting sqref="E34">
    <cfRule type="expression" priority="256" dxfId="0">
      <formula>AND(COUNT(C34:H34)=6,E34=6)</formula>
    </cfRule>
    <cfRule type="expression" priority="257" dxfId="1">
      <formula>AND(COUNT(C34:H34)=6,E34&lt;6*0.4)</formula>
    </cfRule>
    <cfRule type="expression" priority="258" dxfId="2">
      <formula>AND(COUNT(C34:H34)=6,E34&gt;=6*0.4,E34&lt;6)</formula>
    </cfRule>
  </conditionalFormatting>
  <conditionalFormatting sqref="E35">
    <cfRule type="expression" priority="259" dxfId="0">
      <formula>AND(COUNT(C35:H35)=6,E35=6)</formula>
    </cfRule>
    <cfRule type="expression" priority="260" dxfId="1">
      <formula>AND(COUNT(C35:H35)=6,E35&lt;6*0.4)</formula>
    </cfRule>
    <cfRule type="expression" priority="261" dxfId="2">
      <formula>AND(COUNT(C35:H35)=6,E35&gt;=6*0.4,E35&lt;6)</formula>
    </cfRule>
  </conditionalFormatting>
  <conditionalFormatting sqref="E36">
    <cfRule type="expression" priority="262" dxfId="0">
      <formula>AND(COUNT(C36:H36)=6,E36=6)</formula>
    </cfRule>
    <cfRule type="expression" priority="263" dxfId="1">
      <formula>AND(COUNT(C36:H36)=6,E36&lt;6*0.4)</formula>
    </cfRule>
    <cfRule type="expression" priority="264" dxfId="2">
      <formula>AND(COUNT(C36:H36)=6,E36&gt;=6*0.4,E36&lt;6)</formula>
    </cfRule>
  </conditionalFormatting>
  <conditionalFormatting sqref="E37">
    <cfRule type="expression" priority="265" dxfId="0">
      <formula>AND(COUNT(C37:H37)=6,E37=6)</formula>
    </cfRule>
    <cfRule type="expression" priority="266" dxfId="1">
      <formula>AND(COUNT(C37:H37)=6,E37&lt;6*0.4)</formula>
    </cfRule>
    <cfRule type="expression" priority="267" dxfId="2">
      <formula>AND(COUNT(C37:H37)=6,E37&gt;=6*0.4,E37&lt;6)</formula>
    </cfRule>
  </conditionalFormatting>
  <conditionalFormatting sqref="E38">
    <cfRule type="expression" priority="268" dxfId="0">
      <formula>AND(COUNT(C38:H38)=6,E38=6)</formula>
    </cfRule>
    <cfRule type="expression" priority="269" dxfId="1">
      <formula>AND(COUNT(C38:H38)=6,E38&lt;6*0.4)</formula>
    </cfRule>
    <cfRule type="expression" priority="270" dxfId="2">
      <formula>AND(COUNT(C38:H38)=6,E38&gt;=6*0.4,E38&lt;6)</formula>
    </cfRule>
  </conditionalFormatting>
  <conditionalFormatting sqref="E39">
    <cfRule type="expression" priority="271" dxfId="0">
      <formula>AND(COUNT(C39:H39)=6,E39=6)</formula>
    </cfRule>
    <cfRule type="expression" priority="272" dxfId="1">
      <formula>AND(COUNT(C39:H39)=6,E39&lt;6*0.4)</formula>
    </cfRule>
    <cfRule type="expression" priority="273" dxfId="2">
      <formula>AND(COUNT(C39:H39)=6,E39&gt;=6*0.4,E39&lt;6)</formula>
    </cfRule>
  </conditionalFormatting>
  <conditionalFormatting sqref="E40">
    <cfRule type="expression" priority="274" dxfId="0">
      <formula>AND(COUNT(C40:H40)=6,E40=6)</formula>
    </cfRule>
    <cfRule type="expression" priority="275" dxfId="1">
      <formula>AND(COUNT(C40:H40)=6,E40&lt;6*0.4)</formula>
    </cfRule>
    <cfRule type="expression" priority="276" dxfId="2">
      <formula>AND(COUNT(C40:H40)=6,E40&gt;=6*0.4,E40&lt;6)</formula>
    </cfRule>
  </conditionalFormatting>
  <conditionalFormatting sqref="E41">
    <cfRule type="expression" priority="277" dxfId="0">
      <formula>AND(COUNT(C41:H41)=6,E41=6)</formula>
    </cfRule>
    <cfRule type="expression" priority="278" dxfId="1">
      <formula>AND(COUNT(C41:H41)=6,E41&lt;6*0.4)</formula>
    </cfRule>
    <cfRule type="expression" priority="279" dxfId="2">
      <formula>AND(COUNT(C41:H41)=6,E41&gt;=6*0.4,E41&lt;6)</formula>
    </cfRule>
  </conditionalFormatting>
  <conditionalFormatting sqref="F11">
    <cfRule type="expression" priority="280" dxfId="0">
      <formula>AND(COUNT(C11:H11)=6,F11=6)</formula>
    </cfRule>
    <cfRule type="expression" priority="281" dxfId="1">
      <formula>AND(COUNT(C11:H11)=6,F11&lt;6*0.4)</formula>
    </cfRule>
    <cfRule type="expression" priority="282" dxfId="2">
      <formula>AND(COUNT(C11:H11)=6,F11&gt;=6*0.4,F11&lt;6)</formula>
    </cfRule>
  </conditionalFormatting>
  <conditionalFormatting sqref="F12">
    <cfRule type="expression" priority="283" dxfId="0">
      <formula>AND(COUNT(C12:H12)=6,F12=6)</formula>
    </cfRule>
    <cfRule type="expression" priority="284" dxfId="1">
      <formula>AND(COUNT(C12:H12)=6,F12&lt;6*0.4)</formula>
    </cfRule>
    <cfRule type="expression" priority="285" dxfId="2">
      <formula>AND(COUNT(C12:H12)=6,F12&gt;=6*0.4,F12&lt;6)</formula>
    </cfRule>
  </conditionalFormatting>
  <conditionalFormatting sqref="F13">
    <cfRule type="expression" priority="286" dxfId="0">
      <formula>AND(COUNT(C13:H13)=6,F13=6)</formula>
    </cfRule>
    <cfRule type="expression" priority="287" dxfId="1">
      <formula>AND(COUNT(C13:H13)=6,F13&lt;6*0.4)</formula>
    </cfRule>
    <cfRule type="expression" priority="288" dxfId="2">
      <formula>AND(COUNT(C13:H13)=6,F13&gt;=6*0.4,F13&lt;6)</formula>
    </cfRule>
  </conditionalFormatting>
  <conditionalFormatting sqref="F14">
    <cfRule type="expression" priority="289" dxfId="0">
      <formula>AND(COUNT(C14:H14)=6,F14=6)</formula>
    </cfRule>
    <cfRule type="expression" priority="290" dxfId="1">
      <formula>AND(COUNT(C14:H14)=6,F14&lt;6*0.4)</formula>
    </cfRule>
    <cfRule type="expression" priority="291" dxfId="2">
      <formula>AND(COUNT(C14:H14)=6,F14&gt;=6*0.4,F14&lt;6)</formula>
    </cfRule>
  </conditionalFormatting>
  <conditionalFormatting sqref="F15">
    <cfRule type="expression" priority="292" dxfId="0">
      <formula>AND(COUNT(C15:H15)=6,F15=6)</formula>
    </cfRule>
    <cfRule type="expression" priority="293" dxfId="1">
      <formula>AND(COUNT(C15:H15)=6,F15&lt;6*0.4)</formula>
    </cfRule>
    <cfRule type="expression" priority="294" dxfId="2">
      <formula>AND(COUNT(C15:H15)=6,F15&gt;=6*0.4,F15&lt;6)</formula>
    </cfRule>
  </conditionalFormatting>
  <conditionalFormatting sqref="F16">
    <cfRule type="expression" priority="295" dxfId="0">
      <formula>AND(COUNT(C16:H16)=6,F16=6)</formula>
    </cfRule>
    <cfRule type="expression" priority="296" dxfId="1">
      <formula>AND(COUNT(C16:H16)=6,F16&lt;6*0.4)</formula>
    </cfRule>
    <cfRule type="expression" priority="297" dxfId="2">
      <formula>AND(COUNT(C16:H16)=6,F16&gt;=6*0.4,F16&lt;6)</formula>
    </cfRule>
  </conditionalFormatting>
  <conditionalFormatting sqref="F17">
    <cfRule type="expression" priority="298" dxfId="0">
      <formula>AND(COUNT(C17:H17)=6,F17=6)</formula>
    </cfRule>
    <cfRule type="expression" priority="299" dxfId="1">
      <formula>AND(COUNT(C17:H17)=6,F17&lt;6*0.4)</formula>
    </cfRule>
    <cfRule type="expression" priority="300" dxfId="2">
      <formula>AND(COUNT(C17:H17)=6,F17&gt;=6*0.4,F17&lt;6)</formula>
    </cfRule>
  </conditionalFormatting>
  <conditionalFormatting sqref="F18">
    <cfRule type="expression" priority="301" dxfId="0">
      <formula>AND(COUNT(C18:H18)=6,F18=6)</formula>
    </cfRule>
    <cfRule type="expression" priority="302" dxfId="1">
      <formula>AND(COUNT(C18:H18)=6,F18&lt;6*0.4)</formula>
    </cfRule>
    <cfRule type="expression" priority="303" dxfId="2">
      <formula>AND(COUNT(C18:H18)=6,F18&gt;=6*0.4,F18&lt;6)</formula>
    </cfRule>
  </conditionalFormatting>
  <conditionalFormatting sqref="F19">
    <cfRule type="expression" priority="304" dxfId="0">
      <formula>AND(COUNT(C19:H19)=6,F19=6)</formula>
    </cfRule>
    <cfRule type="expression" priority="305" dxfId="1">
      <formula>AND(COUNT(C19:H19)=6,F19&lt;6*0.4)</formula>
    </cfRule>
    <cfRule type="expression" priority="306" dxfId="2">
      <formula>AND(COUNT(C19:H19)=6,F19&gt;=6*0.4,F19&lt;6)</formula>
    </cfRule>
  </conditionalFormatting>
  <conditionalFormatting sqref="F20">
    <cfRule type="expression" priority="307" dxfId="0">
      <formula>AND(COUNT(C20:H20)=6,F20=6)</formula>
    </cfRule>
    <cfRule type="expression" priority="308" dxfId="1">
      <formula>AND(COUNT(C20:H20)=6,F20&lt;6*0.4)</formula>
    </cfRule>
    <cfRule type="expression" priority="309" dxfId="2">
      <formula>AND(COUNT(C20:H20)=6,F20&gt;=6*0.4,F20&lt;6)</formula>
    </cfRule>
  </conditionalFormatting>
  <conditionalFormatting sqref="F21">
    <cfRule type="expression" priority="310" dxfId="0">
      <formula>AND(COUNT(C21:H21)=6,F21=6)</formula>
    </cfRule>
    <cfRule type="expression" priority="311" dxfId="1">
      <formula>AND(COUNT(C21:H21)=6,F21&lt;6*0.4)</formula>
    </cfRule>
    <cfRule type="expression" priority="312" dxfId="2">
      <formula>AND(COUNT(C21:H21)=6,F21&gt;=6*0.4,F21&lt;6)</formula>
    </cfRule>
  </conditionalFormatting>
  <conditionalFormatting sqref="F22">
    <cfRule type="expression" priority="313" dxfId="0">
      <formula>AND(COUNT(C22:H22)=6,F22=6)</formula>
    </cfRule>
    <cfRule type="expression" priority="314" dxfId="1">
      <formula>AND(COUNT(C22:H22)=6,F22&lt;6*0.4)</formula>
    </cfRule>
    <cfRule type="expression" priority="315" dxfId="2">
      <formula>AND(COUNT(C22:H22)=6,F22&gt;=6*0.4,F22&lt;6)</formula>
    </cfRule>
  </conditionalFormatting>
  <conditionalFormatting sqref="F23">
    <cfRule type="expression" priority="316" dxfId="0">
      <formula>AND(COUNT(C23:H23)=6,F23=6)</formula>
    </cfRule>
    <cfRule type="expression" priority="317" dxfId="1">
      <formula>AND(COUNT(C23:H23)=6,F23&lt;6*0.4)</formula>
    </cfRule>
    <cfRule type="expression" priority="318" dxfId="2">
      <formula>AND(COUNT(C23:H23)=6,F23&gt;=6*0.4,F23&lt;6)</formula>
    </cfRule>
  </conditionalFormatting>
  <conditionalFormatting sqref="F24">
    <cfRule type="expression" priority="319" dxfId="0">
      <formula>AND(COUNT(C24:H24)=6,F24=6)</formula>
    </cfRule>
    <cfRule type="expression" priority="320" dxfId="1">
      <formula>AND(COUNT(C24:H24)=6,F24&lt;6*0.4)</formula>
    </cfRule>
    <cfRule type="expression" priority="321" dxfId="2">
      <formula>AND(COUNT(C24:H24)=6,F24&gt;=6*0.4,F24&lt;6)</formula>
    </cfRule>
  </conditionalFormatting>
  <conditionalFormatting sqref="F25">
    <cfRule type="expression" priority="322" dxfId="0">
      <formula>AND(COUNT(C25:H25)=6,F25=6)</formula>
    </cfRule>
    <cfRule type="expression" priority="323" dxfId="1">
      <formula>AND(COUNT(C25:H25)=6,F25&lt;6*0.4)</formula>
    </cfRule>
    <cfRule type="expression" priority="324" dxfId="2">
      <formula>AND(COUNT(C25:H25)=6,F25&gt;=6*0.4,F25&lt;6)</formula>
    </cfRule>
  </conditionalFormatting>
  <conditionalFormatting sqref="F26">
    <cfRule type="expression" priority="325" dxfId="0">
      <formula>AND(COUNT(C26:H26)=6,F26=6)</formula>
    </cfRule>
    <cfRule type="expression" priority="326" dxfId="1">
      <formula>AND(COUNT(C26:H26)=6,F26&lt;6*0.4)</formula>
    </cfRule>
    <cfRule type="expression" priority="327" dxfId="2">
      <formula>AND(COUNT(C26:H26)=6,F26&gt;=6*0.4,F26&lt;6)</formula>
    </cfRule>
  </conditionalFormatting>
  <conditionalFormatting sqref="F27">
    <cfRule type="expression" priority="328" dxfId="0">
      <formula>AND(COUNT(C27:H27)=6,F27=6)</formula>
    </cfRule>
    <cfRule type="expression" priority="329" dxfId="1">
      <formula>AND(COUNT(C27:H27)=6,F27&lt;6*0.4)</formula>
    </cfRule>
    <cfRule type="expression" priority="330" dxfId="2">
      <formula>AND(COUNT(C27:H27)=6,F27&gt;=6*0.4,F27&lt;6)</formula>
    </cfRule>
  </conditionalFormatting>
  <conditionalFormatting sqref="F28">
    <cfRule type="expression" priority="331" dxfId="0">
      <formula>AND(COUNT(C28:H28)=6,F28=6)</formula>
    </cfRule>
    <cfRule type="expression" priority="332" dxfId="1">
      <formula>AND(COUNT(C28:H28)=6,F28&lt;6*0.4)</formula>
    </cfRule>
    <cfRule type="expression" priority="333" dxfId="2">
      <formula>AND(COUNT(C28:H28)=6,F28&gt;=6*0.4,F28&lt;6)</formula>
    </cfRule>
  </conditionalFormatting>
  <conditionalFormatting sqref="F29">
    <cfRule type="expression" priority="334" dxfId="0">
      <formula>AND(COUNT(C29:H29)=6,F29=6)</formula>
    </cfRule>
    <cfRule type="expression" priority="335" dxfId="1">
      <formula>AND(COUNT(C29:H29)=6,F29&lt;6*0.4)</formula>
    </cfRule>
    <cfRule type="expression" priority="336" dxfId="2">
      <formula>AND(COUNT(C29:H29)=6,F29&gt;=6*0.4,F29&lt;6)</formula>
    </cfRule>
  </conditionalFormatting>
  <conditionalFormatting sqref="F30">
    <cfRule type="expression" priority="337" dxfId="0">
      <formula>AND(COUNT(C30:H30)=6,F30=6)</formula>
    </cfRule>
    <cfRule type="expression" priority="338" dxfId="1">
      <formula>AND(COUNT(C30:H30)=6,F30&lt;6*0.4)</formula>
    </cfRule>
    <cfRule type="expression" priority="339" dxfId="2">
      <formula>AND(COUNT(C30:H30)=6,F30&gt;=6*0.4,F30&lt;6)</formula>
    </cfRule>
  </conditionalFormatting>
  <conditionalFormatting sqref="F31">
    <cfRule type="expression" priority="340" dxfId="0">
      <formula>AND(COUNT(C31:H31)=6,F31=6)</formula>
    </cfRule>
    <cfRule type="expression" priority="341" dxfId="1">
      <formula>AND(COUNT(C31:H31)=6,F31&lt;6*0.4)</formula>
    </cfRule>
    <cfRule type="expression" priority="342" dxfId="2">
      <formula>AND(COUNT(C31:H31)=6,F31&gt;=6*0.4,F31&lt;6)</formula>
    </cfRule>
  </conditionalFormatting>
  <conditionalFormatting sqref="F32">
    <cfRule type="expression" priority="343" dxfId="0">
      <formula>AND(COUNT(C32:H32)=6,F32=6)</formula>
    </cfRule>
    <cfRule type="expression" priority="344" dxfId="1">
      <formula>AND(COUNT(C32:H32)=6,F32&lt;6*0.4)</formula>
    </cfRule>
    <cfRule type="expression" priority="345" dxfId="2">
      <formula>AND(COUNT(C32:H32)=6,F32&gt;=6*0.4,F32&lt;6)</formula>
    </cfRule>
  </conditionalFormatting>
  <conditionalFormatting sqref="F33">
    <cfRule type="expression" priority="346" dxfId="0">
      <formula>AND(COUNT(C33:H33)=6,F33=6)</formula>
    </cfRule>
    <cfRule type="expression" priority="347" dxfId="1">
      <formula>AND(COUNT(C33:H33)=6,F33&lt;6*0.4)</formula>
    </cfRule>
    <cfRule type="expression" priority="348" dxfId="2">
      <formula>AND(COUNT(C33:H33)=6,F33&gt;=6*0.4,F33&lt;6)</formula>
    </cfRule>
  </conditionalFormatting>
  <conditionalFormatting sqref="F34">
    <cfRule type="expression" priority="349" dxfId="0">
      <formula>AND(COUNT(C34:H34)=6,F34=6)</formula>
    </cfRule>
    <cfRule type="expression" priority="350" dxfId="1">
      <formula>AND(COUNT(C34:H34)=6,F34&lt;6*0.4)</formula>
    </cfRule>
    <cfRule type="expression" priority="351" dxfId="2">
      <formula>AND(COUNT(C34:H34)=6,F34&gt;=6*0.4,F34&lt;6)</formula>
    </cfRule>
  </conditionalFormatting>
  <conditionalFormatting sqref="F35">
    <cfRule type="expression" priority="352" dxfId="0">
      <formula>AND(COUNT(C35:H35)=6,F35=6)</formula>
    </cfRule>
    <cfRule type="expression" priority="353" dxfId="1">
      <formula>AND(COUNT(C35:H35)=6,F35&lt;6*0.4)</formula>
    </cfRule>
    <cfRule type="expression" priority="354" dxfId="2">
      <formula>AND(COUNT(C35:H35)=6,F35&gt;=6*0.4,F35&lt;6)</formula>
    </cfRule>
  </conditionalFormatting>
  <conditionalFormatting sqref="F36">
    <cfRule type="expression" priority="355" dxfId="0">
      <formula>AND(COUNT(C36:H36)=6,F36=6)</formula>
    </cfRule>
    <cfRule type="expression" priority="356" dxfId="1">
      <formula>AND(COUNT(C36:H36)=6,F36&lt;6*0.4)</formula>
    </cfRule>
    <cfRule type="expression" priority="357" dxfId="2">
      <formula>AND(COUNT(C36:H36)=6,F36&gt;=6*0.4,F36&lt;6)</formula>
    </cfRule>
  </conditionalFormatting>
  <conditionalFormatting sqref="F37">
    <cfRule type="expression" priority="358" dxfId="0">
      <formula>AND(COUNT(C37:H37)=6,F37=6)</formula>
    </cfRule>
    <cfRule type="expression" priority="359" dxfId="1">
      <formula>AND(COUNT(C37:H37)=6,F37&lt;6*0.4)</formula>
    </cfRule>
    <cfRule type="expression" priority="360" dxfId="2">
      <formula>AND(COUNT(C37:H37)=6,F37&gt;=6*0.4,F37&lt;6)</formula>
    </cfRule>
  </conditionalFormatting>
  <conditionalFormatting sqref="F38">
    <cfRule type="expression" priority="361" dxfId="0">
      <formula>AND(COUNT(C38:H38)=6,F38=6)</formula>
    </cfRule>
    <cfRule type="expression" priority="362" dxfId="1">
      <formula>AND(COUNT(C38:H38)=6,F38&lt;6*0.4)</formula>
    </cfRule>
    <cfRule type="expression" priority="363" dxfId="2">
      <formula>AND(COUNT(C38:H38)=6,F38&gt;=6*0.4,F38&lt;6)</formula>
    </cfRule>
  </conditionalFormatting>
  <conditionalFormatting sqref="F39">
    <cfRule type="expression" priority="364" dxfId="0">
      <formula>AND(COUNT(C39:H39)=6,F39=6)</formula>
    </cfRule>
    <cfRule type="expression" priority="365" dxfId="1">
      <formula>AND(COUNT(C39:H39)=6,F39&lt;6*0.4)</formula>
    </cfRule>
    <cfRule type="expression" priority="366" dxfId="2">
      <formula>AND(COUNT(C39:H39)=6,F39&gt;=6*0.4,F39&lt;6)</formula>
    </cfRule>
  </conditionalFormatting>
  <conditionalFormatting sqref="F40">
    <cfRule type="expression" priority="367" dxfId="0">
      <formula>AND(COUNT(C40:H40)=6,F40=6)</formula>
    </cfRule>
    <cfRule type="expression" priority="368" dxfId="1">
      <formula>AND(COUNT(C40:H40)=6,F40&lt;6*0.4)</formula>
    </cfRule>
    <cfRule type="expression" priority="369" dxfId="2">
      <formula>AND(COUNT(C40:H40)=6,F40&gt;=6*0.4,F40&lt;6)</formula>
    </cfRule>
  </conditionalFormatting>
  <conditionalFormatting sqref="F41">
    <cfRule type="expression" priority="370" dxfId="0">
      <formula>AND(COUNT(C41:H41)=6,F41=6)</formula>
    </cfRule>
    <cfRule type="expression" priority="371" dxfId="1">
      <formula>AND(COUNT(C41:H41)=6,F41&lt;6*0.4)</formula>
    </cfRule>
    <cfRule type="expression" priority="372" dxfId="2">
      <formula>AND(COUNT(C41:H41)=6,F41&gt;=6*0.4,F41&lt;6)</formula>
    </cfRule>
  </conditionalFormatting>
  <conditionalFormatting sqref="G11">
    <cfRule type="expression" priority="373" dxfId="0">
      <formula>AND(COUNT(C11:H11)=6,G11=6)</formula>
    </cfRule>
    <cfRule type="expression" priority="374" dxfId="1">
      <formula>AND(COUNT(C11:H11)=6,G11&lt;6*0.4)</formula>
    </cfRule>
    <cfRule type="expression" priority="375" dxfId="2">
      <formula>AND(COUNT(C11:H11)=6,G11&gt;=6*0.4,G11&lt;6)</formula>
    </cfRule>
  </conditionalFormatting>
  <conditionalFormatting sqref="G12">
    <cfRule type="expression" priority="376" dxfId="0">
      <formula>AND(COUNT(C12:H12)=6,G12=6)</formula>
    </cfRule>
    <cfRule type="expression" priority="377" dxfId="1">
      <formula>AND(COUNT(C12:H12)=6,G12&lt;6*0.4)</formula>
    </cfRule>
    <cfRule type="expression" priority="378" dxfId="2">
      <formula>AND(COUNT(C12:H12)=6,G12&gt;=6*0.4,G12&lt;6)</formula>
    </cfRule>
  </conditionalFormatting>
  <conditionalFormatting sqref="G13">
    <cfRule type="expression" priority="379" dxfId="0">
      <formula>AND(COUNT(C13:H13)=6,G13=6)</formula>
    </cfRule>
    <cfRule type="expression" priority="380" dxfId="1">
      <formula>AND(COUNT(C13:H13)=6,G13&lt;6*0.4)</formula>
    </cfRule>
    <cfRule type="expression" priority="381" dxfId="2">
      <formula>AND(COUNT(C13:H13)=6,G13&gt;=6*0.4,G13&lt;6)</formula>
    </cfRule>
  </conditionalFormatting>
  <conditionalFormatting sqref="G14">
    <cfRule type="expression" priority="382" dxfId="0">
      <formula>AND(COUNT(C14:H14)=6,G14=6)</formula>
    </cfRule>
    <cfRule type="expression" priority="383" dxfId="1">
      <formula>AND(COUNT(C14:H14)=6,G14&lt;6*0.4)</formula>
    </cfRule>
    <cfRule type="expression" priority="384" dxfId="2">
      <formula>AND(COUNT(C14:H14)=6,G14&gt;=6*0.4,G14&lt;6)</formula>
    </cfRule>
  </conditionalFormatting>
  <conditionalFormatting sqref="G15">
    <cfRule type="expression" priority="385" dxfId="0">
      <formula>AND(COUNT(C15:H15)=6,G15=6)</formula>
    </cfRule>
    <cfRule type="expression" priority="386" dxfId="1">
      <formula>AND(COUNT(C15:H15)=6,G15&lt;6*0.4)</formula>
    </cfRule>
    <cfRule type="expression" priority="387" dxfId="2">
      <formula>AND(COUNT(C15:H15)=6,G15&gt;=6*0.4,G15&lt;6)</formula>
    </cfRule>
  </conditionalFormatting>
  <conditionalFormatting sqref="G16">
    <cfRule type="expression" priority="388" dxfId="0">
      <formula>AND(COUNT(C16:H16)=6,G16=6)</formula>
    </cfRule>
    <cfRule type="expression" priority="389" dxfId="1">
      <formula>AND(COUNT(C16:H16)=6,G16&lt;6*0.4)</formula>
    </cfRule>
    <cfRule type="expression" priority="390" dxfId="2">
      <formula>AND(COUNT(C16:H16)=6,G16&gt;=6*0.4,G16&lt;6)</formula>
    </cfRule>
  </conditionalFormatting>
  <conditionalFormatting sqref="G17">
    <cfRule type="expression" priority="391" dxfId="0">
      <formula>AND(COUNT(C17:H17)=6,G17=6)</formula>
    </cfRule>
    <cfRule type="expression" priority="392" dxfId="1">
      <formula>AND(COUNT(C17:H17)=6,G17&lt;6*0.4)</formula>
    </cfRule>
    <cfRule type="expression" priority="393" dxfId="2">
      <formula>AND(COUNT(C17:H17)=6,G17&gt;=6*0.4,G17&lt;6)</formula>
    </cfRule>
  </conditionalFormatting>
  <conditionalFormatting sqref="G18">
    <cfRule type="expression" priority="394" dxfId="0">
      <formula>AND(COUNT(C18:H18)=6,G18=6)</formula>
    </cfRule>
    <cfRule type="expression" priority="395" dxfId="1">
      <formula>AND(COUNT(C18:H18)=6,G18&lt;6*0.4)</formula>
    </cfRule>
    <cfRule type="expression" priority="396" dxfId="2">
      <formula>AND(COUNT(C18:H18)=6,G18&gt;=6*0.4,G18&lt;6)</formula>
    </cfRule>
  </conditionalFormatting>
  <conditionalFormatting sqref="G19">
    <cfRule type="expression" priority="397" dxfId="0">
      <formula>AND(COUNT(C19:H19)=6,G19=6)</formula>
    </cfRule>
    <cfRule type="expression" priority="398" dxfId="1">
      <formula>AND(COUNT(C19:H19)=6,G19&lt;6*0.4)</formula>
    </cfRule>
    <cfRule type="expression" priority="399" dxfId="2">
      <formula>AND(COUNT(C19:H19)=6,G19&gt;=6*0.4,G19&lt;6)</formula>
    </cfRule>
  </conditionalFormatting>
  <conditionalFormatting sqref="G20">
    <cfRule type="expression" priority="400" dxfId="0">
      <formula>AND(COUNT(C20:H20)=6,G20=6)</formula>
    </cfRule>
    <cfRule type="expression" priority="401" dxfId="1">
      <formula>AND(COUNT(C20:H20)=6,G20&lt;6*0.4)</formula>
    </cfRule>
    <cfRule type="expression" priority="402" dxfId="2">
      <formula>AND(COUNT(C20:H20)=6,G20&gt;=6*0.4,G20&lt;6)</formula>
    </cfRule>
  </conditionalFormatting>
  <conditionalFormatting sqref="G21">
    <cfRule type="expression" priority="403" dxfId="0">
      <formula>AND(COUNT(C21:H21)=6,G21=6)</formula>
    </cfRule>
    <cfRule type="expression" priority="404" dxfId="1">
      <formula>AND(COUNT(C21:H21)=6,G21&lt;6*0.4)</formula>
    </cfRule>
    <cfRule type="expression" priority="405" dxfId="2">
      <formula>AND(COUNT(C21:H21)=6,G21&gt;=6*0.4,G21&lt;6)</formula>
    </cfRule>
  </conditionalFormatting>
  <conditionalFormatting sqref="G22">
    <cfRule type="expression" priority="406" dxfId="0">
      <formula>AND(COUNT(C22:H22)=6,G22=6)</formula>
    </cfRule>
    <cfRule type="expression" priority="407" dxfId="1">
      <formula>AND(COUNT(C22:H22)=6,G22&lt;6*0.4)</formula>
    </cfRule>
    <cfRule type="expression" priority="408" dxfId="2">
      <formula>AND(COUNT(C22:H22)=6,G22&gt;=6*0.4,G22&lt;6)</formula>
    </cfRule>
  </conditionalFormatting>
  <conditionalFormatting sqref="G23">
    <cfRule type="expression" priority="409" dxfId="0">
      <formula>AND(COUNT(C23:H23)=6,G23=6)</formula>
    </cfRule>
    <cfRule type="expression" priority="410" dxfId="1">
      <formula>AND(COUNT(C23:H23)=6,G23&lt;6*0.4)</formula>
    </cfRule>
    <cfRule type="expression" priority="411" dxfId="2">
      <formula>AND(COUNT(C23:H23)=6,G23&gt;=6*0.4,G23&lt;6)</formula>
    </cfRule>
  </conditionalFormatting>
  <conditionalFormatting sqref="G24">
    <cfRule type="expression" priority="412" dxfId="0">
      <formula>AND(COUNT(C24:H24)=6,G24=6)</formula>
    </cfRule>
    <cfRule type="expression" priority="413" dxfId="1">
      <formula>AND(COUNT(C24:H24)=6,G24&lt;6*0.4)</formula>
    </cfRule>
    <cfRule type="expression" priority="414" dxfId="2">
      <formula>AND(COUNT(C24:H24)=6,G24&gt;=6*0.4,G24&lt;6)</formula>
    </cfRule>
  </conditionalFormatting>
  <conditionalFormatting sqref="G25">
    <cfRule type="expression" priority="415" dxfId="0">
      <formula>AND(COUNT(C25:H25)=6,G25=6)</formula>
    </cfRule>
    <cfRule type="expression" priority="416" dxfId="1">
      <formula>AND(COUNT(C25:H25)=6,G25&lt;6*0.4)</formula>
    </cfRule>
    <cfRule type="expression" priority="417" dxfId="2">
      <formula>AND(COUNT(C25:H25)=6,G25&gt;=6*0.4,G25&lt;6)</formula>
    </cfRule>
  </conditionalFormatting>
  <conditionalFormatting sqref="G26">
    <cfRule type="expression" priority="418" dxfId="0">
      <formula>AND(COUNT(C26:H26)=6,G26=6)</formula>
    </cfRule>
    <cfRule type="expression" priority="419" dxfId="1">
      <formula>AND(COUNT(C26:H26)=6,G26&lt;6*0.4)</formula>
    </cfRule>
    <cfRule type="expression" priority="420" dxfId="2">
      <formula>AND(COUNT(C26:H26)=6,G26&gt;=6*0.4,G26&lt;6)</formula>
    </cfRule>
  </conditionalFormatting>
  <conditionalFormatting sqref="G27">
    <cfRule type="expression" priority="421" dxfId="0">
      <formula>AND(COUNT(C27:H27)=6,G27=6)</formula>
    </cfRule>
    <cfRule type="expression" priority="422" dxfId="1">
      <formula>AND(COUNT(C27:H27)=6,G27&lt;6*0.4)</formula>
    </cfRule>
    <cfRule type="expression" priority="423" dxfId="2">
      <formula>AND(COUNT(C27:H27)=6,G27&gt;=6*0.4,G27&lt;6)</formula>
    </cfRule>
  </conditionalFormatting>
  <conditionalFormatting sqref="G28">
    <cfRule type="expression" priority="424" dxfId="0">
      <formula>AND(COUNT(C28:H28)=6,G28=6)</formula>
    </cfRule>
    <cfRule type="expression" priority="425" dxfId="1">
      <formula>AND(COUNT(C28:H28)=6,G28&lt;6*0.4)</formula>
    </cfRule>
    <cfRule type="expression" priority="426" dxfId="2">
      <formula>AND(COUNT(C28:H28)=6,G28&gt;=6*0.4,G28&lt;6)</formula>
    </cfRule>
  </conditionalFormatting>
  <conditionalFormatting sqref="G29">
    <cfRule type="expression" priority="427" dxfId="0">
      <formula>AND(COUNT(C29:H29)=6,G29=6)</formula>
    </cfRule>
    <cfRule type="expression" priority="428" dxfId="1">
      <formula>AND(COUNT(C29:H29)=6,G29&lt;6*0.4)</formula>
    </cfRule>
    <cfRule type="expression" priority="429" dxfId="2">
      <formula>AND(COUNT(C29:H29)=6,G29&gt;=6*0.4,G29&lt;6)</formula>
    </cfRule>
  </conditionalFormatting>
  <conditionalFormatting sqref="G30">
    <cfRule type="expression" priority="430" dxfId="0">
      <formula>AND(COUNT(C30:H30)=6,G30=6)</formula>
    </cfRule>
    <cfRule type="expression" priority="431" dxfId="1">
      <formula>AND(COUNT(C30:H30)=6,G30&lt;6*0.4)</formula>
    </cfRule>
    <cfRule type="expression" priority="432" dxfId="2">
      <formula>AND(COUNT(C30:H30)=6,G30&gt;=6*0.4,G30&lt;6)</formula>
    </cfRule>
  </conditionalFormatting>
  <conditionalFormatting sqref="G31">
    <cfRule type="expression" priority="433" dxfId="0">
      <formula>AND(COUNT(C31:H31)=6,G31=6)</formula>
    </cfRule>
    <cfRule type="expression" priority="434" dxfId="1">
      <formula>AND(COUNT(C31:H31)=6,G31&lt;6*0.4)</formula>
    </cfRule>
    <cfRule type="expression" priority="435" dxfId="2">
      <formula>AND(COUNT(C31:H31)=6,G31&gt;=6*0.4,G31&lt;6)</formula>
    </cfRule>
  </conditionalFormatting>
  <conditionalFormatting sqref="G32">
    <cfRule type="expression" priority="436" dxfId="0">
      <formula>AND(COUNT(C32:H32)=6,G32=6)</formula>
    </cfRule>
    <cfRule type="expression" priority="437" dxfId="1">
      <formula>AND(COUNT(C32:H32)=6,G32&lt;6*0.4)</formula>
    </cfRule>
    <cfRule type="expression" priority="438" dxfId="2">
      <formula>AND(COUNT(C32:H32)=6,G32&gt;=6*0.4,G32&lt;6)</formula>
    </cfRule>
  </conditionalFormatting>
  <conditionalFormatting sqref="G33">
    <cfRule type="expression" priority="439" dxfId="0">
      <formula>AND(COUNT(C33:H33)=6,G33=6)</formula>
    </cfRule>
    <cfRule type="expression" priority="440" dxfId="1">
      <formula>AND(COUNT(C33:H33)=6,G33&lt;6*0.4)</formula>
    </cfRule>
    <cfRule type="expression" priority="441" dxfId="2">
      <formula>AND(COUNT(C33:H33)=6,G33&gt;=6*0.4,G33&lt;6)</formula>
    </cfRule>
  </conditionalFormatting>
  <conditionalFormatting sqref="G34">
    <cfRule type="expression" priority="442" dxfId="0">
      <formula>AND(COUNT(C34:H34)=6,G34=6)</formula>
    </cfRule>
    <cfRule type="expression" priority="443" dxfId="1">
      <formula>AND(COUNT(C34:H34)=6,G34&lt;6*0.4)</formula>
    </cfRule>
    <cfRule type="expression" priority="444" dxfId="2">
      <formula>AND(COUNT(C34:H34)=6,G34&gt;=6*0.4,G34&lt;6)</formula>
    </cfRule>
  </conditionalFormatting>
  <conditionalFormatting sqref="G35">
    <cfRule type="expression" priority="445" dxfId="0">
      <formula>AND(COUNT(C35:H35)=6,G35=6)</formula>
    </cfRule>
    <cfRule type="expression" priority="446" dxfId="1">
      <formula>AND(COUNT(C35:H35)=6,G35&lt;6*0.4)</formula>
    </cfRule>
    <cfRule type="expression" priority="447" dxfId="2">
      <formula>AND(COUNT(C35:H35)=6,G35&gt;=6*0.4,G35&lt;6)</formula>
    </cfRule>
  </conditionalFormatting>
  <conditionalFormatting sqref="G36">
    <cfRule type="expression" priority="448" dxfId="0">
      <formula>AND(COUNT(C36:H36)=6,G36=6)</formula>
    </cfRule>
    <cfRule type="expression" priority="449" dxfId="1">
      <formula>AND(COUNT(C36:H36)=6,G36&lt;6*0.4)</formula>
    </cfRule>
    <cfRule type="expression" priority="450" dxfId="2">
      <formula>AND(COUNT(C36:H36)=6,G36&gt;=6*0.4,G36&lt;6)</formula>
    </cfRule>
  </conditionalFormatting>
  <conditionalFormatting sqref="G37">
    <cfRule type="expression" priority="451" dxfId="0">
      <formula>AND(COUNT(C37:H37)=6,G37=6)</formula>
    </cfRule>
    <cfRule type="expression" priority="452" dxfId="1">
      <formula>AND(COUNT(C37:H37)=6,G37&lt;6*0.4)</formula>
    </cfRule>
    <cfRule type="expression" priority="453" dxfId="2">
      <formula>AND(COUNT(C37:H37)=6,G37&gt;=6*0.4,G37&lt;6)</formula>
    </cfRule>
  </conditionalFormatting>
  <conditionalFormatting sqref="G38">
    <cfRule type="expression" priority="454" dxfId="0">
      <formula>AND(COUNT(C38:H38)=6,G38=6)</formula>
    </cfRule>
    <cfRule type="expression" priority="455" dxfId="1">
      <formula>AND(COUNT(C38:H38)=6,G38&lt;6*0.4)</formula>
    </cfRule>
    <cfRule type="expression" priority="456" dxfId="2">
      <formula>AND(COUNT(C38:H38)=6,G38&gt;=6*0.4,G38&lt;6)</formula>
    </cfRule>
  </conditionalFormatting>
  <conditionalFormatting sqref="G39">
    <cfRule type="expression" priority="457" dxfId="0">
      <formula>AND(COUNT(C39:H39)=6,G39=6)</formula>
    </cfRule>
    <cfRule type="expression" priority="458" dxfId="1">
      <formula>AND(COUNT(C39:H39)=6,G39&lt;6*0.4)</formula>
    </cfRule>
    <cfRule type="expression" priority="459" dxfId="2">
      <formula>AND(COUNT(C39:H39)=6,G39&gt;=6*0.4,G39&lt;6)</formula>
    </cfRule>
  </conditionalFormatting>
  <conditionalFormatting sqref="G40">
    <cfRule type="expression" priority="460" dxfId="0">
      <formula>AND(COUNT(C40:H40)=6,G40=6)</formula>
    </cfRule>
    <cfRule type="expression" priority="461" dxfId="1">
      <formula>AND(COUNT(C40:H40)=6,G40&lt;6*0.4)</formula>
    </cfRule>
    <cfRule type="expression" priority="462" dxfId="2">
      <formula>AND(COUNT(C40:H40)=6,G40&gt;=6*0.4,G40&lt;6)</formula>
    </cfRule>
  </conditionalFormatting>
  <conditionalFormatting sqref="G41">
    <cfRule type="expression" priority="463" dxfId="0">
      <formula>AND(COUNT(C41:H41)=6,G41=6)</formula>
    </cfRule>
    <cfRule type="expression" priority="464" dxfId="1">
      <formula>AND(COUNT(C41:H41)=6,G41&lt;6*0.4)</formula>
    </cfRule>
    <cfRule type="expression" priority="465" dxfId="2">
      <formula>AND(COUNT(C41:H41)=6,G41&gt;=6*0.4,G41&lt;6)</formula>
    </cfRule>
  </conditionalFormatting>
  <conditionalFormatting sqref="H11">
    <cfRule type="expression" priority="466" dxfId="0">
      <formula>AND(COUNT(C11:H11)=6,H11=15)</formula>
    </cfRule>
    <cfRule type="expression" priority="467" dxfId="1">
      <formula>AND(COUNT(C11:H11)=6,H11&lt;15*0.4)</formula>
    </cfRule>
    <cfRule type="expression" priority="468" dxfId="2">
      <formula>AND(COUNT(C11:H11)=6,H11&gt;=15*0.4,H11&lt;15)</formula>
    </cfRule>
  </conditionalFormatting>
  <conditionalFormatting sqref="H12">
    <cfRule type="expression" priority="469" dxfId="0">
      <formula>AND(COUNT(C12:H12)=6,H12=15)</formula>
    </cfRule>
    <cfRule type="expression" priority="470" dxfId="1">
      <formula>AND(COUNT(C12:H12)=6,H12&lt;15*0.4)</formula>
    </cfRule>
    <cfRule type="expression" priority="471" dxfId="2">
      <formula>AND(COUNT(C12:H12)=6,H12&gt;=15*0.4,H12&lt;15)</formula>
    </cfRule>
  </conditionalFormatting>
  <conditionalFormatting sqref="H13">
    <cfRule type="expression" priority="472" dxfId="0">
      <formula>AND(COUNT(C13:H13)=6,H13=15)</formula>
    </cfRule>
    <cfRule type="expression" priority="473" dxfId="1">
      <formula>AND(COUNT(C13:H13)=6,H13&lt;15*0.4)</formula>
    </cfRule>
    <cfRule type="expression" priority="474" dxfId="2">
      <formula>AND(COUNT(C13:H13)=6,H13&gt;=15*0.4,H13&lt;15)</formula>
    </cfRule>
  </conditionalFormatting>
  <conditionalFormatting sqref="H14">
    <cfRule type="expression" priority="475" dxfId="0">
      <formula>AND(COUNT(C14:H14)=6,H14=15)</formula>
    </cfRule>
    <cfRule type="expression" priority="476" dxfId="1">
      <formula>AND(COUNT(C14:H14)=6,H14&lt;15*0.4)</formula>
    </cfRule>
    <cfRule type="expression" priority="477" dxfId="2">
      <formula>AND(COUNT(C14:H14)=6,H14&gt;=15*0.4,H14&lt;15)</formula>
    </cfRule>
  </conditionalFormatting>
  <conditionalFormatting sqref="H15">
    <cfRule type="expression" priority="478" dxfId="0">
      <formula>AND(COUNT(C15:H15)=6,H15=15)</formula>
    </cfRule>
    <cfRule type="expression" priority="479" dxfId="1">
      <formula>AND(COUNT(C15:H15)=6,H15&lt;15*0.4)</formula>
    </cfRule>
    <cfRule type="expression" priority="480" dxfId="2">
      <formula>AND(COUNT(C15:H15)=6,H15&gt;=15*0.4,H15&lt;15)</formula>
    </cfRule>
  </conditionalFormatting>
  <conditionalFormatting sqref="H16">
    <cfRule type="expression" priority="481" dxfId="0">
      <formula>AND(COUNT(C16:H16)=6,H16=15)</formula>
    </cfRule>
    <cfRule type="expression" priority="482" dxfId="1">
      <formula>AND(COUNT(C16:H16)=6,H16&lt;15*0.4)</formula>
    </cfRule>
    <cfRule type="expression" priority="483" dxfId="2">
      <formula>AND(COUNT(C16:H16)=6,H16&gt;=15*0.4,H16&lt;15)</formula>
    </cfRule>
  </conditionalFormatting>
  <conditionalFormatting sqref="H17">
    <cfRule type="expression" priority="484" dxfId="0">
      <formula>AND(COUNT(C17:H17)=6,H17=15)</formula>
    </cfRule>
    <cfRule type="expression" priority="485" dxfId="1">
      <formula>AND(COUNT(C17:H17)=6,H17&lt;15*0.4)</formula>
    </cfRule>
    <cfRule type="expression" priority="486" dxfId="2">
      <formula>AND(COUNT(C17:H17)=6,H17&gt;=15*0.4,H17&lt;15)</formula>
    </cfRule>
  </conditionalFormatting>
  <conditionalFormatting sqref="H18">
    <cfRule type="expression" priority="487" dxfId="0">
      <formula>AND(COUNT(C18:H18)=6,H18=15)</formula>
    </cfRule>
    <cfRule type="expression" priority="488" dxfId="1">
      <formula>AND(COUNT(C18:H18)=6,H18&lt;15*0.4)</formula>
    </cfRule>
    <cfRule type="expression" priority="489" dxfId="2">
      <formula>AND(COUNT(C18:H18)=6,H18&gt;=15*0.4,H18&lt;15)</formula>
    </cfRule>
  </conditionalFormatting>
  <conditionalFormatting sqref="H19">
    <cfRule type="expression" priority="490" dxfId="0">
      <formula>AND(COUNT(C19:H19)=6,H19=15)</formula>
    </cfRule>
    <cfRule type="expression" priority="491" dxfId="1">
      <formula>AND(COUNT(C19:H19)=6,H19&lt;15*0.4)</formula>
    </cfRule>
    <cfRule type="expression" priority="492" dxfId="2">
      <formula>AND(COUNT(C19:H19)=6,H19&gt;=15*0.4,H19&lt;15)</formula>
    </cfRule>
  </conditionalFormatting>
  <conditionalFormatting sqref="H20">
    <cfRule type="expression" priority="493" dxfId="0">
      <formula>AND(COUNT(C20:H20)=6,H20=15)</formula>
    </cfRule>
    <cfRule type="expression" priority="494" dxfId="1">
      <formula>AND(COUNT(C20:H20)=6,H20&lt;15*0.4)</formula>
    </cfRule>
    <cfRule type="expression" priority="495" dxfId="2">
      <formula>AND(COUNT(C20:H20)=6,H20&gt;=15*0.4,H20&lt;15)</formula>
    </cfRule>
  </conditionalFormatting>
  <conditionalFormatting sqref="H21">
    <cfRule type="expression" priority="496" dxfId="0">
      <formula>AND(COUNT(C21:H21)=6,H21=15)</formula>
    </cfRule>
    <cfRule type="expression" priority="497" dxfId="1">
      <formula>AND(COUNT(C21:H21)=6,H21&lt;15*0.4)</formula>
    </cfRule>
    <cfRule type="expression" priority="498" dxfId="2">
      <formula>AND(COUNT(C21:H21)=6,H21&gt;=15*0.4,H21&lt;15)</formula>
    </cfRule>
  </conditionalFormatting>
  <conditionalFormatting sqref="H22">
    <cfRule type="expression" priority="499" dxfId="0">
      <formula>AND(COUNT(C22:H22)=6,H22=15)</formula>
    </cfRule>
    <cfRule type="expression" priority="500" dxfId="1">
      <formula>AND(COUNT(C22:H22)=6,H22&lt;15*0.4)</formula>
    </cfRule>
    <cfRule type="expression" priority="501" dxfId="2">
      <formula>AND(COUNT(C22:H22)=6,H22&gt;=15*0.4,H22&lt;15)</formula>
    </cfRule>
  </conditionalFormatting>
  <conditionalFormatting sqref="H23">
    <cfRule type="expression" priority="502" dxfId="0">
      <formula>AND(COUNT(C23:H23)=6,H23=15)</formula>
    </cfRule>
    <cfRule type="expression" priority="503" dxfId="1">
      <formula>AND(COUNT(C23:H23)=6,H23&lt;15*0.4)</formula>
    </cfRule>
    <cfRule type="expression" priority="504" dxfId="2">
      <formula>AND(COUNT(C23:H23)=6,H23&gt;=15*0.4,H23&lt;15)</formula>
    </cfRule>
  </conditionalFormatting>
  <conditionalFormatting sqref="H24">
    <cfRule type="expression" priority="505" dxfId="0">
      <formula>AND(COUNT(C24:H24)=6,H24=15)</formula>
    </cfRule>
    <cfRule type="expression" priority="506" dxfId="1">
      <formula>AND(COUNT(C24:H24)=6,H24&lt;15*0.4)</formula>
    </cfRule>
    <cfRule type="expression" priority="507" dxfId="2">
      <formula>AND(COUNT(C24:H24)=6,H24&gt;=15*0.4,H24&lt;15)</formula>
    </cfRule>
  </conditionalFormatting>
  <conditionalFormatting sqref="H25">
    <cfRule type="expression" priority="508" dxfId="0">
      <formula>AND(COUNT(C25:H25)=6,H25=15)</formula>
    </cfRule>
    <cfRule type="expression" priority="509" dxfId="1">
      <formula>AND(COUNT(C25:H25)=6,H25&lt;15*0.4)</formula>
    </cfRule>
    <cfRule type="expression" priority="510" dxfId="2">
      <formula>AND(COUNT(C25:H25)=6,H25&gt;=15*0.4,H25&lt;15)</formula>
    </cfRule>
  </conditionalFormatting>
  <conditionalFormatting sqref="H26">
    <cfRule type="expression" priority="511" dxfId="0">
      <formula>AND(COUNT(C26:H26)=6,H26=15)</formula>
    </cfRule>
    <cfRule type="expression" priority="512" dxfId="1">
      <formula>AND(COUNT(C26:H26)=6,H26&lt;15*0.4)</formula>
    </cfRule>
    <cfRule type="expression" priority="513" dxfId="2">
      <formula>AND(COUNT(C26:H26)=6,H26&gt;=15*0.4,H26&lt;15)</formula>
    </cfRule>
  </conditionalFormatting>
  <conditionalFormatting sqref="H27">
    <cfRule type="expression" priority="514" dxfId="0">
      <formula>AND(COUNT(C27:H27)=6,H27=15)</formula>
    </cfRule>
    <cfRule type="expression" priority="515" dxfId="1">
      <formula>AND(COUNT(C27:H27)=6,H27&lt;15*0.4)</formula>
    </cfRule>
    <cfRule type="expression" priority="516" dxfId="2">
      <formula>AND(COUNT(C27:H27)=6,H27&gt;=15*0.4,H27&lt;15)</formula>
    </cfRule>
  </conditionalFormatting>
  <conditionalFormatting sqref="H28">
    <cfRule type="expression" priority="517" dxfId="0">
      <formula>AND(COUNT(C28:H28)=6,H28=15)</formula>
    </cfRule>
    <cfRule type="expression" priority="518" dxfId="1">
      <formula>AND(COUNT(C28:H28)=6,H28&lt;15*0.4)</formula>
    </cfRule>
    <cfRule type="expression" priority="519" dxfId="2">
      <formula>AND(COUNT(C28:H28)=6,H28&gt;=15*0.4,H28&lt;15)</formula>
    </cfRule>
  </conditionalFormatting>
  <conditionalFormatting sqref="H29">
    <cfRule type="expression" priority="520" dxfId="0">
      <formula>AND(COUNT(C29:H29)=6,H29=15)</formula>
    </cfRule>
    <cfRule type="expression" priority="521" dxfId="1">
      <formula>AND(COUNT(C29:H29)=6,H29&lt;15*0.4)</formula>
    </cfRule>
    <cfRule type="expression" priority="522" dxfId="2">
      <formula>AND(COUNT(C29:H29)=6,H29&gt;=15*0.4,H29&lt;15)</formula>
    </cfRule>
  </conditionalFormatting>
  <conditionalFormatting sqref="H30">
    <cfRule type="expression" priority="523" dxfId="0">
      <formula>AND(COUNT(C30:H30)=6,H30=15)</formula>
    </cfRule>
    <cfRule type="expression" priority="524" dxfId="1">
      <formula>AND(COUNT(C30:H30)=6,H30&lt;15*0.4)</formula>
    </cfRule>
    <cfRule type="expression" priority="525" dxfId="2">
      <formula>AND(COUNT(C30:H30)=6,H30&gt;=15*0.4,H30&lt;15)</formula>
    </cfRule>
  </conditionalFormatting>
  <conditionalFormatting sqref="H31">
    <cfRule type="expression" priority="526" dxfId="0">
      <formula>AND(COUNT(C31:H31)=6,H31=15)</formula>
    </cfRule>
    <cfRule type="expression" priority="527" dxfId="1">
      <formula>AND(COUNT(C31:H31)=6,H31&lt;15*0.4)</formula>
    </cfRule>
    <cfRule type="expression" priority="528" dxfId="2">
      <formula>AND(COUNT(C31:H31)=6,H31&gt;=15*0.4,H31&lt;15)</formula>
    </cfRule>
  </conditionalFormatting>
  <conditionalFormatting sqref="H32">
    <cfRule type="expression" priority="529" dxfId="0">
      <formula>AND(COUNT(C32:H32)=6,H32=15)</formula>
    </cfRule>
    <cfRule type="expression" priority="530" dxfId="1">
      <formula>AND(COUNT(C32:H32)=6,H32&lt;15*0.4)</formula>
    </cfRule>
    <cfRule type="expression" priority="531" dxfId="2">
      <formula>AND(COUNT(C32:H32)=6,H32&gt;=15*0.4,H32&lt;15)</formula>
    </cfRule>
  </conditionalFormatting>
  <conditionalFormatting sqref="H33">
    <cfRule type="expression" priority="532" dxfId="0">
      <formula>AND(COUNT(C33:H33)=6,H33=15)</formula>
    </cfRule>
    <cfRule type="expression" priority="533" dxfId="1">
      <formula>AND(COUNT(C33:H33)=6,H33&lt;15*0.4)</formula>
    </cfRule>
    <cfRule type="expression" priority="534" dxfId="2">
      <formula>AND(COUNT(C33:H33)=6,H33&gt;=15*0.4,H33&lt;15)</formula>
    </cfRule>
  </conditionalFormatting>
  <conditionalFormatting sqref="H34">
    <cfRule type="expression" priority="535" dxfId="0">
      <formula>AND(COUNT(C34:H34)=6,H34=15)</formula>
    </cfRule>
    <cfRule type="expression" priority="536" dxfId="1">
      <formula>AND(COUNT(C34:H34)=6,H34&lt;15*0.4)</formula>
    </cfRule>
    <cfRule type="expression" priority="537" dxfId="2">
      <formula>AND(COUNT(C34:H34)=6,H34&gt;=15*0.4,H34&lt;15)</formula>
    </cfRule>
  </conditionalFormatting>
  <conditionalFormatting sqref="H35">
    <cfRule type="expression" priority="538" dxfId="0">
      <formula>AND(COUNT(C35:H35)=6,H35=15)</formula>
    </cfRule>
    <cfRule type="expression" priority="539" dxfId="1">
      <formula>AND(COUNT(C35:H35)=6,H35&lt;15*0.4)</formula>
    </cfRule>
    <cfRule type="expression" priority="540" dxfId="2">
      <formula>AND(COUNT(C35:H35)=6,H35&gt;=15*0.4,H35&lt;15)</formula>
    </cfRule>
  </conditionalFormatting>
  <conditionalFormatting sqref="H36">
    <cfRule type="expression" priority="541" dxfId="0">
      <formula>AND(COUNT(C36:H36)=6,H36=15)</formula>
    </cfRule>
    <cfRule type="expression" priority="542" dxfId="1">
      <formula>AND(COUNT(C36:H36)=6,H36&lt;15*0.4)</formula>
    </cfRule>
    <cfRule type="expression" priority="543" dxfId="2">
      <formula>AND(COUNT(C36:H36)=6,H36&gt;=15*0.4,H36&lt;15)</formula>
    </cfRule>
  </conditionalFormatting>
  <conditionalFormatting sqref="H37">
    <cfRule type="expression" priority="544" dxfId="0">
      <formula>AND(COUNT(C37:H37)=6,H37=15)</formula>
    </cfRule>
    <cfRule type="expression" priority="545" dxfId="1">
      <formula>AND(COUNT(C37:H37)=6,H37&lt;15*0.4)</formula>
    </cfRule>
    <cfRule type="expression" priority="546" dxfId="2">
      <formula>AND(COUNT(C37:H37)=6,H37&gt;=15*0.4,H37&lt;15)</formula>
    </cfRule>
  </conditionalFormatting>
  <conditionalFormatting sqref="H38">
    <cfRule type="expression" priority="547" dxfId="0">
      <formula>AND(COUNT(C38:H38)=6,H38=15)</formula>
    </cfRule>
    <cfRule type="expression" priority="548" dxfId="1">
      <formula>AND(COUNT(C38:H38)=6,H38&lt;15*0.4)</formula>
    </cfRule>
    <cfRule type="expression" priority="549" dxfId="2">
      <formula>AND(COUNT(C38:H38)=6,H38&gt;=15*0.4,H38&lt;15)</formula>
    </cfRule>
  </conditionalFormatting>
  <conditionalFormatting sqref="H39">
    <cfRule type="expression" priority="550" dxfId="0">
      <formula>AND(COUNT(C39:H39)=6,H39=15)</formula>
    </cfRule>
    <cfRule type="expression" priority="551" dxfId="1">
      <formula>AND(COUNT(C39:H39)=6,H39&lt;15*0.4)</formula>
    </cfRule>
    <cfRule type="expression" priority="552" dxfId="2">
      <formula>AND(COUNT(C39:H39)=6,H39&gt;=15*0.4,H39&lt;15)</formula>
    </cfRule>
  </conditionalFormatting>
  <conditionalFormatting sqref="H40">
    <cfRule type="expression" priority="553" dxfId="0">
      <formula>AND(COUNT(C40:H40)=6,H40=15)</formula>
    </cfRule>
    <cfRule type="expression" priority="554" dxfId="1">
      <formula>AND(COUNT(C40:H40)=6,H40&lt;15*0.4)</formula>
    </cfRule>
    <cfRule type="expression" priority="555" dxfId="2">
      <formula>AND(COUNT(C40:H40)=6,H40&gt;=15*0.4,H40&lt;15)</formula>
    </cfRule>
  </conditionalFormatting>
  <conditionalFormatting sqref="H41">
    <cfRule type="expression" priority="556" dxfId="0">
      <formula>AND(COUNT(C41:H41)=6,H41=15)</formula>
    </cfRule>
    <cfRule type="expression" priority="557" dxfId="1">
      <formula>AND(COUNT(C41:H41)=6,H41&lt;15*0.4)</formula>
    </cfRule>
    <cfRule type="expression" priority="558" dxfId="2">
      <formula>AND(COUNT(C41:H41)=6,H41&gt;=15*0.4,H41&lt;15)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43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Chapter 1 End of Topic Test — Analysis of Data</t>
        </is>
      </c>
    </row>
    <row r="2">
      <c r="A2" s="2" t="inlineStr">
        <is>
          <t>Every block below pulls live from 'Ch1 EOT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SUMPRODUCT(--ISNUMBER('Ch1 EOT Results'!K12:K41))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IF('Ch1 EOT Results'!K12="","","Chapter 1 End of Topic Test — Analysis of Data")</f>
        <v/>
      </c>
      <c r="K5">
        <f>IF('Ch1 EOT Results'!K13="","","Chapter 1 End of Topic Test — Analysis of Data")</f>
        <v/>
      </c>
    </row>
    <row r="6">
      <c r="A6">
        <f>IF('Ch1 EOT Results'!K12="","","Name: "&amp;'Ch1 EOT Results'!B12&amp;"   Class: "&amp;'Ch1 EOT Results'!$B$3&amp;"   Date: "&amp;TEXT('Ch1 EOT Results'!$B$5,"DD/MM/YY"))</f>
        <v/>
      </c>
      <c r="K6">
        <f>IF('Ch1 EOT Results'!K13="","","Name: "&amp;'Ch1 EOT Results'!B13&amp;"   Class: "&amp;'Ch1 EOT Results'!$B$3&amp;"   Date: "&amp;TEXT('Ch1 EOT Results'!$B$5,"DD/MM/YY"))</f>
        <v/>
      </c>
    </row>
    <row r="7">
      <c r="A7">
        <f>IF('Ch1 EOT Results'!K12="","","Total: "&amp;'Ch1 EOT Results'!I12&amp;"/47 ("&amp;TEXT('Ch1 EOT Results'!J12,"0%")&amp;")   Overall: "&amp;'Ch1 EOT Results'!K12)</f>
        <v/>
      </c>
      <c r="K7">
        <f>IF('Ch1 EOT Results'!K13="","","Total: "&amp;'Ch1 EOT Results'!I13&amp;"/47 ("&amp;TEXT('Ch1 EOT Results'!J13,"0%")&amp;")   Overall: "&amp;'Ch1 EOT Results'!K13)</f>
        <v/>
      </c>
    </row>
    <row r="8">
      <c r="A8">
        <f>IF('Ch1 EOT Results'!K12="","",IF('Ch1 EOT Results'!K12="Green",Parameters!$C$63,IF('Ch1 EOT Results'!K12="Yellow",Parameters!$C$62,Parameters!$C$61)))</f>
        <v/>
      </c>
      <c r="K8">
        <f>IF('Ch1 EOT Results'!K13="","",IF('Ch1 EOT Results'!K13="Green",Parameters!$C$63,IF('Ch1 EOT Results'!K13="Yellow",Parameters!$C$62,Parameters!$C$61)))</f>
        <v/>
      </c>
    </row>
    <row r="10">
      <c r="A10">
        <f>IF('Ch1 EOT Results'!K12="","","Breakdown:")</f>
        <v/>
      </c>
      <c r="K10">
        <f>IF('Ch1 EOT Results'!K13="","","Breakdown:")</f>
        <v/>
      </c>
    </row>
    <row r="11">
      <c r="A11">
        <f>IF('Ch1 EOT Results'!K12="","","Q1 Types of data: "&amp;'Ch1 EOT Results'!C12&amp;"/6")</f>
        <v/>
      </c>
      <c r="K11">
        <f>IF('Ch1 EOT Results'!K13="","","Q1 Types of data: "&amp;'Ch1 EOT Results'!C13&amp;"/6")</f>
        <v/>
      </c>
    </row>
    <row r="12">
      <c r="A12">
        <f>IF('Ch1 EOT Results'!K12="","","Q2 Averages &amp; spread (mean, median, range): "&amp;'Ch1 EOT Results'!D12&amp;"/8")</f>
        <v/>
      </c>
      <c r="K12">
        <f>IF('Ch1 EOT Results'!K13="","","Q2 Averages &amp; spread (mean, median, range): "&amp;'Ch1 EOT Results'!D13&amp;"/8")</f>
        <v/>
      </c>
    </row>
    <row r="13">
      <c r="A13">
        <f>IF('Ch1 EOT Results'!K12="","","Q3 Interpreting a bar chart: "&amp;'Ch1 EOT Results'!E12&amp;"/6")</f>
        <v/>
      </c>
      <c r="K13">
        <f>IF('Ch1 EOT Results'!K13="","","Q3 Interpreting a bar chart: "&amp;'Ch1 EOT Results'!E13&amp;"/6")</f>
        <v/>
      </c>
    </row>
    <row r="14">
      <c r="A14">
        <f>IF('Ch1 EOT Results'!K12="","","Q4 Stem-and-leaf diagram: "&amp;'Ch1 EOT Results'!F12&amp;"/6")</f>
        <v/>
      </c>
      <c r="K14">
        <f>IF('Ch1 EOT Results'!K13="","","Q4 Stem-and-leaf diagram: "&amp;'Ch1 EOT Results'!F13&amp;"/6")</f>
        <v/>
      </c>
    </row>
    <row r="15">
      <c r="A15">
        <f>IF('Ch1 EOT Results'!K12="","","Q5 Pie chart interpretation: "&amp;'Ch1 EOT Results'!G12&amp;"/6")</f>
        <v/>
      </c>
      <c r="K15">
        <f>IF('Ch1 EOT Results'!K13="","","Q5 Pie chart interpretation: "&amp;'Ch1 EOT Results'!G13&amp;"/6")</f>
        <v/>
      </c>
    </row>
    <row r="16">
      <c r="A16">
        <f>IF('Ch1 EOT Results'!K12="","","Q6 Stratified sampling (two-way): "&amp;'Ch1 EOT Results'!H12&amp;"/15")</f>
        <v/>
      </c>
      <c r="K16">
        <f>IF('Ch1 EOT Results'!K13="","","Q6 Stratified sampling (two-way): "&amp;'Ch1 EOT Results'!H13&amp;"/15")</f>
        <v/>
      </c>
    </row>
    <row r="17">
      <c r="A17">
        <f>IF(OR('Ch1 EOT Results'!K12="",'Ch1 EOT Results'!L12=""),"",'Ch1 EOT Results'!L12)</f>
        <v/>
      </c>
      <c r="K17">
        <f>IF(OR('Ch1 EOT Results'!K13="",'Ch1 EOT Results'!L13=""),"",'Ch1 EOT Results'!L13)</f>
        <v/>
      </c>
    </row>
    <row r="19">
      <c r="A19">
        <f>IF('Ch1 EOT Results'!K12="","","Comments:")</f>
        <v/>
      </c>
      <c r="K19">
        <f>IF('Ch1 EOT Results'!K13="","","Comments:")</f>
        <v/>
      </c>
    </row>
    <row r="21">
      <c r="A21">
        <f>IF('Ch1 EOT Results'!K14="","","Chapter 1 End of Topic Test — Analysis of Data")</f>
        <v/>
      </c>
      <c r="K21">
        <f>IF('Ch1 EOT Results'!K15="","","Chapter 1 End of Topic Test — Analysis of Data")</f>
        <v/>
      </c>
    </row>
    <row r="22">
      <c r="A22">
        <f>IF('Ch1 EOT Results'!K14="","","Name: "&amp;'Ch1 EOT Results'!B14&amp;"   Class: "&amp;'Ch1 EOT Results'!$B$3&amp;"   Date: "&amp;TEXT('Ch1 EOT Results'!$B$5,"DD/MM/YY"))</f>
        <v/>
      </c>
      <c r="K22">
        <f>IF('Ch1 EOT Results'!K15="","","Name: "&amp;'Ch1 EOT Results'!B15&amp;"   Class: "&amp;'Ch1 EOT Results'!$B$3&amp;"   Date: "&amp;TEXT('Ch1 EOT Results'!$B$5,"DD/MM/YY"))</f>
        <v/>
      </c>
    </row>
    <row r="23">
      <c r="A23">
        <f>IF('Ch1 EOT Results'!K14="","","Total: "&amp;'Ch1 EOT Results'!I14&amp;"/47 ("&amp;TEXT('Ch1 EOT Results'!J14,"0%")&amp;")   Overall: "&amp;'Ch1 EOT Results'!K14)</f>
        <v/>
      </c>
      <c r="K23">
        <f>IF('Ch1 EOT Results'!K15="","","Total: "&amp;'Ch1 EOT Results'!I15&amp;"/47 ("&amp;TEXT('Ch1 EOT Results'!J15,"0%")&amp;")   Overall: "&amp;'Ch1 EOT Results'!K15)</f>
        <v/>
      </c>
    </row>
    <row r="24">
      <c r="A24">
        <f>IF('Ch1 EOT Results'!K14="","",IF('Ch1 EOT Results'!K14="Green",Parameters!$C$63,IF('Ch1 EOT Results'!K14="Yellow",Parameters!$C$62,Parameters!$C$61)))</f>
        <v/>
      </c>
      <c r="K24">
        <f>IF('Ch1 EOT Results'!K15="","",IF('Ch1 EOT Results'!K15="Green",Parameters!$C$63,IF('Ch1 EOT Results'!K15="Yellow",Parameters!$C$62,Parameters!$C$61)))</f>
        <v/>
      </c>
    </row>
    <row r="26">
      <c r="A26">
        <f>IF('Ch1 EOT Results'!K14="","","Breakdown:")</f>
        <v/>
      </c>
      <c r="K26">
        <f>IF('Ch1 EOT Results'!K15="","","Breakdown:")</f>
        <v/>
      </c>
    </row>
    <row r="27">
      <c r="A27">
        <f>IF('Ch1 EOT Results'!K14="","","Q1 Types of data: "&amp;'Ch1 EOT Results'!C14&amp;"/6")</f>
        <v/>
      </c>
      <c r="K27">
        <f>IF('Ch1 EOT Results'!K15="","","Q1 Types of data: "&amp;'Ch1 EOT Results'!C15&amp;"/6")</f>
        <v/>
      </c>
    </row>
    <row r="28">
      <c r="A28">
        <f>IF('Ch1 EOT Results'!K14="","","Q2 Averages &amp; spread (mean, median, range): "&amp;'Ch1 EOT Results'!D14&amp;"/8")</f>
        <v/>
      </c>
      <c r="K28">
        <f>IF('Ch1 EOT Results'!K15="","","Q2 Averages &amp; spread (mean, median, range): "&amp;'Ch1 EOT Results'!D15&amp;"/8")</f>
        <v/>
      </c>
    </row>
    <row r="29">
      <c r="A29">
        <f>IF('Ch1 EOT Results'!K14="","","Q3 Interpreting a bar chart: "&amp;'Ch1 EOT Results'!E14&amp;"/6")</f>
        <v/>
      </c>
      <c r="K29">
        <f>IF('Ch1 EOT Results'!K15="","","Q3 Interpreting a bar chart: "&amp;'Ch1 EOT Results'!E15&amp;"/6")</f>
        <v/>
      </c>
    </row>
    <row r="30">
      <c r="A30">
        <f>IF('Ch1 EOT Results'!K14="","","Q4 Stem-and-leaf diagram: "&amp;'Ch1 EOT Results'!F14&amp;"/6")</f>
        <v/>
      </c>
      <c r="K30">
        <f>IF('Ch1 EOT Results'!K15="","","Q4 Stem-and-leaf diagram: "&amp;'Ch1 EOT Results'!F15&amp;"/6")</f>
        <v/>
      </c>
    </row>
    <row r="31">
      <c r="A31">
        <f>IF('Ch1 EOT Results'!K14="","","Q5 Pie chart interpretation: "&amp;'Ch1 EOT Results'!G14&amp;"/6")</f>
        <v/>
      </c>
      <c r="K31">
        <f>IF('Ch1 EOT Results'!K15="","","Q5 Pie chart interpretation: "&amp;'Ch1 EOT Results'!G15&amp;"/6")</f>
        <v/>
      </c>
    </row>
    <row r="32">
      <c r="A32">
        <f>IF('Ch1 EOT Results'!K14="","","Q6 Stratified sampling (two-way): "&amp;'Ch1 EOT Results'!H14&amp;"/15")</f>
        <v/>
      </c>
      <c r="K32">
        <f>IF('Ch1 EOT Results'!K15="","","Q6 Stratified sampling (two-way): "&amp;'Ch1 EOT Results'!H15&amp;"/15")</f>
        <v/>
      </c>
    </row>
    <row r="33">
      <c r="A33">
        <f>IF(OR('Ch1 EOT Results'!K14="",'Ch1 EOT Results'!L14=""),"",'Ch1 EOT Results'!L14)</f>
        <v/>
      </c>
      <c r="K33">
        <f>IF(OR('Ch1 EOT Results'!K15="",'Ch1 EOT Results'!L15=""),"",'Ch1 EOT Results'!L15)</f>
        <v/>
      </c>
    </row>
    <row r="35">
      <c r="A35">
        <f>IF('Ch1 EOT Results'!K14="","","Comments:")</f>
        <v/>
      </c>
      <c r="K35">
        <f>IF('Ch1 EOT Results'!K15="","","Comments:")</f>
        <v/>
      </c>
    </row>
    <row r="37">
      <c r="A37">
        <f>IF('Ch1 EOT Results'!K16="","","Chapter 1 End of Topic Test — Analysis of Data")</f>
        <v/>
      </c>
      <c r="K37">
        <f>IF('Ch1 EOT Results'!K17="","","Chapter 1 End of Topic Test — Analysis of Data")</f>
        <v/>
      </c>
    </row>
    <row r="38">
      <c r="A38">
        <f>IF('Ch1 EOT Results'!K16="","","Name: "&amp;'Ch1 EOT Results'!B16&amp;"   Class: "&amp;'Ch1 EOT Results'!$B$3&amp;"   Date: "&amp;TEXT('Ch1 EOT Results'!$B$5,"DD/MM/YY"))</f>
        <v/>
      </c>
      <c r="K38">
        <f>IF('Ch1 EOT Results'!K17="","","Name: "&amp;'Ch1 EOT Results'!B17&amp;"   Class: "&amp;'Ch1 EOT Results'!$B$3&amp;"   Date: "&amp;TEXT('Ch1 EOT Results'!$B$5,"DD/MM/YY"))</f>
        <v/>
      </c>
    </row>
    <row r="39">
      <c r="A39">
        <f>IF('Ch1 EOT Results'!K16="","","Total: "&amp;'Ch1 EOT Results'!I16&amp;"/47 ("&amp;TEXT('Ch1 EOT Results'!J16,"0%")&amp;")   Overall: "&amp;'Ch1 EOT Results'!K16)</f>
        <v/>
      </c>
      <c r="K39">
        <f>IF('Ch1 EOT Results'!K17="","","Total: "&amp;'Ch1 EOT Results'!I17&amp;"/47 ("&amp;TEXT('Ch1 EOT Results'!J17,"0%")&amp;")   Overall: "&amp;'Ch1 EOT Results'!K17)</f>
        <v/>
      </c>
    </row>
    <row r="40">
      <c r="A40">
        <f>IF('Ch1 EOT Results'!K16="","",IF('Ch1 EOT Results'!K16="Green",Parameters!$C$63,IF('Ch1 EOT Results'!K16="Yellow",Parameters!$C$62,Parameters!$C$61)))</f>
        <v/>
      </c>
      <c r="K40">
        <f>IF('Ch1 EOT Results'!K17="","",IF('Ch1 EOT Results'!K17="Green",Parameters!$C$63,IF('Ch1 EOT Results'!K17="Yellow",Parameters!$C$62,Parameters!$C$61)))</f>
        <v/>
      </c>
    </row>
    <row r="42">
      <c r="A42">
        <f>IF('Ch1 EOT Results'!K16="","","Breakdown:")</f>
        <v/>
      </c>
      <c r="K42">
        <f>IF('Ch1 EOT Results'!K17="","","Breakdown:")</f>
        <v/>
      </c>
    </row>
    <row r="43">
      <c r="A43">
        <f>IF('Ch1 EOT Results'!K16="","","Q1 Types of data: "&amp;'Ch1 EOT Results'!C16&amp;"/6")</f>
        <v/>
      </c>
      <c r="K43">
        <f>IF('Ch1 EOT Results'!K17="","","Q1 Types of data: "&amp;'Ch1 EOT Results'!C17&amp;"/6")</f>
        <v/>
      </c>
    </row>
    <row r="44">
      <c r="A44">
        <f>IF('Ch1 EOT Results'!K16="","","Q2 Averages &amp; spread (mean, median, range): "&amp;'Ch1 EOT Results'!D16&amp;"/8")</f>
        <v/>
      </c>
      <c r="K44">
        <f>IF('Ch1 EOT Results'!K17="","","Q2 Averages &amp; spread (mean, median, range): "&amp;'Ch1 EOT Results'!D17&amp;"/8")</f>
        <v/>
      </c>
    </row>
    <row r="45">
      <c r="A45">
        <f>IF('Ch1 EOT Results'!K16="","","Q3 Interpreting a bar chart: "&amp;'Ch1 EOT Results'!E16&amp;"/6")</f>
        <v/>
      </c>
      <c r="K45">
        <f>IF('Ch1 EOT Results'!K17="","","Q3 Interpreting a bar chart: "&amp;'Ch1 EOT Results'!E17&amp;"/6")</f>
        <v/>
      </c>
    </row>
    <row r="46">
      <c r="A46">
        <f>IF('Ch1 EOT Results'!K16="","","Q4 Stem-and-leaf diagram: "&amp;'Ch1 EOT Results'!F16&amp;"/6")</f>
        <v/>
      </c>
      <c r="K46">
        <f>IF('Ch1 EOT Results'!K17="","","Q4 Stem-and-leaf diagram: "&amp;'Ch1 EOT Results'!F17&amp;"/6")</f>
        <v/>
      </c>
    </row>
    <row r="47">
      <c r="A47">
        <f>IF('Ch1 EOT Results'!K16="","","Q5 Pie chart interpretation: "&amp;'Ch1 EOT Results'!G16&amp;"/6")</f>
        <v/>
      </c>
      <c r="K47">
        <f>IF('Ch1 EOT Results'!K17="","","Q5 Pie chart interpretation: "&amp;'Ch1 EOT Results'!G17&amp;"/6")</f>
        <v/>
      </c>
    </row>
    <row r="48">
      <c r="A48">
        <f>IF('Ch1 EOT Results'!K16="","","Q6 Stratified sampling (two-way): "&amp;'Ch1 EOT Results'!H16&amp;"/15")</f>
        <v/>
      </c>
      <c r="K48">
        <f>IF('Ch1 EOT Results'!K17="","","Q6 Stratified sampling (two-way): "&amp;'Ch1 EOT Results'!H17&amp;"/15")</f>
        <v/>
      </c>
    </row>
    <row r="49">
      <c r="A49">
        <f>IF(OR('Ch1 EOT Results'!K16="",'Ch1 EOT Results'!L16=""),"",'Ch1 EOT Results'!L16)</f>
        <v/>
      </c>
      <c r="K49">
        <f>IF(OR('Ch1 EOT Results'!K17="",'Ch1 EOT Results'!L17=""),"",'Ch1 EOT Results'!L17)</f>
        <v/>
      </c>
    </row>
    <row r="51">
      <c r="A51">
        <f>IF('Ch1 EOT Results'!K16="","","Comments:")</f>
        <v/>
      </c>
      <c r="K51">
        <f>IF('Ch1 EOT Results'!K17="","","Comments:")</f>
        <v/>
      </c>
    </row>
    <row r="53">
      <c r="A53">
        <f>IF('Ch1 EOT Results'!K18="","","Chapter 1 End of Topic Test — Analysis of Data")</f>
        <v/>
      </c>
      <c r="K53">
        <f>IF('Ch1 EOT Results'!K19="","","Chapter 1 End of Topic Test — Analysis of Data")</f>
        <v/>
      </c>
    </row>
    <row r="54">
      <c r="A54">
        <f>IF('Ch1 EOT Results'!K18="","","Name: "&amp;'Ch1 EOT Results'!B18&amp;"   Class: "&amp;'Ch1 EOT Results'!$B$3&amp;"   Date: "&amp;TEXT('Ch1 EOT Results'!$B$5,"DD/MM/YY"))</f>
        <v/>
      </c>
      <c r="K54">
        <f>IF('Ch1 EOT Results'!K19="","","Name: "&amp;'Ch1 EOT Results'!B19&amp;"   Class: "&amp;'Ch1 EOT Results'!$B$3&amp;"   Date: "&amp;TEXT('Ch1 EOT Results'!$B$5,"DD/MM/YY"))</f>
        <v/>
      </c>
    </row>
    <row r="55">
      <c r="A55">
        <f>IF('Ch1 EOT Results'!K18="","","Total: "&amp;'Ch1 EOT Results'!I18&amp;"/47 ("&amp;TEXT('Ch1 EOT Results'!J18,"0%")&amp;")   Overall: "&amp;'Ch1 EOT Results'!K18)</f>
        <v/>
      </c>
      <c r="K55">
        <f>IF('Ch1 EOT Results'!K19="","","Total: "&amp;'Ch1 EOT Results'!I19&amp;"/47 ("&amp;TEXT('Ch1 EOT Results'!J19,"0%")&amp;")   Overall: "&amp;'Ch1 EOT Results'!K19)</f>
        <v/>
      </c>
    </row>
    <row r="56">
      <c r="A56">
        <f>IF('Ch1 EOT Results'!K18="","",IF('Ch1 EOT Results'!K18="Green",Parameters!$C$63,IF('Ch1 EOT Results'!K18="Yellow",Parameters!$C$62,Parameters!$C$61)))</f>
        <v/>
      </c>
      <c r="K56">
        <f>IF('Ch1 EOT Results'!K19="","",IF('Ch1 EOT Results'!K19="Green",Parameters!$C$63,IF('Ch1 EOT Results'!K19="Yellow",Parameters!$C$62,Parameters!$C$61)))</f>
        <v/>
      </c>
    </row>
    <row r="58">
      <c r="A58">
        <f>IF('Ch1 EOT Results'!K18="","","Breakdown:")</f>
        <v/>
      </c>
      <c r="K58">
        <f>IF('Ch1 EOT Results'!K19="","","Breakdown:")</f>
        <v/>
      </c>
    </row>
    <row r="59">
      <c r="A59">
        <f>IF('Ch1 EOT Results'!K18="","","Q1 Types of data: "&amp;'Ch1 EOT Results'!C18&amp;"/6")</f>
        <v/>
      </c>
      <c r="K59">
        <f>IF('Ch1 EOT Results'!K19="","","Q1 Types of data: "&amp;'Ch1 EOT Results'!C19&amp;"/6")</f>
        <v/>
      </c>
    </row>
    <row r="60">
      <c r="A60">
        <f>IF('Ch1 EOT Results'!K18="","","Q2 Averages &amp; spread (mean, median, range): "&amp;'Ch1 EOT Results'!D18&amp;"/8")</f>
        <v/>
      </c>
      <c r="K60">
        <f>IF('Ch1 EOT Results'!K19="","","Q2 Averages &amp; spread (mean, median, range): "&amp;'Ch1 EOT Results'!D19&amp;"/8")</f>
        <v/>
      </c>
    </row>
    <row r="61">
      <c r="A61">
        <f>IF('Ch1 EOT Results'!K18="","","Q3 Interpreting a bar chart: "&amp;'Ch1 EOT Results'!E18&amp;"/6")</f>
        <v/>
      </c>
      <c r="K61">
        <f>IF('Ch1 EOT Results'!K19="","","Q3 Interpreting a bar chart: "&amp;'Ch1 EOT Results'!E19&amp;"/6")</f>
        <v/>
      </c>
    </row>
    <row r="62">
      <c r="A62">
        <f>IF('Ch1 EOT Results'!K18="","","Q4 Stem-and-leaf diagram: "&amp;'Ch1 EOT Results'!F18&amp;"/6")</f>
        <v/>
      </c>
      <c r="K62">
        <f>IF('Ch1 EOT Results'!K19="","","Q4 Stem-and-leaf diagram: "&amp;'Ch1 EOT Results'!F19&amp;"/6")</f>
        <v/>
      </c>
    </row>
    <row r="63">
      <c r="A63">
        <f>IF('Ch1 EOT Results'!K18="","","Q5 Pie chart interpretation: "&amp;'Ch1 EOT Results'!G18&amp;"/6")</f>
        <v/>
      </c>
      <c r="K63">
        <f>IF('Ch1 EOT Results'!K19="","","Q5 Pie chart interpretation: "&amp;'Ch1 EOT Results'!G19&amp;"/6")</f>
        <v/>
      </c>
    </row>
    <row r="64">
      <c r="A64">
        <f>IF('Ch1 EOT Results'!K18="","","Q6 Stratified sampling (two-way): "&amp;'Ch1 EOT Results'!H18&amp;"/15")</f>
        <v/>
      </c>
      <c r="K64">
        <f>IF('Ch1 EOT Results'!K19="","","Q6 Stratified sampling (two-way): "&amp;'Ch1 EOT Results'!H19&amp;"/15")</f>
        <v/>
      </c>
    </row>
    <row r="65">
      <c r="A65">
        <f>IF(OR('Ch1 EOT Results'!K18="",'Ch1 EOT Results'!L18=""),"",'Ch1 EOT Results'!L18)</f>
        <v/>
      </c>
      <c r="K65">
        <f>IF(OR('Ch1 EOT Results'!K19="",'Ch1 EOT Results'!L19=""),"",'Ch1 EOT Results'!L19)</f>
        <v/>
      </c>
    </row>
    <row r="67">
      <c r="A67">
        <f>IF('Ch1 EOT Results'!K18="","","Comments:")</f>
        <v/>
      </c>
      <c r="K67">
        <f>IF('Ch1 EOT Results'!K19="","","Comments:")</f>
        <v/>
      </c>
    </row>
    <row r="69">
      <c r="A69">
        <f>IF('Ch1 EOT Results'!K20="","","Chapter 1 End of Topic Test — Analysis of Data")</f>
        <v/>
      </c>
      <c r="K69">
        <f>IF('Ch1 EOT Results'!K21="","","Chapter 1 End of Topic Test — Analysis of Data")</f>
        <v/>
      </c>
    </row>
    <row r="70">
      <c r="A70">
        <f>IF('Ch1 EOT Results'!K20="","","Name: "&amp;'Ch1 EOT Results'!B20&amp;"   Class: "&amp;'Ch1 EOT Results'!$B$3&amp;"   Date: "&amp;TEXT('Ch1 EOT Results'!$B$5,"DD/MM/YY"))</f>
        <v/>
      </c>
      <c r="K70">
        <f>IF('Ch1 EOT Results'!K21="","","Name: "&amp;'Ch1 EOT Results'!B21&amp;"   Class: "&amp;'Ch1 EOT Results'!$B$3&amp;"   Date: "&amp;TEXT('Ch1 EOT Results'!$B$5,"DD/MM/YY"))</f>
        <v/>
      </c>
    </row>
    <row r="71">
      <c r="A71">
        <f>IF('Ch1 EOT Results'!K20="","","Total: "&amp;'Ch1 EOT Results'!I20&amp;"/47 ("&amp;TEXT('Ch1 EOT Results'!J20,"0%")&amp;")   Overall: "&amp;'Ch1 EOT Results'!K20)</f>
        <v/>
      </c>
      <c r="K71">
        <f>IF('Ch1 EOT Results'!K21="","","Total: "&amp;'Ch1 EOT Results'!I21&amp;"/47 ("&amp;TEXT('Ch1 EOT Results'!J21,"0%")&amp;")   Overall: "&amp;'Ch1 EOT Results'!K21)</f>
        <v/>
      </c>
    </row>
    <row r="72">
      <c r="A72">
        <f>IF('Ch1 EOT Results'!K20="","",IF('Ch1 EOT Results'!K20="Green",Parameters!$C$63,IF('Ch1 EOT Results'!K20="Yellow",Parameters!$C$62,Parameters!$C$61)))</f>
        <v/>
      </c>
      <c r="K72">
        <f>IF('Ch1 EOT Results'!K21="","",IF('Ch1 EOT Results'!K21="Green",Parameters!$C$63,IF('Ch1 EOT Results'!K21="Yellow",Parameters!$C$62,Parameters!$C$61)))</f>
        <v/>
      </c>
    </row>
    <row r="74">
      <c r="A74">
        <f>IF('Ch1 EOT Results'!K20="","","Breakdown:")</f>
        <v/>
      </c>
      <c r="K74">
        <f>IF('Ch1 EOT Results'!K21="","","Breakdown:")</f>
        <v/>
      </c>
    </row>
    <row r="75">
      <c r="A75">
        <f>IF('Ch1 EOT Results'!K20="","","Q1 Types of data: "&amp;'Ch1 EOT Results'!C20&amp;"/6")</f>
        <v/>
      </c>
      <c r="K75">
        <f>IF('Ch1 EOT Results'!K21="","","Q1 Types of data: "&amp;'Ch1 EOT Results'!C21&amp;"/6")</f>
        <v/>
      </c>
    </row>
    <row r="76">
      <c r="A76">
        <f>IF('Ch1 EOT Results'!K20="","","Q2 Averages &amp; spread (mean, median, range): "&amp;'Ch1 EOT Results'!D20&amp;"/8")</f>
        <v/>
      </c>
      <c r="K76">
        <f>IF('Ch1 EOT Results'!K21="","","Q2 Averages &amp; spread (mean, median, range): "&amp;'Ch1 EOT Results'!D21&amp;"/8")</f>
        <v/>
      </c>
    </row>
    <row r="77">
      <c r="A77">
        <f>IF('Ch1 EOT Results'!K20="","","Q3 Interpreting a bar chart: "&amp;'Ch1 EOT Results'!E20&amp;"/6")</f>
        <v/>
      </c>
      <c r="K77">
        <f>IF('Ch1 EOT Results'!K21="","","Q3 Interpreting a bar chart: "&amp;'Ch1 EOT Results'!E21&amp;"/6")</f>
        <v/>
      </c>
    </row>
    <row r="78">
      <c r="A78">
        <f>IF('Ch1 EOT Results'!K20="","","Q4 Stem-and-leaf diagram: "&amp;'Ch1 EOT Results'!F20&amp;"/6")</f>
        <v/>
      </c>
      <c r="K78">
        <f>IF('Ch1 EOT Results'!K21="","","Q4 Stem-and-leaf diagram: "&amp;'Ch1 EOT Results'!F21&amp;"/6")</f>
        <v/>
      </c>
    </row>
    <row r="79">
      <c r="A79">
        <f>IF('Ch1 EOT Results'!K20="","","Q5 Pie chart interpretation: "&amp;'Ch1 EOT Results'!G20&amp;"/6")</f>
        <v/>
      </c>
      <c r="K79">
        <f>IF('Ch1 EOT Results'!K21="","","Q5 Pie chart interpretation: "&amp;'Ch1 EOT Results'!G21&amp;"/6")</f>
        <v/>
      </c>
    </row>
    <row r="80">
      <c r="A80">
        <f>IF('Ch1 EOT Results'!K20="","","Q6 Stratified sampling (two-way): "&amp;'Ch1 EOT Results'!H20&amp;"/15")</f>
        <v/>
      </c>
      <c r="K80">
        <f>IF('Ch1 EOT Results'!K21="","","Q6 Stratified sampling (two-way): "&amp;'Ch1 EOT Results'!H21&amp;"/15")</f>
        <v/>
      </c>
    </row>
    <row r="81">
      <c r="A81">
        <f>IF(OR('Ch1 EOT Results'!K20="",'Ch1 EOT Results'!L20=""),"",'Ch1 EOT Results'!L20)</f>
        <v/>
      </c>
      <c r="K81">
        <f>IF(OR('Ch1 EOT Results'!K21="",'Ch1 EOT Results'!L21=""),"",'Ch1 EOT Results'!L21)</f>
        <v/>
      </c>
    </row>
    <row r="83">
      <c r="A83">
        <f>IF('Ch1 EOT Results'!K20="","","Comments:")</f>
        <v/>
      </c>
      <c r="K83">
        <f>IF('Ch1 EOT Results'!K21="","","Comments:")</f>
        <v/>
      </c>
    </row>
    <row r="85">
      <c r="A85">
        <f>IF('Ch1 EOT Results'!K22="","","Chapter 1 End of Topic Test — Analysis of Data")</f>
        <v/>
      </c>
      <c r="K85">
        <f>IF('Ch1 EOT Results'!K23="","","Chapter 1 End of Topic Test — Analysis of Data")</f>
        <v/>
      </c>
    </row>
    <row r="86">
      <c r="A86">
        <f>IF('Ch1 EOT Results'!K22="","","Name: "&amp;'Ch1 EOT Results'!B22&amp;"   Class: "&amp;'Ch1 EOT Results'!$B$3&amp;"   Date: "&amp;TEXT('Ch1 EOT Results'!$B$5,"DD/MM/YY"))</f>
        <v/>
      </c>
      <c r="K86">
        <f>IF('Ch1 EOT Results'!K23="","","Name: "&amp;'Ch1 EOT Results'!B23&amp;"   Class: "&amp;'Ch1 EOT Results'!$B$3&amp;"   Date: "&amp;TEXT('Ch1 EOT Results'!$B$5,"DD/MM/YY"))</f>
        <v/>
      </c>
    </row>
    <row r="87">
      <c r="A87">
        <f>IF('Ch1 EOT Results'!K22="","","Total: "&amp;'Ch1 EOT Results'!I22&amp;"/47 ("&amp;TEXT('Ch1 EOT Results'!J22,"0%")&amp;")   Overall: "&amp;'Ch1 EOT Results'!K22)</f>
        <v/>
      </c>
      <c r="K87">
        <f>IF('Ch1 EOT Results'!K23="","","Total: "&amp;'Ch1 EOT Results'!I23&amp;"/47 ("&amp;TEXT('Ch1 EOT Results'!J23,"0%")&amp;")   Overall: "&amp;'Ch1 EOT Results'!K23)</f>
        <v/>
      </c>
    </row>
    <row r="88">
      <c r="A88">
        <f>IF('Ch1 EOT Results'!K22="","",IF('Ch1 EOT Results'!K22="Green",Parameters!$C$63,IF('Ch1 EOT Results'!K22="Yellow",Parameters!$C$62,Parameters!$C$61)))</f>
        <v/>
      </c>
      <c r="K88">
        <f>IF('Ch1 EOT Results'!K23="","",IF('Ch1 EOT Results'!K23="Green",Parameters!$C$63,IF('Ch1 EOT Results'!K23="Yellow",Parameters!$C$62,Parameters!$C$61)))</f>
        <v/>
      </c>
    </row>
    <row r="90">
      <c r="A90">
        <f>IF('Ch1 EOT Results'!K22="","","Breakdown:")</f>
        <v/>
      </c>
      <c r="K90">
        <f>IF('Ch1 EOT Results'!K23="","","Breakdown:")</f>
        <v/>
      </c>
    </row>
    <row r="91">
      <c r="A91">
        <f>IF('Ch1 EOT Results'!K22="","","Q1 Types of data: "&amp;'Ch1 EOT Results'!C22&amp;"/6")</f>
        <v/>
      </c>
      <c r="K91">
        <f>IF('Ch1 EOT Results'!K23="","","Q1 Types of data: "&amp;'Ch1 EOT Results'!C23&amp;"/6")</f>
        <v/>
      </c>
    </row>
    <row r="92">
      <c r="A92">
        <f>IF('Ch1 EOT Results'!K22="","","Q2 Averages &amp; spread (mean, median, range): "&amp;'Ch1 EOT Results'!D22&amp;"/8")</f>
        <v/>
      </c>
      <c r="K92">
        <f>IF('Ch1 EOT Results'!K23="","","Q2 Averages &amp; spread (mean, median, range): "&amp;'Ch1 EOT Results'!D23&amp;"/8")</f>
        <v/>
      </c>
    </row>
    <row r="93">
      <c r="A93">
        <f>IF('Ch1 EOT Results'!K22="","","Q3 Interpreting a bar chart: "&amp;'Ch1 EOT Results'!E22&amp;"/6")</f>
        <v/>
      </c>
      <c r="K93">
        <f>IF('Ch1 EOT Results'!K23="","","Q3 Interpreting a bar chart: "&amp;'Ch1 EOT Results'!E23&amp;"/6")</f>
        <v/>
      </c>
    </row>
    <row r="94">
      <c r="A94">
        <f>IF('Ch1 EOT Results'!K22="","","Q4 Stem-and-leaf diagram: "&amp;'Ch1 EOT Results'!F22&amp;"/6")</f>
        <v/>
      </c>
      <c r="K94">
        <f>IF('Ch1 EOT Results'!K23="","","Q4 Stem-and-leaf diagram: "&amp;'Ch1 EOT Results'!F23&amp;"/6")</f>
        <v/>
      </c>
    </row>
    <row r="95">
      <c r="A95">
        <f>IF('Ch1 EOT Results'!K22="","","Q5 Pie chart interpretation: "&amp;'Ch1 EOT Results'!G22&amp;"/6")</f>
        <v/>
      </c>
      <c r="K95">
        <f>IF('Ch1 EOT Results'!K23="","","Q5 Pie chart interpretation: "&amp;'Ch1 EOT Results'!G23&amp;"/6")</f>
        <v/>
      </c>
    </row>
    <row r="96">
      <c r="A96">
        <f>IF('Ch1 EOT Results'!K22="","","Q6 Stratified sampling (two-way): "&amp;'Ch1 EOT Results'!H22&amp;"/15")</f>
        <v/>
      </c>
      <c r="K96">
        <f>IF('Ch1 EOT Results'!K23="","","Q6 Stratified sampling (two-way): "&amp;'Ch1 EOT Results'!H23&amp;"/15")</f>
        <v/>
      </c>
    </row>
    <row r="97">
      <c r="A97">
        <f>IF(OR('Ch1 EOT Results'!K22="",'Ch1 EOT Results'!L22=""),"",'Ch1 EOT Results'!L22)</f>
        <v/>
      </c>
      <c r="K97">
        <f>IF(OR('Ch1 EOT Results'!K23="",'Ch1 EOT Results'!L23=""),"",'Ch1 EOT Results'!L23)</f>
        <v/>
      </c>
    </row>
    <row r="99">
      <c r="A99">
        <f>IF('Ch1 EOT Results'!K22="","","Comments:")</f>
        <v/>
      </c>
      <c r="K99">
        <f>IF('Ch1 EOT Results'!K23="","","Comments:")</f>
        <v/>
      </c>
    </row>
    <row r="101">
      <c r="A101">
        <f>IF('Ch1 EOT Results'!K24="","","Chapter 1 End of Topic Test — Analysis of Data")</f>
        <v/>
      </c>
      <c r="K101">
        <f>IF('Ch1 EOT Results'!K25="","","Chapter 1 End of Topic Test — Analysis of Data")</f>
        <v/>
      </c>
    </row>
    <row r="102">
      <c r="A102">
        <f>IF('Ch1 EOT Results'!K24="","","Name: "&amp;'Ch1 EOT Results'!B24&amp;"   Class: "&amp;'Ch1 EOT Results'!$B$3&amp;"   Date: "&amp;TEXT('Ch1 EOT Results'!$B$5,"DD/MM/YY"))</f>
        <v/>
      </c>
      <c r="K102">
        <f>IF('Ch1 EOT Results'!K25="","","Name: "&amp;'Ch1 EOT Results'!B25&amp;"   Class: "&amp;'Ch1 EOT Results'!$B$3&amp;"   Date: "&amp;TEXT('Ch1 EOT Results'!$B$5,"DD/MM/YY"))</f>
        <v/>
      </c>
    </row>
    <row r="103">
      <c r="A103">
        <f>IF('Ch1 EOT Results'!K24="","","Total: "&amp;'Ch1 EOT Results'!I24&amp;"/47 ("&amp;TEXT('Ch1 EOT Results'!J24,"0%")&amp;")   Overall: "&amp;'Ch1 EOT Results'!K24)</f>
        <v/>
      </c>
      <c r="K103">
        <f>IF('Ch1 EOT Results'!K25="","","Total: "&amp;'Ch1 EOT Results'!I25&amp;"/47 ("&amp;TEXT('Ch1 EOT Results'!J25,"0%")&amp;")   Overall: "&amp;'Ch1 EOT Results'!K25)</f>
        <v/>
      </c>
    </row>
    <row r="104">
      <c r="A104">
        <f>IF('Ch1 EOT Results'!K24="","",IF('Ch1 EOT Results'!K24="Green",Parameters!$C$63,IF('Ch1 EOT Results'!K24="Yellow",Parameters!$C$62,Parameters!$C$61)))</f>
        <v/>
      </c>
      <c r="K104">
        <f>IF('Ch1 EOT Results'!K25="","",IF('Ch1 EOT Results'!K25="Green",Parameters!$C$63,IF('Ch1 EOT Results'!K25="Yellow",Parameters!$C$62,Parameters!$C$61)))</f>
        <v/>
      </c>
    </row>
    <row r="106">
      <c r="A106">
        <f>IF('Ch1 EOT Results'!K24="","","Breakdown:")</f>
        <v/>
      </c>
      <c r="K106">
        <f>IF('Ch1 EOT Results'!K25="","","Breakdown:")</f>
        <v/>
      </c>
    </row>
    <row r="107">
      <c r="A107">
        <f>IF('Ch1 EOT Results'!K24="","","Q1 Types of data: "&amp;'Ch1 EOT Results'!C24&amp;"/6")</f>
        <v/>
      </c>
      <c r="K107">
        <f>IF('Ch1 EOT Results'!K25="","","Q1 Types of data: "&amp;'Ch1 EOT Results'!C25&amp;"/6")</f>
        <v/>
      </c>
    </row>
    <row r="108">
      <c r="A108">
        <f>IF('Ch1 EOT Results'!K24="","","Q2 Averages &amp; spread (mean, median, range): "&amp;'Ch1 EOT Results'!D24&amp;"/8")</f>
        <v/>
      </c>
      <c r="K108">
        <f>IF('Ch1 EOT Results'!K25="","","Q2 Averages &amp; spread (mean, median, range): "&amp;'Ch1 EOT Results'!D25&amp;"/8")</f>
        <v/>
      </c>
    </row>
    <row r="109">
      <c r="A109">
        <f>IF('Ch1 EOT Results'!K24="","","Q3 Interpreting a bar chart: "&amp;'Ch1 EOT Results'!E24&amp;"/6")</f>
        <v/>
      </c>
      <c r="K109">
        <f>IF('Ch1 EOT Results'!K25="","","Q3 Interpreting a bar chart: "&amp;'Ch1 EOT Results'!E25&amp;"/6")</f>
        <v/>
      </c>
    </row>
    <row r="110">
      <c r="A110">
        <f>IF('Ch1 EOT Results'!K24="","","Q4 Stem-and-leaf diagram: "&amp;'Ch1 EOT Results'!F24&amp;"/6")</f>
        <v/>
      </c>
      <c r="K110">
        <f>IF('Ch1 EOT Results'!K25="","","Q4 Stem-and-leaf diagram: "&amp;'Ch1 EOT Results'!F25&amp;"/6")</f>
        <v/>
      </c>
    </row>
    <row r="111">
      <c r="A111">
        <f>IF('Ch1 EOT Results'!K24="","","Q5 Pie chart interpretation: "&amp;'Ch1 EOT Results'!G24&amp;"/6")</f>
        <v/>
      </c>
      <c r="K111">
        <f>IF('Ch1 EOT Results'!K25="","","Q5 Pie chart interpretation: "&amp;'Ch1 EOT Results'!G25&amp;"/6")</f>
        <v/>
      </c>
    </row>
    <row r="112">
      <c r="A112">
        <f>IF('Ch1 EOT Results'!K24="","","Q6 Stratified sampling (two-way): "&amp;'Ch1 EOT Results'!H24&amp;"/15")</f>
        <v/>
      </c>
      <c r="K112">
        <f>IF('Ch1 EOT Results'!K25="","","Q6 Stratified sampling (two-way): "&amp;'Ch1 EOT Results'!H25&amp;"/15")</f>
        <v/>
      </c>
    </row>
    <row r="113">
      <c r="A113">
        <f>IF(OR('Ch1 EOT Results'!K24="",'Ch1 EOT Results'!L24=""),"",'Ch1 EOT Results'!L24)</f>
        <v/>
      </c>
      <c r="K113">
        <f>IF(OR('Ch1 EOT Results'!K25="",'Ch1 EOT Results'!L25=""),"",'Ch1 EOT Results'!L25)</f>
        <v/>
      </c>
    </row>
    <row r="115">
      <c r="A115">
        <f>IF('Ch1 EOT Results'!K24="","","Comments:")</f>
        <v/>
      </c>
      <c r="K115">
        <f>IF('Ch1 EOT Results'!K25="","","Comments:")</f>
        <v/>
      </c>
    </row>
    <row r="117">
      <c r="A117">
        <f>IF('Ch1 EOT Results'!K26="","","Chapter 1 End of Topic Test — Analysis of Data")</f>
        <v/>
      </c>
      <c r="K117">
        <f>IF('Ch1 EOT Results'!K27="","","Chapter 1 End of Topic Test — Analysis of Data")</f>
        <v/>
      </c>
    </row>
    <row r="118">
      <c r="A118">
        <f>IF('Ch1 EOT Results'!K26="","","Name: "&amp;'Ch1 EOT Results'!B26&amp;"   Class: "&amp;'Ch1 EOT Results'!$B$3&amp;"   Date: "&amp;TEXT('Ch1 EOT Results'!$B$5,"DD/MM/YY"))</f>
        <v/>
      </c>
      <c r="K118">
        <f>IF('Ch1 EOT Results'!K27="","","Name: "&amp;'Ch1 EOT Results'!B27&amp;"   Class: "&amp;'Ch1 EOT Results'!$B$3&amp;"   Date: "&amp;TEXT('Ch1 EOT Results'!$B$5,"DD/MM/YY"))</f>
        <v/>
      </c>
    </row>
    <row r="119">
      <c r="A119">
        <f>IF('Ch1 EOT Results'!K26="","","Total: "&amp;'Ch1 EOT Results'!I26&amp;"/47 ("&amp;TEXT('Ch1 EOT Results'!J26,"0%")&amp;")   Overall: "&amp;'Ch1 EOT Results'!K26)</f>
        <v/>
      </c>
      <c r="K119">
        <f>IF('Ch1 EOT Results'!K27="","","Total: "&amp;'Ch1 EOT Results'!I27&amp;"/47 ("&amp;TEXT('Ch1 EOT Results'!J27,"0%")&amp;")   Overall: "&amp;'Ch1 EOT Results'!K27)</f>
        <v/>
      </c>
    </row>
    <row r="120">
      <c r="A120">
        <f>IF('Ch1 EOT Results'!K26="","",IF('Ch1 EOT Results'!K26="Green",Parameters!$C$63,IF('Ch1 EOT Results'!K26="Yellow",Parameters!$C$62,Parameters!$C$61)))</f>
        <v/>
      </c>
      <c r="K120">
        <f>IF('Ch1 EOT Results'!K27="","",IF('Ch1 EOT Results'!K27="Green",Parameters!$C$63,IF('Ch1 EOT Results'!K27="Yellow",Parameters!$C$62,Parameters!$C$61)))</f>
        <v/>
      </c>
    </row>
    <row r="122">
      <c r="A122">
        <f>IF('Ch1 EOT Results'!K26="","","Breakdown:")</f>
        <v/>
      </c>
      <c r="K122">
        <f>IF('Ch1 EOT Results'!K27="","","Breakdown:")</f>
        <v/>
      </c>
    </row>
    <row r="123">
      <c r="A123">
        <f>IF('Ch1 EOT Results'!K26="","","Q1 Types of data: "&amp;'Ch1 EOT Results'!C26&amp;"/6")</f>
        <v/>
      </c>
      <c r="K123">
        <f>IF('Ch1 EOT Results'!K27="","","Q1 Types of data: "&amp;'Ch1 EOT Results'!C27&amp;"/6")</f>
        <v/>
      </c>
    </row>
    <row r="124">
      <c r="A124">
        <f>IF('Ch1 EOT Results'!K26="","","Q2 Averages &amp; spread (mean, median, range): "&amp;'Ch1 EOT Results'!D26&amp;"/8")</f>
        <v/>
      </c>
      <c r="K124">
        <f>IF('Ch1 EOT Results'!K27="","","Q2 Averages &amp; spread (mean, median, range): "&amp;'Ch1 EOT Results'!D27&amp;"/8")</f>
        <v/>
      </c>
    </row>
    <row r="125">
      <c r="A125">
        <f>IF('Ch1 EOT Results'!K26="","","Q3 Interpreting a bar chart: "&amp;'Ch1 EOT Results'!E26&amp;"/6")</f>
        <v/>
      </c>
      <c r="K125">
        <f>IF('Ch1 EOT Results'!K27="","","Q3 Interpreting a bar chart: "&amp;'Ch1 EOT Results'!E27&amp;"/6")</f>
        <v/>
      </c>
    </row>
    <row r="126">
      <c r="A126">
        <f>IF('Ch1 EOT Results'!K26="","","Q4 Stem-and-leaf diagram: "&amp;'Ch1 EOT Results'!F26&amp;"/6")</f>
        <v/>
      </c>
      <c r="K126">
        <f>IF('Ch1 EOT Results'!K27="","","Q4 Stem-and-leaf diagram: "&amp;'Ch1 EOT Results'!F27&amp;"/6")</f>
        <v/>
      </c>
    </row>
    <row r="127">
      <c r="A127">
        <f>IF('Ch1 EOT Results'!K26="","","Q5 Pie chart interpretation: "&amp;'Ch1 EOT Results'!G26&amp;"/6")</f>
        <v/>
      </c>
      <c r="K127">
        <f>IF('Ch1 EOT Results'!K27="","","Q5 Pie chart interpretation: "&amp;'Ch1 EOT Results'!G27&amp;"/6")</f>
        <v/>
      </c>
    </row>
    <row r="128">
      <c r="A128">
        <f>IF('Ch1 EOT Results'!K26="","","Q6 Stratified sampling (two-way): "&amp;'Ch1 EOT Results'!H26&amp;"/15")</f>
        <v/>
      </c>
      <c r="K128">
        <f>IF('Ch1 EOT Results'!K27="","","Q6 Stratified sampling (two-way): "&amp;'Ch1 EOT Results'!H27&amp;"/15")</f>
        <v/>
      </c>
    </row>
    <row r="129">
      <c r="A129">
        <f>IF(OR('Ch1 EOT Results'!K26="",'Ch1 EOT Results'!L26=""),"",'Ch1 EOT Results'!L26)</f>
        <v/>
      </c>
      <c r="K129">
        <f>IF(OR('Ch1 EOT Results'!K27="",'Ch1 EOT Results'!L27=""),"",'Ch1 EOT Results'!L27)</f>
        <v/>
      </c>
    </row>
    <row r="131">
      <c r="A131">
        <f>IF('Ch1 EOT Results'!K26="","","Comments:")</f>
        <v/>
      </c>
      <c r="K131">
        <f>IF('Ch1 EOT Results'!K27="","","Comments:")</f>
        <v/>
      </c>
    </row>
    <row r="133">
      <c r="A133">
        <f>IF('Ch1 EOT Results'!K28="","","Chapter 1 End of Topic Test — Analysis of Data")</f>
        <v/>
      </c>
      <c r="K133">
        <f>IF('Ch1 EOT Results'!K29="","","Chapter 1 End of Topic Test — Analysis of Data")</f>
        <v/>
      </c>
    </row>
    <row r="134">
      <c r="A134">
        <f>IF('Ch1 EOT Results'!K28="","","Name: "&amp;'Ch1 EOT Results'!B28&amp;"   Class: "&amp;'Ch1 EOT Results'!$B$3&amp;"   Date: "&amp;TEXT('Ch1 EOT Results'!$B$5,"DD/MM/YY"))</f>
        <v/>
      </c>
      <c r="K134">
        <f>IF('Ch1 EOT Results'!K29="","","Name: "&amp;'Ch1 EOT Results'!B29&amp;"   Class: "&amp;'Ch1 EOT Results'!$B$3&amp;"   Date: "&amp;TEXT('Ch1 EOT Results'!$B$5,"DD/MM/YY"))</f>
        <v/>
      </c>
    </row>
    <row r="135">
      <c r="A135">
        <f>IF('Ch1 EOT Results'!K28="","","Total: "&amp;'Ch1 EOT Results'!I28&amp;"/47 ("&amp;TEXT('Ch1 EOT Results'!J28,"0%")&amp;")   Overall: "&amp;'Ch1 EOT Results'!K28)</f>
        <v/>
      </c>
      <c r="K135">
        <f>IF('Ch1 EOT Results'!K29="","","Total: "&amp;'Ch1 EOT Results'!I29&amp;"/47 ("&amp;TEXT('Ch1 EOT Results'!J29,"0%")&amp;")   Overall: "&amp;'Ch1 EOT Results'!K29)</f>
        <v/>
      </c>
    </row>
    <row r="136">
      <c r="A136">
        <f>IF('Ch1 EOT Results'!K28="","",IF('Ch1 EOT Results'!K28="Green",Parameters!$C$63,IF('Ch1 EOT Results'!K28="Yellow",Parameters!$C$62,Parameters!$C$61)))</f>
        <v/>
      </c>
      <c r="K136">
        <f>IF('Ch1 EOT Results'!K29="","",IF('Ch1 EOT Results'!K29="Green",Parameters!$C$63,IF('Ch1 EOT Results'!K29="Yellow",Parameters!$C$62,Parameters!$C$61)))</f>
        <v/>
      </c>
    </row>
    <row r="138">
      <c r="A138">
        <f>IF('Ch1 EOT Results'!K28="","","Breakdown:")</f>
        <v/>
      </c>
      <c r="K138">
        <f>IF('Ch1 EOT Results'!K29="","","Breakdown:")</f>
        <v/>
      </c>
    </row>
    <row r="139">
      <c r="A139">
        <f>IF('Ch1 EOT Results'!K28="","","Q1 Types of data: "&amp;'Ch1 EOT Results'!C28&amp;"/6")</f>
        <v/>
      </c>
      <c r="K139">
        <f>IF('Ch1 EOT Results'!K29="","","Q1 Types of data: "&amp;'Ch1 EOT Results'!C29&amp;"/6")</f>
        <v/>
      </c>
    </row>
    <row r="140">
      <c r="A140">
        <f>IF('Ch1 EOT Results'!K28="","","Q2 Averages &amp; spread (mean, median, range): "&amp;'Ch1 EOT Results'!D28&amp;"/8")</f>
        <v/>
      </c>
      <c r="K140">
        <f>IF('Ch1 EOT Results'!K29="","","Q2 Averages &amp; spread (mean, median, range): "&amp;'Ch1 EOT Results'!D29&amp;"/8")</f>
        <v/>
      </c>
    </row>
    <row r="141">
      <c r="A141">
        <f>IF('Ch1 EOT Results'!K28="","","Q3 Interpreting a bar chart: "&amp;'Ch1 EOT Results'!E28&amp;"/6")</f>
        <v/>
      </c>
      <c r="K141">
        <f>IF('Ch1 EOT Results'!K29="","","Q3 Interpreting a bar chart: "&amp;'Ch1 EOT Results'!E29&amp;"/6")</f>
        <v/>
      </c>
    </row>
    <row r="142">
      <c r="A142">
        <f>IF('Ch1 EOT Results'!K28="","","Q4 Stem-and-leaf diagram: "&amp;'Ch1 EOT Results'!F28&amp;"/6")</f>
        <v/>
      </c>
      <c r="K142">
        <f>IF('Ch1 EOT Results'!K29="","","Q4 Stem-and-leaf diagram: "&amp;'Ch1 EOT Results'!F29&amp;"/6")</f>
        <v/>
      </c>
    </row>
    <row r="143">
      <c r="A143">
        <f>IF('Ch1 EOT Results'!K28="","","Q5 Pie chart interpretation: "&amp;'Ch1 EOT Results'!G28&amp;"/6")</f>
        <v/>
      </c>
      <c r="K143">
        <f>IF('Ch1 EOT Results'!K29="","","Q5 Pie chart interpretation: "&amp;'Ch1 EOT Results'!G29&amp;"/6")</f>
        <v/>
      </c>
    </row>
    <row r="144">
      <c r="A144">
        <f>IF('Ch1 EOT Results'!K28="","","Q6 Stratified sampling (two-way): "&amp;'Ch1 EOT Results'!H28&amp;"/15")</f>
        <v/>
      </c>
      <c r="K144">
        <f>IF('Ch1 EOT Results'!K29="","","Q6 Stratified sampling (two-way): "&amp;'Ch1 EOT Results'!H29&amp;"/15")</f>
        <v/>
      </c>
    </row>
    <row r="145">
      <c r="A145">
        <f>IF(OR('Ch1 EOT Results'!K28="",'Ch1 EOT Results'!L28=""),"",'Ch1 EOT Results'!L28)</f>
        <v/>
      </c>
      <c r="K145">
        <f>IF(OR('Ch1 EOT Results'!K29="",'Ch1 EOT Results'!L29=""),"",'Ch1 EOT Results'!L29)</f>
        <v/>
      </c>
    </row>
    <row r="147">
      <c r="A147">
        <f>IF('Ch1 EOT Results'!K28="","","Comments:")</f>
        <v/>
      </c>
      <c r="K147">
        <f>IF('Ch1 EOT Results'!K29="","","Comments:")</f>
        <v/>
      </c>
    </row>
    <row r="149">
      <c r="A149">
        <f>IF('Ch1 EOT Results'!K30="","","Chapter 1 End of Topic Test — Analysis of Data")</f>
        <v/>
      </c>
      <c r="K149">
        <f>IF('Ch1 EOT Results'!K31="","","Chapter 1 End of Topic Test — Analysis of Data")</f>
        <v/>
      </c>
    </row>
    <row r="150">
      <c r="A150">
        <f>IF('Ch1 EOT Results'!K30="","","Name: "&amp;'Ch1 EOT Results'!B30&amp;"   Class: "&amp;'Ch1 EOT Results'!$B$3&amp;"   Date: "&amp;TEXT('Ch1 EOT Results'!$B$5,"DD/MM/YY"))</f>
        <v/>
      </c>
      <c r="K150">
        <f>IF('Ch1 EOT Results'!K31="","","Name: "&amp;'Ch1 EOT Results'!B31&amp;"   Class: "&amp;'Ch1 EOT Results'!$B$3&amp;"   Date: "&amp;TEXT('Ch1 EOT Results'!$B$5,"DD/MM/YY"))</f>
        <v/>
      </c>
    </row>
    <row r="151">
      <c r="A151">
        <f>IF('Ch1 EOT Results'!K30="","","Total: "&amp;'Ch1 EOT Results'!I30&amp;"/47 ("&amp;TEXT('Ch1 EOT Results'!J30,"0%")&amp;")   Overall: "&amp;'Ch1 EOT Results'!K30)</f>
        <v/>
      </c>
      <c r="K151">
        <f>IF('Ch1 EOT Results'!K31="","","Total: "&amp;'Ch1 EOT Results'!I31&amp;"/47 ("&amp;TEXT('Ch1 EOT Results'!J31,"0%")&amp;")   Overall: "&amp;'Ch1 EOT Results'!K31)</f>
        <v/>
      </c>
    </row>
    <row r="152">
      <c r="A152">
        <f>IF('Ch1 EOT Results'!K30="","",IF('Ch1 EOT Results'!K30="Green",Parameters!$C$63,IF('Ch1 EOT Results'!K30="Yellow",Parameters!$C$62,Parameters!$C$61)))</f>
        <v/>
      </c>
      <c r="K152">
        <f>IF('Ch1 EOT Results'!K31="","",IF('Ch1 EOT Results'!K31="Green",Parameters!$C$63,IF('Ch1 EOT Results'!K31="Yellow",Parameters!$C$62,Parameters!$C$61)))</f>
        <v/>
      </c>
    </row>
    <row r="154">
      <c r="A154">
        <f>IF('Ch1 EOT Results'!K30="","","Breakdown:")</f>
        <v/>
      </c>
      <c r="K154">
        <f>IF('Ch1 EOT Results'!K31="","","Breakdown:")</f>
        <v/>
      </c>
    </row>
    <row r="155">
      <c r="A155">
        <f>IF('Ch1 EOT Results'!K30="","","Q1 Types of data: "&amp;'Ch1 EOT Results'!C30&amp;"/6")</f>
        <v/>
      </c>
      <c r="K155">
        <f>IF('Ch1 EOT Results'!K31="","","Q1 Types of data: "&amp;'Ch1 EOT Results'!C31&amp;"/6")</f>
        <v/>
      </c>
    </row>
    <row r="156">
      <c r="A156">
        <f>IF('Ch1 EOT Results'!K30="","","Q2 Averages &amp; spread (mean, median, range): "&amp;'Ch1 EOT Results'!D30&amp;"/8")</f>
        <v/>
      </c>
      <c r="K156">
        <f>IF('Ch1 EOT Results'!K31="","","Q2 Averages &amp; spread (mean, median, range): "&amp;'Ch1 EOT Results'!D31&amp;"/8")</f>
        <v/>
      </c>
    </row>
    <row r="157">
      <c r="A157">
        <f>IF('Ch1 EOT Results'!K30="","","Q3 Interpreting a bar chart: "&amp;'Ch1 EOT Results'!E30&amp;"/6")</f>
        <v/>
      </c>
      <c r="K157">
        <f>IF('Ch1 EOT Results'!K31="","","Q3 Interpreting a bar chart: "&amp;'Ch1 EOT Results'!E31&amp;"/6")</f>
        <v/>
      </c>
    </row>
    <row r="158">
      <c r="A158">
        <f>IF('Ch1 EOT Results'!K30="","","Q4 Stem-and-leaf diagram: "&amp;'Ch1 EOT Results'!F30&amp;"/6")</f>
        <v/>
      </c>
      <c r="K158">
        <f>IF('Ch1 EOT Results'!K31="","","Q4 Stem-and-leaf diagram: "&amp;'Ch1 EOT Results'!F31&amp;"/6")</f>
        <v/>
      </c>
    </row>
    <row r="159">
      <c r="A159">
        <f>IF('Ch1 EOT Results'!K30="","","Q5 Pie chart interpretation: "&amp;'Ch1 EOT Results'!G30&amp;"/6")</f>
        <v/>
      </c>
      <c r="K159">
        <f>IF('Ch1 EOT Results'!K31="","","Q5 Pie chart interpretation: "&amp;'Ch1 EOT Results'!G31&amp;"/6")</f>
        <v/>
      </c>
    </row>
    <row r="160">
      <c r="A160">
        <f>IF('Ch1 EOT Results'!K30="","","Q6 Stratified sampling (two-way): "&amp;'Ch1 EOT Results'!H30&amp;"/15")</f>
        <v/>
      </c>
      <c r="K160">
        <f>IF('Ch1 EOT Results'!K31="","","Q6 Stratified sampling (two-way): "&amp;'Ch1 EOT Results'!H31&amp;"/15")</f>
        <v/>
      </c>
    </row>
    <row r="161">
      <c r="A161">
        <f>IF(OR('Ch1 EOT Results'!K30="",'Ch1 EOT Results'!L30=""),"",'Ch1 EOT Results'!L30)</f>
        <v/>
      </c>
      <c r="K161">
        <f>IF(OR('Ch1 EOT Results'!K31="",'Ch1 EOT Results'!L31=""),"",'Ch1 EOT Results'!L31)</f>
        <v/>
      </c>
    </row>
    <row r="163">
      <c r="A163">
        <f>IF('Ch1 EOT Results'!K30="","","Comments:")</f>
        <v/>
      </c>
      <c r="K163">
        <f>IF('Ch1 EOT Results'!K31="","","Comments:")</f>
        <v/>
      </c>
    </row>
    <row r="165">
      <c r="A165">
        <f>IF('Ch1 EOT Results'!K32="","","Chapter 1 End of Topic Test — Analysis of Data")</f>
        <v/>
      </c>
      <c r="K165">
        <f>IF('Ch1 EOT Results'!K33="","","Chapter 1 End of Topic Test — Analysis of Data")</f>
        <v/>
      </c>
    </row>
    <row r="166">
      <c r="A166">
        <f>IF('Ch1 EOT Results'!K32="","","Name: "&amp;'Ch1 EOT Results'!B32&amp;"   Class: "&amp;'Ch1 EOT Results'!$B$3&amp;"   Date: "&amp;TEXT('Ch1 EOT Results'!$B$5,"DD/MM/YY"))</f>
        <v/>
      </c>
      <c r="K166">
        <f>IF('Ch1 EOT Results'!K33="","","Name: "&amp;'Ch1 EOT Results'!B33&amp;"   Class: "&amp;'Ch1 EOT Results'!$B$3&amp;"   Date: "&amp;TEXT('Ch1 EOT Results'!$B$5,"DD/MM/YY"))</f>
        <v/>
      </c>
    </row>
    <row r="167">
      <c r="A167">
        <f>IF('Ch1 EOT Results'!K32="","","Total: "&amp;'Ch1 EOT Results'!I32&amp;"/47 ("&amp;TEXT('Ch1 EOT Results'!J32,"0%")&amp;")   Overall: "&amp;'Ch1 EOT Results'!K32)</f>
        <v/>
      </c>
      <c r="K167">
        <f>IF('Ch1 EOT Results'!K33="","","Total: "&amp;'Ch1 EOT Results'!I33&amp;"/47 ("&amp;TEXT('Ch1 EOT Results'!J33,"0%")&amp;")   Overall: "&amp;'Ch1 EOT Results'!K33)</f>
        <v/>
      </c>
    </row>
    <row r="168">
      <c r="A168">
        <f>IF('Ch1 EOT Results'!K32="","",IF('Ch1 EOT Results'!K32="Green",Parameters!$C$63,IF('Ch1 EOT Results'!K32="Yellow",Parameters!$C$62,Parameters!$C$61)))</f>
        <v/>
      </c>
      <c r="K168">
        <f>IF('Ch1 EOT Results'!K33="","",IF('Ch1 EOT Results'!K33="Green",Parameters!$C$63,IF('Ch1 EOT Results'!K33="Yellow",Parameters!$C$62,Parameters!$C$61)))</f>
        <v/>
      </c>
    </row>
    <row r="170">
      <c r="A170">
        <f>IF('Ch1 EOT Results'!K32="","","Breakdown:")</f>
        <v/>
      </c>
      <c r="K170">
        <f>IF('Ch1 EOT Results'!K33="","","Breakdown:")</f>
        <v/>
      </c>
    </row>
    <row r="171">
      <c r="A171">
        <f>IF('Ch1 EOT Results'!K32="","","Q1 Types of data: "&amp;'Ch1 EOT Results'!C32&amp;"/6")</f>
        <v/>
      </c>
      <c r="K171">
        <f>IF('Ch1 EOT Results'!K33="","","Q1 Types of data: "&amp;'Ch1 EOT Results'!C33&amp;"/6")</f>
        <v/>
      </c>
    </row>
    <row r="172">
      <c r="A172">
        <f>IF('Ch1 EOT Results'!K32="","","Q2 Averages &amp; spread (mean, median, range): "&amp;'Ch1 EOT Results'!D32&amp;"/8")</f>
        <v/>
      </c>
      <c r="K172">
        <f>IF('Ch1 EOT Results'!K33="","","Q2 Averages &amp; spread (mean, median, range): "&amp;'Ch1 EOT Results'!D33&amp;"/8")</f>
        <v/>
      </c>
    </row>
    <row r="173">
      <c r="A173">
        <f>IF('Ch1 EOT Results'!K32="","","Q3 Interpreting a bar chart: "&amp;'Ch1 EOT Results'!E32&amp;"/6")</f>
        <v/>
      </c>
      <c r="K173">
        <f>IF('Ch1 EOT Results'!K33="","","Q3 Interpreting a bar chart: "&amp;'Ch1 EOT Results'!E33&amp;"/6")</f>
        <v/>
      </c>
    </row>
    <row r="174">
      <c r="A174">
        <f>IF('Ch1 EOT Results'!K32="","","Q4 Stem-and-leaf diagram: "&amp;'Ch1 EOT Results'!F32&amp;"/6")</f>
        <v/>
      </c>
      <c r="K174">
        <f>IF('Ch1 EOT Results'!K33="","","Q4 Stem-and-leaf diagram: "&amp;'Ch1 EOT Results'!F33&amp;"/6")</f>
        <v/>
      </c>
    </row>
    <row r="175">
      <c r="A175">
        <f>IF('Ch1 EOT Results'!K32="","","Q5 Pie chart interpretation: "&amp;'Ch1 EOT Results'!G32&amp;"/6")</f>
        <v/>
      </c>
      <c r="K175">
        <f>IF('Ch1 EOT Results'!K33="","","Q5 Pie chart interpretation: "&amp;'Ch1 EOT Results'!G33&amp;"/6")</f>
        <v/>
      </c>
    </row>
    <row r="176">
      <c r="A176">
        <f>IF('Ch1 EOT Results'!K32="","","Q6 Stratified sampling (two-way): "&amp;'Ch1 EOT Results'!H32&amp;"/15")</f>
        <v/>
      </c>
      <c r="K176">
        <f>IF('Ch1 EOT Results'!K33="","","Q6 Stratified sampling (two-way): "&amp;'Ch1 EOT Results'!H33&amp;"/15")</f>
        <v/>
      </c>
    </row>
    <row r="177">
      <c r="A177">
        <f>IF(OR('Ch1 EOT Results'!K32="",'Ch1 EOT Results'!L32=""),"",'Ch1 EOT Results'!L32)</f>
        <v/>
      </c>
      <c r="K177">
        <f>IF(OR('Ch1 EOT Results'!K33="",'Ch1 EOT Results'!L33=""),"",'Ch1 EOT Results'!L33)</f>
        <v/>
      </c>
    </row>
    <row r="179">
      <c r="A179">
        <f>IF('Ch1 EOT Results'!K32="","","Comments:")</f>
        <v/>
      </c>
      <c r="K179">
        <f>IF('Ch1 EOT Results'!K33="","","Comments:")</f>
        <v/>
      </c>
    </row>
    <row r="181">
      <c r="A181">
        <f>IF('Ch1 EOT Results'!K34="","","Chapter 1 End of Topic Test — Analysis of Data")</f>
        <v/>
      </c>
      <c r="K181">
        <f>IF('Ch1 EOT Results'!K35="","","Chapter 1 End of Topic Test — Analysis of Data")</f>
        <v/>
      </c>
    </row>
    <row r="182">
      <c r="A182">
        <f>IF('Ch1 EOT Results'!K34="","","Name: "&amp;'Ch1 EOT Results'!B34&amp;"   Class: "&amp;'Ch1 EOT Results'!$B$3&amp;"   Date: "&amp;TEXT('Ch1 EOT Results'!$B$5,"DD/MM/YY"))</f>
        <v/>
      </c>
      <c r="K182">
        <f>IF('Ch1 EOT Results'!K35="","","Name: "&amp;'Ch1 EOT Results'!B35&amp;"   Class: "&amp;'Ch1 EOT Results'!$B$3&amp;"   Date: "&amp;TEXT('Ch1 EOT Results'!$B$5,"DD/MM/YY"))</f>
        <v/>
      </c>
    </row>
    <row r="183">
      <c r="A183">
        <f>IF('Ch1 EOT Results'!K34="","","Total: "&amp;'Ch1 EOT Results'!I34&amp;"/47 ("&amp;TEXT('Ch1 EOT Results'!J34,"0%")&amp;")   Overall: "&amp;'Ch1 EOT Results'!K34)</f>
        <v/>
      </c>
      <c r="K183">
        <f>IF('Ch1 EOT Results'!K35="","","Total: "&amp;'Ch1 EOT Results'!I35&amp;"/47 ("&amp;TEXT('Ch1 EOT Results'!J35,"0%")&amp;")   Overall: "&amp;'Ch1 EOT Results'!K35)</f>
        <v/>
      </c>
    </row>
    <row r="184">
      <c r="A184">
        <f>IF('Ch1 EOT Results'!K34="","",IF('Ch1 EOT Results'!K34="Green",Parameters!$C$63,IF('Ch1 EOT Results'!K34="Yellow",Parameters!$C$62,Parameters!$C$61)))</f>
        <v/>
      </c>
      <c r="K184">
        <f>IF('Ch1 EOT Results'!K35="","",IF('Ch1 EOT Results'!K35="Green",Parameters!$C$63,IF('Ch1 EOT Results'!K35="Yellow",Parameters!$C$62,Parameters!$C$61)))</f>
        <v/>
      </c>
    </row>
    <row r="186">
      <c r="A186">
        <f>IF('Ch1 EOT Results'!K34="","","Breakdown:")</f>
        <v/>
      </c>
      <c r="K186">
        <f>IF('Ch1 EOT Results'!K35="","","Breakdown:")</f>
        <v/>
      </c>
    </row>
    <row r="187">
      <c r="A187">
        <f>IF('Ch1 EOT Results'!K34="","","Q1 Types of data: "&amp;'Ch1 EOT Results'!C34&amp;"/6")</f>
        <v/>
      </c>
      <c r="K187">
        <f>IF('Ch1 EOT Results'!K35="","","Q1 Types of data: "&amp;'Ch1 EOT Results'!C35&amp;"/6")</f>
        <v/>
      </c>
    </row>
    <row r="188">
      <c r="A188">
        <f>IF('Ch1 EOT Results'!K34="","","Q2 Averages &amp; spread (mean, median, range): "&amp;'Ch1 EOT Results'!D34&amp;"/8")</f>
        <v/>
      </c>
      <c r="K188">
        <f>IF('Ch1 EOT Results'!K35="","","Q2 Averages &amp; spread (mean, median, range): "&amp;'Ch1 EOT Results'!D35&amp;"/8")</f>
        <v/>
      </c>
    </row>
    <row r="189">
      <c r="A189">
        <f>IF('Ch1 EOT Results'!K34="","","Q3 Interpreting a bar chart: "&amp;'Ch1 EOT Results'!E34&amp;"/6")</f>
        <v/>
      </c>
      <c r="K189">
        <f>IF('Ch1 EOT Results'!K35="","","Q3 Interpreting a bar chart: "&amp;'Ch1 EOT Results'!E35&amp;"/6")</f>
        <v/>
      </c>
    </row>
    <row r="190">
      <c r="A190">
        <f>IF('Ch1 EOT Results'!K34="","","Q4 Stem-and-leaf diagram: "&amp;'Ch1 EOT Results'!F34&amp;"/6")</f>
        <v/>
      </c>
      <c r="K190">
        <f>IF('Ch1 EOT Results'!K35="","","Q4 Stem-and-leaf diagram: "&amp;'Ch1 EOT Results'!F35&amp;"/6")</f>
        <v/>
      </c>
    </row>
    <row r="191">
      <c r="A191">
        <f>IF('Ch1 EOT Results'!K34="","","Q5 Pie chart interpretation: "&amp;'Ch1 EOT Results'!G34&amp;"/6")</f>
        <v/>
      </c>
      <c r="K191">
        <f>IF('Ch1 EOT Results'!K35="","","Q5 Pie chart interpretation: "&amp;'Ch1 EOT Results'!G35&amp;"/6")</f>
        <v/>
      </c>
    </row>
    <row r="192">
      <c r="A192">
        <f>IF('Ch1 EOT Results'!K34="","","Q6 Stratified sampling (two-way): "&amp;'Ch1 EOT Results'!H34&amp;"/15")</f>
        <v/>
      </c>
      <c r="K192">
        <f>IF('Ch1 EOT Results'!K35="","","Q6 Stratified sampling (two-way): "&amp;'Ch1 EOT Results'!H35&amp;"/15")</f>
        <v/>
      </c>
    </row>
    <row r="193">
      <c r="A193">
        <f>IF(OR('Ch1 EOT Results'!K34="",'Ch1 EOT Results'!L34=""),"",'Ch1 EOT Results'!L34)</f>
        <v/>
      </c>
      <c r="K193">
        <f>IF(OR('Ch1 EOT Results'!K35="",'Ch1 EOT Results'!L35=""),"",'Ch1 EOT Results'!L35)</f>
        <v/>
      </c>
    </row>
    <row r="195">
      <c r="A195">
        <f>IF('Ch1 EOT Results'!K34="","","Comments:")</f>
        <v/>
      </c>
      <c r="K195">
        <f>IF('Ch1 EOT Results'!K35="","","Comments:")</f>
        <v/>
      </c>
    </row>
    <row r="197">
      <c r="A197">
        <f>IF('Ch1 EOT Results'!K36="","","Chapter 1 End of Topic Test — Analysis of Data")</f>
        <v/>
      </c>
      <c r="K197">
        <f>IF('Ch1 EOT Results'!K37="","","Chapter 1 End of Topic Test — Analysis of Data")</f>
        <v/>
      </c>
    </row>
    <row r="198">
      <c r="A198">
        <f>IF('Ch1 EOT Results'!K36="","","Name: "&amp;'Ch1 EOT Results'!B36&amp;"   Class: "&amp;'Ch1 EOT Results'!$B$3&amp;"   Date: "&amp;TEXT('Ch1 EOT Results'!$B$5,"DD/MM/YY"))</f>
        <v/>
      </c>
      <c r="K198">
        <f>IF('Ch1 EOT Results'!K37="","","Name: "&amp;'Ch1 EOT Results'!B37&amp;"   Class: "&amp;'Ch1 EOT Results'!$B$3&amp;"   Date: "&amp;TEXT('Ch1 EOT Results'!$B$5,"DD/MM/YY"))</f>
        <v/>
      </c>
    </row>
    <row r="199">
      <c r="A199">
        <f>IF('Ch1 EOT Results'!K36="","","Total: "&amp;'Ch1 EOT Results'!I36&amp;"/47 ("&amp;TEXT('Ch1 EOT Results'!J36,"0%")&amp;")   Overall: "&amp;'Ch1 EOT Results'!K36)</f>
        <v/>
      </c>
      <c r="K199">
        <f>IF('Ch1 EOT Results'!K37="","","Total: "&amp;'Ch1 EOT Results'!I37&amp;"/47 ("&amp;TEXT('Ch1 EOT Results'!J37,"0%")&amp;")   Overall: "&amp;'Ch1 EOT Results'!K37)</f>
        <v/>
      </c>
    </row>
    <row r="200">
      <c r="A200">
        <f>IF('Ch1 EOT Results'!K36="","",IF('Ch1 EOT Results'!K36="Green",Parameters!$C$63,IF('Ch1 EOT Results'!K36="Yellow",Parameters!$C$62,Parameters!$C$61)))</f>
        <v/>
      </c>
      <c r="K200">
        <f>IF('Ch1 EOT Results'!K37="","",IF('Ch1 EOT Results'!K37="Green",Parameters!$C$63,IF('Ch1 EOT Results'!K37="Yellow",Parameters!$C$62,Parameters!$C$61)))</f>
        <v/>
      </c>
    </row>
    <row r="202">
      <c r="A202">
        <f>IF('Ch1 EOT Results'!K36="","","Breakdown:")</f>
        <v/>
      </c>
      <c r="K202">
        <f>IF('Ch1 EOT Results'!K37="","","Breakdown:")</f>
        <v/>
      </c>
    </row>
    <row r="203">
      <c r="A203">
        <f>IF('Ch1 EOT Results'!K36="","","Q1 Types of data: "&amp;'Ch1 EOT Results'!C36&amp;"/6")</f>
        <v/>
      </c>
      <c r="K203">
        <f>IF('Ch1 EOT Results'!K37="","","Q1 Types of data: "&amp;'Ch1 EOT Results'!C37&amp;"/6")</f>
        <v/>
      </c>
    </row>
    <row r="204">
      <c r="A204">
        <f>IF('Ch1 EOT Results'!K36="","","Q2 Averages &amp; spread (mean, median, range): "&amp;'Ch1 EOT Results'!D36&amp;"/8")</f>
        <v/>
      </c>
      <c r="K204">
        <f>IF('Ch1 EOT Results'!K37="","","Q2 Averages &amp; spread (mean, median, range): "&amp;'Ch1 EOT Results'!D37&amp;"/8")</f>
        <v/>
      </c>
    </row>
    <row r="205">
      <c r="A205">
        <f>IF('Ch1 EOT Results'!K36="","","Q3 Interpreting a bar chart: "&amp;'Ch1 EOT Results'!E36&amp;"/6")</f>
        <v/>
      </c>
      <c r="K205">
        <f>IF('Ch1 EOT Results'!K37="","","Q3 Interpreting a bar chart: "&amp;'Ch1 EOT Results'!E37&amp;"/6")</f>
        <v/>
      </c>
    </row>
    <row r="206">
      <c r="A206">
        <f>IF('Ch1 EOT Results'!K36="","","Q4 Stem-and-leaf diagram: "&amp;'Ch1 EOT Results'!F36&amp;"/6")</f>
        <v/>
      </c>
      <c r="K206">
        <f>IF('Ch1 EOT Results'!K37="","","Q4 Stem-and-leaf diagram: "&amp;'Ch1 EOT Results'!F37&amp;"/6")</f>
        <v/>
      </c>
    </row>
    <row r="207">
      <c r="A207">
        <f>IF('Ch1 EOT Results'!K36="","","Q5 Pie chart interpretation: "&amp;'Ch1 EOT Results'!G36&amp;"/6")</f>
        <v/>
      </c>
      <c r="K207">
        <f>IF('Ch1 EOT Results'!K37="","","Q5 Pie chart interpretation: "&amp;'Ch1 EOT Results'!G37&amp;"/6")</f>
        <v/>
      </c>
    </row>
    <row r="208">
      <c r="A208">
        <f>IF('Ch1 EOT Results'!K36="","","Q6 Stratified sampling (two-way): "&amp;'Ch1 EOT Results'!H36&amp;"/15")</f>
        <v/>
      </c>
      <c r="K208">
        <f>IF('Ch1 EOT Results'!K37="","","Q6 Stratified sampling (two-way): "&amp;'Ch1 EOT Results'!H37&amp;"/15")</f>
        <v/>
      </c>
    </row>
    <row r="209">
      <c r="A209">
        <f>IF(OR('Ch1 EOT Results'!K36="",'Ch1 EOT Results'!L36=""),"",'Ch1 EOT Results'!L36)</f>
        <v/>
      </c>
      <c r="K209">
        <f>IF(OR('Ch1 EOT Results'!K37="",'Ch1 EOT Results'!L37=""),"",'Ch1 EOT Results'!L37)</f>
        <v/>
      </c>
    </row>
    <row r="211">
      <c r="A211">
        <f>IF('Ch1 EOT Results'!K36="","","Comments:")</f>
        <v/>
      </c>
      <c r="K211">
        <f>IF('Ch1 EOT Results'!K37="","","Comments:")</f>
        <v/>
      </c>
    </row>
    <row r="213">
      <c r="A213">
        <f>IF('Ch1 EOT Results'!K38="","","Chapter 1 End of Topic Test — Analysis of Data")</f>
        <v/>
      </c>
      <c r="K213">
        <f>IF('Ch1 EOT Results'!K39="","","Chapter 1 End of Topic Test — Analysis of Data")</f>
        <v/>
      </c>
    </row>
    <row r="214">
      <c r="A214">
        <f>IF('Ch1 EOT Results'!K38="","","Name: "&amp;'Ch1 EOT Results'!B38&amp;"   Class: "&amp;'Ch1 EOT Results'!$B$3&amp;"   Date: "&amp;TEXT('Ch1 EOT Results'!$B$5,"DD/MM/YY"))</f>
        <v/>
      </c>
      <c r="K214">
        <f>IF('Ch1 EOT Results'!K39="","","Name: "&amp;'Ch1 EOT Results'!B39&amp;"   Class: "&amp;'Ch1 EOT Results'!$B$3&amp;"   Date: "&amp;TEXT('Ch1 EOT Results'!$B$5,"DD/MM/YY"))</f>
        <v/>
      </c>
    </row>
    <row r="215">
      <c r="A215">
        <f>IF('Ch1 EOT Results'!K38="","","Total: "&amp;'Ch1 EOT Results'!I38&amp;"/47 ("&amp;TEXT('Ch1 EOT Results'!J38,"0%")&amp;")   Overall: "&amp;'Ch1 EOT Results'!K38)</f>
        <v/>
      </c>
      <c r="K215">
        <f>IF('Ch1 EOT Results'!K39="","","Total: "&amp;'Ch1 EOT Results'!I39&amp;"/47 ("&amp;TEXT('Ch1 EOT Results'!J39,"0%")&amp;")   Overall: "&amp;'Ch1 EOT Results'!K39)</f>
        <v/>
      </c>
    </row>
    <row r="216">
      <c r="A216">
        <f>IF('Ch1 EOT Results'!K38="","",IF('Ch1 EOT Results'!K38="Green",Parameters!$C$63,IF('Ch1 EOT Results'!K38="Yellow",Parameters!$C$62,Parameters!$C$61)))</f>
        <v/>
      </c>
      <c r="K216">
        <f>IF('Ch1 EOT Results'!K39="","",IF('Ch1 EOT Results'!K39="Green",Parameters!$C$63,IF('Ch1 EOT Results'!K39="Yellow",Parameters!$C$62,Parameters!$C$61)))</f>
        <v/>
      </c>
    </row>
    <row r="218">
      <c r="A218">
        <f>IF('Ch1 EOT Results'!K38="","","Breakdown:")</f>
        <v/>
      </c>
      <c r="K218">
        <f>IF('Ch1 EOT Results'!K39="","","Breakdown:")</f>
        <v/>
      </c>
    </row>
    <row r="219">
      <c r="A219">
        <f>IF('Ch1 EOT Results'!K38="","","Q1 Types of data: "&amp;'Ch1 EOT Results'!C38&amp;"/6")</f>
        <v/>
      </c>
      <c r="K219">
        <f>IF('Ch1 EOT Results'!K39="","","Q1 Types of data: "&amp;'Ch1 EOT Results'!C39&amp;"/6")</f>
        <v/>
      </c>
    </row>
    <row r="220">
      <c r="A220">
        <f>IF('Ch1 EOT Results'!K38="","","Q2 Averages &amp; spread (mean, median, range): "&amp;'Ch1 EOT Results'!D38&amp;"/8")</f>
        <v/>
      </c>
      <c r="K220">
        <f>IF('Ch1 EOT Results'!K39="","","Q2 Averages &amp; spread (mean, median, range): "&amp;'Ch1 EOT Results'!D39&amp;"/8")</f>
        <v/>
      </c>
    </row>
    <row r="221">
      <c r="A221">
        <f>IF('Ch1 EOT Results'!K38="","","Q3 Interpreting a bar chart: "&amp;'Ch1 EOT Results'!E38&amp;"/6")</f>
        <v/>
      </c>
      <c r="K221">
        <f>IF('Ch1 EOT Results'!K39="","","Q3 Interpreting a bar chart: "&amp;'Ch1 EOT Results'!E39&amp;"/6")</f>
        <v/>
      </c>
    </row>
    <row r="222">
      <c r="A222">
        <f>IF('Ch1 EOT Results'!K38="","","Q4 Stem-and-leaf diagram: "&amp;'Ch1 EOT Results'!F38&amp;"/6")</f>
        <v/>
      </c>
      <c r="K222">
        <f>IF('Ch1 EOT Results'!K39="","","Q4 Stem-and-leaf diagram: "&amp;'Ch1 EOT Results'!F39&amp;"/6")</f>
        <v/>
      </c>
    </row>
    <row r="223">
      <c r="A223">
        <f>IF('Ch1 EOT Results'!K38="","","Q5 Pie chart interpretation: "&amp;'Ch1 EOT Results'!G38&amp;"/6")</f>
        <v/>
      </c>
      <c r="K223">
        <f>IF('Ch1 EOT Results'!K39="","","Q5 Pie chart interpretation: "&amp;'Ch1 EOT Results'!G39&amp;"/6")</f>
        <v/>
      </c>
    </row>
    <row r="224">
      <c r="A224">
        <f>IF('Ch1 EOT Results'!K38="","","Q6 Stratified sampling (two-way): "&amp;'Ch1 EOT Results'!H38&amp;"/15")</f>
        <v/>
      </c>
      <c r="K224">
        <f>IF('Ch1 EOT Results'!K39="","","Q6 Stratified sampling (two-way): "&amp;'Ch1 EOT Results'!H39&amp;"/15")</f>
        <v/>
      </c>
    </row>
    <row r="225">
      <c r="A225">
        <f>IF(OR('Ch1 EOT Results'!K38="",'Ch1 EOT Results'!L38=""),"",'Ch1 EOT Results'!L38)</f>
        <v/>
      </c>
      <c r="K225">
        <f>IF(OR('Ch1 EOT Results'!K39="",'Ch1 EOT Results'!L39=""),"",'Ch1 EOT Results'!L39)</f>
        <v/>
      </c>
    </row>
    <row r="227">
      <c r="A227">
        <f>IF('Ch1 EOT Results'!K38="","","Comments:")</f>
        <v/>
      </c>
      <c r="K227">
        <f>IF('Ch1 EOT Results'!K39="","","Comments:")</f>
        <v/>
      </c>
    </row>
    <row r="229">
      <c r="A229">
        <f>IF('Ch1 EOT Results'!K40="","","Chapter 1 End of Topic Test — Analysis of Data")</f>
        <v/>
      </c>
      <c r="K229">
        <f>IF('Ch1 EOT Results'!K41="","","Chapter 1 End of Topic Test — Analysis of Data")</f>
        <v/>
      </c>
    </row>
    <row r="230">
      <c r="A230">
        <f>IF('Ch1 EOT Results'!K40="","","Name: "&amp;'Ch1 EOT Results'!B40&amp;"   Class: "&amp;'Ch1 EOT Results'!$B$3&amp;"   Date: "&amp;TEXT('Ch1 EOT Results'!$B$5,"DD/MM/YY"))</f>
        <v/>
      </c>
      <c r="K230">
        <f>IF('Ch1 EOT Results'!K41="","","Name: "&amp;'Ch1 EOT Results'!B41&amp;"   Class: "&amp;'Ch1 EOT Results'!$B$3&amp;"   Date: "&amp;TEXT('Ch1 EOT Results'!$B$5,"DD/MM/YY"))</f>
        <v/>
      </c>
    </row>
    <row r="231">
      <c r="A231">
        <f>IF('Ch1 EOT Results'!K40="","","Total: "&amp;'Ch1 EOT Results'!I40&amp;"/47 ("&amp;TEXT('Ch1 EOT Results'!J40,"0%")&amp;")   Overall: "&amp;'Ch1 EOT Results'!K40)</f>
        <v/>
      </c>
      <c r="K231">
        <f>IF('Ch1 EOT Results'!K41="","","Total: "&amp;'Ch1 EOT Results'!I41&amp;"/47 ("&amp;TEXT('Ch1 EOT Results'!J41,"0%")&amp;")   Overall: "&amp;'Ch1 EOT Results'!K41)</f>
        <v/>
      </c>
    </row>
    <row r="232">
      <c r="A232">
        <f>IF('Ch1 EOT Results'!K40="","",IF('Ch1 EOT Results'!K40="Green",Parameters!$C$63,IF('Ch1 EOT Results'!K40="Yellow",Parameters!$C$62,Parameters!$C$61)))</f>
        <v/>
      </c>
      <c r="K232">
        <f>IF('Ch1 EOT Results'!K41="","",IF('Ch1 EOT Results'!K41="Green",Parameters!$C$63,IF('Ch1 EOT Results'!K41="Yellow",Parameters!$C$62,Parameters!$C$61)))</f>
        <v/>
      </c>
    </row>
    <row r="234">
      <c r="A234">
        <f>IF('Ch1 EOT Results'!K40="","","Breakdown:")</f>
        <v/>
      </c>
      <c r="K234">
        <f>IF('Ch1 EOT Results'!K41="","","Breakdown:")</f>
        <v/>
      </c>
    </row>
    <row r="235">
      <c r="A235">
        <f>IF('Ch1 EOT Results'!K40="","","Q1 Types of data: "&amp;'Ch1 EOT Results'!C40&amp;"/6")</f>
        <v/>
      </c>
      <c r="K235">
        <f>IF('Ch1 EOT Results'!K41="","","Q1 Types of data: "&amp;'Ch1 EOT Results'!C41&amp;"/6")</f>
        <v/>
      </c>
    </row>
    <row r="236">
      <c r="A236">
        <f>IF('Ch1 EOT Results'!K40="","","Q2 Averages &amp; spread (mean, median, range): "&amp;'Ch1 EOT Results'!D40&amp;"/8")</f>
        <v/>
      </c>
      <c r="K236">
        <f>IF('Ch1 EOT Results'!K41="","","Q2 Averages &amp; spread (mean, median, range): "&amp;'Ch1 EOT Results'!D41&amp;"/8")</f>
        <v/>
      </c>
    </row>
    <row r="237">
      <c r="A237">
        <f>IF('Ch1 EOT Results'!K40="","","Q3 Interpreting a bar chart: "&amp;'Ch1 EOT Results'!E40&amp;"/6")</f>
        <v/>
      </c>
      <c r="K237">
        <f>IF('Ch1 EOT Results'!K41="","","Q3 Interpreting a bar chart: "&amp;'Ch1 EOT Results'!E41&amp;"/6")</f>
        <v/>
      </c>
    </row>
    <row r="238">
      <c r="A238">
        <f>IF('Ch1 EOT Results'!K40="","","Q4 Stem-and-leaf diagram: "&amp;'Ch1 EOT Results'!F40&amp;"/6")</f>
        <v/>
      </c>
      <c r="K238">
        <f>IF('Ch1 EOT Results'!K41="","","Q4 Stem-and-leaf diagram: "&amp;'Ch1 EOT Results'!F41&amp;"/6")</f>
        <v/>
      </c>
    </row>
    <row r="239">
      <c r="A239">
        <f>IF('Ch1 EOT Results'!K40="","","Q5 Pie chart interpretation: "&amp;'Ch1 EOT Results'!G40&amp;"/6")</f>
        <v/>
      </c>
      <c r="K239">
        <f>IF('Ch1 EOT Results'!K41="","","Q5 Pie chart interpretation: "&amp;'Ch1 EOT Results'!G41&amp;"/6")</f>
        <v/>
      </c>
    </row>
    <row r="240">
      <c r="A240">
        <f>IF('Ch1 EOT Results'!K40="","","Q6 Stratified sampling (two-way): "&amp;'Ch1 EOT Results'!H40&amp;"/15")</f>
        <v/>
      </c>
      <c r="K240">
        <f>IF('Ch1 EOT Results'!K41="","","Q6 Stratified sampling (two-way): "&amp;'Ch1 EOT Results'!H41&amp;"/15")</f>
        <v/>
      </c>
    </row>
    <row r="241">
      <c r="A241">
        <f>IF(OR('Ch1 EOT Results'!K40="",'Ch1 EOT Results'!L40=""),"",'Ch1 EOT Results'!L40)</f>
        <v/>
      </c>
      <c r="K241">
        <f>IF(OR('Ch1 EOT Results'!K41="",'Ch1 EOT Results'!L41=""),"",'Ch1 EOT Results'!L41)</f>
        <v/>
      </c>
    </row>
    <row r="243">
      <c r="A243">
        <f>IF('Ch1 EOT Results'!K40="","","Comments:")</f>
        <v/>
      </c>
      <c r="K243">
        <f>IF('Ch1 EOT Results'!K41="","","Comments:")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8" customWidth="1" min="9" max="9"/>
    <col width="10" customWidth="1" min="10" max="10"/>
    <col width="45" customWidth="1" min="11" max="11"/>
  </cols>
  <sheetData>
    <row r="1">
      <c r="A1" s="11" t="inlineStr">
        <is>
          <t>Chapter 1 End of Topic Test 2 — Analysis of Data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Comparing box plots
(/8)</t>
        </is>
      </c>
      <c r="D9" s="12" t="inlineStr">
        <is>
          <t>Q2
Grouped mean &amp; median
(/10)</t>
        </is>
      </c>
      <c r="E9" s="12" t="inlineStr">
        <is>
          <t>Q3
Histograms &amp; freq density
(/10)</t>
        </is>
      </c>
      <c r="F9" s="12" t="inlineStr">
        <is>
          <t>Q4
CF graph &amp; percentiles
(/7)</t>
        </is>
      </c>
      <c r="G9" s="12" t="inlineStr">
        <is>
          <t>Q5
Survey bias
(/8)</t>
        </is>
      </c>
      <c r="H9" s="12" t="inlineStr">
        <is>
          <t>Total
(/43)</t>
        </is>
      </c>
      <c r="I9" s="12" t="inlineStr">
        <is>
          <t>%</t>
        </is>
      </c>
      <c r="J9" s="12" t="inlineStr">
        <is>
          <t>Overall</t>
        </is>
      </c>
      <c r="K9" s="12" t="inlineStr">
        <is>
          <t>Focus for next steps</t>
        </is>
      </c>
      <c r="L9" s="12" t="inlineStr">
        <is>
          <t>Q1%</t>
        </is>
      </c>
      <c r="M9" s="12" t="inlineStr">
        <is>
          <t>Q2%</t>
        </is>
      </c>
      <c r="N9" s="12" t="inlineStr">
        <is>
          <t>Q3%</t>
        </is>
      </c>
      <c r="O9" s="12" t="inlineStr">
        <is>
          <t>Q4%</t>
        </is>
      </c>
      <c r="P9" s="12" t="inlineStr">
        <is>
          <t>Q5%</t>
        </is>
      </c>
    </row>
    <row r="10">
      <c r="A10" s="3" t="n"/>
      <c r="B10" s="3" t="inlineStr">
        <is>
          <t>Max marks</t>
        </is>
      </c>
      <c r="C10" s="3" t="n">
        <v>8</v>
      </c>
      <c r="D10" s="3" t="n">
        <v>10</v>
      </c>
      <c r="E10" s="3" t="n">
        <v>10</v>
      </c>
      <c r="F10" s="3" t="n">
        <v>7</v>
      </c>
      <c r="G10" s="3" t="n">
        <v>8</v>
      </c>
      <c r="H10" s="3" t="n">
        <v>43</v>
      </c>
      <c r="I10" s="3" t="inlineStr">
        <is>
          <t>100%</t>
        </is>
      </c>
      <c r="J10" s="3" t="n"/>
      <c r="K10" s="3" t="n"/>
      <c r="L10" s="3" t="n"/>
      <c r="M10" s="3" t="n"/>
      <c r="N10" s="3" t="n"/>
      <c r="O10" s="3" t="n"/>
      <c r="P10" s="3" t="n"/>
    </row>
    <row r="11">
      <c r="A11" s="13" t="n">
        <v>1</v>
      </c>
      <c r="B11" s="13" t="inlineStr">
        <is>
          <t>Example pupil (edit me)</t>
        </is>
      </c>
      <c r="C11" s="13" t="n">
        <v>6</v>
      </c>
      <c r="D11" s="13" t="n">
        <v>8</v>
      </c>
      <c r="E11" s="13" t="n">
        <v>8</v>
      </c>
      <c r="F11" s="13" t="n">
        <v>6</v>
      </c>
      <c r="G11" s="13" t="n">
        <v>6</v>
      </c>
      <c r="H11" s="13">
        <f>IF(COUNT(C11:G11)&lt;5,"",SUM(C11:G11))</f>
        <v/>
      </c>
      <c r="I11" s="13">
        <f>IF(COUNT(C11:G11)&lt;5,"",H11/43)</f>
        <v/>
      </c>
      <c r="J11" s="13">
        <f>IF(COUNT(C11:G11)&lt;5,"",IF(I11&gt;=0.8,"Green",IF(I11&gt;=0.5,"Yellow","Red")))</f>
        <v/>
      </c>
      <c r="K11" s="13">
        <f>IF(COUNT(C11:G11)&lt;5,"",IF(J11="Green","Well done! "&amp;Parameters!$C$79,"Revise: "&amp;_xlfn.TEXTJOIN(", ",TRUE(),IF(L11&lt;1,Parameters!$A$69,""),IF(M11&lt;1,Parameters!$A$70,""),IF(N11&lt;1,Parameters!$A$71,""),IF(O11&lt;1,Parameters!$A$72,""),IF(P11&lt;1,Parameters!$A$73,""))))</f>
        <v/>
      </c>
      <c r="L11" s="13">
        <f>IF(C11="","",C11/8)</f>
        <v/>
      </c>
      <c r="M11" s="13">
        <f>IF(D11="","",D11/10)</f>
        <v/>
      </c>
      <c r="N11" s="13">
        <f>IF(E11="","",E11/10)</f>
        <v/>
      </c>
      <c r="O11" s="13">
        <f>IF(F11="","",F11/7)</f>
        <v/>
      </c>
      <c r="P11" s="13">
        <f>IF(G11="","",G11/8)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4" t="n"/>
      <c r="H12" s="13">
        <f>IF(COUNT(C12:G12)&lt;5,"",SUM(C12:G12))</f>
        <v/>
      </c>
      <c r="I12" s="13">
        <f>IF(COUNT(C12:G12)&lt;5,"",H12/43)</f>
        <v/>
      </c>
      <c r="J12" s="13">
        <f>IF(COUNT(C12:G12)&lt;5,"",IF(I12&gt;=0.8,"Green",IF(I12&gt;=0.5,"Yellow","Red")))</f>
        <v/>
      </c>
      <c r="K12" s="13">
        <f>IF(COUNT(C12:G12)&lt;5,"",IF(J12="Green","Well done! "&amp;Parameters!$C$79,"Revise: "&amp;_xlfn.TEXTJOIN(", ",TRUE(),IF(L12&lt;1,Parameters!$A$69,""),IF(M12&lt;1,Parameters!$A$70,""),IF(N12&lt;1,Parameters!$A$71,""),IF(O12&lt;1,Parameters!$A$72,""),IF(P12&lt;1,Parameters!$A$73,""))))</f>
        <v/>
      </c>
      <c r="L12" s="13">
        <f>IF(C12="","",C12/8)</f>
        <v/>
      </c>
      <c r="M12" s="13">
        <f>IF(D12="","",D12/10)</f>
        <v/>
      </c>
      <c r="N12" s="13">
        <f>IF(E12="","",E12/10)</f>
        <v/>
      </c>
      <c r="O12" s="13">
        <f>IF(F12="","",F12/7)</f>
        <v/>
      </c>
      <c r="P12" s="13">
        <f>IF(G12="","",G12/8)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4" t="n"/>
      <c r="H13" s="13">
        <f>IF(COUNT(C13:G13)&lt;5,"",SUM(C13:G13))</f>
        <v/>
      </c>
      <c r="I13" s="13">
        <f>IF(COUNT(C13:G13)&lt;5,"",H13/43)</f>
        <v/>
      </c>
      <c r="J13" s="13">
        <f>IF(COUNT(C13:G13)&lt;5,"",IF(I13&gt;=0.8,"Green",IF(I13&gt;=0.5,"Yellow","Red")))</f>
        <v/>
      </c>
      <c r="K13" s="13">
        <f>IF(COUNT(C13:G13)&lt;5,"",IF(J13="Green","Well done! "&amp;Parameters!$C$79,"Revise: "&amp;_xlfn.TEXTJOIN(", ",TRUE(),IF(L13&lt;1,Parameters!$A$69,""),IF(M13&lt;1,Parameters!$A$70,""),IF(N13&lt;1,Parameters!$A$71,""),IF(O13&lt;1,Parameters!$A$72,""),IF(P13&lt;1,Parameters!$A$73,""))))</f>
        <v/>
      </c>
      <c r="L13" s="13">
        <f>IF(C13="","",C13/8)</f>
        <v/>
      </c>
      <c r="M13" s="13">
        <f>IF(D13="","",D13/10)</f>
        <v/>
      </c>
      <c r="N13" s="13">
        <f>IF(E13="","",E13/10)</f>
        <v/>
      </c>
      <c r="O13" s="13">
        <f>IF(F13="","",F13/7)</f>
        <v/>
      </c>
      <c r="P13" s="13">
        <f>IF(G13="","",G13/8)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4" t="n"/>
      <c r="H14" s="13">
        <f>IF(COUNT(C14:G14)&lt;5,"",SUM(C14:G14))</f>
        <v/>
      </c>
      <c r="I14" s="13">
        <f>IF(COUNT(C14:G14)&lt;5,"",H14/43)</f>
        <v/>
      </c>
      <c r="J14" s="13">
        <f>IF(COUNT(C14:G14)&lt;5,"",IF(I14&gt;=0.8,"Green",IF(I14&gt;=0.5,"Yellow","Red")))</f>
        <v/>
      </c>
      <c r="K14" s="13">
        <f>IF(COUNT(C14:G14)&lt;5,"",IF(J14="Green","Well done! "&amp;Parameters!$C$79,"Revise: "&amp;_xlfn.TEXTJOIN(", ",TRUE(),IF(L14&lt;1,Parameters!$A$69,""),IF(M14&lt;1,Parameters!$A$70,""),IF(N14&lt;1,Parameters!$A$71,""),IF(O14&lt;1,Parameters!$A$72,""),IF(P14&lt;1,Parameters!$A$73,""))))</f>
        <v/>
      </c>
      <c r="L14" s="13">
        <f>IF(C14="","",C14/8)</f>
        <v/>
      </c>
      <c r="M14" s="13">
        <f>IF(D14="","",D14/10)</f>
        <v/>
      </c>
      <c r="N14" s="13">
        <f>IF(E14="","",E14/10)</f>
        <v/>
      </c>
      <c r="O14" s="13">
        <f>IF(F14="","",F14/7)</f>
        <v/>
      </c>
      <c r="P14" s="13">
        <f>IF(G14="","",G14/8)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4" t="n"/>
      <c r="H15" s="13">
        <f>IF(COUNT(C15:G15)&lt;5,"",SUM(C15:G15))</f>
        <v/>
      </c>
      <c r="I15" s="13">
        <f>IF(COUNT(C15:G15)&lt;5,"",H15/43)</f>
        <v/>
      </c>
      <c r="J15" s="13">
        <f>IF(COUNT(C15:G15)&lt;5,"",IF(I15&gt;=0.8,"Green",IF(I15&gt;=0.5,"Yellow","Red")))</f>
        <v/>
      </c>
      <c r="K15" s="13">
        <f>IF(COUNT(C15:G15)&lt;5,"",IF(J15="Green","Well done! "&amp;Parameters!$C$79,"Revise: "&amp;_xlfn.TEXTJOIN(", ",TRUE(),IF(L15&lt;1,Parameters!$A$69,""),IF(M15&lt;1,Parameters!$A$70,""),IF(N15&lt;1,Parameters!$A$71,""),IF(O15&lt;1,Parameters!$A$72,""),IF(P15&lt;1,Parameters!$A$73,""))))</f>
        <v/>
      </c>
      <c r="L15" s="13">
        <f>IF(C15="","",C15/8)</f>
        <v/>
      </c>
      <c r="M15" s="13">
        <f>IF(D15="","",D15/10)</f>
        <v/>
      </c>
      <c r="N15" s="13">
        <f>IF(E15="","",E15/10)</f>
        <v/>
      </c>
      <c r="O15" s="13">
        <f>IF(F15="","",F15/7)</f>
        <v/>
      </c>
      <c r="P15" s="13">
        <f>IF(G15="","",G15/8)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4" t="n"/>
      <c r="H16" s="13">
        <f>IF(COUNT(C16:G16)&lt;5,"",SUM(C16:G16))</f>
        <v/>
      </c>
      <c r="I16" s="13">
        <f>IF(COUNT(C16:G16)&lt;5,"",H16/43)</f>
        <v/>
      </c>
      <c r="J16" s="13">
        <f>IF(COUNT(C16:G16)&lt;5,"",IF(I16&gt;=0.8,"Green",IF(I16&gt;=0.5,"Yellow","Red")))</f>
        <v/>
      </c>
      <c r="K16" s="13">
        <f>IF(COUNT(C16:G16)&lt;5,"",IF(J16="Green","Well done! "&amp;Parameters!$C$79,"Revise: "&amp;_xlfn.TEXTJOIN(", ",TRUE(),IF(L16&lt;1,Parameters!$A$69,""),IF(M16&lt;1,Parameters!$A$70,""),IF(N16&lt;1,Parameters!$A$71,""),IF(O16&lt;1,Parameters!$A$72,""),IF(P16&lt;1,Parameters!$A$73,""))))</f>
        <v/>
      </c>
      <c r="L16" s="13">
        <f>IF(C16="","",C16/8)</f>
        <v/>
      </c>
      <c r="M16" s="13">
        <f>IF(D16="","",D16/10)</f>
        <v/>
      </c>
      <c r="N16" s="13">
        <f>IF(E16="","",E16/10)</f>
        <v/>
      </c>
      <c r="O16" s="13">
        <f>IF(F16="","",F16/7)</f>
        <v/>
      </c>
      <c r="P16" s="13">
        <f>IF(G16="","",G16/8)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4" t="n"/>
      <c r="H17" s="13">
        <f>IF(COUNT(C17:G17)&lt;5,"",SUM(C17:G17))</f>
        <v/>
      </c>
      <c r="I17" s="13">
        <f>IF(COUNT(C17:G17)&lt;5,"",H17/43)</f>
        <v/>
      </c>
      <c r="J17" s="13">
        <f>IF(COUNT(C17:G17)&lt;5,"",IF(I17&gt;=0.8,"Green",IF(I17&gt;=0.5,"Yellow","Red")))</f>
        <v/>
      </c>
      <c r="K17" s="13">
        <f>IF(COUNT(C17:G17)&lt;5,"",IF(J17="Green","Well done! "&amp;Parameters!$C$79,"Revise: "&amp;_xlfn.TEXTJOIN(", ",TRUE(),IF(L17&lt;1,Parameters!$A$69,""),IF(M17&lt;1,Parameters!$A$70,""),IF(N17&lt;1,Parameters!$A$71,""),IF(O17&lt;1,Parameters!$A$72,""),IF(P17&lt;1,Parameters!$A$73,""))))</f>
        <v/>
      </c>
      <c r="L17" s="13">
        <f>IF(C17="","",C17/8)</f>
        <v/>
      </c>
      <c r="M17" s="13">
        <f>IF(D17="","",D17/10)</f>
        <v/>
      </c>
      <c r="N17" s="13">
        <f>IF(E17="","",E17/10)</f>
        <v/>
      </c>
      <c r="O17" s="13">
        <f>IF(F17="","",F17/7)</f>
        <v/>
      </c>
      <c r="P17" s="13">
        <f>IF(G17="","",G17/8)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4" t="n"/>
      <c r="H18" s="13">
        <f>IF(COUNT(C18:G18)&lt;5,"",SUM(C18:G18))</f>
        <v/>
      </c>
      <c r="I18" s="13">
        <f>IF(COUNT(C18:G18)&lt;5,"",H18/43)</f>
        <v/>
      </c>
      <c r="J18" s="13">
        <f>IF(COUNT(C18:G18)&lt;5,"",IF(I18&gt;=0.8,"Green",IF(I18&gt;=0.5,"Yellow","Red")))</f>
        <v/>
      </c>
      <c r="K18" s="13">
        <f>IF(COUNT(C18:G18)&lt;5,"",IF(J18="Green","Well done! "&amp;Parameters!$C$79,"Revise: "&amp;_xlfn.TEXTJOIN(", ",TRUE(),IF(L18&lt;1,Parameters!$A$69,""),IF(M18&lt;1,Parameters!$A$70,""),IF(N18&lt;1,Parameters!$A$71,""),IF(O18&lt;1,Parameters!$A$72,""),IF(P18&lt;1,Parameters!$A$73,""))))</f>
        <v/>
      </c>
      <c r="L18" s="13">
        <f>IF(C18="","",C18/8)</f>
        <v/>
      </c>
      <c r="M18" s="13">
        <f>IF(D18="","",D18/10)</f>
        <v/>
      </c>
      <c r="N18" s="13">
        <f>IF(E18="","",E18/10)</f>
        <v/>
      </c>
      <c r="O18" s="13">
        <f>IF(F18="","",F18/7)</f>
        <v/>
      </c>
      <c r="P18" s="13">
        <f>IF(G18="","",G18/8)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4" t="n"/>
      <c r="H19" s="13">
        <f>IF(COUNT(C19:G19)&lt;5,"",SUM(C19:G19))</f>
        <v/>
      </c>
      <c r="I19" s="13">
        <f>IF(COUNT(C19:G19)&lt;5,"",H19/43)</f>
        <v/>
      </c>
      <c r="J19" s="13">
        <f>IF(COUNT(C19:G19)&lt;5,"",IF(I19&gt;=0.8,"Green",IF(I19&gt;=0.5,"Yellow","Red")))</f>
        <v/>
      </c>
      <c r="K19" s="13">
        <f>IF(COUNT(C19:G19)&lt;5,"",IF(J19="Green","Well done! "&amp;Parameters!$C$79,"Revise: "&amp;_xlfn.TEXTJOIN(", ",TRUE(),IF(L19&lt;1,Parameters!$A$69,""),IF(M19&lt;1,Parameters!$A$70,""),IF(N19&lt;1,Parameters!$A$71,""),IF(O19&lt;1,Parameters!$A$72,""),IF(P19&lt;1,Parameters!$A$73,""))))</f>
        <v/>
      </c>
      <c r="L19" s="13">
        <f>IF(C19="","",C19/8)</f>
        <v/>
      </c>
      <c r="M19" s="13">
        <f>IF(D19="","",D19/10)</f>
        <v/>
      </c>
      <c r="N19" s="13">
        <f>IF(E19="","",E19/10)</f>
        <v/>
      </c>
      <c r="O19" s="13">
        <f>IF(F19="","",F19/7)</f>
        <v/>
      </c>
      <c r="P19" s="13">
        <f>IF(G19="","",G19/8)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4" t="n"/>
      <c r="H20" s="13">
        <f>IF(COUNT(C20:G20)&lt;5,"",SUM(C20:G20))</f>
        <v/>
      </c>
      <c r="I20" s="13">
        <f>IF(COUNT(C20:G20)&lt;5,"",H20/43)</f>
        <v/>
      </c>
      <c r="J20" s="13">
        <f>IF(COUNT(C20:G20)&lt;5,"",IF(I20&gt;=0.8,"Green",IF(I20&gt;=0.5,"Yellow","Red")))</f>
        <v/>
      </c>
      <c r="K20" s="13">
        <f>IF(COUNT(C20:G20)&lt;5,"",IF(J20="Green","Well done! "&amp;Parameters!$C$79,"Revise: "&amp;_xlfn.TEXTJOIN(", ",TRUE(),IF(L20&lt;1,Parameters!$A$69,""),IF(M20&lt;1,Parameters!$A$70,""),IF(N20&lt;1,Parameters!$A$71,""),IF(O20&lt;1,Parameters!$A$72,""),IF(P20&lt;1,Parameters!$A$73,""))))</f>
        <v/>
      </c>
      <c r="L20" s="13">
        <f>IF(C20="","",C20/8)</f>
        <v/>
      </c>
      <c r="M20" s="13">
        <f>IF(D20="","",D20/10)</f>
        <v/>
      </c>
      <c r="N20" s="13">
        <f>IF(E20="","",E20/10)</f>
        <v/>
      </c>
      <c r="O20" s="13">
        <f>IF(F20="","",F20/7)</f>
        <v/>
      </c>
      <c r="P20" s="13">
        <f>IF(G20="","",G20/8)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4" t="n"/>
      <c r="H21" s="13">
        <f>IF(COUNT(C21:G21)&lt;5,"",SUM(C21:G21))</f>
        <v/>
      </c>
      <c r="I21" s="13">
        <f>IF(COUNT(C21:G21)&lt;5,"",H21/43)</f>
        <v/>
      </c>
      <c r="J21" s="13">
        <f>IF(COUNT(C21:G21)&lt;5,"",IF(I21&gt;=0.8,"Green",IF(I21&gt;=0.5,"Yellow","Red")))</f>
        <v/>
      </c>
      <c r="K21" s="13">
        <f>IF(COUNT(C21:G21)&lt;5,"",IF(J21="Green","Well done! "&amp;Parameters!$C$79,"Revise: "&amp;_xlfn.TEXTJOIN(", ",TRUE(),IF(L21&lt;1,Parameters!$A$69,""),IF(M21&lt;1,Parameters!$A$70,""),IF(N21&lt;1,Parameters!$A$71,""),IF(O21&lt;1,Parameters!$A$72,""),IF(P21&lt;1,Parameters!$A$73,""))))</f>
        <v/>
      </c>
      <c r="L21" s="13">
        <f>IF(C21="","",C21/8)</f>
        <v/>
      </c>
      <c r="M21" s="13">
        <f>IF(D21="","",D21/10)</f>
        <v/>
      </c>
      <c r="N21" s="13">
        <f>IF(E21="","",E21/10)</f>
        <v/>
      </c>
      <c r="O21" s="13">
        <f>IF(F21="","",F21/7)</f>
        <v/>
      </c>
      <c r="P21" s="13">
        <f>IF(G21="","",G21/8)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4" t="n"/>
      <c r="H22" s="13">
        <f>IF(COUNT(C22:G22)&lt;5,"",SUM(C22:G22))</f>
        <v/>
      </c>
      <c r="I22" s="13">
        <f>IF(COUNT(C22:G22)&lt;5,"",H22/43)</f>
        <v/>
      </c>
      <c r="J22" s="13">
        <f>IF(COUNT(C22:G22)&lt;5,"",IF(I22&gt;=0.8,"Green",IF(I22&gt;=0.5,"Yellow","Red")))</f>
        <v/>
      </c>
      <c r="K22" s="13">
        <f>IF(COUNT(C22:G22)&lt;5,"",IF(J22="Green","Well done! "&amp;Parameters!$C$79,"Revise: "&amp;_xlfn.TEXTJOIN(", ",TRUE(),IF(L22&lt;1,Parameters!$A$69,""),IF(M22&lt;1,Parameters!$A$70,""),IF(N22&lt;1,Parameters!$A$71,""),IF(O22&lt;1,Parameters!$A$72,""),IF(P22&lt;1,Parameters!$A$73,""))))</f>
        <v/>
      </c>
      <c r="L22" s="13">
        <f>IF(C22="","",C22/8)</f>
        <v/>
      </c>
      <c r="M22" s="13">
        <f>IF(D22="","",D22/10)</f>
        <v/>
      </c>
      <c r="N22" s="13">
        <f>IF(E22="","",E22/10)</f>
        <v/>
      </c>
      <c r="O22" s="13">
        <f>IF(F22="","",F22/7)</f>
        <v/>
      </c>
      <c r="P22" s="13">
        <f>IF(G22="","",G22/8)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4" t="n"/>
      <c r="H23" s="13">
        <f>IF(COUNT(C23:G23)&lt;5,"",SUM(C23:G23))</f>
        <v/>
      </c>
      <c r="I23" s="13">
        <f>IF(COUNT(C23:G23)&lt;5,"",H23/43)</f>
        <v/>
      </c>
      <c r="J23" s="13">
        <f>IF(COUNT(C23:G23)&lt;5,"",IF(I23&gt;=0.8,"Green",IF(I23&gt;=0.5,"Yellow","Red")))</f>
        <v/>
      </c>
      <c r="K23" s="13">
        <f>IF(COUNT(C23:G23)&lt;5,"",IF(J23="Green","Well done! "&amp;Parameters!$C$79,"Revise: "&amp;_xlfn.TEXTJOIN(", ",TRUE(),IF(L23&lt;1,Parameters!$A$69,""),IF(M23&lt;1,Parameters!$A$70,""),IF(N23&lt;1,Parameters!$A$71,""),IF(O23&lt;1,Parameters!$A$72,""),IF(P23&lt;1,Parameters!$A$73,""))))</f>
        <v/>
      </c>
      <c r="L23" s="13">
        <f>IF(C23="","",C23/8)</f>
        <v/>
      </c>
      <c r="M23" s="13">
        <f>IF(D23="","",D23/10)</f>
        <v/>
      </c>
      <c r="N23" s="13">
        <f>IF(E23="","",E23/10)</f>
        <v/>
      </c>
      <c r="O23" s="13">
        <f>IF(F23="","",F23/7)</f>
        <v/>
      </c>
      <c r="P23" s="13">
        <f>IF(G23="","",G23/8)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4" t="n"/>
      <c r="H24" s="13">
        <f>IF(COUNT(C24:G24)&lt;5,"",SUM(C24:G24))</f>
        <v/>
      </c>
      <c r="I24" s="13">
        <f>IF(COUNT(C24:G24)&lt;5,"",H24/43)</f>
        <v/>
      </c>
      <c r="J24" s="13">
        <f>IF(COUNT(C24:G24)&lt;5,"",IF(I24&gt;=0.8,"Green",IF(I24&gt;=0.5,"Yellow","Red")))</f>
        <v/>
      </c>
      <c r="K24" s="13">
        <f>IF(COUNT(C24:G24)&lt;5,"",IF(J24="Green","Well done! "&amp;Parameters!$C$79,"Revise: "&amp;_xlfn.TEXTJOIN(", ",TRUE(),IF(L24&lt;1,Parameters!$A$69,""),IF(M24&lt;1,Parameters!$A$70,""),IF(N24&lt;1,Parameters!$A$71,""),IF(O24&lt;1,Parameters!$A$72,""),IF(P24&lt;1,Parameters!$A$73,""))))</f>
        <v/>
      </c>
      <c r="L24" s="13">
        <f>IF(C24="","",C24/8)</f>
        <v/>
      </c>
      <c r="M24" s="13">
        <f>IF(D24="","",D24/10)</f>
        <v/>
      </c>
      <c r="N24" s="13">
        <f>IF(E24="","",E24/10)</f>
        <v/>
      </c>
      <c r="O24" s="13">
        <f>IF(F24="","",F24/7)</f>
        <v/>
      </c>
      <c r="P24" s="13">
        <f>IF(G24="","",G24/8)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4" t="n"/>
      <c r="H25" s="13">
        <f>IF(COUNT(C25:G25)&lt;5,"",SUM(C25:G25))</f>
        <v/>
      </c>
      <c r="I25" s="13">
        <f>IF(COUNT(C25:G25)&lt;5,"",H25/43)</f>
        <v/>
      </c>
      <c r="J25" s="13">
        <f>IF(COUNT(C25:G25)&lt;5,"",IF(I25&gt;=0.8,"Green",IF(I25&gt;=0.5,"Yellow","Red")))</f>
        <v/>
      </c>
      <c r="K25" s="13">
        <f>IF(COUNT(C25:G25)&lt;5,"",IF(J25="Green","Well done! "&amp;Parameters!$C$79,"Revise: "&amp;_xlfn.TEXTJOIN(", ",TRUE(),IF(L25&lt;1,Parameters!$A$69,""),IF(M25&lt;1,Parameters!$A$70,""),IF(N25&lt;1,Parameters!$A$71,""),IF(O25&lt;1,Parameters!$A$72,""),IF(P25&lt;1,Parameters!$A$73,""))))</f>
        <v/>
      </c>
      <c r="L25" s="13">
        <f>IF(C25="","",C25/8)</f>
        <v/>
      </c>
      <c r="M25" s="13">
        <f>IF(D25="","",D25/10)</f>
        <v/>
      </c>
      <c r="N25" s="13">
        <f>IF(E25="","",E25/10)</f>
        <v/>
      </c>
      <c r="O25" s="13">
        <f>IF(F25="","",F25/7)</f>
        <v/>
      </c>
      <c r="P25" s="13">
        <f>IF(G25="","",G25/8)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4" t="n"/>
      <c r="H26" s="13">
        <f>IF(COUNT(C26:G26)&lt;5,"",SUM(C26:G26))</f>
        <v/>
      </c>
      <c r="I26" s="13">
        <f>IF(COUNT(C26:G26)&lt;5,"",H26/43)</f>
        <v/>
      </c>
      <c r="J26" s="13">
        <f>IF(COUNT(C26:G26)&lt;5,"",IF(I26&gt;=0.8,"Green",IF(I26&gt;=0.5,"Yellow","Red")))</f>
        <v/>
      </c>
      <c r="K26" s="13">
        <f>IF(COUNT(C26:G26)&lt;5,"",IF(J26="Green","Well done! "&amp;Parameters!$C$79,"Revise: "&amp;_xlfn.TEXTJOIN(", ",TRUE(),IF(L26&lt;1,Parameters!$A$69,""),IF(M26&lt;1,Parameters!$A$70,""),IF(N26&lt;1,Parameters!$A$71,""),IF(O26&lt;1,Parameters!$A$72,""),IF(P26&lt;1,Parameters!$A$73,""))))</f>
        <v/>
      </c>
      <c r="L26" s="13">
        <f>IF(C26="","",C26/8)</f>
        <v/>
      </c>
      <c r="M26" s="13">
        <f>IF(D26="","",D26/10)</f>
        <v/>
      </c>
      <c r="N26" s="13">
        <f>IF(E26="","",E26/10)</f>
        <v/>
      </c>
      <c r="O26" s="13">
        <f>IF(F26="","",F26/7)</f>
        <v/>
      </c>
      <c r="P26" s="13">
        <f>IF(G26="","",G26/8)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4" t="n"/>
      <c r="H27" s="13">
        <f>IF(COUNT(C27:G27)&lt;5,"",SUM(C27:G27))</f>
        <v/>
      </c>
      <c r="I27" s="13">
        <f>IF(COUNT(C27:G27)&lt;5,"",H27/43)</f>
        <v/>
      </c>
      <c r="J27" s="13">
        <f>IF(COUNT(C27:G27)&lt;5,"",IF(I27&gt;=0.8,"Green",IF(I27&gt;=0.5,"Yellow","Red")))</f>
        <v/>
      </c>
      <c r="K27" s="13">
        <f>IF(COUNT(C27:G27)&lt;5,"",IF(J27="Green","Well done! "&amp;Parameters!$C$79,"Revise: "&amp;_xlfn.TEXTJOIN(", ",TRUE(),IF(L27&lt;1,Parameters!$A$69,""),IF(M27&lt;1,Parameters!$A$70,""),IF(N27&lt;1,Parameters!$A$71,""),IF(O27&lt;1,Parameters!$A$72,""),IF(P27&lt;1,Parameters!$A$73,""))))</f>
        <v/>
      </c>
      <c r="L27" s="13">
        <f>IF(C27="","",C27/8)</f>
        <v/>
      </c>
      <c r="M27" s="13">
        <f>IF(D27="","",D27/10)</f>
        <v/>
      </c>
      <c r="N27" s="13">
        <f>IF(E27="","",E27/10)</f>
        <v/>
      </c>
      <c r="O27" s="13">
        <f>IF(F27="","",F27/7)</f>
        <v/>
      </c>
      <c r="P27" s="13">
        <f>IF(G27="","",G27/8)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4" t="n"/>
      <c r="H28" s="13">
        <f>IF(COUNT(C28:G28)&lt;5,"",SUM(C28:G28))</f>
        <v/>
      </c>
      <c r="I28" s="13">
        <f>IF(COUNT(C28:G28)&lt;5,"",H28/43)</f>
        <v/>
      </c>
      <c r="J28" s="13">
        <f>IF(COUNT(C28:G28)&lt;5,"",IF(I28&gt;=0.8,"Green",IF(I28&gt;=0.5,"Yellow","Red")))</f>
        <v/>
      </c>
      <c r="K28" s="13">
        <f>IF(COUNT(C28:G28)&lt;5,"",IF(J28="Green","Well done! "&amp;Parameters!$C$79,"Revise: "&amp;_xlfn.TEXTJOIN(", ",TRUE(),IF(L28&lt;1,Parameters!$A$69,""),IF(M28&lt;1,Parameters!$A$70,""),IF(N28&lt;1,Parameters!$A$71,""),IF(O28&lt;1,Parameters!$A$72,""),IF(P28&lt;1,Parameters!$A$73,""))))</f>
        <v/>
      </c>
      <c r="L28" s="13">
        <f>IF(C28="","",C28/8)</f>
        <v/>
      </c>
      <c r="M28" s="13">
        <f>IF(D28="","",D28/10)</f>
        <v/>
      </c>
      <c r="N28" s="13">
        <f>IF(E28="","",E28/10)</f>
        <v/>
      </c>
      <c r="O28" s="13">
        <f>IF(F28="","",F28/7)</f>
        <v/>
      </c>
      <c r="P28" s="13">
        <f>IF(G28="","",G28/8)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4" t="n"/>
      <c r="H29" s="13">
        <f>IF(COUNT(C29:G29)&lt;5,"",SUM(C29:G29))</f>
        <v/>
      </c>
      <c r="I29" s="13">
        <f>IF(COUNT(C29:G29)&lt;5,"",H29/43)</f>
        <v/>
      </c>
      <c r="J29" s="13">
        <f>IF(COUNT(C29:G29)&lt;5,"",IF(I29&gt;=0.8,"Green",IF(I29&gt;=0.5,"Yellow","Red")))</f>
        <v/>
      </c>
      <c r="K29" s="13">
        <f>IF(COUNT(C29:G29)&lt;5,"",IF(J29="Green","Well done! "&amp;Parameters!$C$79,"Revise: "&amp;_xlfn.TEXTJOIN(", ",TRUE(),IF(L29&lt;1,Parameters!$A$69,""),IF(M29&lt;1,Parameters!$A$70,""),IF(N29&lt;1,Parameters!$A$71,""),IF(O29&lt;1,Parameters!$A$72,""),IF(P29&lt;1,Parameters!$A$73,""))))</f>
        <v/>
      </c>
      <c r="L29" s="13">
        <f>IF(C29="","",C29/8)</f>
        <v/>
      </c>
      <c r="M29" s="13">
        <f>IF(D29="","",D29/10)</f>
        <v/>
      </c>
      <c r="N29" s="13">
        <f>IF(E29="","",E29/10)</f>
        <v/>
      </c>
      <c r="O29" s="13">
        <f>IF(F29="","",F29/7)</f>
        <v/>
      </c>
      <c r="P29" s="13">
        <f>IF(G29="","",G29/8)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4" t="n"/>
      <c r="H30" s="13">
        <f>IF(COUNT(C30:G30)&lt;5,"",SUM(C30:G30))</f>
        <v/>
      </c>
      <c r="I30" s="13">
        <f>IF(COUNT(C30:G30)&lt;5,"",H30/43)</f>
        <v/>
      </c>
      <c r="J30" s="13">
        <f>IF(COUNT(C30:G30)&lt;5,"",IF(I30&gt;=0.8,"Green",IF(I30&gt;=0.5,"Yellow","Red")))</f>
        <v/>
      </c>
      <c r="K30" s="13">
        <f>IF(COUNT(C30:G30)&lt;5,"",IF(J30="Green","Well done! "&amp;Parameters!$C$79,"Revise: "&amp;_xlfn.TEXTJOIN(", ",TRUE(),IF(L30&lt;1,Parameters!$A$69,""),IF(M30&lt;1,Parameters!$A$70,""),IF(N30&lt;1,Parameters!$A$71,""),IF(O30&lt;1,Parameters!$A$72,""),IF(P30&lt;1,Parameters!$A$73,""))))</f>
        <v/>
      </c>
      <c r="L30" s="13">
        <f>IF(C30="","",C30/8)</f>
        <v/>
      </c>
      <c r="M30" s="13">
        <f>IF(D30="","",D30/10)</f>
        <v/>
      </c>
      <c r="N30" s="13">
        <f>IF(E30="","",E30/10)</f>
        <v/>
      </c>
      <c r="O30" s="13">
        <f>IF(F30="","",F30/7)</f>
        <v/>
      </c>
      <c r="P30" s="13">
        <f>IF(G30="","",G30/8)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4" t="n"/>
      <c r="H31" s="13">
        <f>IF(COUNT(C31:G31)&lt;5,"",SUM(C31:G31))</f>
        <v/>
      </c>
      <c r="I31" s="13">
        <f>IF(COUNT(C31:G31)&lt;5,"",H31/43)</f>
        <v/>
      </c>
      <c r="J31" s="13">
        <f>IF(COUNT(C31:G31)&lt;5,"",IF(I31&gt;=0.8,"Green",IF(I31&gt;=0.5,"Yellow","Red")))</f>
        <v/>
      </c>
      <c r="K31" s="13">
        <f>IF(COUNT(C31:G31)&lt;5,"",IF(J31="Green","Well done! "&amp;Parameters!$C$79,"Revise: "&amp;_xlfn.TEXTJOIN(", ",TRUE(),IF(L31&lt;1,Parameters!$A$69,""),IF(M31&lt;1,Parameters!$A$70,""),IF(N31&lt;1,Parameters!$A$71,""),IF(O31&lt;1,Parameters!$A$72,""),IF(P31&lt;1,Parameters!$A$73,""))))</f>
        <v/>
      </c>
      <c r="L31" s="13">
        <f>IF(C31="","",C31/8)</f>
        <v/>
      </c>
      <c r="M31" s="13">
        <f>IF(D31="","",D31/10)</f>
        <v/>
      </c>
      <c r="N31" s="13">
        <f>IF(E31="","",E31/10)</f>
        <v/>
      </c>
      <c r="O31" s="13">
        <f>IF(F31="","",F31/7)</f>
        <v/>
      </c>
      <c r="P31" s="13">
        <f>IF(G31="","",G31/8)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4" t="n"/>
      <c r="H32" s="13">
        <f>IF(COUNT(C32:G32)&lt;5,"",SUM(C32:G32))</f>
        <v/>
      </c>
      <c r="I32" s="13">
        <f>IF(COUNT(C32:G32)&lt;5,"",H32/43)</f>
        <v/>
      </c>
      <c r="J32" s="13">
        <f>IF(COUNT(C32:G32)&lt;5,"",IF(I32&gt;=0.8,"Green",IF(I32&gt;=0.5,"Yellow","Red")))</f>
        <v/>
      </c>
      <c r="K32" s="13">
        <f>IF(COUNT(C32:G32)&lt;5,"",IF(J32="Green","Well done! "&amp;Parameters!$C$79,"Revise: "&amp;_xlfn.TEXTJOIN(", ",TRUE(),IF(L32&lt;1,Parameters!$A$69,""),IF(M32&lt;1,Parameters!$A$70,""),IF(N32&lt;1,Parameters!$A$71,""),IF(O32&lt;1,Parameters!$A$72,""),IF(P32&lt;1,Parameters!$A$73,""))))</f>
        <v/>
      </c>
      <c r="L32" s="13">
        <f>IF(C32="","",C32/8)</f>
        <v/>
      </c>
      <c r="M32" s="13">
        <f>IF(D32="","",D32/10)</f>
        <v/>
      </c>
      <c r="N32" s="13">
        <f>IF(E32="","",E32/10)</f>
        <v/>
      </c>
      <c r="O32" s="13">
        <f>IF(F32="","",F32/7)</f>
        <v/>
      </c>
      <c r="P32" s="13">
        <f>IF(G32="","",G32/8)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4" t="n"/>
      <c r="H33" s="13">
        <f>IF(COUNT(C33:G33)&lt;5,"",SUM(C33:G33))</f>
        <v/>
      </c>
      <c r="I33" s="13">
        <f>IF(COUNT(C33:G33)&lt;5,"",H33/43)</f>
        <v/>
      </c>
      <c r="J33" s="13">
        <f>IF(COUNT(C33:G33)&lt;5,"",IF(I33&gt;=0.8,"Green",IF(I33&gt;=0.5,"Yellow","Red")))</f>
        <v/>
      </c>
      <c r="K33" s="13">
        <f>IF(COUNT(C33:G33)&lt;5,"",IF(J33="Green","Well done! "&amp;Parameters!$C$79,"Revise: "&amp;_xlfn.TEXTJOIN(", ",TRUE(),IF(L33&lt;1,Parameters!$A$69,""),IF(M33&lt;1,Parameters!$A$70,""),IF(N33&lt;1,Parameters!$A$71,""),IF(O33&lt;1,Parameters!$A$72,""),IF(P33&lt;1,Parameters!$A$73,""))))</f>
        <v/>
      </c>
      <c r="L33" s="13">
        <f>IF(C33="","",C33/8)</f>
        <v/>
      </c>
      <c r="M33" s="13">
        <f>IF(D33="","",D33/10)</f>
        <v/>
      </c>
      <c r="N33" s="13">
        <f>IF(E33="","",E33/10)</f>
        <v/>
      </c>
      <c r="O33" s="13">
        <f>IF(F33="","",F33/7)</f>
        <v/>
      </c>
      <c r="P33" s="13">
        <f>IF(G33="","",G33/8)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4" t="n"/>
      <c r="H34" s="13">
        <f>IF(COUNT(C34:G34)&lt;5,"",SUM(C34:G34))</f>
        <v/>
      </c>
      <c r="I34" s="13">
        <f>IF(COUNT(C34:G34)&lt;5,"",H34/43)</f>
        <v/>
      </c>
      <c r="J34" s="13">
        <f>IF(COUNT(C34:G34)&lt;5,"",IF(I34&gt;=0.8,"Green",IF(I34&gt;=0.5,"Yellow","Red")))</f>
        <v/>
      </c>
      <c r="K34" s="13">
        <f>IF(COUNT(C34:G34)&lt;5,"",IF(J34="Green","Well done! "&amp;Parameters!$C$79,"Revise: "&amp;_xlfn.TEXTJOIN(", ",TRUE(),IF(L34&lt;1,Parameters!$A$69,""),IF(M34&lt;1,Parameters!$A$70,""),IF(N34&lt;1,Parameters!$A$71,""),IF(O34&lt;1,Parameters!$A$72,""),IF(P34&lt;1,Parameters!$A$73,""))))</f>
        <v/>
      </c>
      <c r="L34" s="13">
        <f>IF(C34="","",C34/8)</f>
        <v/>
      </c>
      <c r="M34" s="13">
        <f>IF(D34="","",D34/10)</f>
        <v/>
      </c>
      <c r="N34" s="13">
        <f>IF(E34="","",E34/10)</f>
        <v/>
      </c>
      <c r="O34" s="13">
        <f>IF(F34="","",F34/7)</f>
        <v/>
      </c>
      <c r="P34" s="13">
        <f>IF(G34="","",G34/8)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4" t="n"/>
      <c r="H35" s="13">
        <f>IF(COUNT(C35:G35)&lt;5,"",SUM(C35:G35))</f>
        <v/>
      </c>
      <c r="I35" s="13">
        <f>IF(COUNT(C35:G35)&lt;5,"",H35/43)</f>
        <v/>
      </c>
      <c r="J35" s="13">
        <f>IF(COUNT(C35:G35)&lt;5,"",IF(I35&gt;=0.8,"Green",IF(I35&gt;=0.5,"Yellow","Red")))</f>
        <v/>
      </c>
      <c r="K35" s="13">
        <f>IF(COUNT(C35:G35)&lt;5,"",IF(J35="Green","Well done! "&amp;Parameters!$C$79,"Revise: "&amp;_xlfn.TEXTJOIN(", ",TRUE(),IF(L35&lt;1,Parameters!$A$69,""),IF(M35&lt;1,Parameters!$A$70,""),IF(N35&lt;1,Parameters!$A$71,""),IF(O35&lt;1,Parameters!$A$72,""),IF(P35&lt;1,Parameters!$A$73,""))))</f>
        <v/>
      </c>
      <c r="L35" s="13">
        <f>IF(C35="","",C35/8)</f>
        <v/>
      </c>
      <c r="M35" s="13">
        <f>IF(D35="","",D35/10)</f>
        <v/>
      </c>
      <c r="N35" s="13">
        <f>IF(E35="","",E35/10)</f>
        <v/>
      </c>
      <c r="O35" s="13">
        <f>IF(F35="","",F35/7)</f>
        <v/>
      </c>
      <c r="P35" s="13">
        <f>IF(G35="","",G35/8)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4" t="n"/>
      <c r="H36" s="13">
        <f>IF(COUNT(C36:G36)&lt;5,"",SUM(C36:G36))</f>
        <v/>
      </c>
      <c r="I36" s="13">
        <f>IF(COUNT(C36:G36)&lt;5,"",H36/43)</f>
        <v/>
      </c>
      <c r="J36" s="13">
        <f>IF(COUNT(C36:G36)&lt;5,"",IF(I36&gt;=0.8,"Green",IF(I36&gt;=0.5,"Yellow","Red")))</f>
        <v/>
      </c>
      <c r="K36" s="13">
        <f>IF(COUNT(C36:G36)&lt;5,"",IF(J36="Green","Well done! "&amp;Parameters!$C$79,"Revise: "&amp;_xlfn.TEXTJOIN(", ",TRUE(),IF(L36&lt;1,Parameters!$A$69,""),IF(M36&lt;1,Parameters!$A$70,""),IF(N36&lt;1,Parameters!$A$71,""),IF(O36&lt;1,Parameters!$A$72,""),IF(P36&lt;1,Parameters!$A$73,""))))</f>
        <v/>
      </c>
      <c r="L36" s="13">
        <f>IF(C36="","",C36/8)</f>
        <v/>
      </c>
      <c r="M36" s="13">
        <f>IF(D36="","",D36/10)</f>
        <v/>
      </c>
      <c r="N36" s="13">
        <f>IF(E36="","",E36/10)</f>
        <v/>
      </c>
      <c r="O36" s="13">
        <f>IF(F36="","",F36/7)</f>
        <v/>
      </c>
      <c r="P36" s="13">
        <f>IF(G36="","",G36/8)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4" t="n"/>
      <c r="H37" s="13">
        <f>IF(COUNT(C37:G37)&lt;5,"",SUM(C37:G37))</f>
        <v/>
      </c>
      <c r="I37" s="13">
        <f>IF(COUNT(C37:G37)&lt;5,"",H37/43)</f>
        <v/>
      </c>
      <c r="J37" s="13">
        <f>IF(COUNT(C37:G37)&lt;5,"",IF(I37&gt;=0.8,"Green",IF(I37&gt;=0.5,"Yellow","Red")))</f>
        <v/>
      </c>
      <c r="K37" s="13">
        <f>IF(COUNT(C37:G37)&lt;5,"",IF(J37="Green","Well done! "&amp;Parameters!$C$79,"Revise: "&amp;_xlfn.TEXTJOIN(", ",TRUE(),IF(L37&lt;1,Parameters!$A$69,""),IF(M37&lt;1,Parameters!$A$70,""),IF(N37&lt;1,Parameters!$A$71,""),IF(O37&lt;1,Parameters!$A$72,""),IF(P37&lt;1,Parameters!$A$73,""))))</f>
        <v/>
      </c>
      <c r="L37" s="13">
        <f>IF(C37="","",C37/8)</f>
        <v/>
      </c>
      <c r="M37" s="13">
        <f>IF(D37="","",D37/10)</f>
        <v/>
      </c>
      <c r="N37" s="13">
        <f>IF(E37="","",E37/10)</f>
        <v/>
      </c>
      <c r="O37" s="13">
        <f>IF(F37="","",F37/7)</f>
        <v/>
      </c>
      <c r="P37" s="13">
        <f>IF(G37="","",G37/8)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4" t="n"/>
      <c r="H38" s="13">
        <f>IF(COUNT(C38:G38)&lt;5,"",SUM(C38:G38))</f>
        <v/>
      </c>
      <c r="I38" s="13">
        <f>IF(COUNT(C38:G38)&lt;5,"",H38/43)</f>
        <v/>
      </c>
      <c r="J38" s="13">
        <f>IF(COUNT(C38:G38)&lt;5,"",IF(I38&gt;=0.8,"Green",IF(I38&gt;=0.5,"Yellow","Red")))</f>
        <v/>
      </c>
      <c r="K38" s="13">
        <f>IF(COUNT(C38:G38)&lt;5,"",IF(J38="Green","Well done! "&amp;Parameters!$C$79,"Revise: "&amp;_xlfn.TEXTJOIN(", ",TRUE(),IF(L38&lt;1,Parameters!$A$69,""),IF(M38&lt;1,Parameters!$A$70,""),IF(N38&lt;1,Parameters!$A$71,""),IF(O38&lt;1,Parameters!$A$72,""),IF(P38&lt;1,Parameters!$A$73,""))))</f>
        <v/>
      </c>
      <c r="L38" s="13">
        <f>IF(C38="","",C38/8)</f>
        <v/>
      </c>
      <c r="M38" s="13">
        <f>IF(D38="","",D38/10)</f>
        <v/>
      </c>
      <c r="N38" s="13">
        <f>IF(E38="","",E38/10)</f>
        <v/>
      </c>
      <c r="O38" s="13">
        <f>IF(F38="","",F38/7)</f>
        <v/>
      </c>
      <c r="P38" s="13">
        <f>IF(G38="","",G38/8)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4" t="n"/>
      <c r="H39" s="13">
        <f>IF(COUNT(C39:G39)&lt;5,"",SUM(C39:G39))</f>
        <v/>
      </c>
      <c r="I39" s="13">
        <f>IF(COUNT(C39:G39)&lt;5,"",H39/43)</f>
        <v/>
      </c>
      <c r="J39" s="13">
        <f>IF(COUNT(C39:G39)&lt;5,"",IF(I39&gt;=0.8,"Green",IF(I39&gt;=0.5,"Yellow","Red")))</f>
        <v/>
      </c>
      <c r="K39" s="13">
        <f>IF(COUNT(C39:G39)&lt;5,"",IF(J39="Green","Well done! "&amp;Parameters!$C$79,"Revise: "&amp;_xlfn.TEXTJOIN(", ",TRUE(),IF(L39&lt;1,Parameters!$A$69,""),IF(M39&lt;1,Parameters!$A$70,""),IF(N39&lt;1,Parameters!$A$71,""),IF(O39&lt;1,Parameters!$A$72,""),IF(P39&lt;1,Parameters!$A$73,""))))</f>
        <v/>
      </c>
      <c r="L39" s="13">
        <f>IF(C39="","",C39/8)</f>
        <v/>
      </c>
      <c r="M39" s="13">
        <f>IF(D39="","",D39/10)</f>
        <v/>
      </c>
      <c r="N39" s="13">
        <f>IF(E39="","",E39/10)</f>
        <v/>
      </c>
      <c r="O39" s="13">
        <f>IF(F39="","",F39/7)</f>
        <v/>
      </c>
      <c r="P39" s="13">
        <f>IF(G39="","",G39/8)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4" t="n"/>
      <c r="H40" s="13">
        <f>IF(COUNT(C40:G40)&lt;5,"",SUM(C40:G40))</f>
        <v/>
      </c>
      <c r="I40" s="13">
        <f>IF(COUNT(C40:G40)&lt;5,"",H40/43)</f>
        <v/>
      </c>
      <c r="J40" s="13">
        <f>IF(COUNT(C40:G40)&lt;5,"",IF(I40&gt;=0.8,"Green",IF(I40&gt;=0.5,"Yellow","Red")))</f>
        <v/>
      </c>
      <c r="K40" s="13">
        <f>IF(COUNT(C40:G40)&lt;5,"",IF(J40="Green","Well done! "&amp;Parameters!$C$79,"Revise: "&amp;_xlfn.TEXTJOIN(", ",TRUE(),IF(L40&lt;1,Parameters!$A$69,""),IF(M40&lt;1,Parameters!$A$70,""),IF(N40&lt;1,Parameters!$A$71,""),IF(O40&lt;1,Parameters!$A$72,""),IF(P40&lt;1,Parameters!$A$73,""))))</f>
        <v/>
      </c>
      <c r="L40" s="13">
        <f>IF(C40="","",C40/8)</f>
        <v/>
      </c>
      <c r="M40" s="13">
        <f>IF(D40="","",D40/10)</f>
        <v/>
      </c>
      <c r="N40" s="13">
        <f>IF(E40="","",E40/10)</f>
        <v/>
      </c>
      <c r="O40" s="13">
        <f>IF(F40="","",F40/7)</f>
        <v/>
      </c>
      <c r="P40" s="13">
        <f>IF(G40="","",G40/8)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4" t="n"/>
      <c r="H41" s="13">
        <f>IF(COUNT(C41:G41)&lt;5,"",SUM(C41:G41))</f>
        <v/>
      </c>
      <c r="I41" s="13">
        <f>IF(COUNT(C41:G41)&lt;5,"",H41/43)</f>
        <v/>
      </c>
      <c r="J41" s="13">
        <f>IF(COUNT(C41:G41)&lt;5,"",IF(I41&gt;=0.8,"Green",IF(I41&gt;=0.5,"Yellow","Red")))</f>
        <v/>
      </c>
      <c r="K41" s="13">
        <f>IF(COUNT(C41:G41)&lt;5,"",IF(J41="Green","Well done! "&amp;Parameters!$C$79,"Revise: "&amp;_xlfn.TEXTJOIN(", ",TRUE(),IF(L41&lt;1,Parameters!$A$69,""),IF(M41&lt;1,Parameters!$A$70,""),IF(N41&lt;1,Parameters!$A$71,""),IF(O41&lt;1,Parameters!$A$72,""),IF(P41&lt;1,Parameters!$A$73,""))))</f>
        <v/>
      </c>
      <c r="L41" s="13">
        <f>IF(C41="","",C41/8)</f>
        <v/>
      </c>
      <c r="M41" s="13">
        <f>IF(D41="","",D41/10)</f>
        <v/>
      </c>
      <c r="N41" s="13">
        <f>IF(E41="","",E41/10)</f>
        <v/>
      </c>
      <c r="O41" s="13">
        <f>IF(F41="","",F41/7)</f>
        <v/>
      </c>
      <c r="P41" s="13">
        <f>IF(G41="","",G41/8)</f>
        <v/>
      </c>
    </row>
  </sheetData>
  <conditionalFormatting sqref="C11">
    <cfRule type="expression" priority="1" dxfId="0">
      <formula>AND(COUNT(C11:G11)=5,C11=8)</formula>
    </cfRule>
    <cfRule type="expression" priority="2" dxfId="1">
      <formula>AND(COUNT(C11:G11)=5,C11&lt;8*0.4)</formula>
    </cfRule>
    <cfRule type="expression" priority="3" dxfId="2">
      <formula>AND(COUNT(C11:G11)=5,C11&gt;=8*0.4,C11&lt;8)</formula>
    </cfRule>
  </conditionalFormatting>
  <conditionalFormatting sqref="C12">
    <cfRule type="expression" priority="4" dxfId="0">
      <formula>AND(COUNT(C12:G12)=5,C12=8)</formula>
    </cfRule>
    <cfRule type="expression" priority="5" dxfId="1">
      <formula>AND(COUNT(C12:G12)=5,C12&lt;8*0.4)</formula>
    </cfRule>
    <cfRule type="expression" priority="6" dxfId="2">
      <formula>AND(COUNT(C12:G12)=5,C12&gt;=8*0.4,C12&lt;8)</formula>
    </cfRule>
  </conditionalFormatting>
  <conditionalFormatting sqref="C13">
    <cfRule type="expression" priority="7" dxfId="0">
      <formula>AND(COUNT(C13:G13)=5,C13=8)</formula>
    </cfRule>
    <cfRule type="expression" priority="8" dxfId="1">
      <formula>AND(COUNT(C13:G13)=5,C13&lt;8*0.4)</formula>
    </cfRule>
    <cfRule type="expression" priority="9" dxfId="2">
      <formula>AND(COUNT(C13:G13)=5,C13&gt;=8*0.4,C13&lt;8)</formula>
    </cfRule>
  </conditionalFormatting>
  <conditionalFormatting sqref="C14">
    <cfRule type="expression" priority="10" dxfId="0">
      <formula>AND(COUNT(C14:G14)=5,C14=8)</formula>
    </cfRule>
    <cfRule type="expression" priority="11" dxfId="1">
      <formula>AND(COUNT(C14:G14)=5,C14&lt;8*0.4)</formula>
    </cfRule>
    <cfRule type="expression" priority="12" dxfId="2">
      <formula>AND(COUNT(C14:G14)=5,C14&gt;=8*0.4,C14&lt;8)</formula>
    </cfRule>
  </conditionalFormatting>
  <conditionalFormatting sqref="C15">
    <cfRule type="expression" priority="13" dxfId="0">
      <formula>AND(COUNT(C15:G15)=5,C15=8)</formula>
    </cfRule>
    <cfRule type="expression" priority="14" dxfId="1">
      <formula>AND(COUNT(C15:G15)=5,C15&lt;8*0.4)</formula>
    </cfRule>
    <cfRule type="expression" priority="15" dxfId="2">
      <formula>AND(COUNT(C15:G15)=5,C15&gt;=8*0.4,C15&lt;8)</formula>
    </cfRule>
  </conditionalFormatting>
  <conditionalFormatting sqref="C16">
    <cfRule type="expression" priority="16" dxfId="0">
      <formula>AND(COUNT(C16:G16)=5,C16=8)</formula>
    </cfRule>
    <cfRule type="expression" priority="17" dxfId="1">
      <formula>AND(COUNT(C16:G16)=5,C16&lt;8*0.4)</formula>
    </cfRule>
    <cfRule type="expression" priority="18" dxfId="2">
      <formula>AND(COUNT(C16:G16)=5,C16&gt;=8*0.4,C16&lt;8)</formula>
    </cfRule>
  </conditionalFormatting>
  <conditionalFormatting sqref="C17">
    <cfRule type="expression" priority="19" dxfId="0">
      <formula>AND(COUNT(C17:G17)=5,C17=8)</formula>
    </cfRule>
    <cfRule type="expression" priority="20" dxfId="1">
      <formula>AND(COUNT(C17:G17)=5,C17&lt;8*0.4)</formula>
    </cfRule>
    <cfRule type="expression" priority="21" dxfId="2">
      <formula>AND(COUNT(C17:G17)=5,C17&gt;=8*0.4,C17&lt;8)</formula>
    </cfRule>
  </conditionalFormatting>
  <conditionalFormatting sqref="C18">
    <cfRule type="expression" priority="22" dxfId="0">
      <formula>AND(COUNT(C18:G18)=5,C18=8)</formula>
    </cfRule>
    <cfRule type="expression" priority="23" dxfId="1">
      <formula>AND(COUNT(C18:G18)=5,C18&lt;8*0.4)</formula>
    </cfRule>
    <cfRule type="expression" priority="24" dxfId="2">
      <formula>AND(COUNT(C18:G18)=5,C18&gt;=8*0.4,C18&lt;8)</formula>
    </cfRule>
  </conditionalFormatting>
  <conditionalFormatting sqref="C19">
    <cfRule type="expression" priority="25" dxfId="0">
      <formula>AND(COUNT(C19:G19)=5,C19=8)</formula>
    </cfRule>
    <cfRule type="expression" priority="26" dxfId="1">
      <formula>AND(COUNT(C19:G19)=5,C19&lt;8*0.4)</formula>
    </cfRule>
    <cfRule type="expression" priority="27" dxfId="2">
      <formula>AND(COUNT(C19:G19)=5,C19&gt;=8*0.4,C19&lt;8)</formula>
    </cfRule>
  </conditionalFormatting>
  <conditionalFormatting sqref="C20">
    <cfRule type="expression" priority="28" dxfId="0">
      <formula>AND(COUNT(C20:G20)=5,C20=8)</formula>
    </cfRule>
    <cfRule type="expression" priority="29" dxfId="1">
      <formula>AND(COUNT(C20:G20)=5,C20&lt;8*0.4)</formula>
    </cfRule>
    <cfRule type="expression" priority="30" dxfId="2">
      <formula>AND(COUNT(C20:G20)=5,C20&gt;=8*0.4,C20&lt;8)</formula>
    </cfRule>
  </conditionalFormatting>
  <conditionalFormatting sqref="C21">
    <cfRule type="expression" priority="31" dxfId="0">
      <formula>AND(COUNT(C21:G21)=5,C21=8)</formula>
    </cfRule>
    <cfRule type="expression" priority="32" dxfId="1">
      <formula>AND(COUNT(C21:G21)=5,C21&lt;8*0.4)</formula>
    </cfRule>
    <cfRule type="expression" priority="33" dxfId="2">
      <formula>AND(COUNT(C21:G21)=5,C21&gt;=8*0.4,C21&lt;8)</formula>
    </cfRule>
  </conditionalFormatting>
  <conditionalFormatting sqref="C22">
    <cfRule type="expression" priority="34" dxfId="0">
      <formula>AND(COUNT(C22:G22)=5,C22=8)</formula>
    </cfRule>
    <cfRule type="expression" priority="35" dxfId="1">
      <formula>AND(COUNT(C22:G22)=5,C22&lt;8*0.4)</formula>
    </cfRule>
    <cfRule type="expression" priority="36" dxfId="2">
      <formula>AND(COUNT(C22:G22)=5,C22&gt;=8*0.4,C22&lt;8)</formula>
    </cfRule>
  </conditionalFormatting>
  <conditionalFormatting sqref="C23">
    <cfRule type="expression" priority="37" dxfId="0">
      <formula>AND(COUNT(C23:G23)=5,C23=8)</formula>
    </cfRule>
    <cfRule type="expression" priority="38" dxfId="1">
      <formula>AND(COUNT(C23:G23)=5,C23&lt;8*0.4)</formula>
    </cfRule>
    <cfRule type="expression" priority="39" dxfId="2">
      <formula>AND(COUNT(C23:G23)=5,C23&gt;=8*0.4,C23&lt;8)</formula>
    </cfRule>
  </conditionalFormatting>
  <conditionalFormatting sqref="C24">
    <cfRule type="expression" priority="40" dxfId="0">
      <formula>AND(COUNT(C24:G24)=5,C24=8)</formula>
    </cfRule>
    <cfRule type="expression" priority="41" dxfId="1">
      <formula>AND(COUNT(C24:G24)=5,C24&lt;8*0.4)</formula>
    </cfRule>
    <cfRule type="expression" priority="42" dxfId="2">
      <formula>AND(COUNT(C24:G24)=5,C24&gt;=8*0.4,C24&lt;8)</formula>
    </cfRule>
  </conditionalFormatting>
  <conditionalFormatting sqref="C25">
    <cfRule type="expression" priority="43" dxfId="0">
      <formula>AND(COUNT(C25:G25)=5,C25=8)</formula>
    </cfRule>
    <cfRule type="expression" priority="44" dxfId="1">
      <formula>AND(COUNT(C25:G25)=5,C25&lt;8*0.4)</formula>
    </cfRule>
    <cfRule type="expression" priority="45" dxfId="2">
      <formula>AND(COUNT(C25:G25)=5,C25&gt;=8*0.4,C25&lt;8)</formula>
    </cfRule>
  </conditionalFormatting>
  <conditionalFormatting sqref="C26">
    <cfRule type="expression" priority="46" dxfId="0">
      <formula>AND(COUNT(C26:G26)=5,C26=8)</formula>
    </cfRule>
    <cfRule type="expression" priority="47" dxfId="1">
      <formula>AND(COUNT(C26:G26)=5,C26&lt;8*0.4)</formula>
    </cfRule>
    <cfRule type="expression" priority="48" dxfId="2">
      <formula>AND(COUNT(C26:G26)=5,C26&gt;=8*0.4,C26&lt;8)</formula>
    </cfRule>
  </conditionalFormatting>
  <conditionalFormatting sqref="C27">
    <cfRule type="expression" priority="49" dxfId="0">
      <formula>AND(COUNT(C27:G27)=5,C27=8)</formula>
    </cfRule>
    <cfRule type="expression" priority="50" dxfId="1">
      <formula>AND(COUNT(C27:G27)=5,C27&lt;8*0.4)</formula>
    </cfRule>
    <cfRule type="expression" priority="51" dxfId="2">
      <formula>AND(COUNT(C27:G27)=5,C27&gt;=8*0.4,C27&lt;8)</formula>
    </cfRule>
  </conditionalFormatting>
  <conditionalFormatting sqref="C28">
    <cfRule type="expression" priority="52" dxfId="0">
      <formula>AND(COUNT(C28:G28)=5,C28=8)</formula>
    </cfRule>
    <cfRule type="expression" priority="53" dxfId="1">
      <formula>AND(COUNT(C28:G28)=5,C28&lt;8*0.4)</formula>
    </cfRule>
    <cfRule type="expression" priority="54" dxfId="2">
      <formula>AND(COUNT(C28:G28)=5,C28&gt;=8*0.4,C28&lt;8)</formula>
    </cfRule>
  </conditionalFormatting>
  <conditionalFormatting sqref="C29">
    <cfRule type="expression" priority="55" dxfId="0">
      <formula>AND(COUNT(C29:G29)=5,C29=8)</formula>
    </cfRule>
    <cfRule type="expression" priority="56" dxfId="1">
      <formula>AND(COUNT(C29:G29)=5,C29&lt;8*0.4)</formula>
    </cfRule>
    <cfRule type="expression" priority="57" dxfId="2">
      <formula>AND(COUNT(C29:G29)=5,C29&gt;=8*0.4,C29&lt;8)</formula>
    </cfRule>
  </conditionalFormatting>
  <conditionalFormatting sqref="C30">
    <cfRule type="expression" priority="58" dxfId="0">
      <formula>AND(COUNT(C30:G30)=5,C30=8)</formula>
    </cfRule>
    <cfRule type="expression" priority="59" dxfId="1">
      <formula>AND(COUNT(C30:G30)=5,C30&lt;8*0.4)</formula>
    </cfRule>
    <cfRule type="expression" priority="60" dxfId="2">
      <formula>AND(COUNT(C30:G30)=5,C30&gt;=8*0.4,C30&lt;8)</formula>
    </cfRule>
  </conditionalFormatting>
  <conditionalFormatting sqref="C31">
    <cfRule type="expression" priority="61" dxfId="0">
      <formula>AND(COUNT(C31:G31)=5,C31=8)</formula>
    </cfRule>
    <cfRule type="expression" priority="62" dxfId="1">
      <formula>AND(COUNT(C31:G31)=5,C31&lt;8*0.4)</formula>
    </cfRule>
    <cfRule type="expression" priority="63" dxfId="2">
      <formula>AND(COUNT(C31:G31)=5,C31&gt;=8*0.4,C31&lt;8)</formula>
    </cfRule>
  </conditionalFormatting>
  <conditionalFormatting sqref="C32">
    <cfRule type="expression" priority="64" dxfId="0">
      <formula>AND(COUNT(C32:G32)=5,C32=8)</formula>
    </cfRule>
    <cfRule type="expression" priority="65" dxfId="1">
      <formula>AND(COUNT(C32:G32)=5,C32&lt;8*0.4)</formula>
    </cfRule>
    <cfRule type="expression" priority="66" dxfId="2">
      <formula>AND(COUNT(C32:G32)=5,C32&gt;=8*0.4,C32&lt;8)</formula>
    </cfRule>
  </conditionalFormatting>
  <conditionalFormatting sqref="C33">
    <cfRule type="expression" priority="67" dxfId="0">
      <formula>AND(COUNT(C33:G33)=5,C33=8)</formula>
    </cfRule>
    <cfRule type="expression" priority="68" dxfId="1">
      <formula>AND(COUNT(C33:G33)=5,C33&lt;8*0.4)</formula>
    </cfRule>
    <cfRule type="expression" priority="69" dxfId="2">
      <formula>AND(COUNT(C33:G33)=5,C33&gt;=8*0.4,C33&lt;8)</formula>
    </cfRule>
  </conditionalFormatting>
  <conditionalFormatting sqref="C34">
    <cfRule type="expression" priority="70" dxfId="0">
      <formula>AND(COUNT(C34:G34)=5,C34=8)</formula>
    </cfRule>
    <cfRule type="expression" priority="71" dxfId="1">
      <formula>AND(COUNT(C34:G34)=5,C34&lt;8*0.4)</formula>
    </cfRule>
    <cfRule type="expression" priority="72" dxfId="2">
      <formula>AND(COUNT(C34:G34)=5,C34&gt;=8*0.4,C34&lt;8)</formula>
    </cfRule>
  </conditionalFormatting>
  <conditionalFormatting sqref="C35">
    <cfRule type="expression" priority="73" dxfId="0">
      <formula>AND(COUNT(C35:G35)=5,C35=8)</formula>
    </cfRule>
    <cfRule type="expression" priority="74" dxfId="1">
      <formula>AND(COUNT(C35:G35)=5,C35&lt;8*0.4)</formula>
    </cfRule>
    <cfRule type="expression" priority="75" dxfId="2">
      <formula>AND(COUNT(C35:G35)=5,C35&gt;=8*0.4,C35&lt;8)</formula>
    </cfRule>
  </conditionalFormatting>
  <conditionalFormatting sqref="C36">
    <cfRule type="expression" priority="76" dxfId="0">
      <formula>AND(COUNT(C36:G36)=5,C36=8)</formula>
    </cfRule>
    <cfRule type="expression" priority="77" dxfId="1">
      <formula>AND(COUNT(C36:G36)=5,C36&lt;8*0.4)</formula>
    </cfRule>
    <cfRule type="expression" priority="78" dxfId="2">
      <formula>AND(COUNT(C36:G36)=5,C36&gt;=8*0.4,C36&lt;8)</formula>
    </cfRule>
  </conditionalFormatting>
  <conditionalFormatting sqref="C37">
    <cfRule type="expression" priority="79" dxfId="0">
      <formula>AND(COUNT(C37:G37)=5,C37=8)</formula>
    </cfRule>
    <cfRule type="expression" priority="80" dxfId="1">
      <formula>AND(COUNT(C37:G37)=5,C37&lt;8*0.4)</formula>
    </cfRule>
    <cfRule type="expression" priority="81" dxfId="2">
      <formula>AND(COUNT(C37:G37)=5,C37&gt;=8*0.4,C37&lt;8)</formula>
    </cfRule>
  </conditionalFormatting>
  <conditionalFormatting sqref="C38">
    <cfRule type="expression" priority="82" dxfId="0">
      <formula>AND(COUNT(C38:G38)=5,C38=8)</formula>
    </cfRule>
    <cfRule type="expression" priority="83" dxfId="1">
      <formula>AND(COUNT(C38:G38)=5,C38&lt;8*0.4)</formula>
    </cfRule>
    <cfRule type="expression" priority="84" dxfId="2">
      <formula>AND(COUNT(C38:G38)=5,C38&gt;=8*0.4,C38&lt;8)</formula>
    </cfRule>
  </conditionalFormatting>
  <conditionalFormatting sqref="C39">
    <cfRule type="expression" priority="85" dxfId="0">
      <formula>AND(COUNT(C39:G39)=5,C39=8)</formula>
    </cfRule>
    <cfRule type="expression" priority="86" dxfId="1">
      <formula>AND(COUNT(C39:G39)=5,C39&lt;8*0.4)</formula>
    </cfRule>
    <cfRule type="expression" priority="87" dxfId="2">
      <formula>AND(COUNT(C39:G39)=5,C39&gt;=8*0.4,C39&lt;8)</formula>
    </cfRule>
  </conditionalFormatting>
  <conditionalFormatting sqref="C40">
    <cfRule type="expression" priority="88" dxfId="0">
      <formula>AND(COUNT(C40:G40)=5,C40=8)</formula>
    </cfRule>
    <cfRule type="expression" priority="89" dxfId="1">
      <formula>AND(COUNT(C40:G40)=5,C40&lt;8*0.4)</formula>
    </cfRule>
    <cfRule type="expression" priority="90" dxfId="2">
      <formula>AND(COUNT(C40:G40)=5,C40&gt;=8*0.4,C40&lt;8)</formula>
    </cfRule>
  </conditionalFormatting>
  <conditionalFormatting sqref="C41">
    <cfRule type="expression" priority="91" dxfId="0">
      <formula>AND(COUNT(C41:G41)=5,C41=8)</formula>
    </cfRule>
    <cfRule type="expression" priority="92" dxfId="1">
      <formula>AND(COUNT(C41:G41)=5,C41&lt;8*0.4)</formula>
    </cfRule>
    <cfRule type="expression" priority="93" dxfId="2">
      <formula>AND(COUNT(C41:G41)=5,C41&gt;=8*0.4,C41&lt;8)</formula>
    </cfRule>
  </conditionalFormatting>
  <conditionalFormatting sqref="D11">
    <cfRule type="expression" priority="94" dxfId="0">
      <formula>AND(COUNT(C11:G11)=5,D11=10)</formula>
    </cfRule>
    <cfRule type="expression" priority="95" dxfId="1">
      <formula>AND(COUNT(C11:G11)=5,D11&lt;10*0.4)</formula>
    </cfRule>
    <cfRule type="expression" priority="96" dxfId="2">
      <formula>AND(COUNT(C11:G11)=5,D11&gt;=10*0.4,D11&lt;10)</formula>
    </cfRule>
  </conditionalFormatting>
  <conditionalFormatting sqref="D12">
    <cfRule type="expression" priority="97" dxfId="0">
      <formula>AND(COUNT(C12:G12)=5,D12=10)</formula>
    </cfRule>
    <cfRule type="expression" priority="98" dxfId="1">
      <formula>AND(COUNT(C12:G12)=5,D12&lt;10*0.4)</formula>
    </cfRule>
    <cfRule type="expression" priority="99" dxfId="2">
      <formula>AND(COUNT(C12:G12)=5,D12&gt;=10*0.4,D12&lt;10)</formula>
    </cfRule>
  </conditionalFormatting>
  <conditionalFormatting sqref="D13">
    <cfRule type="expression" priority="100" dxfId="0">
      <formula>AND(COUNT(C13:G13)=5,D13=10)</formula>
    </cfRule>
    <cfRule type="expression" priority="101" dxfId="1">
      <formula>AND(COUNT(C13:G13)=5,D13&lt;10*0.4)</formula>
    </cfRule>
    <cfRule type="expression" priority="102" dxfId="2">
      <formula>AND(COUNT(C13:G13)=5,D13&gt;=10*0.4,D13&lt;10)</formula>
    </cfRule>
  </conditionalFormatting>
  <conditionalFormatting sqref="D14">
    <cfRule type="expression" priority="103" dxfId="0">
      <formula>AND(COUNT(C14:G14)=5,D14=10)</formula>
    </cfRule>
    <cfRule type="expression" priority="104" dxfId="1">
      <formula>AND(COUNT(C14:G14)=5,D14&lt;10*0.4)</formula>
    </cfRule>
    <cfRule type="expression" priority="105" dxfId="2">
      <formula>AND(COUNT(C14:G14)=5,D14&gt;=10*0.4,D14&lt;10)</formula>
    </cfRule>
  </conditionalFormatting>
  <conditionalFormatting sqref="D15">
    <cfRule type="expression" priority="106" dxfId="0">
      <formula>AND(COUNT(C15:G15)=5,D15=10)</formula>
    </cfRule>
    <cfRule type="expression" priority="107" dxfId="1">
      <formula>AND(COUNT(C15:G15)=5,D15&lt;10*0.4)</formula>
    </cfRule>
    <cfRule type="expression" priority="108" dxfId="2">
      <formula>AND(COUNT(C15:G15)=5,D15&gt;=10*0.4,D15&lt;10)</formula>
    </cfRule>
  </conditionalFormatting>
  <conditionalFormatting sqref="D16">
    <cfRule type="expression" priority="109" dxfId="0">
      <formula>AND(COUNT(C16:G16)=5,D16=10)</formula>
    </cfRule>
    <cfRule type="expression" priority="110" dxfId="1">
      <formula>AND(COUNT(C16:G16)=5,D16&lt;10*0.4)</formula>
    </cfRule>
    <cfRule type="expression" priority="111" dxfId="2">
      <formula>AND(COUNT(C16:G16)=5,D16&gt;=10*0.4,D16&lt;10)</formula>
    </cfRule>
  </conditionalFormatting>
  <conditionalFormatting sqref="D17">
    <cfRule type="expression" priority="112" dxfId="0">
      <formula>AND(COUNT(C17:G17)=5,D17=10)</formula>
    </cfRule>
    <cfRule type="expression" priority="113" dxfId="1">
      <formula>AND(COUNT(C17:G17)=5,D17&lt;10*0.4)</formula>
    </cfRule>
    <cfRule type="expression" priority="114" dxfId="2">
      <formula>AND(COUNT(C17:G17)=5,D17&gt;=10*0.4,D17&lt;10)</formula>
    </cfRule>
  </conditionalFormatting>
  <conditionalFormatting sqref="D18">
    <cfRule type="expression" priority="115" dxfId="0">
      <formula>AND(COUNT(C18:G18)=5,D18=10)</formula>
    </cfRule>
    <cfRule type="expression" priority="116" dxfId="1">
      <formula>AND(COUNT(C18:G18)=5,D18&lt;10*0.4)</formula>
    </cfRule>
    <cfRule type="expression" priority="117" dxfId="2">
      <formula>AND(COUNT(C18:G18)=5,D18&gt;=10*0.4,D18&lt;10)</formula>
    </cfRule>
  </conditionalFormatting>
  <conditionalFormatting sqref="D19">
    <cfRule type="expression" priority="118" dxfId="0">
      <formula>AND(COUNT(C19:G19)=5,D19=10)</formula>
    </cfRule>
    <cfRule type="expression" priority="119" dxfId="1">
      <formula>AND(COUNT(C19:G19)=5,D19&lt;10*0.4)</formula>
    </cfRule>
    <cfRule type="expression" priority="120" dxfId="2">
      <formula>AND(COUNT(C19:G19)=5,D19&gt;=10*0.4,D19&lt;10)</formula>
    </cfRule>
  </conditionalFormatting>
  <conditionalFormatting sqref="D20">
    <cfRule type="expression" priority="121" dxfId="0">
      <formula>AND(COUNT(C20:G20)=5,D20=10)</formula>
    </cfRule>
    <cfRule type="expression" priority="122" dxfId="1">
      <formula>AND(COUNT(C20:G20)=5,D20&lt;10*0.4)</formula>
    </cfRule>
    <cfRule type="expression" priority="123" dxfId="2">
      <formula>AND(COUNT(C20:G20)=5,D20&gt;=10*0.4,D20&lt;10)</formula>
    </cfRule>
  </conditionalFormatting>
  <conditionalFormatting sqref="D21">
    <cfRule type="expression" priority="124" dxfId="0">
      <formula>AND(COUNT(C21:G21)=5,D21=10)</formula>
    </cfRule>
    <cfRule type="expression" priority="125" dxfId="1">
      <formula>AND(COUNT(C21:G21)=5,D21&lt;10*0.4)</formula>
    </cfRule>
    <cfRule type="expression" priority="126" dxfId="2">
      <formula>AND(COUNT(C21:G21)=5,D21&gt;=10*0.4,D21&lt;10)</formula>
    </cfRule>
  </conditionalFormatting>
  <conditionalFormatting sqref="D22">
    <cfRule type="expression" priority="127" dxfId="0">
      <formula>AND(COUNT(C22:G22)=5,D22=10)</formula>
    </cfRule>
    <cfRule type="expression" priority="128" dxfId="1">
      <formula>AND(COUNT(C22:G22)=5,D22&lt;10*0.4)</formula>
    </cfRule>
    <cfRule type="expression" priority="129" dxfId="2">
      <formula>AND(COUNT(C22:G22)=5,D22&gt;=10*0.4,D22&lt;10)</formula>
    </cfRule>
  </conditionalFormatting>
  <conditionalFormatting sqref="D23">
    <cfRule type="expression" priority="130" dxfId="0">
      <formula>AND(COUNT(C23:G23)=5,D23=10)</formula>
    </cfRule>
    <cfRule type="expression" priority="131" dxfId="1">
      <formula>AND(COUNT(C23:G23)=5,D23&lt;10*0.4)</formula>
    </cfRule>
    <cfRule type="expression" priority="132" dxfId="2">
      <formula>AND(COUNT(C23:G23)=5,D23&gt;=10*0.4,D23&lt;10)</formula>
    </cfRule>
  </conditionalFormatting>
  <conditionalFormatting sqref="D24">
    <cfRule type="expression" priority="133" dxfId="0">
      <formula>AND(COUNT(C24:G24)=5,D24=10)</formula>
    </cfRule>
    <cfRule type="expression" priority="134" dxfId="1">
      <formula>AND(COUNT(C24:G24)=5,D24&lt;10*0.4)</formula>
    </cfRule>
    <cfRule type="expression" priority="135" dxfId="2">
      <formula>AND(COUNT(C24:G24)=5,D24&gt;=10*0.4,D24&lt;10)</formula>
    </cfRule>
  </conditionalFormatting>
  <conditionalFormatting sqref="D25">
    <cfRule type="expression" priority="136" dxfId="0">
      <formula>AND(COUNT(C25:G25)=5,D25=10)</formula>
    </cfRule>
    <cfRule type="expression" priority="137" dxfId="1">
      <formula>AND(COUNT(C25:G25)=5,D25&lt;10*0.4)</formula>
    </cfRule>
    <cfRule type="expression" priority="138" dxfId="2">
      <formula>AND(COUNT(C25:G25)=5,D25&gt;=10*0.4,D25&lt;10)</formula>
    </cfRule>
  </conditionalFormatting>
  <conditionalFormatting sqref="D26">
    <cfRule type="expression" priority="139" dxfId="0">
      <formula>AND(COUNT(C26:G26)=5,D26=10)</formula>
    </cfRule>
    <cfRule type="expression" priority="140" dxfId="1">
      <formula>AND(COUNT(C26:G26)=5,D26&lt;10*0.4)</formula>
    </cfRule>
    <cfRule type="expression" priority="141" dxfId="2">
      <formula>AND(COUNT(C26:G26)=5,D26&gt;=10*0.4,D26&lt;10)</formula>
    </cfRule>
  </conditionalFormatting>
  <conditionalFormatting sqref="D27">
    <cfRule type="expression" priority="142" dxfId="0">
      <formula>AND(COUNT(C27:G27)=5,D27=10)</formula>
    </cfRule>
    <cfRule type="expression" priority="143" dxfId="1">
      <formula>AND(COUNT(C27:G27)=5,D27&lt;10*0.4)</formula>
    </cfRule>
    <cfRule type="expression" priority="144" dxfId="2">
      <formula>AND(COUNT(C27:G27)=5,D27&gt;=10*0.4,D27&lt;10)</formula>
    </cfRule>
  </conditionalFormatting>
  <conditionalFormatting sqref="D28">
    <cfRule type="expression" priority="145" dxfId="0">
      <formula>AND(COUNT(C28:G28)=5,D28=10)</formula>
    </cfRule>
    <cfRule type="expression" priority="146" dxfId="1">
      <formula>AND(COUNT(C28:G28)=5,D28&lt;10*0.4)</formula>
    </cfRule>
    <cfRule type="expression" priority="147" dxfId="2">
      <formula>AND(COUNT(C28:G28)=5,D28&gt;=10*0.4,D28&lt;10)</formula>
    </cfRule>
  </conditionalFormatting>
  <conditionalFormatting sqref="D29">
    <cfRule type="expression" priority="148" dxfId="0">
      <formula>AND(COUNT(C29:G29)=5,D29=10)</formula>
    </cfRule>
    <cfRule type="expression" priority="149" dxfId="1">
      <formula>AND(COUNT(C29:G29)=5,D29&lt;10*0.4)</formula>
    </cfRule>
    <cfRule type="expression" priority="150" dxfId="2">
      <formula>AND(COUNT(C29:G29)=5,D29&gt;=10*0.4,D29&lt;10)</formula>
    </cfRule>
  </conditionalFormatting>
  <conditionalFormatting sqref="D30">
    <cfRule type="expression" priority="151" dxfId="0">
      <formula>AND(COUNT(C30:G30)=5,D30=10)</formula>
    </cfRule>
    <cfRule type="expression" priority="152" dxfId="1">
      <formula>AND(COUNT(C30:G30)=5,D30&lt;10*0.4)</formula>
    </cfRule>
    <cfRule type="expression" priority="153" dxfId="2">
      <formula>AND(COUNT(C30:G30)=5,D30&gt;=10*0.4,D30&lt;10)</formula>
    </cfRule>
  </conditionalFormatting>
  <conditionalFormatting sqref="D31">
    <cfRule type="expression" priority="154" dxfId="0">
      <formula>AND(COUNT(C31:G31)=5,D31=10)</formula>
    </cfRule>
    <cfRule type="expression" priority="155" dxfId="1">
      <formula>AND(COUNT(C31:G31)=5,D31&lt;10*0.4)</formula>
    </cfRule>
    <cfRule type="expression" priority="156" dxfId="2">
      <formula>AND(COUNT(C31:G31)=5,D31&gt;=10*0.4,D31&lt;10)</formula>
    </cfRule>
  </conditionalFormatting>
  <conditionalFormatting sqref="D32">
    <cfRule type="expression" priority="157" dxfId="0">
      <formula>AND(COUNT(C32:G32)=5,D32=10)</formula>
    </cfRule>
    <cfRule type="expression" priority="158" dxfId="1">
      <formula>AND(COUNT(C32:G32)=5,D32&lt;10*0.4)</formula>
    </cfRule>
    <cfRule type="expression" priority="159" dxfId="2">
      <formula>AND(COUNT(C32:G32)=5,D32&gt;=10*0.4,D32&lt;10)</formula>
    </cfRule>
  </conditionalFormatting>
  <conditionalFormatting sqref="D33">
    <cfRule type="expression" priority="160" dxfId="0">
      <formula>AND(COUNT(C33:G33)=5,D33=10)</formula>
    </cfRule>
    <cfRule type="expression" priority="161" dxfId="1">
      <formula>AND(COUNT(C33:G33)=5,D33&lt;10*0.4)</formula>
    </cfRule>
    <cfRule type="expression" priority="162" dxfId="2">
      <formula>AND(COUNT(C33:G33)=5,D33&gt;=10*0.4,D33&lt;10)</formula>
    </cfRule>
  </conditionalFormatting>
  <conditionalFormatting sqref="D34">
    <cfRule type="expression" priority="163" dxfId="0">
      <formula>AND(COUNT(C34:G34)=5,D34=10)</formula>
    </cfRule>
    <cfRule type="expression" priority="164" dxfId="1">
      <formula>AND(COUNT(C34:G34)=5,D34&lt;10*0.4)</formula>
    </cfRule>
    <cfRule type="expression" priority="165" dxfId="2">
      <formula>AND(COUNT(C34:G34)=5,D34&gt;=10*0.4,D34&lt;10)</formula>
    </cfRule>
  </conditionalFormatting>
  <conditionalFormatting sqref="D35">
    <cfRule type="expression" priority="166" dxfId="0">
      <formula>AND(COUNT(C35:G35)=5,D35=10)</formula>
    </cfRule>
    <cfRule type="expression" priority="167" dxfId="1">
      <formula>AND(COUNT(C35:G35)=5,D35&lt;10*0.4)</formula>
    </cfRule>
    <cfRule type="expression" priority="168" dxfId="2">
      <formula>AND(COUNT(C35:G35)=5,D35&gt;=10*0.4,D35&lt;10)</formula>
    </cfRule>
  </conditionalFormatting>
  <conditionalFormatting sqref="D36">
    <cfRule type="expression" priority="169" dxfId="0">
      <formula>AND(COUNT(C36:G36)=5,D36=10)</formula>
    </cfRule>
    <cfRule type="expression" priority="170" dxfId="1">
      <formula>AND(COUNT(C36:G36)=5,D36&lt;10*0.4)</formula>
    </cfRule>
    <cfRule type="expression" priority="171" dxfId="2">
      <formula>AND(COUNT(C36:G36)=5,D36&gt;=10*0.4,D36&lt;10)</formula>
    </cfRule>
  </conditionalFormatting>
  <conditionalFormatting sqref="D37">
    <cfRule type="expression" priority="172" dxfId="0">
      <formula>AND(COUNT(C37:G37)=5,D37=10)</formula>
    </cfRule>
    <cfRule type="expression" priority="173" dxfId="1">
      <formula>AND(COUNT(C37:G37)=5,D37&lt;10*0.4)</formula>
    </cfRule>
    <cfRule type="expression" priority="174" dxfId="2">
      <formula>AND(COUNT(C37:G37)=5,D37&gt;=10*0.4,D37&lt;10)</formula>
    </cfRule>
  </conditionalFormatting>
  <conditionalFormatting sqref="D38">
    <cfRule type="expression" priority="175" dxfId="0">
      <formula>AND(COUNT(C38:G38)=5,D38=10)</formula>
    </cfRule>
    <cfRule type="expression" priority="176" dxfId="1">
      <formula>AND(COUNT(C38:G38)=5,D38&lt;10*0.4)</formula>
    </cfRule>
    <cfRule type="expression" priority="177" dxfId="2">
      <formula>AND(COUNT(C38:G38)=5,D38&gt;=10*0.4,D38&lt;10)</formula>
    </cfRule>
  </conditionalFormatting>
  <conditionalFormatting sqref="D39">
    <cfRule type="expression" priority="178" dxfId="0">
      <formula>AND(COUNT(C39:G39)=5,D39=10)</formula>
    </cfRule>
    <cfRule type="expression" priority="179" dxfId="1">
      <formula>AND(COUNT(C39:G39)=5,D39&lt;10*0.4)</formula>
    </cfRule>
    <cfRule type="expression" priority="180" dxfId="2">
      <formula>AND(COUNT(C39:G39)=5,D39&gt;=10*0.4,D39&lt;10)</formula>
    </cfRule>
  </conditionalFormatting>
  <conditionalFormatting sqref="D40">
    <cfRule type="expression" priority="181" dxfId="0">
      <formula>AND(COUNT(C40:G40)=5,D40=10)</formula>
    </cfRule>
    <cfRule type="expression" priority="182" dxfId="1">
      <formula>AND(COUNT(C40:G40)=5,D40&lt;10*0.4)</formula>
    </cfRule>
    <cfRule type="expression" priority="183" dxfId="2">
      <formula>AND(COUNT(C40:G40)=5,D40&gt;=10*0.4,D40&lt;10)</formula>
    </cfRule>
  </conditionalFormatting>
  <conditionalFormatting sqref="D41">
    <cfRule type="expression" priority="184" dxfId="0">
      <formula>AND(COUNT(C41:G41)=5,D41=10)</formula>
    </cfRule>
    <cfRule type="expression" priority="185" dxfId="1">
      <formula>AND(COUNT(C41:G41)=5,D41&lt;10*0.4)</formula>
    </cfRule>
    <cfRule type="expression" priority="186" dxfId="2">
      <formula>AND(COUNT(C41:G41)=5,D41&gt;=10*0.4,D41&lt;10)</formula>
    </cfRule>
  </conditionalFormatting>
  <conditionalFormatting sqref="E11">
    <cfRule type="expression" priority="187" dxfId="0">
      <formula>AND(COUNT(C11:G11)=5,E11=10)</formula>
    </cfRule>
    <cfRule type="expression" priority="188" dxfId="1">
      <formula>AND(COUNT(C11:G11)=5,E11&lt;10*0.4)</formula>
    </cfRule>
    <cfRule type="expression" priority="189" dxfId="2">
      <formula>AND(COUNT(C11:G11)=5,E11&gt;=10*0.4,E11&lt;10)</formula>
    </cfRule>
  </conditionalFormatting>
  <conditionalFormatting sqref="E12">
    <cfRule type="expression" priority="190" dxfId="0">
      <formula>AND(COUNT(C12:G12)=5,E12=10)</formula>
    </cfRule>
    <cfRule type="expression" priority="191" dxfId="1">
      <formula>AND(COUNT(C12:G12)=5,E12&lt;10*0.4)</formula>
    </cfRule>
    <cfRule type="expression" priority="192" dxfId="2">
      <formula>AND(COUNT(C12:G12)=5,E12&gt;=10*0.4,E12&lt;10)</formula>
    </cfRule>
  </conditionalFormatting>
  <conditionalFormatting sqref="E13">
    <cfRule type="expression" priority="193" dxfId="0">
      <formula>AND(COUNT(C13:G13)=5,E13=10)</formula>
    </cfRule>
    <cfRule type="expression" priority="194" dxfId="1">
      <formula>AND(COUNT(C13:G13)=5,E13&lt;10*0.4)</formula>
    </cfRule>
    <cfRule type="expression" priority="195" dxfId="2">
      <formula>AND(COUNT(C13:G13)=5,E13&gt;=10*0.4,E13&lt;10)</formula>
    </cfRule>
  </conditionalFormatting>
  <conditionalFormatting sqref="E14">
    <cfRule type="expression" priority="196" dxfId="0">
      <formula>AND(COUNT(C14:G14)=5,E14=10)</formula>
    </cfRule>
    <cfRule type="expression" priority="197" dxfId="1">
      <formula>AND(COUNT(C14:G14)=5,E14&lt;10*0.4)</formula>
    </cfRule>
    <cfRule type="expression" priority="198" dxfId="2">
      <formula>AND(COUNT(C14:G14)=5,E14&gt;=10*0.4,E14&lt;10)</formula>
    </cfRule>
  </conditionalFormatting>
  <conditionalFormatting sqref="E15">
    <cfRule type="expression" priority="199" dxfId="0">
      <formula>AND(COUNT(C15:G15)=5,E15=10)</formula>
    </cfRule>
    <cfRule type="expression" priority="200" dxfId="1">
      <formula>AND(COUNT(C15:G15)=5,E15&lt;10*0.4)</formula>
    </cfRule>
    <cfRule type="expression" priority="201" dxfId="2">
      <formula>AND(COUNT(C15:G15)=5,E15&gt;=10*0.4,E15&lt;10)</formula>
    </cfRule>
  </conditionalFormatting>
  <conditionalFormatting sqref="E16">
    <cfRule type="expression" priority="202" dxfId="0">
      <formula>AND(COUNT(C16:G16)=5,E16=10)</formula>
    </cfRule>
    <cfRule type="expression" priority="203" dxfId="1">
      <formula>AND(COUNT(C16:G16)=5,E16&lt;10*0.4)</formula>
    </cfRule>
    <cfRule type="expression" priority="204" dxfId="2">
      <formula>AND(COUNT(C16:G16)=5,E16&gt;=10*0.4,E16&lt;10)</formula>
    </cfRule>
  </conditionalFormatting>
  <conditionalFormatting sqref="E17">
    <cfRule type="expression" priority="205" dxfId="0">
      <formula>AND(COUNT(C17:G17)=5,E17=10)</formula>
    </cfRule>
    <cfRule type="expression" priority="206" dxfId="1">
      <formula>AND(COUNT(C17:G17)=5,E17&lt;10*0.4)</formula>
    </cfRule>
    <cfRule type="expression" priority="207" dxfId="2">
      <formula>AND(COUNT(C17:G17)=5,E17&gt;=10*0.4,E17&lt;10)</formula>
    </cfRule>
  </conditionalFormatting>
  <conditionalFormatting sqref="E18">
    <cfRule type="expression" priority="208" dxfId="0">
      <formula>AND(COUNT(C18:G18)=5,E18=10)</formula>
    </cfRule>
    <cfRule type="expression" priority="209" dxfId="1">
      <formula>AND(COUNT(C18:G18)=5,E18&lt;10*0.4)</formula>
    </cfRule>
    <cfRule type="expression" priority="210" dxfId="2">
      <formula>AND(COUNT(C18:G18)=5,E18&gt;=10*0.4,E18&lt;10)</formula>
    </cfRule>
  </conditionalFormatting>
  <conditionalFormatting sqref="E19">
    <cfRule type="expression" priority="211" dxfId="0">
      <formula>AND(COUNT(C19:G19)=5,E19=10)</formula>
    </cfRule>
    <cfRule type="expression" priority="212" dxfId="1">
      <formula>AND(COUNT(C19:G19)=5,E19&lt;10*0.4)</formula>
    </cfRule>
    <cfRule type="expression" priority="213" dxfId="2">
      <formula>AND(COUNT(C19:G19)=5,E19&gt;=10*0.4,E19&lt;10)</formula>
    </cfRule>
  </conditionalFormatting>
  <conditionalFormatting sqref="E20">
    <cfRule type="expression" priority="214" dxfId="0">
      <formula>AND(COUNT(C20:G20)=5,E20=10)</formula>
    </cfRule>
    <cfRule type="expression" priority="215" dxfId="1">
      <formula>AND(COUNT(C20:G20)=5,E20&lt;10*0.4)</formula>
    </cfRule>
    <cfRule type="expression" priority="216" dxfId="2">
      <formula>AND(COUNT(C20:G20)=5,E20&gt;=10*0.4,E20&lt;10)</formula>
    </cfRule>
  </conditionalFormatting>
  <conditionalFormatting sqref="E21">
    <cfRule type="expression" priority="217" dxfId="0">
      <formula>AND(COUNT(C21:G21)=5,E21=10)</formula>
    </cfRule>
    <cfRule type="expression" priority="218" dxfId="1">
      <formula>AND(COUNT(C21:G21)=5,E21&lt;10*0.4)</formula>
    </cfRule>
    <cfRule type="expression" priority="219" dxfId="2">
      <formula>AND(COUNT(C21:G21)=5,E21&gt;=10*0.4,E21&lt;10)</formula>
    </cfRule>
  </conditionalFormatting>
  <conditionalFormatting sqref="E22">
    <cfRule type="expression" priority="220" dxfId="0">
      <formula>AND(COUNT(C22:G22)=5,E22=10)</formula>
    </cfRule>
    <cfRule type="expression" priority="221" dxfId="1">
      <formula>AND(COUNT(C22:G22)=5,E22&lt;10*0.4)</formula>
    </cfRule>
    <cfRule type="expression" priority="222" dxfId="2">
      <formula>AND(COUNT(C22:G22)=5,E22&gt;=10*0.4,E22&lt;10)</formula>
    </cfRule>
  </conditionalFormatting>
  <conditionalFormatting sqref="E23">
    <cfRule type="expression" priority="223" dxfId="0">
      <formula>AND(COUNT(C23:G23)=5,E23=10)</formula>
    </cfRule>
    <cfRule type="expression" priority="224" dxfId="1">
      <formula>AND(COUNT(C23:G23)=5,E23&lt;10*0.4)</formula>
    </cfRule>
    <cfRule type="expression" priority="225" dxfId="2">
      <formula>AND(COUNT(C23:G23)=5,E23&gt;=10*0.4,E23&lt;10)</formula>
    </cfRule>
  </conditionalFormatting>
  <conditionalFormatting sqref="E24">
    <cfRule type="expression" priority="226" dxfId="0">
      <formula>AND(COUNT(C24:G24)=5,E24=10)</formula>
    </cfRule>
    <cfRule type="expression" priority="227" dxfId="1">
      <formula>AND(COUNT(C24:G24)=5,E24&lt;10*0.4)</formula>
    </cfRule>
    <cfRule type="expression" priority="228" dxfId="2">
      <formula>AND(COUNT(C24:G24)=5,E24&gt;=10*0.4,E24&lt;10)</formula>
    </cfRule>
  </conditionalFormatting>
  <conditionalFormatting sqref="E25">
    <cfRule type="expression" priority="229" dxfId="0">
      <formula>AND(COUNT(C25:G25)=5,E25=10)</formula>
    </cfRule>
    <cfRule type="expression" priority="230" dxfId="1">
      <formula>AND(COUNT(C25:G25)=5,E25&lt;10*0.4)</formula>
    </cfRule>
    <cfRule type="expression" priority="231" dxfId="2">
      <formula>AND(COUNT(C25:G25)=5,E25&gt;=10*0.4,E25&lt;10)</formula>
    </cfRule>
  </conditionalFormatting>
  <conditionalFormatting sqref="E26">
    <cfRule type="expression" priority="232" dxfId="0">
      <formula>AND(COUNT(C26:G26)=5,E26=10)</formula>
    </cfRule>
    <cfRule type="expression" priority="233" dxfId="1">
      <formula>AND(COUNT(C26:G26)=5,E26&lt;10*0.4)</formula>
    </cfRule>
    <cfRule type="expression" priority="234" dxfId="2">
      <formula>AND(COUNT(C26:G26)=5,E26&gt;=10*0.4,E26&lt;10)</formula>
    </cfRule>
  </conditionalFormatting>
  <conditionalFormatting sqref="E27">
    <cfRule type="expression" priority="235" dxfId="0">
      <formula>AND(COUNT(C27:G27)=5,E27=10)</formula>
    </cfRule>
    <cfRule type="expression" priority="236" dxfId="1">
      <formula>AND(COUNT(C27:G27)=5,E27&lt;10*0.4)</formula>
    </cfRule>
    <cfRule type="expression" priority="237" dxfId="2">
      <formula>AND(COUNT(C27:G27)=5,E27&gt;=10*0.4,E27&lt;10)</formula>
    </cfRule>
  </conditionalFormatting>
  <conditionalFormatting sqref="E28">
    <cfRule type="expression" priority="238" dxfId="0">
      <formula>AND(COUNT(C28:G28)=5,E28=10)</formula>
    </cfRule>
    <cfRule type="expression" priority="239" dxfId="1">
      <formula>AND(COUNT(C28:G28)=5,E28&lt;10*0.4)</formula>
    </cfRule>
    <cfRule type="expression" priority="240" dxfId="2">
      <formula>AND(COUNT(C28:G28)=5,E28&gt;=10*0.4,E28&lt;10)</formula>
    </cfRule>
  </conditionalFormatting>
  <conditionalFormatting sqref="E29">
    <cfRule type="expression" priority="241" dxfId="0">
      <formula>AND(COUNT(C29:G29)=5,E29=10)</formula>
    </cfRule>
    <cfRule type="expression" priority="242" dxfId="1">
      <formula>AND(COUNT(C29:G29)=5,E29&lt;10*0.4)</formula>
    </cfRule>
    <cfRule type="expression" priority="243" dxfId="2">
      <formula>AND(COUNT(C29:G29)=5,E29&gt;=10*0.4,E29&lt;10)</formula>
    </cfRule>
  </conditionalFormatting>
  <conditionalFormatting sqref="E30">
    <cfRule type="expression" priority="244" dxfId="0">
      <formula>AND(COUNT(C30:G30)=5,E30=10)</formula>
    </cfRule>
    <cfRule type="expression" priority="245" dxfId="1">
      <formula>AND(COUNT(C30:G30)=5,E30&lt;10*0.4)</formula>
    </cfRule>
    <cfRule type="expression" priority="246" dxfId="2">
      <formula>AND(COUNT(C30:G30)=5,E30&gt;=10*0.4,E30&lt;10)</formula>
    </cfRule>
  </conditionalFormatting>
  <conditionalFormatting sqref="E31">
    <cfRule type="expression" priority="247" dxfId="0">
      <formula>AND(COUNT(C31:G31)=5,E31=10)</formula>
    </cfRule>
    <cfRule type="expression" priority="248" dxfId="1">
      <formula>AND(COUNT(C31:G31)=5,E31&lt;10*0.4)</formula>
    </cfRule>
    <cfRule type="expression" priority="249" dxfId="2">
      <formula>AND(COUNT(C31:G31)=5,E31&gt;=10*0.4,E31&lt;10)</formula>
    </cfRule>
  </conditionalFormatting>
  <conditionalFormatting sqref="E32">
    <cfRule type="expression" priority="250" dxfId="0">
      <formula>AND(COUNT(C32:G32)=5,E32=10)</formula>
    </cfRule>
    <cfRule type="expression" priority="251" dxfId="1">
      <formula>AND(COUNT(C32:G32)=5,E32&lt;10*0.4)</formula>
    </cfRule>
    <cfRule type="expression" priority="252" dxfId="2">
      <formula>AND(COUNT(C32:G32)=5,E32&gt;=10*0.4,E32&lt;10)</formula>
    </cfRule>
  </conditionalFormatting>
  <conditionalFormatting sqref="E33">
    <cfRule type="expression" priority="253" dxfId="0">
      <formula>AND(COUNT(C33:G33)=5,E33=10)</formula>
    </cfRule>
    <cfRule type="expression" priority="254" dxfId="1">
      <formula>AND(COUNT(C33:G33)=5,E33&lt;10*0.4)</formula>
    </cfRule>
    <cfRule type="expression" priority="255" dxfId="2">
      <formula>AND(COUNT(C33:G33)=5,E33&gt;=10*0.4,E33&lt;10)</formula>
    </cfRule>
  </conditionalFormatting>
  <conditionalFormatting sqref="E34">
    <cfRule type="expression" priority="256" dxfId="0">
      <formula>AND(COUNT(C34:G34)=5,E34=10)</formula>
    </cfRule>
    <cfRule type="expression" priority="257" dxfId="1">
      <formula>AND(COUNT(C34:G34)=5,E34&lt;10*0.4)</formula>
    </cfRule>
    <cfRule type="expression" priority="258" dxfId="2">
      <formula>AND(COUNT(C34:G34)=5,E34&gt;=10*0.4,E34&lt;10)</formula>
    </cfRule>
  </conditionalFormatting>
  <conditionalFormatting sqref="E35">
    <cfRule type="expression" priority="259" dxfId="0">
      <formula>AND(COUNT(C35:G35)=5,E35=10)</formula>
    </cfRule>
    <cfRule type="expression" priority="260" dxfId="1">
      <formula>AND(COUNT(C35:G35)=5,E35&lt;10*0.4)</formula>
    </cfRule>
    <cfRule type="expression" priority="261" dxfId="2">
      <formula>AND(COUNT(C35:G35)=5,E35&gt;=10*0.4,E35&lt;10)</formula>
    </cfRule>
  </conditionalFormatting>
  <conditionalFormatting sqref="E36">
    <cfRule type="expression" priority="262" dxfId="0">
      <formula>AND(COUNT(C36:G36)=5,E36=10)</formula>
    </cfRule>
    <cfRule type="expression" priority="263" dxfId="1">
      <formula>AND(COUNT(C36:G36)=5,E36&lt;10*0.4)</formula>
    </cfRule>
    <cfRule type="expression" priority="264" dxfId="2">
      <formula>AND(COUNT(C36:G36)=5,E36&gt;=10*0.4,E36&lt;10)</formula>
    </cfRule>
  </conditionalFormatting>
  <conditionalFormatting sqref="E37">
    <cfRule type="expression" priority="265" dxfId="0">
      <formula>AND(COUNT(C37:G37)=5,E37=10)</formula>
    </cfRule>
    <cfRule type="expression" priority="266" dxfId="1">
      <formula>AND(COUNT(C37:G37)=5,E37&lt;10*0.4)</formula>
    </cfRule>
    <cfRule type="expression" priority="267" dxfId="2">
      <formula>AND(COUNT(C37:G37)=5,E37&gt;=10*0.4,E37&lt;10)</formula>
    </cfRule>
  </conditionalFormatting>
  <conditionalFormatting sqref="E38">
    <cfRule type="expression" priority="268" dxfId="0">
      <formula>AND(COUNT(C38:G38)=5,E38=10)</formula>
    </cfRule>
    <cfRule type="expression" priority="269" dxfId="1">
      <formula>AND(COUNT(C38:G38)=5,E38&lt;10*0.4)</formula>
    </cfRule>
    <cfRule type="expression" priority="270" dxfId="2">
      <formula>AND(COUNT(C38:G38)=5,E38&gt;=10*0.4,E38&lt;10)</formula>
    </cfRule>
  </conditionalFormatting>
  <conditionalFormatting sqref="E39">
    <cfRule type="expression" priority="271" dxfId="0">
      <formula>AND(COUNT(C39:G39)=5,E39=10)</formula>
    </cfRule>
    <cfRule type="expression" priority="272" dxfId="1">
      <formula>AND(COUNT(C39:G39)=5,E39&lt;10*0.4)</formula>
    </cfRule>
    <cfRule type="expression" priority="273" dxfId="2">
      <formula>AND(COUNT(C39:G39)=5,E39&gt;=10*0.4,E39&lt;10)</formula>
    </cfRule>
  </conditionalFormatting>
  <conditionalFormatting sqref="E40">
    <cfRule type="expression" priority="274" dxfId="0">
      <formula>AND(COUNT(C40:G40)=5,E40=10)</formula>
    </cfRule>
    <cfRule type="expression" priority="275" dxfId="1">
      <formula>AND(COUNT(C40:G40)=5,E40&lt;10*0.4)</formula>
    </cfRule>
    <cfRule type="expression" priority="276" dxfId="2">
      <formula>AND(COUNT(C40:G40)=5,E40&gt;=10*0.4,E40&lt;10)</formula>
    </cfRule>
  </conditionalFormatting>
  <conditionalFormatting sqref="E41">
    <cfRule type="expression" priority="277" dxfId="0">
      <formula>AND(COUNT(C41:G41)=5,E41=10)</formula>
    </cfRule>
    <cfRule type="expression" priority="278" dxfId="1">
      <formula>AND(COUNT(C41:G41)=5,E41&lt;10*0.4)</formula>
    </cfRule>
    <cfRule type="expression" priority="279" dxfId="2">
      <formula>AND(COUNT(C41:G41)=5,E41&gt;=10*0.4,E41&lt;10)</formula>
    </cfRule>
  </conditionalFormatting>
  <conditionalFormatting sqref="F11">
    <cfRule type="expression" priority="280" dxfId="0">
      <formula>AND(COUNT(C11:G11)=5,F11=7)</formula>
    </cfRule>
    <cfRule type="expression" priority="281" dxfId="1">
      <formula>AND(COUNT(C11:G11)=5,F11&lt;7*0.4)</formula>
    </cfRule>
    <cfRule type="expression" priority="282" dxfId="2">
      <formula>AND(COUNT(C11:G11)=5,F11&gt;=7*0.4,F11&lt;7)</formula>
    </cfRule>
  </conditionalFormatting>
  <conditionalFormatting sqref="F12">
    <cfRule type="expression" priority="283" dxfId="0">
      <formula>AND(COUNT(C12:G12)=5,F12=7)</formula>
    </cfRule>
    <cfRule type="expression" priority="284" dxfId="1">
      <formula>AND(COUNT(C12:G12)=5,F12&lt;7*0.4)</formula>
    </cfRule>
    <cfRule type="expression" priority="285" dxfId="2">
      <formula>AND(COUNT(C12:G12)=5,F12&gt;=7*0.4,F12&lt;7)</formula>
    </cfRule>
  </conditionalFormatting>
  <conditionalFormatting sqref="F13">
    <cfRule type="expression" priority="286" dxfId="0">
      <formula>AND(COUNT(C13:G13)=5,F13=7)</formula>
    </cfRule>
    <cfRule type="expression" priority="287" dxfId="1">
      <formula>AND(COUNT(C13:G13)=5,F13&lt;7*0.4)</formula>
    </cfRule>
    <cfRule type="expression" priority="288" dxfId="2">
      <formula>AND(COUNT(C13:G13)=5,F13&gt;=7*0.4,F13&lt;7)</formula>
    </cfRule>
  </conditionalFormatting>
  <conditionalFormatting sqref="F14">
    <cfRule type="expression" priority="289" dxfId="0">
      <formula>AND(COUNT(C14:G14)=5,F14=7)</formula>
    </cfRule>
    <cfRule type="expression" priority="290" dxfId="1">
      <formula>AND(COUNT(C14:G14)=5,F14&lt;7*0.4)</formula>
    </cfRule>
    <cfRule type="expression" priority="291" dxfId="2">
      <formula>AND(COUNT(C14:G14)=5,F14&gt;=7*0.4,F14&lt;7)</formula>
    </cfRule>
  </conditionalFormatting>
  <conditionalFormatting sqref="F15">
    <cfRule type="expression" priority="292" dxfId="0">
      <formula>AND(COUNT(C15:G15)=5,F15=7)</formula>
    </cfRule>
    <cfRule type="expression" priority="293" dxfId="1">
      <formula>AND(COUNT(C15:G15)=5,F15&lt;7*0.4)</formula>
    </cfRule>
    <cfRule type="expression" priority="294" dxfId="2">
      <formula>AND(COUNT(C15:G15)=5,F15&gt;=7*0.4,F15&lt;7)</formula>
    </cfRule>
  </conditionalFormatting>
  <conditionalFormatting sqref="F16">
    <cfRule type="expression" priority="295" dxfId="0">
      <formula>AND(COUNT(C16:G16)=5,F16=7)</formula>
    </cfRule>
    <cfRule type="expression" priority="296" dxfId="1">
      <formula>AND(COUNT(C16:G16)=5,F16&lt;7*0.4)</formula>
    </cfRule>
    <cfRule type="expression" priority="297" dxfId="2">
      <formula>AND(COUNT(C16:G16)=5,F16&gt;=7*0.4,F16&lt;7)</formula>
    </cfRule>
  </conditionalFormatting>
  <conditionalFormatting sqref="F17">
    <cfRule type="expression" priority="298" dxfId="0">
      <formula>AND(COUNT(C17:G17)=5,F17=7)</formula>
    </cfRule>
    <cfRule type="expression" priority="299" dxfId="1">
      <formula>AND(COUNT(C17:G17)=5,F17&lt;7*0.4)</formula>
    </cfRule>
    <cfRule type="expression" priority="300" dxfId="2">
      <formula>AND(COUNT(C17:G17)=5,F17&gt;=7*0.4,F17&lt;7)</formula>
    </cfRule>
  </conditionalFormatting>
  <conditionalFormatting sqref="F18">
    <cfRule type="expression" priority="301" dxfId="0">
      <formula>AND(COUNT(C18:G18)=5,F18=7)</formula>
    </cfRule>
    <cfRule type="expression" priority="302" dxfId="1">
      <formula>AND(COUNT(C18:G18)=5,F18&lt;7*0.4)</formula>
    </cfRule>
    <cfRule type="expression" priority="303" dxfId="2">
      <formula>AND(COUNT(C18:G18)=5,F18&gt;=7*0.4,F18&lt;7)</formula>
    </cfRule>
  </conditionalFormatting>
  <conditionalFormatting sqref="F19">
    <cfRule type="expression" priority="304" dxfId="0">
      <formula>AND(COUNT(C19:G19)=5,F19=7)</formula>
    </cfRule>
    <cfRule type="expression" priority="305" dxfId="1">
      <formula>AND(COUNT(C19:G19)=5,F19&lt;7*0.4)</formula>
    </cfRule>
    <cfRule type="expression" priority="306" dxfId="2">
      <formula>AND(COUNT(C19:G19)=5,F19&gt;=7*0.4,F19&lt;7)</formula>
    </cfRule>
  </conditionalFormatting>
  <conditionalFormatting sqref="F20">
    <cfRule type="expression" priority="307" dxfId="0">
      <formula>AND(COUNT(C20:G20)=5,F20=7)</formula>
    </cfRule>
    <cfRule type="expression" priority="308" dxfId="1">
      <formula>AND(COUNT(C20:G20)=5,F20&lt;7*0.4)</formula>
    </cfRule>
    <cfRule type="expression" priority="309" dxfId="2">
      <formula>AND(COUNT(C20:G20)=5,F20&gt;=7*0.4,F20&lt;7)</formula>
    </cfRule>
  </conditionalFormatting>
  <conditionalFormatting sqref="F21">
    <cfRule type="expression" priority="310" dxfId="0">
      <formula>AND(COUNT(C21:G21)=5,F21=7)</formula>
    </cfRule>
    <cfRule type="expression" priority="311" dxfId="1">
      <formula>AND(COUNT(C21:G21)=5,F21&lt;7*0.4)</formula>
    </cfRule>
    <cfRule type="expression" priority="312" dxfId="2">
      <formula>AND(COUNT(C21:G21)=5,F21&gt;=7*0.4,F21&lt;7)</formula>
    </cfRule>
  </conditionalFormatting>
  <conditionalFormatting sqref="F22">
    <cfRule type="expression" priority="313" dxfId="0">
      <formula>AND(COUNT(C22:G22)=5,F22=7)</formula>
    </cfRule>
    <cfRule type="expression" priority="314" dxfId="1">
      <formula>AND(COUNT(C22:G22)=5,F22&lt;7*0.4)</formula>
    </cfRule>
    <cfRule type="expression" priority="315" dxfId="2">
      <formula>AND(COUNT(C22:G22)=5,F22&gt;=7*0.4,F22&lt;7)</formula>
    </cfRule>
  </conditionalFormatting>
  <conditionalFormatting sqref="F23">
    <cfRule type="expression" priority="316" dxfId="0">
      <formula>AND(COUNT(C23:G23)=5,F23=7)</formula>
    </cfRule>
    <cfRule type="expression" priority="317" dxfId="1">
      <formula>AND(COUNT(C23:G23)=5,F23&lt;7*0.4)</formula>
    </cfRule>
    <cfRule type="expression" priority="318" dxfId="2">
      <formula>AND(COUNT(C23:G23)=5,F23&gt;=7*0.4,F23&lt;7)</formula>
    </cfRule>
  </conditionalFormatting>
  <conditionalFormatting sqref="F24">
    <cfRule type="expression" priority="319" dxfId="0">
      <formula>AND(COUNT(C24:G24)=5,F24=7)</formula>
    </cfRule>
    <cfRule type="expression" priority="320" dxfId="1">
      <formula>AND(COUNT(C24:G24)=5,F24&lt;7*0.4)</formula>
    </cfRule>
    <cfRule type="expression" priority="321" dxfId="2">
      <formula>AND(COUNT(C24:G24)=5,F24&gt;=7*0.4,F24&lt;7)</formula>
    </cfRule>
  </conditionalFormatting>
  <conditionalFormatting sqref="F25">
    <cfRule type="expression" priority="322" dxfId="0">
      <formula>AND(COUNT(C25:G25)=5,F25=7)</formula>
    </cfRule>
    <cfRule type="expression" priority="323" dxfId="1">
      <formula>AND(COUNT(C25:G25)=5,F25&lt;7*0.4)</formula>
    </cfRule>
    <cfRule type="expression" priority="324" dxfId="2">
      <formula>AND(COUNT(C25:G25)=5,F25&gt;=7*0.4,F25&lt;7)</formula>
    </cfRule>
  </conditionalFormatting>
  <conditionalFormatting sqref="F26">
    <cfRule type="expression" priority="325" dxfId="0">
      <formula>AND(COUNT(C26:G26)=5,F26=7)</formula>
    </cfRule>
    <cfRule type="expression" priority="326" dxfId="1">
      <formula>AND(COUNT(C26:G26)=5,F26&lt;7*0.4)</formula>
    </cfRule>
    <cfRule type="expression" priority="327" dxfId="2">
      <formula>AND(COUNT(C26:G26)=5,F26&gt;=7*0.4,F26&lt;7)</formula>
    </cfRule>
  </conditionalFormatting>
  <conditionalFormatting sqref="F27">
    <cfRule type="expression" priority="328" dxfId="0">
      <formula>AND(COUNT(C27:G27)=5,F27=7)</formula>
    </cfRule>
    <cfRule type="expression" priority="329" dxfId="1">
      <formula>AND(COUNT(C27:G27)=5,F27&lt;7*0.4)</formula>
    </cfRule>
    <cfRule type="expression" priority="330" dxfId="2">
      <formula>AND(COUNT(C27:G27)=5,F27&gt;=7*0.4,F27&lt;7)</formula>
    </cfRule>
  </conditionalFormatting>
  <conditionalFormatting sqref="F28">
    <cfRule type="expression" priority="331" dxfId="0">
      <formula>AND(COUNT(C28:G28)=5,F28=7)</formula>
    </cfRule>
    <cfRule type="expression" priority="332" dxfId="1">
      <formula>AND(COUNT(C28:G28)=5,F28&lt;7*0.4)</formula>
    </cfRule>
    <cfRule type="expression" priority="333" dxfId="2">
      <formula>AND(COUNT(C28:G28)=5,F28&gt;=7*0.4,F28&lt;7)</formula>
    </cfRule>
  </conditionalFormatting>
  <conditionalFormatting sqref="F29">
    <cfRule type="expression" priority="334" dxfId="0">
      <formula>AND(COUNT(C29:G29)=5,F29=7)</formula>
    </cfRule>
    <cfRule type="expression" priority="335" dxfId="1">
      <formula>AND(COUNT(C29:G29)=5,F29&lt;7*0.4)</formula>
    </cfRule>
    <cfRule type="expression" priority="336" dxfId="2">
      <formula>AND(COUNT(C29:G29)=5,F29&gt;=7*0.4,F29&lt;7)</formula>
    </cfRule>
  </conditionalFormatting>
  <conditionalFormatting sqref="F30">
    <cfRule type="expression" priority="337" dxfId="0">
      <formula>AND(COUNT(C30:G30)=5,F30=7)</formula>
    </cfRule>
    <cfRule type="expression" priority="338" dxfId="1">
      <formula>AND(COUNT(C30:G30)=5,F30&lt;7*0.4)</formula>
    </cfRule>
    <cfRule type="expression" priority="339" dxfId="2">
      <formula>AND(COUNT(C30:G30)=5,F30&gt;=7*0.4,F30&lt;7)</formula>
    </cfRule>
  </conditionalFormatting>
  <conditionalFormatting sqref="F31">
    <cfRule type="expression" priority="340" dxfId="0">
      <formula>AND(COUNT(C31:G31)=5,F31=7)</formula>
    </cfRule>
    <cfRule type="expression" priority="341" dxfId="1">
      <formula>AND(COUNT(C31:G31)=5,F31&lt;7*0.4)</formula>
    </cfRule>
    <cfRule type="expression" priority="342" dxfId="2">
      <formula>AND(COUNT(C31:G31)=5,F31&gt;=7*0.4,F31&lt;7)</formula>
    </cfRule>
  </conditionalFormatting>
  <conditionalFormatting sqref="F32">
    <cfRule type="expression" priority="343" dxfId="0">
      <formula>AND(COUNT(C32:G32)=5,F32=7)</formula>
    </cfRule>
    <cfRule type="expression" priority="344" dxfId="1">
      <formula>AND(COUNT(C32:G32)=5,F32&lt;7*0.4)</formula>
    </cfRule>
    <cfRule type="expression" priority="345" dxfId="2">
      <formula>AND(COUNT(C32:G32)=5,F32&gt;=7*0.4,F32&lt;7)</formula>
    </cfRule>
  </conditionalFormatting>
  <conditionalFormatting sqref="F33">
    <cfRule type="expression" priority="346" dxfId="0">
      <formula>AND(COUNT(C33:G33)=5,F33=7)</formula>
    </cfRule>
    <cfRule type="expression" priority="347" dxfId="1">
      <formula>AND(COUNT(C33:G33)=5,F33&lt;7*0.4)</formula>
    </cfRule>
    <cfRule type="expression" priority="348" dxfId="2">
      <formula>AND(COUNT(C33:G33)=5,F33&gt;=7*0.4,F33&lt;7)</formula>
    </cfRule>
  </conditionalFormatting>
  <conditionalFormatting sqref="F34">
    <cfRule type="expression" priority="349" dxfId="0">
      <formula>AND(COUNT(C34:G34)=5,F34=7)</formula>
    </cfRule>
    <cfRule type="expression" priority="350" dxfId="1">
      <formula>AND(COUNT(C34:G34)=5,F34&lt;7*0.4)</formula>
    </cfRule>
    <cfRule type="expression" priority="351" dxfId="2">
      <formula>AND(COUNT(C34:G34)=5,F34&gt;=7*0.4,F34&lt;7)</formula>
    </cfRule>
  </conditionalFormatting>
  <conditionalFormatting sqref="F35">
    <cfRule type="expression" priority="352" dxfId="0">
      <formula>AND(COUNT(C35:G35)=5,F35=7)</formula>
    </cfRule>
    <cfRule type="expression" priority="353" dxfId="1">
      <formula>AND(COUNT(C35:G35)=5,F35&lt;7*0.4)</formula>
    </cfRule>
    <cfRule type="expression" priority="354" dxfId="2">
      <formula>AND(COUNT(C35:G35)=5,F35&gt;=7*0.4,F35&lt;7)</formula>
    </cfRule>
  </conditionalFormatting>
  <conditionalFormatting sqref="F36">
    <cfRule type="expression" priority="355" dxfId="0">
      <formula>AND(COUNT(C36:G36)=5,F36=7)</formula>
    </cfRule>
    <cfRule type="expression" priority="356" dxfId="1">
      <formula>AND(COUNT(C36:G36)=5,F36&lt;7*0.4)</formula>
    </cfRule>
    <cfRule type="expression" priority="357" dxfId="2">
      <formula>AND(COUNT(C36:G36)=5,F36&gt;=7*0.4,F36&lt;7)</formula>
    </cfRule>
  </conditionalFormatting>
  <conditionalFormatting sqref="F37">
    <cfRule type="expression" priority="358" dxfId="0">
      <formula>AND(COUNT(C37:G37)=5,F37=7)</formula>
    </cfRule>
    <cfRule type="expression" priority="359" dxfId="1">
      <formula>AND(COUNT(C37:G37)=5,F37&lt;7*0.4)</formula>
    </cfRule>
    <cfRule type="expression" priority="360" dxfId="2">
      <formula>AND(COUNT(C37:G37)=5,F37&gt;=7*0.4,F37&lt;7)</formula>
    </cfRule>
  </conditionalFormatting>
  <conditionalFormatting sqref="F38">
    <cfRule type="expression" priority="361" dxfId="0">
      <formula>AND(COUNT(C38:G38)=5,F38=7)</formula>
    </cfRule>
    <cfRule type="expression" priority="362" dxfId="1">
      <formula>AND(COUNT(C38:G38)=5,F38&lt;7*0.4)</formula>
    </cfRule>
    <cfRule type="expression" priority="363" dxfId="2">
      <formula>AND(COUNT(C38:G38)=5,F38&gt;=7*0.4,F38&lt;7)</formula>
    </cfRule>
  </conditionalFormatting>
  <conditionalFormatting sqref="F39">
    <cfRule type="expression" priority="364" dxfId="0">
      <formula>AND(COUNT(C39:G39)=5,F39=7)</formula>
    </cfRule>
    <cfRule type="expression" priority="365" dxfId="1">
      <formula>AND(COUNT(C39:G39)=5,F39&lt;7*0.4)</formula>
    </cfRule>
    <cfRule type="expression" priority="366" dxfId="2">
      <formula>AND(COUNT(C39:G39)=5,F39&gt;=7*0.4,F39&lt;7)</formula>
    </cfRule>
  </conditionalFormatting>
  <conditionalFormatting sqref="F40">
    <cfRule type="expression" priority="367" dxfId="0">
      <formula>AND(COUNT(C40:G40)=5,F40=7)</formula>
    </cfRule>
    <cfRule type="expression" priority="368" dxfId="1">
      <formula>AND(COUNT(C40:G40)=5,F40&lt;7*0.4)</formula>
    </cfRule>
    <cfRule type="expression" priority="369" dxfId="2">
      <formula>AND(COUNT(C40:G40)=5,F40&gt;=7*0.4,F40&lt;7)</formula>
    </cfRule>
  </conditionalFormatting>
  <conditionalFormatting sqref="F41">
    <cfRule type="expression" priority="370" dxfId="0">
      <formula>AND(COUNT(C41:G41)=5,F41=7)</formula>
    </cfRule>
    <cfRule type="expression" priority="371" dxfId="1">
      <formula>AND(COUNT(C41:G41)=5,F41&lt;7*0.4)</formula>
    </cfRule>
    <cfRule type="expression" priority="372" dxfId="2">
      <formula>AND(COUNT(C41:G41)=5,F41&gt;=7*0.4,F41&lt;7)</formula>
    </cfRule>
  </conditionalFormatting>
  <conditionalFormatting sqref="G11">
    <cfRule type="expression" priority="373" dxfId="0">
      <formula>AND(COUNT(C11:G11)=5,G11=8)</formula>
    </cfRule>
    <cfRule type="expression" priority="374" dxfId="1">
      <formula>AND(COUNT(C11:G11)=5,G11&lt;8*0.4)</formula>
    </cfRule>
    <cfRule type="expression" priority="375" dxfId="2">
      <formula>AND(COUNT(C11:G11)=5,G11&gt;=8*0.4,G11&lt;8)</formula>
    </cfRule>
  </conditionalFormatting>
  <conditionalFormatting sqref="G12">
    <cfRule type="expression" priority="376" dxfId="0">
      <formula>AND(COUNT(C12:G12)=5,G12=8)</formula>
    </cfRule>
    <cfRule type="expression" priority="377" dxfId="1">
      <formula>AND(COUNT(C12:G12)=5,G12&lt;8*0.4)</formula>
    </cfRule>
    <cfRule type="expression" priority="378" dxfId="2">
      <formula>AND(COUNT(C12:G12)=5,G12&gt;=8*0.4,G12&lt;8)</formula>
    </cfRule>
  </conditionalFormatting>
  <conditionalFormatting sqref="G13">
    <cfRule type="expression" priority="379" dxfId="0">
      <formula>AND(COUNT(C13:G13)=5,G13=8)</formula>
    </cfRule>
    <cfRule type="expression" priority="380" dxfId="1">
      <formula>AND(COUNT(C13:G13)=5,G13&lt;8*0.4)</formula>
    </cfRule>
    <cfRule type="expression" priority="381" dxfId="2">
      <formula>AND(COUNT(C13:G13)=5,G13&gt;=8*0.4,G13&lt;8)</formula>
    </cfRule>
  </conditionalFormatting>
  <conditionalFormatting sqref="G14">
    <cfRule type="expression" priority="382" dxfId="0">
      <formula>AND(COUNT(C14:G14)=5,G14=8)</formula>
    </cfRule>
    <cfRule type="expression" priority="383" dxfId="1">
      <formula>AND(COUNT(C14:G14)=5,G14&lt;8*0.4)</formula>
    </cfRule>
    <cfRule type="expression" priority="384" dxfId="2">
      <formula>AND(COUNT(C14:G14)=5,G14&gt;=8*0.4,G14&lt;8)</formula>
    </cfRule>
  </conditionalFormatting>
  <conditionalFormatting sqref="G15">
    <cfRule type="expression" priority="385" dxfId="0">
      <formula>AND(COUNT(C15:G15)=5,G15=8)</formula>
    </cfRule>
    <cfRule type="expression" priority="386" dxfId="1">
      <formula>AND(COUNT(C15:G15)=5,G15&lt;8*0.4)</formula>
    </cfRule>
    <cfRule type="expression" priority="387" dxfId="2">
      <formula>AND(COUNT(C15:G15)=5,G15&gt;=8*0.4,G15&lt;8)</formula>
    </cfRule>
  </conditionalFormatting>
  <conditionalFormatting sqref="G16">
    <cfRule type="expression" priority="388" dxfId="0">
      <formula>AND(COUNT(C16:G16)=5,G16=8)</formula>
    </cfRule>
    <cfRule type="expression" priority="389" dxfId="1">
      <formula>AND(COUNT(C16:G16)=5,G16&lt;8*0.4)</formula>
    </cfRule>
    <cfRule type="expression" priority="390" dxfId="2">
      <formula>AND(COUNT(C16:G16)=5,G16&gt;=8*0.4,G16&lt;8)</formula>
    </cfRule>
  </conditionalFormatting>
  <conditionalFormatting sqref="G17">
    <cfRule type="expression" priority="391" dxfId="0">
      <formula>AND(COUNT(C17:G17)=5,G17=8)</formula>
    </cfRule>
    <cfRule type="expression" priority="392" dxfId="1">
      <formula>AND(COUNT(C17:G17)=5,G17&lt;8*0.4)</formula>
    </cfRule>
    <cfRule type="expression" priority="393" dxfId="2">
      <formula>AND(COUNT(C17:G17)=5,G17&gt;=8*0.4,G17&lt;8)</formula>
    </cfRule>
  </conditionalFormatting>
  <conditionalFormatting sqref="G18">
    <cfRule type="expression" priority="394" dxfId="0">
      <formula>AND(COUNT(C18:G18)=5,G18=8)</formula>
    </cfRule>
    <cfRule type="expression" priority="395" dxfId="1">
      <formula>AND(COUNT(C18:G18)=5,G18&lt;8*0.4)</formula>
    </cfRule>
    <cfRule type="expression" priority="396" dxfId="2">
      <formula>AND(COUNT(C18:G18)=5,G18&gt;=8*0.4,G18&lt;8)</formula>
    </cfRule>
  </conditionalFormatting>
  <conditionalFormatting sqref="G19">
    <cfRule type="expression" priority="397" dxfId="0">
      <formula>AND(COUNT(C19:G19)=5,G19=8)</formula>
    </cfRule>
    <cfRule type="expression" priority="398" dxfId="1">
      <formula>AND(COUNT(C19:G19)=5,G19&lt;8*0.4)</formula>
    </cfRule>
    <cfRule type="expression" priority="399" dxfId="2">
      <formula>AND(COUNT(C19:G19)=5,G19&gt;=8*0.4,G19&lt;8)</formula>
    </cfRule>
  </conditionalFormatting>
  <conditionalFormatting sqref="G20">
    <cfRule type="expression" priority="400" dxfId="0">
      <formula>AND(COUNT(C20:G20)=5,G20=8)</formula>
    </cfRule>
    <cfRule type="expression" priority="401" dxfId="1">
      <formula>AND(COUNT(C20:G20)=5,G20&lt;8*0.4)</formula>
    </cfRule>
    <cfRule type="expression" priority="402" dxfId="2">
      <formula>AND(COUNT(C20:G20)=5,G20&gt;=8*0.4,G20&lt;8)</formula>
    </cfRule>
  </conditionalFormatting>
  <conditionalFormatting sqref="G21">
    <cfRule type="expression" priority="403" dxfId="0">
      <formula>AND(COUNT(C21:G21)=5,G21=8)</formula>
    </cfRule>
    <cfRule type="expression" priority="404" dxfId="1">
      <formula>AND(COUNT(C21:G21)=5,G21&lt;8*0.4)</formula>
    </cfRule>
    <cfRule type="expression" priority="405" dxfId="2">
      <formula>AND(COUNT(C21:G21)=5,G21&gt;=8*0.4,G21&lt;8)</formula>
    </cfRule>
  </conditionalFormatting>
  <conditionalFormatting sqref="G22">
    <cfRule type="expression" priority="406" dxfId="0">
      <formula>AND(COUNT(C22:G22)=5,G22=8)</formula>
    </cfRule>
    <cfRule type="expression" priority="407" dxfId="1">
      <formula>AND(COUNT(C22:G22)=5,G22&lt;8*0.4)</formula>
    </cfRule>
    <cfRule type="expression" priority="408" dxfId="2">
      <formula>AND(COUNT(C22:G22)=5,G22&gt;=8*0.4,G22&lt;8)</formula>
    </cfRule>
  </conditionalFormatting>
  <conditionalFormatting sqref="G23">
    <cfRule type="expression" priority="409" dxfId="0">
      <formula>AND(COUNT(C23:G23)=5,G23=8)</formula>
    </cfRule>
    <cfRule type="expression" priority="410" dxfId="1">
      <formula>AND(COUNT(C23:G23)=5,G23&lt;8*0.4)</formula>
    </cfRule>
    <cfRule type="expression" priority="411" dxfId="2">
      <formula>AND(COUNT(C23:G23)=5,G23&gt;=8*0.4,G23&lt;8)</formula>
    </cfRule>
  </conditionalFormatting>
  <conditionalFormatting sqref="G24">
    <cfRule type="expression" priority="412" dxfId="0">
      <formula>AND(COUNT(C24:G24)=5,G24=8)</formula>
    </cfRule>
    <cfRule type="expression" priority="413" dxfId="1">
      <formula>AND(COUNT(C24:G24)=5,G24&lt;8*0.4)</formula>
    </cfRule>
    <cfRule type="expression" priority="414" dxfId="2">
      <formula>AND(COUNT(C24:G24)=5,G24&gt;=8*0.4,G24&lt;8)</formula>
    </cfRule>
  </conditionalFormatting>
  <conditionalFormatting sqref="G25">
    <cfRule type="expression" priority="415" dxfId="0">
      <formula>AND(COUNT(C25:G25)=5,G25=8)</formula>
    </cfRule>
    <cfRule type="expression" priority="416" dxfId="1">
      <formula>AND(COUNT(C25:G25)=5,G25&lt;8*0.4)</formula>
    </cfRule>
    <cfRule type="expression" priority="417" dxfId="2">
      <formula>AND(COUNT(C25:G25)=5,G25&gt;=8*0.4,G25&lt;8)</formula>
    </cfRule>
  </conditionalFormatting>
  <conditionalFormatting sqref="G26">
    <cfRule type="expression" priority="418" dxfId="0">
      <formula>AND(COUNT(C26:G26)=5,G26=8)</formula>
    </cfRule>
    <cfRule type="expression" priority="419" dxfId="1">
      <formula>AND(COUNT(C26:G26)=5,G26&lt;8*0.4)</formula>
    </cfRule>
    <cfRule type="expression" priority="420" dxfId="2">
      <formula>AND(COUNT(C26:G26)=5,G26&gt;=8*0.4,G26&lt;8)</formula>
    </cfRule>
  </conditionalFormatting>
  <conditionalFormatting sqref="G27">
    <cfRule type="expression" priority="421" dxfId="0">
      <formula>AND(COUNT(C27:G27)=5,G27=8)</formula>
    </cfRule>
    <cfRule type="expression" priority="422" dxfId="1">
      <formula>AND(COUNT(C27:G27)=5,G27&lt;8*0.4)</formula>
    </cfRule>
    <cfRule type="expression" priority="423" dxfId="2">
      <formula>AND(COUNT(C27:G27)=5,G27&gt;=8*0.4,G27&lt;8)</formula>
    </cfRule>
  </conditionalFormatting>
  <conditionalFormatting sqref="G28">
    <cfRule type="expression" priority="424" dxfId="0">
      <formula>AND(COUNT(C28:G28)=5,G28=8)</formula>
    </cfRule>
    <cfRule type="expression" priority="425" dxfId="1">
      <formula>AND(COUNT(C28:G28)=5,G28&lt;8*0.4)</formula>
    </cfRule>
    <cfRule type="expression" priority="426" dxfId="2">
      <formula>AND(COUNT(C28:G28)=5,G28&gt;=8*0.4,G28&lt;8)</formula>
    </cfRule>
  </conditionalFormatting>
  <conditionalFormatting sqref="G29">
    <cfRule type="expression" priority="427" dxfId="0">
      <formula>AND(COUNT(C29:G29)=5,G29=8)</formula>
    </cfRule>
    <cfRule type="expression" priority="428" dxfId="1">
      <formula>AND(COUNT(C29:G29)=5,G29&lt;8*0.4)</formula>
    </cfRule>
    <cfRule type="expression" priority="429" dxfId="2">
      <formula>AND(COUNT(C29:G29)=5,G29&gt;=8*0.4,G29&lt;8)</formula>
    </cfRule>
  </conditionalFormatting>
  <conditionalFormatting sqref="G30">
    <cfRule type="expression" priority="430" dxfId="0">
      <formula>AND(COUNT(C30:G30)=5,G30=8)</formula>
    </cfRule>
    <cfRule type="expression" priority="431" dxfId="1">
      <formula>AND(COUNT(C30:G30)=5,G30&lt;8*0.4)</formula>
    </cfRule>
    <cfRule type="expression" priority="432" dxfId="2">
      <formula>AND(COUNT(C30:G30)=5,G30&gt;=8*0.4,G30&lt;8)</formula>
    </cfRule>
  </conditionalFormatting>
  <conditionalFormatting sqref="G31">
    <cfRule type="expression" priority="433" dxfId="0">
      <formula>AND(COUNT(C31:G31)=5,G31=8)</formula>
    </cfRule>
    <cfRule type="expression" priority="434" dxfId="1">
      <formula>AND(COUNT(C31:G31)=5,G31&lt;8*0.4)</formula>
    </cfRule>
    <cfRule type="expression" priority="435" dxfId="2">
      <formula>AND(COUNT(C31:G31)=5,G31&gt;=8*0.4,G31&lt;8)</formula>
    </cfRule>
  </conditionalFormatting>
  <conditionalFormatting sqref="G32">
    <cfRule type="expression" priority="436" dxfId="0">
      <formula>AND(COUNT(C32:G32)=5,G32=8)</formula>
    </cfRule>
    <cfRule type="expression" priority="437" dxfId="1">
      <formula>AND(COUNT(C32:G32)=5,G32&lt;8*0.4)</formula>
    </cfRule>
    <cfRule type="expression" priority="438" dxfId="2">
      <formula>AND(COUNT(C32:G32)=5,G32&gt;=8*0.4,G32&lt;8)</formula>
    </cfRule>
  </conditionalFormatting>
  <conditionalFormatting sqref="G33">
    <cfRule type="expression" priority="439" dxfId="0">
      <formula>AND(COUNT(C33:G33)=5,G33=8)</formula>
    </cfRule>
    <cfRule type="expression" priority="440" dxfId="1">
      <formula>AND(COUNT(C33:G33)=5,G33&lt;8*0.4)</formula>
    </cfRule>
    <cfRule type="expression" priority="441" dxfId="2">
      <formula>AND(COUNT(C33:G33)=5,G33&gt;=8*0.4,G33&lt;8)</formula>
    </cfRule>
  </conditionalFormatting>
  <conditionalFormatting sqref="G34">
    <cfRule type="expression" priority="442" dxfId="0">
      <formula>AND(COUNT(C34:G34)=5,G34=8)</formula>
    </cfRule>
    <cfRule type="expression" priority="443" dxfId="1">
      <formula>AND(COUNT(C34:G34)=5,G34&lt;8*0.4)</formula>
    </cfRule>
    <cfRule type="expression" priority="444" dxfId="2">
      <formula>AND(COUNT(C34:G34)=5,G34&gt;=8*0.4,G34&lt;8)</formula>
    </cfRule>
  </conditionalFormatting>
  <conditionalFormatting sqref="G35">
    <cfRule type="expression" priority="445" dxfId="0">
      <formula>AND(COUNT(C35:G35)=5,G35=8)</formula>
    </cfRule>
    <cfRule type="expression" priority="446" dxfId="1">
      <formula>AND(COUNT(C35:G35)=5,G35&lt;8*0.4)</formula>
    </cfRule>
    <cfRule type="expression" priority="447" dxfId="2">
      <formula>AND(COUNT(C35:G35)=5,G35&gt;=8*0.4,G35&lt;8)</formula>
    </cfRule>
  </conditionalFormatting>
  <conditionalFormatting sqref="G36">
    <cfRule type="expression" priority="448" dxfId="0">
      <formula>AND(COUNT(C36:G36)=5,G36=8)</formula>
    </cfRule>
    <cfRule type="expression" priority="449" dxfId="1">
      <formula>AND(COUNT(C36:G36)=5,G36&lt;8*0.4)</formula>
    </cfRule>
    <cfRule type="expression" priority="450" dxfId="2">
      <formula>AND(COUNT(C36:G36)=5,G36&gt;=8*0.4,G36&lt;8)</formula>
    </cfRule>
  </conditionalFormatting>
  <conditionalFormatting sqref="G37">
    <cfRule type="expression" priority="451" dxfId="0">
      <formula>AND(COUNT(C37:G37)=5,G37=8)</formula>
    </cfRule>
    <cfRule type="expression" priority="452" dxfId="1">
      <formula>AND(COUNT(C37:G37)=5,G37&lt;8*0.4)</formula>
    </cfRule>
    <cfRule type="expression" priority="453" dxfId="2">
      <formula>AND(COUNT(C37:G37)=5,G37&gt;=8*0.4,G37&lt;8)</formula>
    </cfRule>
  </conditionalFormatting>
  <conditionalFormatting sqref="G38">
    <cfRule type="expression" priority="454" dxfId="0">
      <formula>AND(COUNT(C38:G38)=5,G38=8)</formula>
    </cfRule>
    <cfRule type="expression" priority="455" dxfId="1">
      <formula>AND(COUNT(C38:G38)=5,G38&lt;8*0.4)</formula>
    </cfRule>
    <cfRule type="expression" priority="456" dxfId="2">
      <formula>AND(COUNT(C38:G38)=5,G38&gt;=8*0.4,G38&lt;8)</formula>
    </cfRule>
  </conditionalFormatting>
  <conditionalFormatting sqref="G39">
    <cfRule type="expression" priority="457" dxfId="0">
      <formula>AND(COUNT(C39:G39)=5,G39=8)</formula>
    </cfRule>
    <cfRule type="expression" priority="458" dxfId="1">
      <formula>AND(COUNT(C39:G39)=5,G39&lt;8*0.4)</formula>
    </cfRule>
    <cfRule type="expression" priority="459" dxfId="2">
      <formula>AND(COUNT(C39:G39)=5,G39&gt;=8*0.4,G39&lt;8)</formula>
    </cfRule>
  </conditionalFormatting>
  <conditionalFormatting sqref="G40">
    <cfRule type="expression" priority="460" dxfId="0">
      <formula>AND(COUNT(C40:G40)=5,G40=8)</formula>
    </cfRule>
    <cfRule type="expression" priority="461" dxfId="1">
      <formula>AND(COUNT(C40:G40)=5,G40&lt;8*0.4)</formula>
    </cfRule>
    <cfRule type="expression" priority="462" dxfId="2">
      <formula>AND(COUNT(C40:G40)=5,G40&gt;=8*0.4,G40&lt;8)</formula>
    </cfRule>
  </conditionalFormatting>
  <conditionalFormatting sqref="G41">
    <cfRule type="expression" priority="463" dxfId="0">
      <formula>AND(COUNT(C41:G41)=5,G41=8)</formula>
    </cfRule>
    <cfRule type="expression" priority="464" dxfId="1">
      <formula>AND(COUNT(C41:G41)=5,G41&lt;8*0.4)</formula>
    </cfRule>
    <cfRule type="expression" priority="465" dxfId="2">
      <formula>AND(COUNT(C41:G41)=5,G41&gt;=8*0.4,G41&lt;8)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4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Chapter 1 End of Topic Test 2 — Analysis of Data</t>
        </is>
      </c>
    </row>
    <row r="2">
      <c r="A2" s="2" t="inlineStr">
        <is>
          <t>Every block below pulls live from 'Ch1 EOT2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SUMPRODUCT(--ISNUMBER('Ch1 EOT2 Results'!J12:J41))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IF('Ch1 EOT2 Results'!J12="","","Chapter 1 End of Topic Test 2 — Analysis of Data")</f>
        <v/>
      </c>
      <c r="K5">
        <f>IF('Ch1 EOT2 Results'!J13="","","Chapter 1 End of Topic Test 2 — Analysis of Data")</f>
        <v/>
      </c>
    </row>
    <row r="6">
      <c r="A6">
        <f>IF('Ch1 EOT2 Results'!J12="","","Name: "&amp;'Ch1 EOT2 Results'!B12&amp;"   Class: "&amp;'Ch1 EOT2 Results'!$B$3&amp;"   Date: "&amp;TEXT('Ch1 EOT2 Results'!$B$5,"DD/MM/YY"))</f>
        <v/>
      </c>
      <c r="K6">
        <f>IF('Ch1 EOT2 Results'!J13="","","Name: "&amp;'Ch1 EOT2 Results'!B13&amp;"   Class: "&amp;'Ch1 EOT2 Results'!$B$3&amp;"   Date: "&amp;TEXT('Ch1 EOT2 Results'!$B$5,"DD/MM/YY"))</f>
        <v/>
      </c>
    </row>
    <row r="7">
      <c r="A7">
        <f>IF('Ch1 EOT2 Results'!J12="","","Total: "&amp;'Ch1 EOT2 Results'!H12&amp;"/43 ("&amp;TEXT('Ch1 EOT2 Results'!I12,"0%")&amp;")   Overall: "&amp;'Ch1 EOT2 Results'!J12)</f>
        <v/>
      </c>
      <c r="K7">
        <f>IF('Ch1 EOT2 Results'!J13="","","Total: "&amp;'Ch1 EOT2 Results'!H13&amp;"/43 ("&amp;TEXT('Ch1 EOT2 Results'!I13,"0%")&amp;")   Overall: "&amp;'Ch1 EOT2 Results'!J13)</f>
        <v/>
      </c>
    </row>
    <row r="8">
      <c r="A8">
        <f>IF('Ch1 EOT2 Results'!J12="","",IF('Ch1 EOT2 Results'!J12="Green",Parameters!$C$79,IF('Ch1 EOT2 Results'!J12="Yellow",Parameters!$C$78,Parameters!$C$77)))</f>
        <v/>
      </c>
      <c r="K8">
        <f>IF('Ch1 EOT2 Results'!J13="","",IF('Ch1 EOT2 Results'!J13="Green",Parameters!$C$79,IF('Ch1 EOT2 Results'!J13="Yellow",Parameters!$C$78,Parameters!$C$77)))</f>
        <v/>
      </c>
    </row>
    <row r="10">
      <c r="A10">
        <f>IF('Ch1 EOT2 Results'!J12="","","Breakdown:")</f>
        <v/>
      </c>
      <c r="K10">
        <f>IF('Ch1 EOT2 Results'!J13="","","Breakdown:")</f>
        <v/>
      </c>
    </row>
    <row r="11">
      <c r="A11">
        <f>IF('Ch1 EOT2 Results'!J12="","","Q1 Comparing distributions using box plots: "&amp;'Ch1 EOT2 Results'!C12&amp;"/8")</f>
        <v/>
      </c>
      <c r="K11">
        <f>IF('Ch1 EOT2 Results'!J13="","","Q1 Comparing distributions using box plots: "&amp;'Ch1 EOT2 Results'!C13&amp;"/8")</f>
        <v/>
      </c>
    </row>
    <row r="12">
      <c r="A12">
        <f>IF('Ch1 EOT2 Results'!J12="","","Q2 Grouped mean &amp; median (interpolation): "&amp;'Ch1 EOT2 Results'!D12&amp;"/10")</f>
        <v/>
      </c>
      <c r="K12">
        <f>IF('Ch1 EOT2 Results'!J13="","","Q2 Grouped mean &amp; median (interpolation): "&amp;'Ch1 EOT2 Results'!D13&amp;"/10")</f>
        <v/>
      </c>
    </row>
    <row r="13">
      <c r="A13">
        <f>IF('Ch1 EOT2 Results'!J12="","","Q3 Histograms &amp; frequency density: "&amp;'Ch1 EOT2 Results'!E12&amp;"/10")</f>
        <v/>
      </c>
      <c r="K13">
        <f>IF('Ch1 EOT2 Results'!J13="","","Q3 Histograms &amp; frequency density: "&amp;'Ch1 EOT2 Results'!E13&amp;"/10")</f>
        <v/>
      </c>
    </row>
    <row r="14">
      <c r="A14">
        <f>IF('Ch1 EOT2 Results'!J12="","","Q4 Cumulative frequency graph &amp; percentiles: "&amp;'Ch1 EOT2 Results'!F12&amp;"/7")</f>
        <v/>
      </c>
      <c r="K14">
        <f>IF('Ch1 EOT2 Results'!J13="","","Q4 Cumulative frequency graph &amp; percentiles: "&amp;'Ch1 EOT2 Results'!F13&amp;"/7")</f>
        <v/>
      </c>
    </row>
    <row r="15">
      <c r="A15">
        <f>IF('Ch1 EOT2 Results'!J12="","","Q5 Interpreting survey results &amp; sampling bias: "&amp;'Ch1 EOT2 Results'!G12&amp;"/8")</f>
        <v/>
      </c>
      <c r="K15">
        <f>IF('Ch1 EOT2 Results'!J13="","","Q5 Interpreting survey results &amp; sampling bias: "&amp;'Ch1 EOT2 Results'!G13&amp;"/8")</f>
        <v/>
      </c>
    </row>
    <row r="16">
      <c r="A16">
        <f>IF(OR('Ch1 EOT2 Results'!J12="",'Ch1 EOT2 Results'!K12=""),"",'Ch1 EOT2 Results'!K12)</f>
        <v/>
      </c>
      <c r="K16">
        <f>IF(OR('Ch1 EOT2 Results'!J13="",'Ch1 EOT2 Results'!K13=""),"",'Ch1 EOT2 Results'!K13)</f>
        <v/>
      </c>
    </row>
    <row r="18">
      <c r="A18">
        <f>IF('Ch1 EOT2 Results'!J12="","","Comments:")</f>
        <v/>
      </c>
      <c r="K18">
        <f>IF('Ch1 EOT2 Results'!J13="","","Comments:")</f>
        <v/>
      </c>
    </row>
    <row r="21">
      <c r="A21">
        <f>IF('Ch1 EOT2 Results'!J14="","","Chapter 1 End of Topic Test 2 — Analysis of Data")</f>
        <v/>
      </c>
      <c r="K21">
        <f>IF('Ch1 EOT2 Results'!J15="","","Chapter 1 End of Topic Test 2 — Analysis of Data")</f>
        <v/>
      </c>
    </row>
    <row r="22">
      <c r="A22">
        <f>IF('Ch1 EOT2 Results'!J14="","","Name: "&amp;'Ch1 EOT2 Results'!B14&amp;"   Class: "&amp;'Ch1 EOT2 Results'!$B$3&amp;"   Date: "&amp;TEXT('Ch1 EOT2 Results'!$B$5,"DD/MM/YY"))</f>
        <v/>
      </c>
      <c r="K22">
        <f>IF('Ch1 EOT2 Results'!J15="","","Name: "&amp;'Ch1 EOT2 Results'!B15&amp;"   Class: "&amp;'Ch1 EOT2 Results'!$B$3&amp;"   Date: "&amp;TEXT('Ch1 EOT2 Results'!$B$5,"DD/MM/YY"))</f>
        <v/>
      </c>
    </row>
    <row r="23">
      <c r="A23">
        <f>IF('Ch1 EOT2 Results'!J14="","","Total: "&amp;'Ch1 EOT2 Results'!H14&amp;"/43 ("&amp;TEXT('Ch1 EOT2 Results'!I14,"0%")&amp;")   Overall: "&amp;'Ch1 EOT2 Results'!J14)</f>
        <v/>
      </c>
      <c r="K23">
        <f>IF('Ch1 EOT2 Results'!J15="","","Total: "&amp;'Ch1 EOT2 Results'!H15&amp;"/43 ("&amp;TEXT('Ch1 EOT2 Results'!I15,"0%")&amp;")   Overall: "&amp;'Ch1 EOT2 Results'!J15)</f>
        <v/>
      </c>
    </row>
    <row r="24">
      <c r="A24">
        <f>IF('Ch1 EOT2 Results'!J14="","",IF('Ch1 EOT2 Results'!J14="Green",Parameters!$C$79,IF('Ch1 EOT2 Results'!J14="Yellow",Parameters!$C$78,Parameters!$C$77)))</f>
        <v/>
      </c>
      <c r="K24">
        <f>IF('Ch1 EOT2 Results'!J15="","",IF('Ch1 EOT2 Results'!J15="Green",Parameters!$C$79,IF('Ch1 EOT2 Results'!J15="Yellow",Parameters!$C$78,Parameters!$C$77)))</f>
        <v/>
      </c>
    </row>
    <row r="26">
      <c r="A26">
        <f>IF('Ch1 EOT2 Results'!J14="","","Breakdown:")</f>
        <v/>
      </c>
      <c r="K26">
        <f>IF('Ch1 EOT2 Results'!J15="","","Breakdown:")</f>
        <v/>
      </c>
    </row>
    <row r="27">
      <c r="A27">
        <f>IF('Ch1 EOT2 Results'!J14="","","Q1 Comparing distributions using box plots: "&amp;'Ch1 EOT2 Results'!C14&amp;"/8")</f>
        <v/>
      </c>
      <c r="K27">
        <f>IF('Ch1 EOT2 Results'!J15="","","Q1 Comparing distributions using box plots: "&amp;'Ch1 EOT2 Results'!C15&amp;"/8")</f>
        <v/>
      </c>
    </row>
    <row r="28">
      <c r="A28">
        <f>IF('Ch1 EOT2 Results'!J14="","","Q2 Grouped mean &amp; median (interpolation): "&amp;'Ch1 EOT2 Results'!D14&amp;"/10")</f>
        <v/>
      </c>
      <c r="K28">
        <f>IF('Ch1 EOT2 Results'!J15="","","Q2 Grouped mean &amp; median (interpolation): "&amp;'Ch1 EOT2 Results'!D15&amp;"/10")</f>
        <v/>
      </c>
    </row>
    <row r="29">
      <c r="A29">
        <f>IF('Ch1 EOT2 Results'!J14="","","Q3 Histograms &amp; frequency density: "&amp;'Ch1 EOT2 Results'!E14&amp;"/10")</f>
        <v/>
      </c>
      <c r="K29">
        <f>IF('Ch1 EOT2 Results'!J15="","","Q3 Histograms &amp; frequency density: "&amp;'Ch1 EOT2 Results'!E15&amp;"/10")</f>
        <v/>
      </c>
    </row>
    <row r="30">
      <c r="A30">
        <f>IF('Ch1 EOT2 Results'!J14="","","Q4 Cumulative frequency graph &amp; percentiles: "&amp;'Ch1 EOT2 Results'!F14&amp;"/7")</f>
        <v/>
      </c>
      <c r="K30">
        <f>IF('Ch1 EOT2 Results'!J15="","","Q4 Cumulative frequency graph &amp; percentiles: "&amp;'Ch1 EOT2 Results'!F15&amp;"/7")</f>
        <v/>
      </c>
    </row>
    <row r="31">
      <c r="A31">
        <f>IF('Ch1 EOT2 Results'!J14="","","Q5 Interpreting survey results &amp; sampling bias: "&amp;'Ch1 EOT2 Results'!G14&amp;"/8")</f>
        <v/>
      </c>
      <c r="K31">
        <f>IF('Ch1 EOT2 Results'!J15="","","Q5 Interpreting survey results &amp; sampling bias: "&amp;'Ch1 EOT2 Results'!G15&amp;"/8")</f>
        <v/>
      </c>
    </row>
    <row r="32">
      <c r="A32">
        <f>IF(OR('Ch1 EOT2 Results'!J14="",'Ch1 EOT2 Results'!K14=""),"",'Ch1 EOT2 Results'!K14)</f>
        <v/>
      </c>
      <c r="K32">
        <f>IF(OR('Ch1 EOT2 Results'!J15="",'Ch1 EOT2 Results'!K15=""),"",'Ch1 EOT2 Results'!K15)</f>
        <v/>
      </c>
    </row>
    <row r="34">
      <c r="A34">
        <f>IF('Ch1 EOT2 Results'!J14="","","Comments:")</f>
        <v/>
      </c>
      <c r="K34">
        <f>IF('Ch1 EOT2 Results'!J15="","","Comments:")</f>
        <v/>
      </c>
    </row>
    <row r="37">
      <c r="A37">
        <f>IF('Ch1 EOT2 Results'!J16="","","Chapter 1 End of Topic Test 2 — Analysis of Data")</f>
        <v/>
      </c>
      <c r="K37">
        <f>IF('Ch1 EOT2 Results'!J17="","","Chapter 1 End of Topic Test 2 — Analysis of Data")</f>
        <v/>
      </c>
    </row>
    <row r="38">
      <c r="A38">
        <f>IF('Ch1 EOT2 Results'!J16="","","Name: "&amp;'Ch1 EOT2 Results'!B16&amp;"   Class: "&amp;'Ch1 EOT2 Results'!$B$3&amp;"   Date: "&amp;TEXT('Ch1 EOT2 Results'!$B$5,"DD/MM/YY"))</f>
        <v/>
      </c>
      <c r="K38">
        <f>IF('Ch1 EOT2 Results'!J17="","","Name: "&amp;'Ch1 EOT2 Results'!B17&amp;"   Class: "&amp;'Ch1 EOT2 Results'!$B$3&amp;"   Date: "&amp;TEXT('Ch1 EOT2 Results'!$B$5,"DD/MM/YY"))</f>
        <v/>
      </c>
    </row>
    <row r="39">
      <c r="A39">
        <f>IF('Ch1 EOT2 Results'!J16="","","Total: "&amp;'Ch1 EOT2 Results'!H16&amp;"/43 ("&amp;TEXT('Ch1 EOT2 Results'!I16,"0%")&amp;")   Overall: "&amp;'Ch1 EOT2 Results'!J16)</f>
        <v/>
      </c>
      <c r="K39">
        <f>IF('Ch1 EOT2 Results'!J17="","","Total: "&amp;'Ch1 EOT2 Results'!H17&amp;"/43 ("&amp;TEXT('Ch1 EOT2 Results'!I17,"0%")&amp;")   Overall: "&amp;'Ch1 EOT2 Results'!J17)</f>
        <v/>
      </c>
    </row>
    <row r="40">
      <c r="A40">
        <f>IF('Ch1 EOT2 Results'!J16="","",IF('Ch1 EOT2 Results'!J16="Green",Parameters!$C$79,IF('Ch1 EOT2 Results'!J16="Yellow",Parameters!$C$78,Parameters!$C$77)))</f>
        <v/>
      </c>
      <c r="K40">
        <f>IF('Ch1 EOT2 Results'!J17="","",IF('Ch1 EOT2 Results'!J17="Green",Parameters!$C$79,IF('Ch1 EOT2 Results'!J17="Yellow",Parameters!$C$78,Parameters!$C$77)))</f>
        <v/>
      </c>
    </row>
    <row r="42">
      <c r="A42">
        <f>IF('Ch1 EOT2 Results'!J16="","","Breakdown:")</f>
        <v/>
      </c>
      <c r="K42">
        <f>IF('Ch1 EOT2 Results'!J17="","","Breakdown:")</f>
        <v/>
      </c>
    </row>
    <row r="43">
      <c r="A43">
        <f>IF('Ch1 EOT2 Results'!J16="","","Q1 Comparing distributions using box plots: "&amp;'Ch1 EOT2 Results'!C16&amp;"/8")</f>
        <v/>
      </c>
      <c r="K43">
        <f>IF('Ch1 EOT2 Results'!J17="","","Q1 Comparing distributions using box plots: "&amp;'Ch1 EOT2 Results'!C17&amp;"/8")</f>
        <v/>
      </c>
    </row>
    <row r="44">
      <c r="A44">
        <f>IF('Ch1 EOT2 Results'!J16="","","Q2 Grouped mean &amp; median (interpolation): "&amp;'Ch1 EOT2 Results'!D16&amp;"/10")</f>
        <v/>
      </c>
      <c r="K44">
        <f>IF('Ch1 EOT2 Results'!J17="","","Q2 Grouped mean &amp; median (interpolation): "&amp;'Ch1 EOT2 Results'!D17&amp;"/10")</f>
        <v/>
      </c>
    </row>
    <row r="45">
      <c r="A45">
        <f>IF('Ch1 EOT2 Results'!J16="","","Q3 Histograms &amp; frequency density: "&amp;'Ch1 EOT2 Results'!E16&amp;"/10")</f>
        <v/>
      </c>
      <c r="K45">
        <f>IF('Ch1 EOT2 Results'!J17="","","Q3 Histograms &amp; frequency density: "&amp;'Ch1 EOT2 Results'!E17&amp;"/10")</f>
        <v/>
      </c>
    </row>
    <row r="46">
      <c r="A46">
        <f>IF('Ch1 EOT2 Results'!J16="","","Q4 Cumulative frequency graph &amp; percentiles: "&amp;'Ch1 EOT2 Results'!F16&amp;"/7")</f>
        <v/>
      </c>
      <c r="K46">
        <f>IF('Ch1 EOT2 Results'!J17="","","Q4 Cumulative frequency graph &amp; percentiles: "&amp;'Ch1 EOT2 Results'!F17&amp;"/7")</f>
        <v/>
      </c>
    </row>
    <row r="47">
      <c r="A47">
        <f>IF('Ch1 EOT2 Results'!J16="","","Q5 Interpreting survey results &amp; sampling bias: "&amp;'Ch1 EOT2 Results'!G16&amp;"/8")</f>
        <v/>
      </c>
      <c r="K47">
        <f>IF('Ch1 EOT2 Results'!J17="","","Q5 Interpreting survey results &amp; sampling bias: "&amp;'Ch1 EOT2 Results'!G17&amp;"/8")</f>
        <v/>
      </c>
    </row>
    <row r="48">
      <c r="A48">
        <f>IF(OR('Ch1 EOT2 Results'!J16="",'Ch1 EOT2 Results'!K16=""),"",'Ch1 EOT2 Results'!K16)</f>
        <v/>
      </c>
      <c r="K48">
        <f>IF(OR('Ch1 EOT2 Results'!J17="",'Ch1 EOT2 Results'!K17=""),"",'Ch1 EOT2 Results'!K17)</f>
        <v/>
      </c>
    </row>
    <row r="50">
      <c r="A50">
        <f>IF('Ch1 EOT2 Results'!J16="","","Comments:")</f>
        <v/>
      </c>
      <c r="K50">
        <f>IF('Ch1 EOT2 Results'!J17="","","Comments:")</f>
        <v/>
      </c>
    </row>
    <row r="53">
      <c r="A53">
        <f>IF('Ch1 EOT2 Results'!J18="","","Chapter 1 End of Topic Test 2 — Analysis of Data")</f>
        <v/>
      </c>
      <c r="K53">
        <f>IF('Ch1 EOT2 Results'!J19="","","Chapter 1 End of Topic Test 2 — Analysis of Data")</f>
        <v/>
      </c>
    </row>
    <row r="54">
      <c r="A54">
        <f>IF('Ch1 EOT2 Results'!J18="","","Name: "&amp;'Ch1 EOT2 Results'!B18&amp;"   Class: "&amp;'Ch1 EOT2 Results'!$B$3&amp;"   Date: "&amp;TEXT('Ch1 EOT2 Results'!$B$5,"DD/MM/YY"))</f>
        <v/>
      </c>
      <c r="K54">
        <f>IF('Ch1 EOT2 Results'!J19="","","Name: "&amp;'Ch1 EOT2 Results'!B19&amp;"   Class: "&amp;'Ch1 EOT2 Results'!$B$3&amp;"   Date: "&amp;TEXT('Ch1 EOT2 Results'!$B$5,"DD/MM/YY"))</f>
        <v/>
      </c>
    </row>
    <row r="55">
      <c r="A55">
        <f>IF('Ch1 EOT2 Results'!J18="","","Total: "&amp;'Ch1 EOT2 Results'!H18&amp;"/43 ("&amp;TEXT('Ch1 EOT2 Results'!I18,"0%")&amp;")   Overall: "&amp;'Ch1 EOT2 Results'!J18)</f>
        <v/>
      </c>
      <c r="K55">
        <f>IF('Ch1 EOT2 Results'!J19="","","Total: "&amp;'Ch1 EOT2 Results'!H19&amp;"/43 ("&amp;TEXT('Ch1 EOT2 Results'!I19,"0%")&amp;")   Overall: "&amp;'Ch1 EOT2 Results'!J19)</f>
        <v/>
      </c>
    </row>
    <row r="56">
      <c r="A56">
        <f>IF('Ch1 EOT2 Results'!J18="","",IF('Ch1 EOT2 Results'!J18="Green",Parameters!$C$79,IF('Ch1 EOT2 Results'!J18="Yellow",Parameters!$C$78,Parameters!$C$77)))</f>
        <v/>
      </c>
      <c r="K56">
        <f>IF('Ch1 EOT2 Results'!J19="","",IF('Ch1 EOT2 Results'!J19="Green",Parameters!$C$79,IF('Ch1 EOT2 Results'!J19="Yellow",Parameters!$C$78,Parameters!$C$77)))</f>
        <v/>
      </c>
    </row>
    <row r="58">
      <c r="A58">
        <f>IF('Ch1 EOT2 Results'!J18="","","Breakdown:")</f>
        <v/>
      </c>
      <c r="K58">
        <f>IF('Ch1 EOT2 Results'!J19="","","Breakdown:")</f>
        <v/>
      </c>
    </row>
    <row r="59">
      <c r="A59">
        <f>IF('Ch1 EOT2 Results'!J18="","","Q1 Comparing distributions using box plots: "&amp;'Ch1 EOT2 Results'!C18&amp;"/8")</f>
        <v/>
      </c>
      <c r="K59">
        <f>IF('Ch1 EOT2 Results'!J19="","","Q1 Comparing distributions using box plots: "&amp;'Ch1 EOT2 Results'!C19&amp;"/8")</f>
        <v/>
      </c>
    </row>
    <row r="60">
      <c r="A60">
        <f>IF('Ch1 EOT2 Results'!J18="","","Q2 Grouped mean &amp; median (interpolation): "&amp;'Ch1 EOT2 Results'!D18&amp;"/10")</f>
        <v/>
      </c>
      <c r="K60">
        <f>IF('Ch1 EOT2 Results'!J19="","","Q2 Grouped mean &amp; median (interpolation): "&amp;'Ch1 EOT2 Results'!D19&amp;"/10")</f>
        <v/>
      </c>
    </row>
    <row r="61">
      <c r="A61">
        <f>IF('Ch1 EOT2 Results'!J18="","","Q3 Histograms &amp; frequency density: "&amp;'Ch1 EOT2 Results'!E18&amp;"/10")</f>
        <v/>
      </c>
      <c r="K61">
        <f>IF('Ch1 EOT2 Results'!J19="","","Q3 Histograms &amp; frequency density: "&amp;'Ch1 EOT2 Results'!E19&amp;"/10")</f>
        <v/>
      </c>
    </row>
    <row r="62">
      <c r="A62">
        <f>IF('Ch1 EOT2 Results'!J18="","","Q4 Cumulative frequency graph &amp; percentiles: "&amp;'Ch1 EOT2 Results'!F18&amp;"/7")</f>
        <v/>
      </c>
      <c r="K62">
        <f>IF('Ch1 EOT2 Results'!J19="","","Q4 Cumulative frequency graph &amp; percentiles: "&amp;'Ch1 EOT2 Results'!F19&amp;"/7")</f>
        <v/>
      </c>
    </row>
    <row r="63">
      <c r="A63">
        <f>IF('Ch1 EOT2 Results'!J18="","","Q5 Interpreting survey results &amp; sampling bias: "&amp;'Ch1 EOT2 Results'!G18&amp;"/8")</f>
        <v/>
      </c>
      <c r="K63">
        <f>IF('Ch1 EOT2 Results'!J19="","","Q5 Interpreting survey results &amp; sampling bias: "&amp;'Ch1 EOT2 Results'!G19&amp;"/8")</f>
        <v/>
      </c>
    </row>
    <row r="64">
      <c r="A64">
        <f>IF(OR('Ch1 EOT2 Results'!J18="",'Ch1 EOT2 Results'!K18=""),"",'Ch1 EOT2 Results'!K18)</f>
        <v/>
      </c>
      <c r="K64">
        <f>IF(OR('Ch1 EOT2 Results'!J19="",'Ch1 EOT2 Results'!K19=""),"",'Ch1 EOT2 Results'!K19)</f>
        <v/>
      </c>
    </row>
    <row r="66">
      <c r="A66">
        <f>IF('Ch1 EOT2 Results'!J18="","","Comments:")</f>
        <v/>
      </c>
      <c r="K66">
        <f>IF('Ch1 EOT2 Results'!J19="","","Comments:")</f>
        <v/>
      </c>
    </row>
    <row r="69">
      <c r="A69">
        <f>IF('Ch1 EOT2 Results'!J20="","","Chapter 1 End of Topic Test 2 — Analysis of Data")</f>
        <v/>
      </c>
      <c r="K69">
        <f>IF('Ch1 EOT2 Results'!J21="","","Chapter 1 End of Topic Test 2 — Analysis of Data")</f>
        <v/>
      </c>
    </row>
    <row r="70">
      <c r="A70">
        <f>IF('Ch1 EOT2 Results'!J20="","","Name: "&amp;'Ch1 EOT2 Results'!B20&amp;"   Class: "&amp;'Ch1 EOT2 Results'!$B$3&amp;"   Date: "&amp;TEXT('Ch1 EOT2 Results'!$B$5,"DD/MM/YY"))</f>
        <v/>
      </c>
      <c r="K70">
        <f>IF('Ch1 EOT2 Results'!J21="","","Name: "&amp;'Ch1 EOT2 Results'!B21&amp;"   Class: "&amp;'Ch1 EOT2 Results'!$B$3&amp;"   Date: "&amp;TEXT('Ch1 EOT2 Results'!$B$5,"DD/MM/YY"))</f>
        <v/>
      </c>
    </row>
    <row r="71">
      <c r="A71">
        <f>IF('Ch1 EOT2 Results'!J20="","","Total: "&amp;'Ch1 EOT2 Results'!H20&amp;"/43 ("&amp;TEXT('Ch1 EOT2 Results'!I20,"0%")&amp;")   Overall: "&amp;'Ch1 EOT2 Results'!J20)</f>
        <v/>
      </c>
      <c r="K71">
        <f>IF('Ch1 EOT2 Results'!J21="","","Total: "&amp;'Ch1 EOT2 Results'!H21&amp;"/43 ("&amp;TEXT('Ch1 EOT2 Results'!I21,"0%")&amp;")   Overall: "&amp;'Ch1 EOT2 Results'!J21)</f>
        <v/>
      </c>
    </row>
    <row r="72">
      <c r="A72">
        <f>IF('Ch1 EOT2 Results'!J20="","",IF('Ch1 EOT2 Results'!J20="Green",Parameters!$C$79,IF('Ch1 EOT2 Results'!J20="Yellow",Parameters!$C$78,Parameters!$C$77)))</f>
        <v/>
      </c>
      <c r="K72">
        <f>IF('Ch1 EOT2 Results'!J21="","",IF('Ch1 EOT2 Results'!J21="Green",Parameters!$C$79,IF('Ch1 EOT2 Results'!J21="Yellow",Parameters!$C$78,Parameters!$C$77)))</f>
        <v/>
      </c>
    </row>
    <row r="74">
      <c r="A74">
        <f>IF('Ch1 EOT2 Results'!J20="","","Breakdown:")</f>
        <v/>
      </c>
      <c r="K74">
        <f>IF('Ch1 EOT2 Results'!J21="","","Breakdown:")</f>
        <v/>
      </c>
    </row>
    <row r="75">
      <c r="A75">
        <f>IF('Ch1 EOT2 Results'!J20="","","Q1 Comparing distributions using box plots: "&amp;'Ch1 EOT2 Results'!C20&amp;"/8")</f>
        <v/>
      </c>
      <c r="K75">
        <f>IF('Ch1 EOT2 Results'!J21="","","Q1 Comparing distributions using box plots: "&amp;'Ch1 EOT2 Results'!C21&amp;"/8")</f>
        <v/>
      </c>
    </row>
    <row r="76">
      <c r="A76">
        <f>IF('Ch1 EOT2 Results'!J20="","","Q2 Grouped mean &amp; median (interpolation): "&amp;'Ch1 EOT2 Results'!D20&amp;"/10")</f>
        <v/>
      </c>
      <c r="K76">
        <f>IF('Ch1 EOT2 Results'!J21="","","Q2 Grouped mean &amp; median (interpolation): "&amp;'Ch1 EOT2 Results'!D21&amp;"/10")</f>
        <v/>
      </c>
    </row>
    <row r="77">
      <c r="A77">
        <f>IF('Ch1 EOT2 Results'!J20="","","Q3 Histograms &amp; frequency density: "&amp;'Ch1 EOT2 Results'!E20&amp;"/10")</f>
        <v/>
      </c>
      <c r="K77">
        <f>IF('Ch1 EOT2 Results'!J21="","","Q3 Histograms &amp; frequency density: "&amp;'Ch1 EOT2 Results'!E21&amp;"/10")</f>
        <v/>
      </c>
    </row>
    <row r="78">
      <c r="A78">
        <f>IF('Ch1 EOT2 Results'!J20="","","Q4 Cumulative frequency graph &amp; percentiles: "&amp;'Ch1 EOT2 Results'!F20&amp;"/7")</f>
        <v/>
      </c>
      <c r="K78">
        <f>IF('Ch1 EOT2 Results'!J21="","","Q4 Cumulative frequency graph &amp; percentiles: "&amp;'Ch1 EOT2 Results'!F21&amp;"/7")</f>
        <v/>
      </c>
    </row>
    <row r="79">
      <c r="A79">
        <f>IF('Ch1 EOT2 Results'!J20="","","Q5 Interpreting survey results &amp; sampling bias: "&amp;'Ch1 EOT2 Results'!G20&amp;"/8")</f>
        <v/>
      </c>
      <c r="K79">
        <f>IF('Ch1 EOT2 Results'!J21="","","Q5 Interpreting survey results &amp; sampling bias: "&amp;'Ch1 EOT2 Results'!G21&amp;"/8")</f>
        <v/>
      </c>
    </row>
    <row r="80">
      <c r="A80">
        <f>IF(OR('Ch1 EOT2 Results'!J20="",'Ch1 EOT2 Results'!K20=""),"",'Ch1 EOT2 Results'!K20)</f>
        <v/>
      </c>
      <c r="K80">
        <f>IF(OR('Ch1 EOT2 Results'!J21="",'Ch1 EOT2 Results'!K21=""),"",'Ch1 EOT2 Results'!K21)</f>
        <v/>
      </c>
    </row>
    <row r="82">
      <c r="A82">
        <f>IF('Ch1 EOT2 Results'!J20="","","Comments:")</f>
        <v/>
      </c>
      <c r="K82">
        <f>IF('Ch1 EOT2 Results'!J21="","","Comments:")</f>
        <v/>
      </c>
    </row>
    <row r="85">
      <c r="A85">
        <f>IF('Ch1 EOT2 Results'!J22="","","Chapter 1 End of Topic Test 2 — Analysis of Data")</f>
        <v/>
      </c>
      <c r="K85">
        <f>IF('Ch1 EOT2 Results'!J23="","","Chapter 1 End of Topic Test 2 — Analysis of Data")</f>
        <v/>
      </c>
    </row>
    <row r="86">
      <c r="A86">
        <f>IF('Ch1 EOT2 Results'!J22="","","Name: "&amp;'Ch1 EOT2 Results'!B22&amp;"   Class: "&amp;'Ch1 EOT2 Results'!$B$3&amp;"   Date: "&amp;TEXT('Ch1 EOT2 Results'!$B$5,"DD/MM/YY"))</f>
        <v/>
      </c>
      <c r="K86">
        <f>IF('Ch1 EOT2 Results'!J23="","","Name: "&amp;'Ch1 EOT2 Results'!B23&amp;"   Class: "&amp;'Ch1 EOT2 Results'!$B$3&amp;"   Date: "&amp;TEXT('Ch1 EOT2 Results'!$B$5,"DD/MM/YY"))</f>
        <v/>
      </c>
    </row>
    <row r="87">
      <c r="A87">
        <f>IF('Ch1 EOT2 Results'!J22="","","Total: "&amp;'Ch1 EOT2 Results'!H22&amp;"/43 ("&amp;TEXT('Ch1 EOT2 Results'!I22,"0%")&amp;")   Overall: "&amp;'Ch1 EOT2 Results'!J22)</f>
        <v/>
      </c>
      <c r="K87">
        <f>IF('Ch1 EOT2 Results'!J23="","","Total: "&amp;'Ch1 EOT2 Results'!H23&amp;"/43 ("&amp;TEXT('Ch1 EOT2 Results'!I23,"0%")&amp;")   Overall: "&amp;'Ch1 EOT2 Results'!J23)</f>
        <v/>
      </c>
    </row>
    <row r="88">
      <c r="A88">
        <f>IF('Ch1 EOT2 Results'!J22="","",IF('Ch1 EOT2 Results'!J22="Green",Parameters!$C$79,IF('Ch1 EOT2 Results'!J22="Yellow",Parameters!$C$78,Parameters!$C$77)))</f>
        <v/>
      </c>
      <c r="K88">
        <f>IF('Ch1 EOT2 Results'!J23="","",IF('Ch1 EOT2 Results'!J23="Green",Parameters!$C$79,IF('Ch1 EOT2 Results'!J23="Yellow",Parameters!$C$78,Parameters!$C$77)))</f>
        <v/>
      </c>
    </row>
    <row r="90">
      <c r="A90">
        <f>IF('Ch1 EOT2 Results'!J22="","","Breakdown:")</f>
        <v/>
      </c>
      <c r="K90">
        <f>IF('Ch1 EOT2 Results'!J23="","","Breakdown:")</f>
        <v/>
      </c>
    </row>
    <row r="91">
      <c r="A91">
        <f>IF('Ch1 EOT2 Results'!J22="","","Q1 Comparing distributions using box plots: "&amp;'Ch1 EOT2 Results'!C22&amp;"/8")</f>
        <v/>
      </c>
      <c r="K91">
        <f>IF('Ch1 EOT2 Results'!J23="","","Q1 Comparing distributions using box plots: "&amp;'Ch1 EOT2 Results'!C23&amp;"/8")</f>
        <v/>
      </c>
    </row>
    <row r="92">
      <c r="A92">
        <f>IF('Ch1 EOT2 Results'!J22="","","Q2 Grouped mean &amp; median (interpolation): "&amp;'Ch1 EOT2 Results'!D22&amp;"/10")</f>
        <v/>
      </c>
      <c r="K92">
        <f>IF('Ch1 EOT2 Results'!J23="","","Q2 Grouped mean &amp; median (interpolation): "&amp;'Ch1 EOT2 Results'!D23&amp;"/10")</f>
        <v/>
      </c>
    </row>
    <row r="93">
      <c r="A93">
        <f>IF('Ch1 EOT2 Results'!J22="","","Q3 Histograms &amp; frequency density: "&amp;'Ch1 EOT2 Results'!E22&amp;"/10")</f>
        <v/>
      </c>
      <c r="K93">
        <f>IF('Ch1 EOT2 Results'!J23="","","Q3 Histograms &amp; frequency density: "&amp;'Ch1 EOT2 Results'!E23&amp;"/10")</f>
        <v/>
      </c>
    </row>
    <row r="94">
      <c r="A94">
        <f>IF('Ch1 EOT2 Results'!J22="","","Q4 Cumulative frequency graph &amp; percentiles: "&amp;'Ch1 EOT2 Results'!F22&amp;"/7")</f>
        <v/>
      </c>
      <c r="K94">
        <f>IF('Ch1 EOT2 Results'!J23="","","Q4 Cumulative frequency graph &amp; percentiles: "&amp;'Ch1 EOT2 Results'!F23&amp;"/7")</f>
        <v/>
      </c>
    </row>
    <row r="95">
      <c r="A95">
        <f>IF('Ch1 EOT2 Results'!J22="","","Q5 Interpreting survey results &amp; sampling bias: "&amp;'Ch1 EOT2 Results'!G22&amp;"/8")</f>
        <v/>
      </c>
      <c r="K95">
        <f>IF('Ch1 EOT2 Results'!J23="","","Q5 Interpreting survey results &amp; sampling bias: "&amp;'Ch1 EOT2 Results'!G23&amp;"/8")</f>
        <v/>
      </c>
    </row>
    <row r="96">
      <c r="A96">
        <f>IF(OR('Ch1 EOT2 Results'!J22="",'Ch1 EOT2 Results'!K22=""),"",'Ch1 EOT2 Results'!K22)</f>
        <v/>
      </c>
      <c r="K96">
        <f>IF(OR('Ch1 EOT2 Results'!J23="",'Ch1 EOT2 Results'!K23=""),"",'Ch1 EOT2 Results'!K23)</f>
        <v/>
      </c>
    </row>
    <row r="98">
      <c r="A98">
        <f>IF('Ch1 EOT2 Results'!J22="","","Comments:")</f>
        <v/>
      </c>
      <c r="K98">
        <f>IF('Ch1 EOT2 Results'!J23="","","Comments:")</f>
        <v/>
      </c>
    </row>
    <row r="101">
      <c r="A101">
        <f>IF('Ch1 EOT2 Results'!J24="","","Chapter 1 End of Topic Test 2 — Analysis of Data")</f>
        <v/>
      </c>
      <c r="K101">
        <f>IF('Ch1 EOT2 Results'!J25="","","Chapter 1 End of Topic Test 2 — Analysis of Data")</f>
        <v/>
      </c>
    </row>
    <row r="102">
      <c r="A102">
        <f>IF('Ch1 EOT2 Results'!J24="","","Name: "&amp;'Ch1 EOT2 Results'!B24&amp;"   Class: "&amp;'Ch1 EOT2 Results'!$B$3&amp;"   Date: "&amp;TEXT('Ch1 EOT2 Results'!$B$5,"DD/MM/YY"))</f>
        <v/>
      </c>
      <c r="K102">
        <f>IF('Ch1 EOT2 Results'!J25="","","Name: "&amp;'Ch1 EOT2 Results'!B25&amp;"   Class: "&amp;'Ch1 EOT2 Results'!$B$3&amp;"   Date: "&amp;TEXT('Ch1 EOT2 Results'!$B$5,"DD/MM/YY"))</f>
        <v/>
      </c>
    </row>
    <row r="103">
      <c r="A103">
        <f>IF('Ch1 EOT2 Results'!J24="","","Total: "&amp;'Ch1 EOT2 Results'!H24&amp;"/43 ("&amp;TEXT('Ch1 EOT2 Results'!I24,"0%")&amp;")   Overall: "&amp;'Ch1 EOT2 Results'!J24)</f>
        <v/>
      </c>
      <c r="K103">
        <f>IF('Ch1 EOT2 Results'!J25="","","Total: "&amp;'Ch1 EOT2 Results'!H25&amp;"/43 ("&amp;TEXT('Ch1 EOT2 Results'!I25,"0%")&amp;")   Overall: "&amp;'Ch1 EOT2 Results'!J25)</f>
        <v/>
      </c>
    </row>
    <row r="104">
      <c r="A104">
        <f>IF('Ch1 EOT2 Results'!J24="","",IF('Ch1 EOT2 Results'!J24="Green",Parameters!$C$79,IF('Ch1 EOT2 Results'!J24="Yellow",Parameters!$C$78,Parameters!$C$77)))</f>
        <v/>
      </c>
      <c r="K104">
        <f>IF('Ch1 EOT2 Results'!J25="","",IF('Ch1 EOT2 Results'!J25="Green",Parameters!$C$79,IF('Ch1 EOT2 Results'!J25="Yellow",Parameters!$C$78,Parameters!$C$77)))</f>
        <v/>
      </c>
    </row>
    <row r="106">
      <c r="A106">
        <f>IF('Ch1 EOT2 Results'!J24="","","Breakdown:")</f>
        <v/>
      </c>
      <c r="K106">
        <f>IF('Ch1 EOT2 Results'!J25="","","Breakdown:")</f>
        <v/>
      </c>
    </row>
    <row r="107">
      <c r="A107">
        <f>IF('Ch1 EOT2 Results'!J24="","","Q1 Comparing distributions using box plots: "&amp;'Ch1 EOT2 Results'!C24&amp;"/8")</f>
        <v/>
      </c>
      <c r="K107">
        <f>IF('Ch1 EOT2 Results'!J25="","","Q1 Comparing distributions using box plots: "&amp;'Ch1 EOT2 Results'!C25&amp;"/8")</f>
        <v/>
      </c>
    </row>
    <row r="108">
      <c r="A108">
        <f>IF('Ch1 EOT2 Results'!J24="","","Q2 Grouped mean &amp; median (interpolation): "&amp;'Ch1 EOT2 Results'!D24&amp;"/10")</f>
        <v/>
      </c>
      <c r="K108">
        <f>IF('Ch1 EOT2 Results'!J25="","","Q2 Grouped mean &amp; median (interpolation): "&amp;'Ch1 EOT2 Results'!D25&amp;"/10")</f>
        <v/>
      </c>
    </row>
    <row r="109">
      <c r="A109">
        <f>IF('Ch1 EOT2 Results'!J24="","","Q3 Histograms &amp; frequency density: "&amp;'Ch1 EOT2 Results'!E24&amp;"/10")</f>
        <v/>
      </c>
      <c r="K109">
        <f>IF('Ch1 EOT2 Results'!J25="","","Q3 Histograms &amp; frequency density: "&amp;'Ch1 EOT2 Results'!E25&amp;"/10")</f>
        <v/>
      </c>
    </row>
    <row r="110">
      <c r="A110">
        <f>IF('Ch1 EOT2 Results'!J24="","","Q4 Cumulative frequency graph &amp; percentiles: "&amp;'Ch1 EOT2 Results'!F24&amp;"/7")</f>
        <v/>
      </c>
      <c r="K110">
        <f>IF('Ch1 EOT2 Results'!J25="","","Q4 Cumulative frequency graph &amp; percentiles: "&amp;'Ch1 EOT2 Results'!F25&amp;"/7")</f>
        <v/>
      </c>
    </row>
    <row r="111">
      <c r="A111">
        <f>IF('Ch1 EOT2 Results'!J24="","","Q5 Interpreting survey results &amp; sampling bias: "&amp;'Ch1 EOT2 Results'!G24&amp;"/8")</f>
        <v/>
      </c>
      <c r="K111">
        <f>IF('Ch1 EOT2 Results'!J25="","","Q5 Interpreting survey results &amp; sampling bias: "&amp;'Ch1 EOT2 Results'!G25&amp;"/8")</f>
        <v/>
      </c>
    </row>
    <row r="112">
      <c r="A112">
        <f>IF(OR('Ch1 EOT2 Results'!J24="",'Ch1 EOT2 Results'!K24=""),"",'Ch1 EOT2 Results'!K24)</f>
        <v/>
      </c>
      <c r="K112">
        <f>IF(OR('Ch1 EOT2 Results'!J25="",'Ch1 EOT2 Results'!K25=""),"",'Ch1 EOT2 Results'!K25)</f>
        <v/>
      </c>
    </row>
    <row r="114">
      <c r="A114">
        <f>IF('Ch1 EOT2 Results'!J24="","","Comments:")</f>
        <v/>
      </c>
      <c r="K114">
        <f>IF('Ch1 EOT2 Results'!J25="","","Comments:")</f>
        <v/>
      </c>
    </row>
    <row r="117">
      <c r="A117">
        <f>IF('Ch1 EOT2 Results'!J26="","","Chapter 1 End of Topic Test 2 — Analysis of Data")</f>
        <v/>
      </c>
      <c r="K117">
        <f>IF('Ch1 EOT2 Results'!J27="","","Chapter 1 End of Topic Test 2 — Analysis of Data")</f>
        <v/>
      </c>
    </row>
    <row r="118">
      <c r="A118">
        <f>IF('Ch1 EOT2 Results'!J26="","","Name: "&amp;'Ch1 EOT2 Results'!B26&amp;"   Class: "&amp;'Ch1 EOT2 Results'!$B$3&amp;"   Date: "&amp;TEXT('Ch1 EOT2 Results'!$B$5,"DD/MM/YY"))</f>
        <v/>
      </c>
      <c r="K118">
        <f>IF('Ch1 EOT2 Results'!J27="","","Name: "&amp;'Ch1 EOT2 Results'!B27&amp;"   Class: "&amp;'Ch1 EOT2 Results'!$B$3&amp;"   Date: "&amp;TEXT('Ch1 EOT2 Results'!$B$5,"DD/MM/YY"))</f>
        <v/>
      </c>
    </row>
    <row r="119">
      <c r="A119">
        <f>IF('Ch1 EOT2 Results'!J26="","","Total: "&amp;'Ch1 EOT2 Results'!H26&amp;"/43 ("&amp;TEXT('Ch1 EOT2 Results'!I26,"0%")&amp;")   Overall: "&amp;'Ch1 EOT2 Results'!J26)</f>
        <v/>
      </c>
      <c r="K119">
        <f>IF('Ch1 EOT2 Results'!J27="","","Total: "&amp;'Ch1 EOT2 Results'!H27&amp;"/43 ("&amp;TEXT('Ch1 EOT2 Results'!I27,"0%")&amp;")   Overall: "&amp;'Ch1 EOT2 Results'!J27)</f>
        <v/>
      </c>
    </row>
    <row r="120">
      <c r="A120">
        <f>IF('Ch1 EOT2 Results'!J26="","",IF('Ch1 EOT2 Results'!J26="Green",Parameters!$C$79,IF('Ch1 EOT2 Results'!J26="Yellow",Parameters!$C$78,Parameters!$C$77)))</f>
        <v/>
      </c>
      <c r="K120">
        <f>IF('Ch1 EOT2 Results'!J27="","",IF('Ch1 EOT2 Results'!J27="Green",Parameters!$C$79,IF('Ch1 EOT2 Results'!J27="Yellow",Parameters!$C$78,Parameters!$C$77)))</f>
        <v/>
      </c>
    </row>
    <row r="122">
      <c r="A122">
        <f>IF('Ch1 EOT2 Results'!J26="","","Breakdown:")</f>
        <v/>
      </c>
      <c r="K122">
        <f>IF('Ch1 EOT2 Results'!J27="","","Breakdown:")</f>
        <v/>
      </c>
    </row>
    <row r="123">
      <c r="A123">
        <f>IF('Ch1 EOT2 Results'!J26="","","Q1 Comparing distributions using box plots: "&amp;'Ch1 EOT2 Results'!C26&amp;"/8")</f>
        <v/>
      </c>
      <c r="K123">
        <f>IF('Ch1 EOT2 Results'!J27="","","Q1 Comparing distributions using box plots: "&amp;'Ch1 EOT2 Results'!C27&amp;"/8")</f>
        <v/>
      </c>
    </row>
    <row r="124">
      <c r="A124">
        <f>IF('Ch1 EOT2 Results'!J26="","","Q2 Grouped mean &amp; median (interpolation): "&amp;'Ch1 EOT2 Results'!D26&amp;"/10")</f>
        <v/>
      </c>
      <c r="K124">
        <f>IF('Ch1 EOT2 Results'!J27="","","Q2 Grouped mean &amp; median (interpolation): "&amp;'Ch1 EOT2 Results'!D27&amp;"/10")</f>
        <v/>
      </c>
    </row>
    <row r="125">
      <c r="A125">
        <f>IF('Ch1 EOT2 Results'!J26="","","Q3 Histograms &amp; frequency density: "&amp;'Ch1 EOT2 Results'!E26&amp;"/10")</f>
        <v/>
      </c>
      <c r="K125">
        <f>IF('Ch1 EOT2 Results'!J27="","","Q3 Histograms &amp; frequency density: "&amp;'Ch1 EOT2 Results'!E27&amp;"/10")</f>
        <v/>
      </c>
    </row>
    <row r="126">
      <c r="A126">
        <f>IF('Ch1 EOT2 Results'!J26="","","Q4 Cumulative frequency graph &amp; percentiles: "&amp;'Ch1 EOT2 Results'!F26&amp;"/7")</f>
        <v/>
      </c>
      <c r="K126">
        <f>IF('Ch1 EOT2 Results'!J27="","","Q4 Cumulative frequency graph &amp; percentiles: "&amp;'Ch1 EOT2 Results'!F27&amp;"/7")</f>
        <v/>
      </c>
    </row>
    <row r="127">
      <c r="A127">
        <f>IF('Ch1 EOT2 Results'!J26="","","Q5 Interpreting survey results &amp; sampling bias: "&amp;'Ch1 EOT2 Results'!G26&amp;"/8")</f>
        <v/>
      </c>
      <c r="K127">
        <f>IF('Ch1 EOT2 Results'!J27="","","Q5 Interpreting survey results &amp; sampling bias: "&amp;'Ch1 EOT2 Results'!G27&amp;"/8")</f>
        <v/>
      </c>
    </row>
    <row r="128">
      <c r="A128">
        <f>IF(OR('Ch1 EOT2 Results'!J26="",'Ch1 EOT2 Results'!K26=""),"",'Ch1 EOT2 Results'!K26)</f>
        <v/>
      </c>
      <c r="K128">
        <f>IF(OR('Ch1 EOT2 Results'!J27="",'Ch1 EOT2 Results'!K27=""),"",'Ch1 EOT2 Results'!K27)</f>
        <v/>
      </c>
    </row>
    <row r="130">
      <c r="A130">
        <f>IF('Ch1 EOT2 Results'!J26="","","Comments:")</f>
        <v/>
      </c>
      <c r="K130">
        <f>IF('Ch1 EOT2 Results'!J27="","","Comments:")</f>
        <v/>
      </c>
    </row>
    <row r="133">
      <c r="A133">
        <f>IF('Ch1 EOT2 Results'!J28="","","Chapter 1 End of Topic Test 2 — Analysis of Data")</f>
        <v/>
      </c>
      <c r="K133">
        <f>IF('Ch1 EOT2 Results'!J29="","","Chapter 1 End of Topic Test 2 — Analysis of Data")</f>
        <v/>
      </c>
    </row>
    <row r="134">
      <c r="A134">
        <f>IF('Ch1 EOT2 Results'!J28="","","Name: "&amp;'Ch1 EOT2 Results'!B28&amp;"   Class: "&amp;'Ch1 EOT2 Results'!$B$3&amp;"   Date: "&amp;TEXT('Ch1 EOT2 Results'!$B$5,"DD/MM/YY"))</f>
        <v/>
      </c>
      <c r="K134">
        <f>IF('Ch1 EOT2 Results'!J29="","","Name: "&amp;'Ch1 EOT2 Results'!B29&amp;"   Class: "&amp;'Ch1 EOT2 Results'!$B$3&amp;"   Date: "&amp;TEXT('Ch1 EOT2 Results'!$B$5,"DD/MM/YY"))</f>
        <v/>
      </c>
    </row>
    <row r="135">
      <c r="A135">
        <f>IF('Ch1 EOT2 Results'!J28="","","Total: "&amp;'Ch1 EOT2 Results'!H28&amp;"/43 ("&amp;TEXT('Ch1 EOT2 Results'!I28,"0%")&amp;")   Overall: "&amp;'Ch1 EOT2 Results'!J28)</f>
        <v/>
      </c>
      <c r="K135">
        <f>IF('Ch1 EOT2 Results'!J29="","","Total: "&amp;'Ch1 EOT2 Results'!H29&amp;"/43 ("&amp;TEXT('Ch1 EOT2 Results'!I29,"0%")&amp;")   Overall: "&amp;'Ch1 EOT2 Results'!J29)</f>
        <v/>
      </c>
    </row>
    <row r="136">
      <c r="A136">
        <f>IF('Ch1 EOT2 Results'!J28="","",IF('Ch1 EOT2 Results'!J28="Green",Parameters!$C$79,IF('Ch1 EOT2 Results'!J28="Yellow",Parameters!$C$78,Parameters!$C$77)))</f>
        <v/>
      </c>
      <c r="K136">
        <f>IF('Ch1 EOT2 Results'!J29="","",IF('Ch1 EOT2 Results'!J29="Green",Parameters!$C$79,IF('Ch1 EOT2 Results'!J29="Yellow",Parameters!$C$78,Parameters!$C$77)))</f>
        <v/>
      </c>
    </row>
    <row r="138">
      <c r="A138">
        <f>IF('Ch1 EOT2 Results'!J28="","","Breakdown:")</f>
        <v/>
      </c>
      <c r="K138">
        <f>IF('Ch1 EOT2 Results'!J29="","","Breakdown:")</f>
        <v/>
      </c>
    </row>
    <row r="139">
      <c r="A139">
        <f>IF('Ch1 EOT2 Results'!J28="","","Q1 Comparing distributions using box plots: "&amp;'Ch1 EOT2 Results'!C28&amp;"/8")</f>
        <v/>
      </c>
      <c r="K139">
        <f>IF('Ch1 EOT2 Results'!J29="","","Q1 Comparing distributions using box plots: "&amp;'Ch1 EOT2 Results'!C29&amp;"/8")</f>
        <v/>
      </c>
    </row>
    <row r="140">
      <c r="A140">
        <f>IF('Ch1 EOT2 Results'!J28="","","Q2 Grouped mean &amp; median (interpolation): "&amp;'Ch1 EOT2 Results'!D28&amp;"/10")</f>
        <v/>
      </c>
      <c r="K140">
        <f>IF('Ch1 EOT2 Results'!J29="","","Q2 Grouped mean &amp; median (interpolation): "&amp;'Ch1 EOT2 Results'!D29&amp;"/10")</f>
        <v/>
      </c>
    </row>
    <row r="141">
      <c r="A141">
        <f>IF('Ch1 EOT2 Results'!J28="","","Q3 Histograms &amp; frequency density: "&amp;'Ch1 EOT2 Results'!E28&amp;"/10")</f>
        <v/>
      </c>
      <c r="K141">
        <f>IF('Ch1 EOT2 Results'!J29="","","Q3 Histograms &amp; frequency density: "&amp;'Ch1 EOT2 Results'!E29&amp;"/10")</f>
        <v/>
      </c>
    </row>
    <row r="142">
      <c r="A142">
        <f>IF('Ch1 EOT2 Results'!J28="","","Q4 Cumulative frequency graph &amp; percentiles: "&amp;'Ch1 EOT2 Results'!F28&amp;"/7")</f>
        <v/>
      </c>
      <c r="K142">
        <f>IF('Ch1 EOT2 Results'!J29="","","Q4 Cumulative frequency graph &amp; percentiles: "&amp;'Ch1 EOT2 Results'!F29&amp;"/7")</f>
        <v/>
      </c>
    </row>
    <row r="143">
      <c r="A143">
        <f>IF('Ch1 EOT2 Results'!J28="","","Q5 Interpreting survey results &amp; sampling bias: "&amp;'Ch1 EOT2 Results'!G28&amp;"/8")</f>
        <v/>
      </c>
      <c r="K143">
        <f>IF('Ch1 EOT2 Results'!J29="","","Q5 Interpreting survey results &amp; sampling bias: "&amp;'Ch1 EOT2 Results'!G29&amp;"/8")</f>
        <v/>
      </c>
    </row>
    <row r="144">
      <c r="A144">
        <f>IF(OR('Ch1 EOT2 Results'!J28="",'Ch1 EOT2 Results'!K28=""),"",'Ch1 EOT2 Results'!K28)</f>
        <v/>
      </c>
      <c r="K144">
        <f>IF(OR('Ch1 EOT2 Results'!J29="",'Ch1 EOT2 Results'!K29=""),"",'Ch1 EOT2 Results'!K29)</f>
        <v/>
      </c>
    </row>
    <row r="146">
      <c r="A146">
        <f>IF('Ch1 EOT2 Results'!J28="","","Comments:")</f>
        <v/>
      </c>
      <c r="K146">
        <f>IF('Ch1 EOT2 Results'!J29="","","Comments:")</f>
        <v/>
      </c>
    </row>
    <row r="149">
      <c r="A149">
        <f>IF('Ch1 EOT2 Results'!J30="","","Chapter 1 End of Topic Test 2 — Analysis of Data")</f>
        <v/>
      </c>
      <c r="K149">
        <f>IF('Ch1 EOT2 Results'!J31="","","Chapter 1 End of Topic Test 2 — Analysis of Data")</f>
        <v/>
      </c>
    </row>
    <row r="150">
      <c r="A150">
        <f>IF('Ch1 EOT2 Results'!J30="","","Name: "&amp;'Ch1 EOT2 Results'!B30&amp;"   Class: "&amp;'Ch1 EOT2 Results'!$B$3&amp;"   Date: "&amp;TEXT('Ch1 EOT2 Results'!$B$5,"DD/MM/YY"))</f>
        <v/>
      </c>
      <c r="K150">
        <f>IF('Ch1 EOT2 Results'!J31="","","Name: "&amp;'Ch1 EOT2 Results'!B31&amp;"   Class: "&amp;'Ch1 EOT2 Results'!$B$3&amp;"   Date: "&amp;TEXT('Ch1 EOT2 Results'!$B$5,"DD/MM/YY"))</f>
        <v/>
      </c>
    </row>
    <row r="151">
      <c r="A151">
        <f>IF('Ch1 EOT2 Results'!J30="","","Total: "&amp;'Ch1 EOT2 Results'!H30&amp;"/43 ("&amp;TEXT('Ch1 EOT2 Results'!I30,"0%")&amp;")   Overall: "&amp;'Ch1 EOT2 Results'!J30)</f>
        <v/>
      </c>
      <c r="K151">
        <f>IF('Ch1 EOT2 Results'!J31="","","Total: "&amp;'Ch1 EOT2 Results'!H31&amp;"/43 ("&amp;TEXT('Ch1 EOT2 Results'!I31,"0%")&amp;")   Overall: "&amp;'Ch1 EOT2 Results'!J31)</f>
        <v/>
      </c>
    </row>
    <row r="152">
      <c r="A152">
        <f>IF('Ch1 EOT2 Results'!J30="","",IF('Ch1 EOT2 Results'!J30="Green",Parameters!$C$79,IF('Ch1 EOT2 Results'!J30="Yellow",Parameters!$C$78,Parameters!$C$77)))</f>
        <v/>
      </c>
      <c r="K152">
        <f>IF('Ch1 EOT2 Results'!J31="","",IF('Ch1 EOT2 Results'!J31="Green",Parameters!$C$79,IF('Ch1 EOT2 Results'!J31="Yellow",Parameters!$C$78,Parameters!$C$77)))</f>
        <v/>
      </c>
    </row>
    <row r="154">
      <c r="A154">
        <f>IF('Ch1 EOT2 Results'!J30="","","Breakdown:")</f>
        <v/>
      </c>
      <c r="K154">
        <f>IF('Ch1 EOT2 Results'!J31="","","Breakdown:")</f>
        <v/>
      </c>
    </row>
    <row r="155">
      <c r="A155">
        <f>IF('Ch1 EOT2 Results'!J30="","","Q1 Comparing distributions using box plots: "&amp;'Ch1 EOT2 Results'!C30&amp;"/8")</f>
        <v/>
      </c>
      <c r="K155">
        <f>IF('Ch1 EOT2 Results'!J31="","","Q1 Comparing distributions using box plots: "&amp;'Ch1 EOT2 Results'!C31&amp;"/8")</f>
        <v/>
      </c>
    </row>
    <row r="156">
      <c r="A156">
        <f>IF('Ch1 EOT2 Results'!J30="","","Q2 Grouped mean &amp; median (interpolation): "&amp;'Ch1 EOT2 Results'!D30&amp;"/10")</f>
        <v/>
      </c>
      <c r="K156">
        <f>IF('Ch1 EOT2 Results'!J31="","","Q2 Grouped mean &amp; median (interpolation): "&amp;'Ch1 EOT2 Results'!D31&amp;"/10")</f>
        <v/>
      </c>
    </row>
    <row r="157">
      <c r="A157">
        <f>IF('Ch1 EOT2 Results'!J30="","","Q3 Histograms &amp; frequency density: "&amp;'Ch1 EOT2 Results'!E30&amp;"/10")</f>
        <v/>
      </c>
      <c r="K157">
        <f>IF('Ch1 EOT2 Results'!J31="","","Q3 Histograms &amp; frequency density: "&amp;'Ch1 EOT2 Results'!E31&amp;"/10")</f>
        <v/>
      </c>
    </row>
    <row r="158">
      <c r="A158">
        <f>IF('Ch1 EOT2 Results'!J30="","","Q4 Cumulative frequency graph &amp; percentiles: "&amp;'Ch1 EOT2 Results'!F30&amp;"/7")</f>
        <v/>
      </c>
      <c r="K158">
        <f>IF('Ch1 EOT2 Results'!J31="","","Q4 Cumulative frequency graph &amp; percentiles: "&amp;'Ch1 EOT2 Results'!F31&amp;"/7")</f>
        <v/>
      </c>
    </row>
    <row r="159">
      <c r="A159">
        <f>IF('Ch1 EOT2 Results'!J30="","","Q5 Interpreting survey results &amp; sampling bias: "&amp;'Ch1 EOT2 Results'!G30&amp;"/8")</f>
        <v/>
      </c>
      <c r="K159">
        <f>IF('Ch1 EOT2 Results'!J31="","","Q5 Interpreting survey results &amp; sampling bias: "&amp;'Ch1 EOT2 Results'!G31&amp;"/8")</f>
        <v/>
      </c>
    </row>
    <row r="160">
      <c r="A160">
        <f>IF(OR('Ch1 EOT2 Results'!J30="",'Ch1 EOT2 Results'!K30=""),"",'Ch1 EOT2 Results'!K30)</f>
        <v/>
      </c>
      <c r="K160">
        <f>IF(OR('Ch1 EOT2 Results'!J31="",'Ch1 EOT2 Results'!K31=""),"",'Ch1 EOT2 Results'!K31)</f>
        <v/>
      </c>
    </row>
    <row r="162">
      <c r="A162">
        <f>IF('Ch1 EOT2 Results'!J30="","","Comments:")</f>
        <v/>
      </c>
      <c r="K162">
        <f>IF('Ch1 EOT2 Results'!J31="","","Comments:")</f>
        <v/>
      </c>
    </row>
    <row r="165">
      <c r="A165">
        <f>IF('Ch1 EOT2 Results'!J32="","","Chapter 1 End of Topic Test 2 — Analysis of Data")</f>
        <v/>
      </c>
      <c r="K165">
        <f>IF('Ch1 EOT2 Results'!J33="","","Chapter 1 End of Topic Test 2 — Analysis of Data")</f>
        <v/>
      </c>
    </row>
    <row r="166">
      <c r="A166">
        <f>IF('Ch1 EOT2 Results'!J32="","","Name: "&amp;'Ch1 EOT2 Results'!B32&amp;"   Class: "&amp;'Ch1 EOT2 Results'!$B$3&amp;"   Date: "&amp;TEXT('Ch1 EOT2 Results'!$B$5,"DD/MM/YY"))</f>
        <v/>
      </c>
      <c r="K166">
        <f>IF('Ch1 EOT2 Results'!J33="","","Name: "&amp;'Ch1 EOT2 Results'!B33&amp;"   Class: "&amp;'Ch1 EOT2 Results'!$B$3&amp;"   Date: "&amp;TEXT('Ch1 EOT2 Results'!$B$5,"DD/MM/YY"))</f>
        <v/>
      </c>
    </row>
    <row r="167">
      <c r="A167">
        <f>IF('Ch1 EOT2 Results'!J32="","","Total: "&amp;'Ch1 EOT2 Results'!H32&amp;"/43 ("&amp;TEXT('Ch1 EOT2 Results'!I32,"0%")&amp;")   Overall: "&amp;'Ch1 EOT2 Results'!J32)</f>
        <v/>
      </c>
      <c r="K167">
        <f>IF('Ch1 EOT2 Results'!J33="","","Total: "&amp;'Ch1 EOT2 Results'!H33&amp;"/43 ("&amp;TEXT('Ch1 EOT2 Results'!I33,"0%")&amp;")   Overall: "&amp;'Ch1 EOT2 Results'!J33)</f>
        <v/>
      </c>
    </row>
    <row r="168">
      <c r="A168">
        <f>IF('Ch1 EOT2 Results'!J32="","",IF('Ch1 EOT2 Results'!J32="Green",Parameters!$C$79,IF('Ch1 EOT2 Results'!J32="Yellow",Parameters!$C$78,Parameters!$C$77)))</f>
        <v/>
      </c>
      <c r="K168">
        <f>IF('Ch1 EOT2 Results'!J33="","",IF('Ch1 EOT2 Results'!J33="Green",Parameters!$C$79,IF('Ch1 EOT2 Results'!J33="Yellow",Parameters!$C$78,Parameters!$C$77)))</f>
        <v/>
      </c>
    </row>
    <row r="170">
      <c r="A170">
        <f>IF('Ch1 EOT2 Results'!J32="","","Breakdown:")</f>
        <v/>
      </c>
      <c r="K170">
        <f>IF('Ch1 EOT2 Results'!J33="","","Breakdown:")</f>
        <v/>
      </c>
    </row>
    <row r="171">
      <c r="A171">
        <f>IF('Ch1 EOT2 Results'!J32="","","Q1 Comparing distributions using box plots: "&amp;'Ch1 EOT2 Results'!C32&amp;"/8")</f>
        <v/>
      </c>
      <c r="K171">
        <f>IF('Ch1 EOT2 Results'!J33="","","Q1 Comparing distributions using box plots: "&amp;'Ch1 EOT2 Results'!C33&amp;"/8")</f>
        <v/>
      </c>
    </row>
    <row r="172">
      <c r="A172">
        <f>IF('Ch1 EOT2 Results'!J32="","","Q2 Grouped mean &amp; median (interpolation): "&amp;'Ch1 EOT2 Results'!D32&amp;"/10")</f>
        <v/>
      </c>
      <c r="K172">
        <f>IF('Ch1 EOT2 Results'!J33="","","Q2 Grouped mean &amp; median (interpolation): "&amp;'Ch1 EOT2 Results'!D33&amp;"/10")</f>
        <v/>
      </c>
    </row>
    <row r="173">
      <c r="A173">
        <f>IF('Ch1 EOT2 Results'!J32="","","Q3 Histograms &amp; frequency density: "&amp;'Ch1 EOT2 Results'!E32&amp;"/10")</f>
        <v/>
      </c>
      <c r="K173">
        <f>IF('Ch1 EOT2 Results'!J33="","","Q3 Histograms &amp; frequency density: "&amp;'Ch1 EOT2 Results'!E33&amp;"/10")</f>
        <v/>
      </c>
    </row>
    <row r="174">
      <c r="A174">
        <f>IF('Ch1 EOT2 Results'!J32="","","Q4 Cumulative frequency graph &amp; percentiles: "&amp;'Ch1 EOT2 Results'!F32&amp;"/7")</f>
        <v/>
      </c>
      <c r="K174">
        <f>IF('Ch1 EOT2 Results'!J33="","","Q4 Cumulative frequency graph &amp; percentiles: "&amp;'Ch1 EOT2 Results'!F33&amp;"/7")</f>
        <v/>
      </c>
    </row>
    <row r="175">
      <c r="A175">
        <f>IF('Ch1 EOT2 Results'!J32="","","Q5 Interpreting survey results &amp; sampling bias: "&amp;'Ch1 EOT2 Results'!G32&amp;"/8")</f>
        <v/>
      </c>
      <c r="K175">
        <f>IF('Ch1 EOT2 Results'!J33="","","Q5 Interpreting survey results &amp; sampling bias: "&amp;'Ch1 EOT2 Results'!G33&amp;"/8")</f>
        <v/>
      </c>
    </row>
    <row r="176">
      <c r="A176">
        <f>IF(OR('Ch1 EOT2 Results'!J32="",'Ch1 EOT2 Results'!K32=""),"",'Ch1 EOT2 Results'!K32)</f>
        <v/>
      </c>
      <c r="K176">
        <f>IF(OR('Ch1 EOT2 Results'!J33="",'Ch1 EOT2 Results'!K33=""),"",'Ch1 EOT2 Results'!K33)</f>
        <v/>
      </c>
    </row>
    <row r="178">
      <c r="A178">
        <f>IF('Ch1 EOT2 Results'!J32="","","Comments:")</f>
        <v/>
      </c>
      <c r="K178">
        <f>IF('Ch1 EOT2 Results'!J33="","","Comments:")</f>
        <v/>
      </c>
    </row>
    <row r="181">
      <c r="A181">
        <f>IF('Ch1 EOT2 Results'!J34="","","Chapter 1 End of Topic Test 2 — Analysis of Data")</f>
        <v/>
      </c>
      <c r="K181">
        <f>IF('Ch1 EOT2 Results'!J35="","","Chapter 1 End of Topic Test 2 — Analysis of Data")</f>
        <v/>
      </c>
    </row>
    <row r="182">
      <c r="A182">
        <f>IF('Ch1 EOT2 Results'!J34="","","Name: "&amp;'Ch1 EOT2 Results'!B34&amp;"   Class: "&amp;'Ch1 EOT2 Results'!$B$3&amp;"   Date: "&amp;TEXT('Ch1 EOT2 Results'!$B$5,"DD/MM/YY"))</f>
        <v/>
      </c>
      <c r="K182">
        <f>IF('Ch1 EOT2 Results'!J35="","","Name: "&amp;'Ch1 EOT2 Results'!B35&amp;"   Class: "&amp;'Ch1 EOT2 Results'!$B$3&amp;"   Date: "&amp;TEXT('Ch1 EOT2 Results'!$B$5,"DD/MM/YY"))</f>
        <v/>
      </c>
    </row>
    <row r="183">
      <c r="A183">
        <f>IF('Ch1 EOT2 Results'!J34="","","Total: "&amp;'Ch1 EOT2 Results'!H34&amp;"/43 ("&amp;TEXT('Ch1 EOT2 Results'!I34,"0%")&amp;")   Overall: "&amp;'Ch1 EOT2 Results'!J34)</f>
        <v/>
      </c>
      <c r="K183">
        <f>IF('Ch1 EOT2 Results'!J35="","","Total: "&amp;'Ch1 EOT2 Results'!H35&amp;"/43 ("&amp;TEXT('Ch1 EOT2 Results'!I35,"0%")&amp;")   Overall: "&amp;'Ch1 EOT2 Results'!J35)</f>
        <v/>
      </c>
    </row>
    <row r="184">
      <c r="A184">
        <f>IF('Ch1 EOT2 Results'!J34="","",IF('Ch1 EOT2 Results'!J34="Green",Parameters!$C$79,IF('Ch1 EOT2 Results'!J34="Yellow",Parameters!$C$78,Parameters!$C$77)))</f>
        <v/>
      </c>
      <c r="K184">
        <f>IF('Ch1 EOT2 Results'!J35="","",IF('Ch1 EOT2 Results'!J35="Green",Parameters!$C$79,IF('Ch1 EOT2 Results'!J35="Yellow",Parameters!$C$78,Parameters!$C$77)))</f>
        <v/>
      </c>
    </row>
    <row r="186">
      <c r="A186">
        <f>IF('Ch1 EOT2 Results'!J34="","","Breakdown:")</f>
        <v/>
      </c>
      <c r="K186">
        <f>IF('Ch1 EOT2 Results'!J35="","","Breakdown:")</f>
        <v/>
      </c>
    </row>
    <row r="187">
      <c r="A187">
        <f>IF('Ch1 EOT2 Results'!J34="","","Q1 Comparing distributions using box plots: "&amp;'Ch1 EOT2 Results'!C34&amp;"/8")</f>
        <v/>
      </c>
      <c r="K187">
        <f>IF('Ch1 EOT2 Results'!J35="","","Q1 Comparing distributions using box plots: "&amp;'Ch1 EOT2 Results'!C35&amp;"/8")</f>
        <v/>
      </c>
    </row>
    <row r="188">
      <c r="A188">
        <f>IF('Ch1 EOT2 Results'!J34="","","Q2 Grouped mean &amp; median (interpolation): "&amp;'Ch1 EOT2 Results'!D34&amp;"/10")</f>
        <v/>
      </c>
      <c r="K188">
        <f>IF('Ch1 EOT2 Results'!J35="","","Q2 Grouped mean &amp; median (interpolation): "&amp;'Ch1 EOT2 Results'!D35&amp;"/10")</f>
        <v/>
      </c>
    </row>
    <row r="189">
      <c r="A189">
        <f>IF('Ch1 EOT2 Results'!J34="","","Q3 Histograms &amp; frequency density: "&amp;'Ch1 EOT2 Results'!E34&amp;"/10")</f>
        <v/>
      </c>
      <c r="K189">
        <f>IF('Ch1 EOT2 Results'!J35="","","Q3 Histograms &amp; frequency density: "&amp;'Ch1 EOT2 Results'!E35&amp;"/10")</f>
        <v/>
      </c>
    </row>
    <row r="190">
      <c r="A190">
        <f>IF('Ch1 EOT2 Results'!J34="","","Q4 Cumulative frequency graph &amp; percentiles: "&amp;'Ch1 EOT2 Results'!F34&amp;"/7")</f>
        <v/>
      </c>
      <c r="K190">
        <f>IF('Ch1 EOT2 Results'!J35="","","Q4 Cumulative frequency graph &amp; percentiles: "&amp;'Ch1 EOT2 Results'!F35&amp;"/7")</f>
        <v/>
      </c>
    </row>
    <row r="191">
      <c r="A191">
        <f>IF('Ch1 EOT2 Results'!J34="","","Q5 Interpreting survey results &amp; sampling bias: "&amp;'Ch1 EOT2 Results'!G34&amp;"/8")</f>
        <v/>
      </c>
      <c r="K191">
        <f>IF('Ch1 EOT2 Results'!J35="","","Q5 Interpreting survey results &amp; sampling bias: "&amp;'Ch1 EOT2 Results'!G35&amp;"/8")</f>
        <v/>
      </c>
    </row>
    <row r="192">
      <c r="A192">
        <f>IF(OR('Ch1 EOT2 Results'!J34="",'Ch1 EOT2 Results'!K34=""),"",'Ch1 EOT2 Results'!K34)</f>
        <v/>
      </c>
      <c r="K192">
        <f>IF(OR('Ch1 EOT2 Results'!J35="",'Ch1 EOT2 Results'!K35=""),"",'Ch1 EOT2 Results'!K35)</f>
        <v/>
      </c>
    </row>
    <row r="194">
      <c r="A194">
        <f>IF('Ch1 EOT2 Results'!J34="","","Comments:")</f>
        <v/>
      </c>
      <c r="K194">
        <f>IF('Ch1 EOT2 Results'!J35="","","Comments:")</f>
        <v/>
      </c>
    </row>
    <row r="197">
      <c r="A197">
        <f>IF('Ch1 EOT2 Results'!J36="","","Chapter 1 End of Topic Test 2 — Analysis of Data")</f>
        <v/>
      </c>
      <c r="K197">
        <f>IF('Ch1 EOT2 Results'!J37="","","Chapter 1 End of Topic Test 2 — Analysis of Data")</f>
        <v/>
      </c>
    </row>
    <row r="198">
      <c r="A198">
        <f>IF('Ch1 EOT2 Results'!J36="","","Name: "&amp;'Ch1 EOT2 Results'!B36&amp;"   Class: "&amp;'Ch1 EOT2 Results'!$B$3&amp;"   Date: "&amp;TEXT('Ch1 EOT2 Results'!$B$5,"DD/MM/YY"))</f>
        <v/>
      </c>
      <c r="K198">
        <f>IF('Ch1 EOT2 Results'!J37="","","Name: "&amp;'Ch1 EOT2 Results'!B37&amp;"   Class: "&amp;'Ch1 EOT2 Results'!$B$3&amp;"   Date: "&amp;TEXT('Ch1 EOT2 Results'!$B$5,"DD/MM/YY"))</f>
        <v/>
      </c>
    </row>
    <row r="199">
      <c r="A199">
        <f>IF('Ch1 EOT2 Results'!J36="","","Total: "&amp;'Ch1 EOT2 Results'!H36&amp;"/43 ("&amp;TEXT('Ch1 EOT2 Results'!I36,"0%")&amp;")   Overall: "&amp;'Ch1 EOT2 Results'!J36)</f>
        <v/>
      </c>
      <c r="K199">
        <f>IF('Ch1 EOT2 Results'!J37="","","Total: "&amp;'Ch1 EOT2 Results'!H37&amp;"/43 ("&amp;TEXT('Ch1 EOT2 Results'!I37,"0%")&amp;")   Overall: "&amp;'Ch1 EOT2 Results'!J37)</f>
        <v/>
      </c>
    </row>
    <row r="200">
      <c r="A200">
        <f>IF('Ch1 EOT2 Results'!J36="","",IF('Ch1 EOT2 Results'!J36="Green",Parameters!$C$79,IF('Ch1 EOT2 Results'!J36="Yellow",Parameters!$C$78,Parameters!$C$77)))</f>
        <v/>
      </c>
      <c r="K200">
        <f>IF('Ch1 EOT2 Results'!J37="","",IF('Ch1 EOT2 Results'!J37="Green",Parameters!$C$79,IF('Ch1 EOT2 Results'!J37="Yellow",Parameters!$C$78,Parameters!$C$77)))</f>
        <v/>
      </c>
    </row>
    <row r="202">
      <c r="A202">
        <f>IF('Ch1 EOT2 Results'!J36="","","Breakdown:")</f>
        <v/>
      </c>
      <c r="K202">
        <f>IF('Ch1 EOT2 Results'!J37="","","Breakdown:")</f>
        <v/>
      </c>
    </row>
    <row r="203">
      <c r="A203">
        <f>IF('Ch1 EOT2 Results'!J36="","","Q1 Comparing distributions using box plots: "&amp;'Ch1 EOT2 Results'!C36&amp;"/8")</f>
        <v/>
      </c>
      <c r="K203">
        <f>IF('Ch1 EOT2 Results'!J37="","","Q1 Comparing distributions using box plots: "&amp;'Ch1 EOT2 Results'!C37&amp;"/8")</f>
        <v/>
      </c>
    </row>
    <row r="204">
      <c r="A204">
        <f>IF('Ch1 EOT2 Results'!J36="","","Q2 Grouped mean &amp; median (interpolation): "&amp;'Ch1 EOT2 Results'!D36&amp;"/10")</f>
        <v/>
      </c>
      <c r="K204">
        <f>IF('Ch1 EOT2 Results'!J37="","","Q2 Grouped mean &amp; median (interpolation): "&amp;'Ch1 EOT2 Results'!D37&amp;"/10")</f>
        <v/>
      </c>
    </row>
    <row r="205">
      <c r="A205">
        <f>IF('Ch1 EOT2 Results'!J36="","","Q3 Histograms &amp; frequency density: "&amp;'Ch1 EOT2 Results'!E36&amp;"/10")</f>
        <v/>
      </c>
      <c r="K205">
        <f>IF('Ch1 EOT2 Results'!J37="","","Q3 Histograms &amp; frequency density: "&amp;'Ch1 EOT2 Results'!E37&amp;"/10")</f>
        <v/>
      </c>
    </row>
    <row r="206">
      <c r="A206">
        <f>IF('Ch1 EOT2 Results'!J36="","","Q4 Cumulative frequency graph &amp; percentiles: "&amp;'Ch1 EOT2 Results'!F36&amp;"/7")</f>
        <v/>
      </c>
      <c r="K206">
        <f>IF('Ch1 EOT2 Results'!J37="","","Q4 Cumulative frequency graph &amp; percentiles: "&amp;'Ch1 EOT2 Results'!F37&amp;"/7")</f>
        <v/>
      </c>
    </row>
    <row r="207">
      <c r="A207">
        <f>IF('Ch1 EOT2 Results'!J36="","","Q5 Interpreting survey results &amp; sampling bias: "&amp;'Ch1 EOT2 Results'!G36&amp;"/8")</f>
        <v/>
      </c>
      <c r="K207">
        <f>IF('Ch1 EOT2 Results'!J37="","","Q5 Interpreting survey results &amp; sampling bias: "&amp;'Ch1 EOT2 Results'!G37&amp;"/8")</f>
        <v/>
      </c>
    </row>
    <row r="208">
      <c r="A208">
        <f>IF(OR('Ch1 EOT2 Results'!J36="",'Ch1 EOT2 Results'!K36=""),"",'Ch1 EOT2 Results'!K36)</f>
        <v/>
      </c>
      <c r="K208">
        <f>IF(OR('Ch1 EOT2 Results'!J37="",'Ch1 EOT2 Results'!K37=""),"",'Ch1 EOT2 Results'!K37)</f>
        <v/>
      </c>
    </row>
    <row r="210">
      <c r="A210">
        <f>IF('Ch1 EOT2 Results'!J36="","","Comments:")</f>
        <v/>
      </c>
      <c r="K210">
        <f>IF('Ch1 EOT2 Results'!J37="","","Comments:")</f>
        <v/>
      </c>
    </row>
    <row r="213">
      <c r="A213">
        <f>IF('Ch1 EOT2 Results'!J38="","","Chapter 1 End of Topic Test 2 — Analysis of Data")</f>
        <v/>
      </c>
      <c r="K213">
        <f>IF('Ch1 EOT2 Results'!J39="","","Chapter 1 End of Topic Test 2 — Analysis of Data")</f>
        <v/>
      </c>
    </row>
    <row r="214">
      <c r="A214">
        <f>IF('Ch1 EOT2 Results'!J38="","","Name: "&amp;'Ch1 EOT2 Results'!B38&amp;"   Class: "&amp;'Ch1 EOT2 Results'!$B$3&amp;"   Date: "&amp;TEXT('Ch1 EOT2 Results'!$B$5,"DD/MM/YY"))</f>
        <v/>
      </c>
      <c r="K214">
        <f>IF('Ch1 EOT2 Results'!J39="","","Name: "&amp;'Ch1 EOT2 Results'!B39&amp;"   Class: "&amp;'Ch1 EOT2 Results'!$B$3&amp;"   Date: "&amp;TEXT('Ch1 EOT2 Results'!$B$5,"DD/MM/YY"))</f>
        <v/>
      </c>
    </row>
    <row r="215">
      <c r="A215">
        <f>IF('Ch1 EOT2 Results'!J38="","","Total: "&amp;'Ch1 EOT2 Results'!H38&amp;"/43 ("&amp;TEXT('Ch1 EOT2 Results'!I38,"0%")&amp;")   Overall: "&amp;'Ch1 EOT2 Results'!J38)</f>
        <v/>
      </c>
      <c r="K215">
        <f>IF('Ch1 EOT2 Results'!J39="","","Total: "&amp;'Ch1 EOT2 Results'!H39&amp;"/43 ("&amp;TEXT('Ch1 EOT2 Results'!I39,"0%")&amp;")   Overall: "&amp;'Ch1 EOT2 Results'!J39)</f>
        <v/>
      </c>
    </row>
    <row r="216">
      <c r="A216">
        <f>IF('Ch1 EOT2 Results'!J38="","",IF('Ch1 EOT2 Results'!J38="Green",Parameters!$C$79,IF('Ch1 EOT2 Results'!J38="Yellow",Parameters!$C$78,Parameters!$C$77)))</f>
        <v/>
      </c>
      <c r="K216">
        <f>IF('Ch1 EOT2 Results'!J39="","",IF('Ch1 EOT2 Results'!J39="Green",Parameters!$C$79,IF('Ch1 EOT2 Results'!J39="Yellow",Parameters!$C$78,Parameters!$C$77)))</f>
        <v/>
      </c>
    </row>
    <row r="218">
      <c r="A218">
        <f>IF('Ch1 EOT2 Results'!J38="","","Breakdown:")</f>
        <v/>
      </c>
      <c r="K218">
        <f>IF('Ch1 EOT2 Results'!J39="","","Breakdown:")</f>
        <v/>
      </c>
    </row>
    <row r="219">
      <c r="A219">
        <f>IF('Ch1 EOT2 Results'!J38="","","Q1 Comparing distributions using box plots: "&amp;'Ch1 EOT2 Results'!C38&amp;"/8")</f>
        <v/>
      </c>
      <c r="K219">
        <f>IF('Ch1 EOT2 Results'!J39="","","Q1 Comparing distributions using box plots: "&amp;'Ch1 EOT2 Results'!C39&amp;"/8")</f>
        <v/>
      </c>
    </row>
    <row r="220">
      <c r="A220">
        <f>IF('Ch1 EOT2 Results'!J38="","","Q2 Grouped mean &amp; median (interpolation): "&amp;'Ch1 EOT2 Results'!D38&amp;"/10")</f>
        <v/>
      </c>
      <c r="K220">
        <f>IF('Ch1 EOT2 Results'!J39="","","Q2 Grouped mean &amp; median (interpolation): "&amp;'Ch1 EOT2 Results'!D39&amp;"/10")</f>
        <v/>
      </c>
    </row>
    <row r="221">
      <c r="A221">
        <f>IF('Ch1 EOT2 Results'!J38="","","Q3 Histograms &amp; frequency density: "&amp;'Ch1 EOT2 Results'!E38&amp;"/10")</f>
        <v/>
      </c>
      <c r="K221">
        <f>IF('Ch1 EOT2 Results'!J39="","","Q3 Histograms &amp; frequency density: "&amp;'Ch1 EOT2 Results'!E39&amp;"/10")</f>
        <v/>
      </c>
    </row>
    <row r="222">
      <c r="A222">
        <f>IF('Ch1 EOT2 Results'!J38="","","Q4 Cumulative frequency graph &amp; percentiles: "&amp;'Ch1 EOT2 Results'!F38&amp;"/7")</f>
        <v/>
      </c>
      <c r="K222">
        <f>IF('Ch1 EOT2 Results'!J39="","","Q4 Cumulative frequency graph &amp; percentiles: "&amp;'Ch1 EOT2 Results'!F39&amp;"/7")</f>
        <v/>
      </c>
    </row>
    <row r="223">
      <c r="A223">
        <f>IF('Ch1 EOT2 Results'!J38="","","Q5 Interpreting survey results &amp; sampling bias: "&amp;'Ch1 EOT2 Results'!G38&amp;"/8")</f>
        <v/>
      </c>
      <c r="K223">
        <f>IF('Ch1 EOT2 Results'!J39="","","Q5 Interpreting survey results &amp; sampling bias: "&amp;'Ch1 EOT2 Results'!G39&amp;"/8")</f>
        <v/>
      </c>
    </row>
    <row r="224">
      <c r="A224">
        <f>IF(OR('Ch1 EOT2 Results'!J38="",'Ch1 EOT2 Results'!K38=""),"",'Ch1 EOT2 Results'!K38)</f>
        <v/>
      </c>
      <c r="K224">
        <f>IF(OR('Ch1 EOT2 Results'!J39="",'Ch1 EOT2 Results'!K39=""),"",'Ch1 EOT2 Results'!K39)</f>
        <v/>
      </c>
    </row>
    <row r="226">
      <c r="A226">
        <f>IF('Ch1 EOT2 Results'!J38="","","Comments:")</f>
        <v/>
      </c>
      <c r="K226">
        <f>IF('Ch1 EOT2 Results'!J39="","","Comments:")</f>
        <v/>
      </c>
    </row>
    <row r="229">
      <c r="A229">
        <f>IF('Ch1 EOT2 Results'!J40="","","Chapter 1 End of Topic Test 2 — Analysis of Data")</f>
        <v/>
      </c>
      <c r="K229">
        <f>IF('Ch1 EOT2 Results'!J41="","","Chapter 1 End of Topic Test 2 — Analysis of Data")</f>
        <v/>
      </c>
    </row>
    <row r="230">
      <c r="A230">
        <f>IF('Ch1 EOT2 Results'!J40="","","Name: "&amp;'Ch1 EOT2 Results'!B40&amp;"   Class: "&amp;'Ch1 EOT2 Results'!$B$3&amp;"   Date: "&amp;TEXT('Ch1 EOT2 Results'!$B$5,"DD/MM/YY"))</f>
        <v/>
      </c>
      <c r="K230">
        <f>IF('Ch1 EOT2 Results'!J41="","","Name: "&amp;'Ch1 EOT2 Results'!B41&amp;"   Class: "&amp;'Ch1 EOT2 Results'!$B$3&amp;"   Date: "&amp;TEXT('Ch1 EOT2 Results'!$B$5,"DD/MM/YY"))</f>
        <v/>
      </c>
    </row>
    <row r="231">
      <c r="A231">
        <f>IF('Ch1 EOT2 Results'!J40="","","Total: "&amp;'Ch1 EOT2 Results'!H40&amp;"/43 ("&amp;TEXT('Ch1 EOT2 Results'!I40,"0%")&amp;")   Overall: "&amp;'Ch1 EOT2 Results'!J40)</f>
        <v/>
      </c>
      <c r="K231">
        <f>IF('Ch1 EOT2 Results'!J41="","","Total: "&amp;'Ch1 EOT2 Results'!H41&amp;"/43 ("&amp;TEXT('Ch1 EOT2 Results'!I41,"0%")&amp;")   Overall: "&amp;'Ch1 EOT2 Results'!J41)</f>
        <v/>
      </c>
    </row>
    <row r="232">
      <c r="A232">
        <f>IF('Ch1 EOT2 Results'!J40="","",IF('Ch1 EOT2 Results'!J40="Green",Parameters!$C$79,IF('Ch1 EOT2 Results'!J40="Yellow",Parameters!$C$78,Parameters!$C$77)))</f>
        <v/>
      </c>
      <c r="K232">
        <f>IF('Ch1 EOT2 Results'!J41="","",IF('Ch1 EOT2 Results'!J41="Green",Parameters!$C$79,IF('Ch1 EOT2 Results'!J41="Yellow",Parameters!$C$78,Parameters!$C$77)))</f>
        <v/>
      </c>
    </row>
    <row r="234">
      <c r="A234">
        <f>IF('Ch1 EOT2 Results'!J40="","","Breakdown:")</f>
        <v/>
      </c>
      <c r="K234">
        <f>IF('Ch1 EOT2 Results'!J41="","","Breakdown:")</f>
        <v/>
      </c>
    </row>
    <row r="235">
      <c r="A235">
        <f>IF('Ch1 EOT2 Results'!J40="","","Q1 Comparing distributions using box plots: "&amp;'Ch1 EOT2 Results'!C40&amp;"/8")</f>
        <v/>
      </c>
      <c r="K235">
        <f>IF('Ch1 EOT2 Results'!J41="","","Q1 Comparing distributions using box plots: "&amp;'Ch1 EOT2 Results'!C41&amp;"/8")</f>
        <v/>
      </c>
    </row>
    <row r="236">
      <c r="A236">
        <f>IF('Ch1 EOT2 Results'!J40="","","Q2 Grouped mean &amp; median (interpolation): "&amp;'Ch1 EOT2 Results'!D40&amp;"/10")</f>
        <v/>
      </c>
      <c r="K236">
        <f>IF('Ch1 EOT2 Results'!J41="","","Q2 Grouped mean &amp; median (interpolation): "&amp;'Ch1 EOT2 Results'!D41&amp;"/10")</f>
        <v/>
      </c>
    </row>
    <row r="237">
      <c r="A237">
        <f>IF('Ch1 EOT2 Results'!J40="","","Q3 Histograms &amp; frequency density: "&amp;'Ch1 EOT2 Results'!E40&amp;"/10")</f>
        <v/>
      </c>
      <c r="K237">
        <f>IF('Ch1 EOT2 Results'!J41="","","Q3 Histograms &amp; frequency density: "&amp;'Ch1 EOT2 Results'!E41&amp;"/10")</f>
        <v/>
      </c>
    </row>
    <row r="238">
      <c r="A238">
        <f>IF('Ch1 EOT2 Results'!J40="","","Q4 Cumulative frequency graph &amp; percentiles: "&amp;'Ch1 EOT2 Results'!F40&amp;"/7")</f>
        <v/>
      </c>
      <c r="K238">
        <f>IF('Ch1 EOT2 Results'!J41="","","Q4 Cumulative frequency graph &amp; percentiles: "&amp;'Ch1 EOT2 Results'!F41&amp;"/7")</f>
        <v/>
      </c>
    </row>
    <row r="239">
      <c r="A239">
        <f>IF('Ch1 EOT2 Results'!J40="","","Q5 Interpreting survey results &amp; sampling bias: "&amp;'Ch1 EOT2 Results'!G40&amp;"/8")</f>
        <v/>
      </c>
      <c r="K239">
        <f>IF('Ch1 EOT2 Results'!J41="","","Q5 Interpreting survey results &amp; sampling bias: "&amp;'Ch1 EOT2 Results'!G41&amp;"/8")</f>
        <v/>
      </c>
    </row>
    <row r="240">
      <c r="A240">
        <f>IF(OR('Ch1 EOT2 Results'!J40="",'Ch1 EOT2 Results'!K40=""),"",'Ch1 EOT2 Results'!K40)</f>
        <v/>
      </c>
      <c r="K240">
        <f>IF(OR('Ch1 EOT2 Results'!J41="",'Ch1 EOT2 Results'!K41=""),"",'Ch1 EOT2 Results'!K41)</f>
        <v/>
      </c>
    </row>
    <row r="242">
      <c r="A242">
        <f>IF('Ch1 EOT2 Results'!J40="","","Comments:")</f>
        <v/>
      </c>
      <c r="K242">
        <f>IF('Ch1 EOT2 Results'!J41="","","Comments:")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0" customWidth="1" min="6" max="6"/>
    <col width="8" customWidth="1" min="7" max="7"/>
    <col width="10" customWidth="1" min="8" max="8"/>
    <col width="45" customWidth="1" min="9" max="9"/>
  </cols>
  <sheetData>
    <row r="1">
      <c r="A1" s="11" t="inlineStr">
        <is>
          <t>Mini Test 2.1 — Personal finance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Income tax &amp; NI
(/8)</t>
        </is>
      </c>
      <c r="D9" s="12" t="inlineStr">
        <is>
          <t>Q2
Budgeting
(/7)</t>
        </is>
      </c>
      <c r="E9" s="12" t="inlineStr">
        <is>
          <t>Q3
Simple &amp; compound interest
(/7)</t>
        </is>
      </c>
      <c r="F9" s="12" t="inlineStr">
        <is>
          <t>Total
(/22)</t>
        </is>
      </c>
      <c r="G9" s="12" t="inlineStr">
        <is>
          <t>%</t>
        </is>
      </c>
      <c r="H9" s="12" t="inlineStr">
        <is>
          <t>Overall</t>
        </is>
      </c>
      <c r="I9" s="12" t="inlineStr">
        <is>
          <t>Focus for next steps</t>
        </is>
      </c>
      <c r="J9" s="12" t="inlineStr">
        <is>
          <t>Q1%</t>
        </is>
      </c>
      <c r="K9" s="12" t="inlineStr">
        <is>
          <t>Q2%</t>
        </is>
      </c>
      <c r="L9" s="12" t="inlineStr">
        <is>
          <t>Q3%</t>
        </is>
      </c>
    </row>
    <row r="10">
      <c r="A10" s="3" t="n"/>
      <c r="B10" s="3" t="inlineStr">
        <is>
          <t>Max marks</t>
        </is>
      </c>
      <c r="C10" s="3" t="n">
        <v>8</v>
      </c>
      <c r="D10" s="3" t="n">
        <v>7</v>
      </c>
      <c r="E10" s="3" t="n">
        <v>7</v>
      </c>
      <c r="F10" s="3" t="n">
        <v>22</v>
      </c>
      <c r="G10" s="3" t="inlineStr">
        <is>
          <t>100%</t>
        </is>
      </c>
      <c r="H10" s="3" t="n"/>
      <c r="I10" s="3" t="n"/>
      <c r="J10" s="3" t="n"/>
      <c r="K10" s="3" t="n"/>
      <c r="L10" s="3" t="n"/>
    </row>
    <row r="11">
      <c r="A11" s="13" t="n">
        <v>1</v>
      </c>
      <c r="B11" s="13" t="inlineStr">
        <is>
          <t>Example pupil (edit me)</t>
        </is>
      </c>
      <c r="C11" s="13" t="n">
        <v>6</v>
      </c>
      <c r="D11" s="13" t="n">
        <v>6</v>
      </c>
      <c r="E11" s="13" t="n">
        <v>6</v>
      </c>
      <c r="F11" s="13">
        <f>IF(COUNT(C11:E11)&lt;3,"",SUM(C11:E11))</f>
        <v/>
      </c>
      <c r="G11" s="13">
        <f>IF(COUNT(C11:E11)&lt;3,"",F11/22)</f>
        <v/>
      </c>
      <c r="H11" s="13">
        <f>IF(COUNT(C11:E11)&lt;3,"",IF(G11&gt;=0.8,"Green",IF(G11&gt;=0.5,"Yellow","Red")))</f>
        <v/>
      </c>
      <c r="I11" s="13">
        <f>IF(COUNT(C11:E11)&lt;3,"",IF(H11="Green","Well done! "&amp;Parameters!$C$93,"Revise: "&amp;_xlfn.TEXTJOIN(", ",TRUE(),IF(J11&lt;1,Parameters!$A$85,""),IF(K11&lt;1,Parameters!$A$86,""),IF(L11&lt;1,Parameters!$A$87,""))))</f>
        <v/>
      </c>
      <c r="J11" s="13">
        <f>IF(C11="","",C11/8)</f>
        <v/>
      </c>
      <c r="K11" s="13">
        <f>IF(D11="","",D11/7)</f>
        <v/>
      </c>
      <c r="L11" s="13">
        <f>IF(E11="","",E11/7)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3">
        <f>IF(COUNT(C12:E12)&lt;3,"",SUM(C12:E12))</f>
        <v/>
      </c>
      <c r="G12" s="13">
        <f>IF(COUNT(C12:E12)&lt;3,"",F12/22)</f>
        <v/>
      </c>
      <c r="H12" s="13">
        <f>IF(COUNT(C12:E12)&lt;3,"",IF(G12&gt;=0.8,"Green",IF(G12&gt;=0.5,"Yellow","Red")))</f>
        <v/>
      </c>
      <c r="I12" s="13">
        <f>IF(COUNT(C12:E12)&lt;3,"",IF(H12="Green","Well done! "&amp;Parameters!$C$93,"Revise: "&amp;_xlfn.TEXTJOIN(", ",TRUE(),IF(J12&lt;1,Parameters!$A$85,""),IF(K12&lt;1,Parameters!$A$86,""),IF(L12&lt;1,Parameters!$A$87,""))))</f>
        <v/>
      </c>
      <c r="J12" s="13">
        <f>IF(C12="","",C12/8)</f>
        <v/>
      </c>
      <c r="K12" s="13">
        <f>IF(D12="","",D12/7)</f>
        <v/>
      </c>
      <c r="L12" s="13">
        <f>IF(E12="","",E12/7)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3">
        <f>IF(COUNT(C13:E13)&lt;3,"",SUM(C13:E13))</f>
        <v/>
      </c>
      <c r="G13" s="13">
        <f>IF(COUNT(C13:E13)&lt;3,"",F13/22)</f>
        <v/>
      </c>
      <c r="H13" s="13">
        <f>IF(COUNT(C13:E13)&lt;3,"",IF(G13&gt;=0.8,"Green",IF(G13&gt;=0.5,"Yellow","Red")))</f>
        <v/>
      </c>
      <c r="I13" s="13">
        <f>IF(COUNT(C13:E13)&lt;3,"",IF(H13="Green","Well done! "&amp;Parameters!$C$93,"Revise: "&amp;_xlfn.TEXTJOIN(", ",TRUE(),IF(J13&lt;1,Parameters!$A$85,""),IF(K13&lt;1,Parameters!$A$86,""),IF(L13&lt;1,Parameters!$A$87,""))))</f>
        <v/>
      </c>
      <c r="J13" s="13">
        <f>IF(C13="","",C13/8)</f>
        <v/>
      </c>
      <c r="K13" s="13">
        <f>IF(D13="","",D13/7)</f>
        <v/>
      </c>
      <c r="L13" s="13">
        <f>IF(E13="","",E13/7)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3">
        <f>IF(COUNT(C14:E14)&lt;3,"",SUM(C14:E14))</f>
        <v/>
      </c>
      <c r="G14" s="13">
        <f>IF(COUNT(C14:E14)&lt;3,"",F14/22)</f>
        <v/>
      </c>
      <c r="H14" s="13">
        <f>IF(COUNT(C14:E14)&lt;3,"",IF(G14&gt;=0.8,"Green",IF(G14&gt;=0.5,"Yellow","Red")))</f>
        <v/>
      </c>
      <c r="I14" s="13">
        <f>IF(COUNT(C14:E14)&lt;3,"",IF(H14="Green","Well done! "&amp;Parameters!$C$93,"Revise: "&amp;_xlfn.TEXTJOIN(", ",TRUE(),IF(J14&lt;1,Parameters!$A$85,""),IF(K14&lt;1,Parameters!$A$86,""),IF(L14&lt;1,Parameters!$A$87,""))))</f>
        <v/>
      </c>
      <c r="J14" s="13">
        <f>IF(C14="","",C14/8)</f>
        <v/>
      </c>
      <c r="K14" s="13">
        <f>IF(D14="","",D14/7)</f>
        <v/>
      </c>
      <c r="L14" s="13">
        <f>IF(E14="","",E14/7)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3">
        <f>IF(COUNT(C15:E15)&lt;3,"",SUM(C15:E15))</f>
        <v/>
      </c>
      <c r="G15" s="13">
        <f>IF(COUNT(C15:E15)&lt;3,"",F15/22)</f>
        <v/>
      </c>
      <c r="H15" s="13">
        <f>IF(COUNT(C15:E15)&lt;3,"",IF(G15&gt;=0.8,"Green",IF(G15&gt;=0.5,"Yellow","Red")))</f>
        <v/>
      </c>
      <c r="I15" s="13">
        <f>IF(COUNT(C15:E15)&lt;3,"",IF(H15="Green","Well done! "&amp;Parameters!$C$93,"Revise: "&amp;_xlfn.TEXTJOIN(", ",TRUE(),IF(J15&lt;1,Parameters!$A$85,""),IF(K15&lt;1,Parameters!$A$86,""),IF(L15&lt;1,Parameters!$A$87,""))))</f>
        <v/>
      </c>
      <c r="J15" s="13">
        <f>IF(C15="","",C15/8)</f>
        <v/>
      </c>
      <c r="K15" s="13">
        <f>IF(D15="","",D15/7)</f>
        <v/>
      </c>
      <c r="L15" s="13">
        <f>IF(E15="","",E15/7)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3">
        <f>IF(COUNT(C16:E16)&lt;3,"",SUM(C16:E16))</f>
        <v/>
      </c>
      <c r="G16" s="13">
        <f>IF(COUNT(C16:E16)&lt;3,"",F16/22)</f>
        <v/>
      </c>
      <c r="H16" s="13">
        <f>IF(COUNT(C16:E16)&lt;3,"",IF(G16&gt;=0.8,"Green",IF(G16&gt;=0.5,"Yellow","Red")))</f>
        <v/>
      </c>
      <c r="I16" s="13">
        <f>IF(COUNT(C16:E16)&lt;3,"",IF(H16="Green","Well done! "&amp;Parameters!$C$93,"Revise: "&amp;_xlfn.TEXTJOIN(", ",TRUE(),IF(J16&lt;1,Parameters!$A$85,""),IF(K16&lt;1,Parameters!$A$86,""),IF(L16&lt;1,Parameters!$A$87,""))))</f>
        <v/>
      </c>
      <c r="J16" s="13">
        <f>IF(C16="","",C16/8)</f>
        <v/>
      </c>
      <c r="K16" s="13">
        <f>IF(D16="","",D16/7)</f>
        <v/>
      </c>
      <c r="L16" s="13">
        <f>IF(E16="","",E16/7)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3">
        <f>IF(COUNT(C17:E17)&lt;3,"",SUM(C17:E17))</f>
        <v/>
      </c>
      <c r="G17" s="13">
        <f>IF(COUNT(C17:E17)&lt;3,"",F17/22)</f>
        <v/>
      </c>
      <c r="H17" s="13">
        <f>IF(COUNT(C17:E17)&lt;3,"",IF(G17&gt;=0.8,"Green",IF(G17&gt;=0.5,"Yellow","Red")))</f>
        <v/>
      </c>
      <c r="I17" s="13">
        <f>IF(COUNT(C17:E17)&lt;3,"",IF(H17="Green","Well done! "&amp;Parameters!$C$93,"Revise: "&amp;_xlfn.TEXTJOIN(", ",TRUE(),IF(J17&lt;1,Parameters!$A$85,""),IF(K17&lt;1,Parameters!$A$86,""),IF(L17&lt;1,Parameters!$A$87,""))))</f>
        <v/>
      </c>
      <c r="J17" s="13">
        <f>IF(C17="","",C17/8)</f>
        <v/>
      </c>
      <c r="K17" s="13">
        <f>IF(D17="","",D17/7)</f>
        <v/>
      </c>
      <c r="L17" s="13">
        <f>IF(E17="","",E17/7)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3">
        <f>IF(COUNT(C18:E18)&lt;3,"",SUM(C18:E18))</f>
        <v/>
      </c>
      <c r="G18" s="13">
        <f>IF(COUNT(C18:E18)&lt;3,"",F18/22)</f>
        <v/>
      </c>
      <c r="H18" s="13">
        <f>IF(COUNT(C18:E18)&lt;3,"",IF(G18&gt;=0.8,"Green",IF(G18&gt;=0.5,"Yellow","Red")))</f>
        <v/>
      </c>
      <c r="I18" s="13">
        <f>IF(COUNT(C18:E18)&lt;3,"",IF(H18="Green","Well done! "&amp;Parameters!$C$93,"Revise: "&amp;_xlfn.TEXTJOIN(", ",TRUE(),IF(J18&lt;1,Parameters!$A$85,""),IF(K18&lt;1,Parameters!$A$86,""),IF(L18&lt;1,Parameters!$A$87,""))))</f>
        <v/>
      </c>
      <c r="J18" s="13">
        <f>IF(C18="","",C18/8)</f>
        <v/>
      </c>
      <c r="K18" s="13">
        <f>IF(D18="","",D18/7)</f>
        <v/>
      </c>
      <c r="L18" s="13">
        <f>IF(E18="","",E18/7)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3">
        <f>IF(COUNT(C19:E19)&lt;3,"",SUM(C19:E19))</f>
        <v/>
      </c>
      <c r="G19" s="13">
        <f>IF(COUNT(C19:E19)&lt;3,"",F19/22)</f>
        <v/>
      </c>
      <c r="H19" s="13">
        <f>IF(COUNT(C19:E19)&lt;3,"",IF(G19&gt;=0.8,"Green",IF(G19&gt;=0.5,"Yellow","Red")))</f>
        <v/>
      </c>
      <c r="I19" s="13">
        <f>IF(COUNT(C19:E19)&lt;3,"",IF(H19="Green","Well done! "&amp;Parameters!$C$93,"Revise: "&amp;_xlfn.TEXTJOIN(", ",TRUE(),IF(J19&lt;1,Parameters!$A$85,""),IF(K19&lt;1,Parameters!$A$86,""),IF(L19&lt;1,Parameters!$A$87,""))))</f>
        <v/>
      </c>
      <c r="J19" s="13">
        <f>IF(C19="","",C19/8)</f>
        <v/>
      </c>
      <c r="K19" s="13">
        <f>IF(D19="","",D19/7)</f>
        <v/>
      </c>
      <c r="L19" s="13">
        <f>IF(E19="","",E19/7)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3">
        <f>IF(COUNT(C20:E20)&lt;3,"",SUM(C20:E20))</f>
        <v/>
      </c>
      <c r="G20" s="13">
        <f>IF(COUNT(C20:E20)&lt;3,"",F20/22)</f>
        <v/>
      </c>
      <c r="H20" s="13">
        <f>IF(COUNT(C20:E20)&lt;3,"",IF(G20&gt;=0.8,"Green",IF(G20&gt;=0.5,"Yellow","Red")))</f>
        <v/>
      </c>
      <c r="I20" s="13">
        <f>IF(COUNT(C20:E20)&lt;3,"",IF(H20="Green","Well done! "&amp;Parameters!$C$93,"Revise: "&amp;_xlfn.TEXTJOIN(", ",TRUE(),IF(J20&lt;1,Parameters!$A$85,""),IF(K20&lt;1,Parameters!$A$86,""),IF(L20&lt;1,Parameters!$A$87,""))))</f>
        <v/>
      </c>
      <c r="J20" s="13">
        <f>IF(C20="","",C20/8)</f>
        <v/>
      </c>
      <c r="K20" s="13">
        <f>IF(D20="","",D20/7)</f>
        <v/>
      </c>
      <c r="L20" s="13">
        <f>IF(E20="","",E20/7)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3">
        <f>IF(COUNT(C21:E21)&lt;3,"",SUM(C21:E21))</f>
        <v/>
      </c>
      <c r="G21" s="13">
        <f>IF(COUNT(C21:E21)&lt;3,"",F21/22)</f>
        <v/>
      </c>
      <c r="H21" s="13">
        <f>IF(COUNT(C21:E21)&lt;3,"",IF(G21&gt;=0.8,"Green",IF(G21&gt;=0.5,"Yellow","Red")))</f>
        <v/>
      </c>
      <c r="I21" s="13">
        <f>IF(COUNT(C21:E21)&lt;3,"",IF(H21="Green","Well done! "&amp;Parameters!$C$93,"Revise: "&amp;_xlfn.TEXTJOIN(", ",TRUE(),IF(J21&lt;1,Parameters!$A$85,""),IF(K21&lt;1,Parameters!$A$86,""),IF(L21&lt;1,Parameters!$A$87,""))))</f>
        <v/>
      </c>
      <c r="J21" s="13">
        <f>IF(C21="","",C21/8)</f>
        <v/>
      </c>
      <c r="K21" s="13">
        <f>IF(D21="","",D21/7)</f>
        <v/>
      </c>
      <c r="L21" s="13">
        <f>IF(E21="","",E21/7)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3">
        <f>IF(COUNT(C22:E22)&lt;3,"",SUM(C22:E22))</f>
        <v/>
      </c>
      <c r="G22" s="13">
        <f>IF(COUNT(C22:E22)&lt;3,"",F22/22)</f>
        <v/>
      </c>
      <c r="H22" s="13">
        <f>IF(COUNT(C22:E22)&lt;3,"",IF(G22&gt;=0.8,"Green",IF(G22&gt;=0.5,"Yellow","Red")))</f>
        <v/>
      </c>
      <c r="I22" s="13">
        <f>IF(COUNT(C22:E22)&lt;3,"",IF(H22="Green","Well done! "&amp;Parameters!$C$93,"Revise: "&amp;_xlfn.TEXTJOIN(", ",TRUE(),IF(J22&lt;1,Parameters!$A$85,""),IF(K22&lt;1,Parameters!$A$86,""),IF(L22&lt;1,Parameters!$A$87,""))))</f>
        <v/>
      </c>
      <c r="J22" s="13">
        <f>IF(C22="","",C22/8)</f>
        <v/>
      </c>
      <c r="K22" s="13">
        <f>IF(D22="","",D22/7)</f>
        <v/>
      </c>
      <c r="L22" s="13">
        <f>IF(E22="","",E22/7)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3">
        <f>IF(COUNT(C23:E23)&lt;3,"",SUM(C23:E23))</f>
        <v/>
      </c>
      <c r="G23" s="13">
        <f>IF(COUNT(C23:E23)&lt;3,"",F23/22)</f>
        <v/>
      </c>
      <c r="H23" s="13">
        <f>IF(COUNT(C23:E23)&lt;3,"",IF(G23&gt;=0.8,"Green",IF(G23&gt;=0.5,"Yellow","Red")))</f>
        <v/>
      </c>
      <c r="I23" s="13">
        <f>IF(COUNT(C23:E23)&lt;3,"",IF(H23="Green","Well done! "&amp;Parameters!$C$93,"Revise: "&amp;_xlfn.TEXTJOIN(", ",TRUE(),IF(J23&lt;1,Parameters!$A$85,""),IF(K23&lt;1,Parameters!$A$86,""),IF(L23&lt;1,Parameters!$A$87,""))))</f>
        <v/>
      </c>
      <c r="J23" s="13">
        <f>IF(C23="","",C23/8)</f>
        <v/>
      </c>
      <c r="K23" s="13">
        <f>IF(D23="","",D23/7)</f>
        <v/>
      </c>
      <c r="L23" s="13">
        <f>IF(E23="","",E23/7)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3">
        <f>IF(COUNT(C24:E24)&lt;3,"",SUM(C24:E24))</f>
        <v/>
      </c>
      <c r="G24" s="13">
        <f>IF(COUNT(C24:E24)&lt;3,"",F24/22)</f>
        <v/>
      </c>
      <c r="H24" s="13">
        <f>IF(COUNT(C24:E24)&lt;3,"",IF(G24&gt;=0.8,"Green",IF(G24&gt;=0.5,"Yellow","Red")))</f>
        <v/>
      </c>
      <c r="I24" s="13">
        <f>IF(COUNT(C24:E24)&lt;3,"",IF(H24="Green","Well done! "&amp;Parameters!$C$93,"Revise: "&amp;_xlfn.TEXTJOIN(", ",TRUE(),IF(J24&lt;1,Parameters!$A$85,""),IF(K24&lt;1,Parameters!$A$86,""),IF(L24&lt;1,Parameters!$A$87,""))))</f>
        <v/>
      </c>
      <c r="J24" s="13">
        <f>IF(C24="","",C24/8)</f>
        <v/>
      </c>
      <c r="K24" s="13">
        <f>IF(D24="","",D24/7)</f>
        <v/>
      </c>
      <c r="L24" s="13">
        <f>IF(E24="","",E24/7)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3">
        <f>IF(COUNT(C25:E25)&lt;3,"",SUM(C25:E25))</f>
        <v/>
      </c>
      <c r="G25" s="13">
        <f>IF(COUNT(C25:E25)&lt;3,"",F25/22)</f>
        <v/>
      </c>
      <c r="H25" s="13">
        <f>IF(COUNT(C25:E25)&lt;3,"",IF(G25&gt;=0.8,"Green",IF(G25&gt;=0.5,"Yellow","Red")))</f>
        <v/>
      </c>
      <c r="I25" s="13">
        <f>IF(COUNT(C25:E25)&lt;3,"",IF(H25="Green","Well done! "&amp;Parameters!$C$93,"Revise: "&amp;_xlfn.TEXTJOIN(", ",TRUE(),IF(J25&lt;1,Parameters!$A$85,""),IF(K25&lt;1,Parameters!$A$86,""),IF(L25&lt;1,Parameters!$A$87,""))))</f>
        <v/>
      </c>
      <c r="J25" s="13">
        <f>IF(C25="","",C25/8)</f>
        <v/>
      </c>
      <c r="K25" s="13">
        <f>IF(D25="","",D25/7)</f>
        <v/>
      </c>
      <c r="L25" s="13">
        <f>IF(E25="","",E25/7)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3">
        <f>IF(COUNT(C26:E26)&lt;3,"",SUM(C26:E26))</f>
        <v/>
      </c>
      <c r="G26" s="13">
        <f>IF(COUNT(C26:E26)&lt;3,"",F26/22)</f>
        <v/>
      </c>
      <c r="H26" s="13">
        <f>IF(COUNT(C26:E26)&lt;3,"",IF(G26&gt;=0.8,"Green",IF(G26&gt;=0.5,"Yellow","Red")))</f>
        <v/>
      </c>
      <c r="I26" s="13">
        <f>IF(COUNT(C26:E26)&lt;3,"",IF(H26="Green","Well done! "&amp;Parameters!$C$93,"Revise: "&amp;_xlfn.TEXTJOIN(", ",TRUE(),IF(J26&lt;1,Parameters!$A$85,""),IF(K26&lt;1,Parameters!$A$86,""),IF(L26&lt;1,Parameters!$A$87,""))))</f>
        <v/>
      </c>
      <c r="J26" s="13">
        <f>IF(C26="","",C26/8)</f>
        <v/>
      </c>
      <c r="K26" s="13">
        <f>IF(D26="","",D26/7)</f>
        <v/>
      </c>
      <c r="L26" s="13">
        <f>IF(E26="","",E26/7)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3">
        <f>IF(COUNT(C27:E27)&lt;3,"",SUM(C27:E27))</f>
        <v/>
      </c>
      <c r="G27" s="13">
        <f>IF(COUNT(C27:E27)&lt;3,"",F27/22)</f>
        <v/>
      </c>
      <c r="H27" s="13">
        <f>IF(COUNT(C27:E27)&lt;3,"",IF(G27&gt;=0.8,"Green",IF(G27&gt;=0.5,"Yellow","Red")))</f>
        <v/>
      </c>
      <c r="I27" s="13">
        <f>IF(COUNT(C27:E27)&lt;3,"",IF(H27="Green","Well done! "&amp;Parameters!$C$93,"Revise: "&amp;_xlfn.TEXTJOIN(", ",TRUE(),IF(J27&lt;1,Parameters!$A$85,""),IF(K27&lt;1,Parameters!$A$86,""),IF(L27&lt;1,Parameters!$A$87,""))))</f>
        <v/>
      </c>
      <c r="J27" s="13">
        <f>IF(C27="","",C27/8)</f>
        <v/>
      </c>
      <c r="K27" s="13">
        <f>IF(D27="","",D27/7)</f>
        <v/>
      </c>
      <c r="L27" s="13">
        <f>IF(E27="","",E27/7)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3">
        <f>IF(COUNT(C28:E28)&lt;3,"",SUM(C28:E28))</f>
        <v/>
      </c>
      <c r="G28" s="13">
        <f>IF(COUNT(C28:E28)&lt;3,"",F28/22)</f>
        <v/>
      </c>
      <c r="H28" s="13">
        <f>IF(COUNT(C28:E28)&lt;3,"",IF(G28&gt;=0.8,"Green",IF(G28&gt;=0.5,"Yellow","Red")))</f>
        <v/>
      </c>
      <c r="I28" s="13">
        <f>IF(COUNT(C28:E28)&lt;3,"",IF(H28="Green","Well done! "&amp;Parameters!$C$93,"Revise: "&amp;_xlfn.TEXTJOIN(", ",TRUE(),IF(J28&lt;1,Parameters!$A$85,""),IF(K28&lt;1,Parameters!$A$86,""),IF(L28&lt;1,Parameters!$A$87,""))))</f>
        <v/>
      </c>
      <c r="J28" s="13">
        <f>IF(C28="","",C28/8)</f>
        <v/>
      </c>
      <c r="K28" s="13">
        <f>IF(D28="","",D28/7)</f>
        <v/>
      </c>
      <c r="L28" s="13">
        <f>IF(E28="","",E28/7)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3">
        <f>IF(COUNT(C29:E29)&lt;3,"",SUM(C29:E29))</f>
        <v/>
      </c>
      <c r="G29" s="13">
        <f>IF(COUNT(C29:E29)&lt;3,"",F29/22)</f>
        <v/>
      </c>
      <c r="H29" s="13">
        <f>IF(COUNT(C29:E29)&lt;3,"",IF(G29&gt;=0.8,"Green",IF(G29&gt;=0.5,"Yellow","Red")))</f>
        <v/>
      </c>
      <c r="I29" s="13">
        <f>IF(COUNT(C29:E29)&lt;3,"",IF(H29="Green","Well done! "&amp;Parameters!$C$93,"Revise: "&amp;_xlfn.TEXTJOIN(", ",TRUE(),IF(J29&lt;1,Parameters!$A$85,""),IF(K29&lt;1,Parameters!$A$86,""),IF(L29&lt;1,Parameters!$A$87,""))))</f>
        <v/>
      </c>
      <c r="J29" s="13">
        <f>IF(C29="","",C29/8)</f>
        <v/>
      </c>
      <c r="K29" s="13">
        <f>IF(D29="","",D29/7)</f>
        <v/>
      </c>
      <c r="L29" s="13">
        <f>IF(E29="","",E29/7)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3">
        <f>IF(COUNT(C30:E30)&lt;3,"",SUM(C30:E30))</f>
        <v/>
      </c>
      <c r="G30" s="13">
        <f>IF(COUNT(C30:E30)&lt;3,"",F30/22)</f>
        <v/>
      </c>
      <c r="H30" s="13">
        <f>IF(COUNT(C30:E30)&lt;3,"",IF(G30&gt;=0.8,"Green",IF(G30&gt;=0.5,"Yellow","Red")))</f>
        <v/>
      </c>
      <c r="I30" s="13">
        <f>IF(COUNT(C30:E30)&lt;3,"",IF(H30="Green","Well done! "&amp;Parameters!$C$93,"Revise: "&amp;_xlfn.TEXTJOIN(", ",TRUE(),IF(J30&lt;1,Parameters!$A$85,""),IF(K30&lt;1,Parameters!$A$86,""),IF(L30&lt;1,Parameters!$A$87,""))))</f>
        <v/>
      </c>
      <c r="J30" s="13">
        <f>IF(C30="","",C30/8)</f>
        <v/>
      </c>
      <c r="K30" s="13">
        <f>IF(D30="","",D30/7)</f>
        <v/>
      </c>
      <c r="L30" s="13">
        <f>IF(E30="","",E30/7)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3">
        <f>IF(COUNT(C31:E31)&lt;3,"",SUM(C31:E31))</f>
        <v/>
      </c>
      <c r="G31" s="13">
        <f>IF(COUNT(C31:E31)&lt;3,"",F31/22)</f>
        <v/>
      </c>
      <c r="H31" s="13">
        <f>IF(COUNT(C31:E31)&lt;3,"",IF(G31&gt;=0.8,"Green",IF(G31&gt;=0.5,"Yellow","Red")))</f>
        <v/>
      </c>
      <c r="I31" s="13">
        <f>IF(COUNT(C31:E31)&lt;3,"",IF(H31="Green","Well done! "&amp;Parameters!$C$93,"Revise: "&amp;_xlfn.TEXTJOIN(", ",TRUE(),IF(J31&lt;1,Parameters!$A$85,""),IF(K31&lt;1,Parameters!$A$86,""),IF(L31&lt;1,Parameters!$A$87,""))))</f>
        <v/>
      </c>
      <c r="J31" s="13">
        <f>IF(C31="","",C31/8)</f>
        <v/>
      </c>
      <c r="K31" s="13">
        <f>IF(D31="","",D31/7)</f>
        <v/>
      </c>
      <c r="L31" s="13">
        <f>IF(E31="","",E31/7)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3">
        <f>IF(COUNT(C32:E32)&lt;3,"",SUM(C32:E32))</f>
        <v/>
      </c>
      <c r="G32" s="13">
        <f>IF(COUNT(C32:E32)&lt;3,"",F32/22)</f>
        <v/>
      </c>
      <c r="H32" s="13">
        <f>IF(COUNT(C32:E32)&lt;3,"",IF(G32&gt;=0.8,"Green",IF(G32&gt;=0.5,"Yellow","Red")))</f>
        <v/>
      </c>
      <c r="I32" s="13">
        <f>IF(COUNT(C32:E32)&lt;3,"",IF(H32="Green","Well done! "&amp;Parameters!$C$93,"Revise: "&amp;_xlfn.TEXTJOIN(", ",TRUE(),IF(J32&lt;1,Parameters!$A$85,""),IF(K32&lt;1,Parameters!$A$86,""),IF(L32&lt;1,Parameters!$A$87,""))))</f>
        <v/>
      </c>
      <c r="J32" s="13">
        <f>IF(C32="","",C32/8)</f>
        <v/>
      </c>
      <c r="K32" s="13">
        <f>IF(D32="","",D32/7)</f>
        <v/>
      </c>
      <c r="L32" s="13">
        <f>IF(E32="","",E32/7)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3">
        <f>IF(COUNT(C33:E33)&lt;3,"",SUM(C33:E33))</f>
        <v/>
      </c>
      <c r="G33" s="13">
        <f>IF(COUNT(C33:E33)&lt;3,"",F33/22)</f>
        <v/>
      </c>
      <c r="H33" s="13">
        <f>IF(COUNT(C33:E33)&lt;3,"",IF(G33&gt;=0.8,"Green",IF(G33&gt;=0.5,"Yellow","Red")))</f>
        <v/>
      </c>
      <c r="I33" s="13">
        <f>IF(COUNT(C33:E33)&lt;3,"",IF(H33="Green","Well done! "&amp;Parameters!$C$93,"Revise: "&amp;_xlfn.TEXTJOIN(", ",TRUE(),IF(J33&lt;1,Parameters!$A$85,""),IF(K33&lt;1,Parameters!$A$86,""),IF(L33&lt;1,Parameters!$A$87,""))))</f>
        <v/>
      </c>
      <c r="J33" s="13">
        <f>IF(C33="","",C33/8)</f>
        <v/>
      </c>
      <c r="K33" s="13">
        <f>IF(D33="","",D33/7)</f>
        <v/>
      </c>
      <c r="L33" s="13">
        <f>IF(E33="","",E33/7)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3">
        <f>IF(COUNT(C34:E34)&lt;3,"",SUM(C34:E34))</f>
        <v/>
      </c>
      <c r="G34" s="13">
        <f>IF(COUNT(C34:E34)&lt;3,"",F34/22)</f>
        <v/>
      </c>
      <c r="H34" s="13">
        <f>IF(COUNT(C34:E34)&lt;3,"",IF(G34&gt;=0.8,"Green",IF(G34&gt;=0.5,"Yellow","Red")))</f>
        <v/>
      </c>
      <c r="I34" s="13">
        <f>IF(COUNT(C34:E34)&lt;3,"",IF(H34="Green","Well done! "&amp;Parameters!$C$93,"Revise: "&amp;_xlfn.TEXTJOIN(", ",TRUE(),IF(J34&lt;1,Parameters!$A$85,""),IF(K34&lt;1,Parameters!$A$86,""),IF(L34&lt;1,Parameters!$A$87,""))))</f>
        <v/>
      </c>
      <c r="J34" s="13">
        <f>IF(C34="","",C34/8)</f>
        <v/>
      </c>
      <c r="K34" s="13">
        <f>IF(D34="","",D34/7)</f>
        <v/>
      </c>
      <c r="L34" s="13">
        <f>IF(E34="","",E34/7)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3">
        <f>IF(COUNT(C35:E35)&lt;3,"",SUM(C35:E35))</f>
        <v/>
      </c>
      <c r="G35" s="13">
        <f>IF(COUNT(C35:E35)&lt;3,"",F35/22)</f>
        <v/>
      </c>
      <c r="H35" s="13">
        <f>IF(COUNT(C35:E35)&lt;3,"",IF(G35&gt;=0.8,"Green",IF(G35&gt;=0.5,"Yellow","Red")))</f>
        <v/>
      </c>
      <c r="I35" s="13">
        <f>IF(COUNT(C35:E35)&lt;3,"",IF(H35="Green","Well done! "&amp;Parameters!$C$93,"Revise: "&amp;_xlfn.TEXTJOIN(", ",TRUE(),IF(J35&lt;1,Parameters!$A$85,""),IF(K35&lt;1,Parameters!$A$86,""),IF(L35&lt;1,Parameters!$A$87,""))))</f>
        <v/>
      </c>
      <c r="J35" s="13">
        <f>IF(C35="","",C35/8)</f>
        <v/>
      </c>
      <c r="K35" s="13">
        <f>IF(D35="","",D35/7)</f>
        <v/>
      </c>
      <c r="L35" s="13">
        <f>IF(E35="","",E35/7)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3">
        <f>IF(COUNT(C36:E36)&lt;3,"",SUM(C36:E36))</f>
        <v/>
      </c>
      <c r="G36" s="13">
        <f>IF(COUNT(C36:E36)&lt;3,"",F36/22)</f>
        <v/>
      </c>
      <c r="H36" s="13">
        <f>IF(COUNT(C36:E36)&lt;3,"",IF(G36&gt;=0.8,"Green",IF(G36&gt;=0.5,"Yellow","Red")))</f>
        <v/>
      </c>
      <c r="I36" s="13">
        <f>IF(COUNT(C36:E36)&lt;3,"",IF(H36="Green","Well done! "&amp;Parameters!$C$93,"Revise: "&amp;_xlfn.TEXTJOIN(", ",TRUE(),IF(J36&lt;1,Parameters!$A$85,""),IF(K36&lt;1,Parameters!$A$86,""),IF(L36&lt;1,Parameters!$A$87,""))))</f>
        <v/>
      </c>
      <c r="J36" s="13">
        <f>IF(C36="","",C36/8)</f>
        <v/>
      </c>
      <c r="K36" s="13">
        <f>IF(D36="","",D36/7)</f>
        <v/>
      </c>
      <c r="L36" s="13">
        <f>IF(E36="","",E36/7)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3">
        <f>IF(COUNT(C37:E37)&lt;3,"",SUM(C37:E37))</f>
        <v/>
      </c>
      <c r="G37" s="13">
        <f>IF(COUNT(C37:E37)&lt;3,"",F37/22)</f>
        <v/>
      </c>
      <c r="H37" s="13">
        <f>IF(COUNT(C37:E37)&lt;3,"",IF(G37&gt;=0.8,"Green",IF(G37&gt;=0.5,"Yellow","Red")))</f>
        <v/>
      </c>
      <c r="I37" s="13">
        <f>IF(COUNT(C37:E37)&lt;3,"",IF(H37="Green","Well done! "&amp;Parameters!$C$93,"Revise: "&amp;_xlfn.TEXTJOIN(", ",TRUE(),IF(J37&lt;1,Parameters!$A$85,""),IF(K37&lt;1,Parameters!$A$86,""),IF(L37&lt;1,Parameters!$A$87,""))))</f>
        <v/>
      </c>
      <c r="J37" s="13">
        <f>IF(C37="","",C37/8)</f>
        <v/>
      </c>
      <c r="K37" s="13">
        <f>IF(D37="","",D37/7)</f>
        <v/>
      </c>
      <c r="L37" s="13">
        <f>IF(E37="","",E37/7)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3">
        <f>IF(COUNT(C38:E38)&lt;3,"",SUM(C38:E38))</f>
        <v/>
      </c>
      <c r="G38" s="13">
        <f>IF(COUNT(C38:E38)&lt;3,"",F38/22)</f>
        <v/>
      </c>
      <c r="H38" s="13">
        <f>IF(COUNT(C38:E38)&lt;3,"",IF(G38&gt;=0.8,"Green",IF(G38&gt;=0.5,"Yellow","Red")))</f>
        <v/>
      </c>
      <c r="I38" s="13">
        <f>IF(COUNT(C38:E38)&lt;3,"",IF(H38="Green","Well done! "&amp;Parameters!$C$93,"Revise: "&amp;_xlfn.TEXTJOIN(", ",TRUE(),IF(J38&lt;1,Parameters!$A$85,""),IF(K38&lt;1,Parameters!$A$86,""),IF(L38&lt;1,Parameters!$A$87,""))))</f>
        <v/>
      </c>
      <c r="J38" s="13">
        <f>IF(C38="","",C38/8)</f>
        <v/>
      </c>
      <c r="K38" s="13">
        <f>IF(D38="","",D38/7)</f>
        <v/>
      </c>
      <c r="L38" s="13">
        <f>IF(E38="","",E38/7)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3">
        <f>IF(COUNT(C39:E39)&lt;3,"",SUM(C39:E39))</f>
        <v/>
      </c>
      <c r="G39" s="13">
        <f>IF(COUNT(C39:E39)&lt;3,"",F39/22)</f>
        <v/>
      </c>
      <c r="H39" s="13">
        <f>IF(COUNT(C39:E39)&lt;3,"",IF(G39&gt;=0.8,"Green",IF(G39&gt;=0.5,"Yellow","Red")))</f>
        <v/>
      </c>
      <c r="I39" s="13">
        <f>IF(COUNT(C39:E39)&lt;3,"",IF(H39="Green","Well done! "&amp;Parameters!$C$93,"Revise: "&amp;_xlfn.TEXTJOIN(", ",TRUE(),IF(J39&lt;1,Parameters!$A$85,""),IF(K39&lt;1,Parameters!$A$86,""),IF(L39&lt;1,Parameters!$A$87,""))))</f>
        <v/>
      </c>
      <c r="J39" s="13">
        <f>IF(C39="","",C39/8)</f>
        <v/>
      </c>
      <c r="K39" s="13">
        <f>IF(D39="","",D39/7)</f>
        <v/>
      </c>
      <c r="L39" s="13">
        <f>IF(E39="","",E39/7)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3">
        <f>IF(COUNT(C40:E40)&lt;3,"",SUM(C40:E40))</f>
        <v/>
      </c>
      <c r="G40" s="13">
        <f>IF(COUNT(C40:E40)&lt;3,"",F40/22)</f>
        <v/>
      </c>
      <c r="H40" s="13">
        <f>IF(COUNT(C40:E40)&lt;3,"",IF(G40&gt;=0.8,"Green",IF(G40&gt;=0.5,"Yellow","Red")))</f>
        <v/>
      </c>
      <c r="I40" s="13">
        <f>IF(COUNT(C40:E40)&lt;3,"",IF(H40="Green","Well done! "&amp;Parameters!$C$93,"Revise: "&amp;_xlfn.TEXTJOIN(", ",TRUE(),IF(J40&lt;1,Parameters!$A$85,""),IF(K40&lt;1,Parameters!$A$86,""),IF(L40&lt;1,Parameters!$A$87,""))))</f>
        <v/>
      </c>
      <c r="J40" s="13">
        <f>IF(C40="","",C40/8)</f>
        <v/>
      </c>
      <c r="K40" s="13">
        <f>IF(D40="","",D40/7)</f>
        <v/>
      </c>
      <c r="L40" s="13">
        <f>IF(E40="","",E40/7)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3">
        <f>IF(COUNT(C41:E41)&lt;3,"",SUM(C41:E41))</f>
        <v/>
      </c>
      <c r="G41" s="13">
        <f>IF(COUNT(C41:E41)&lt;3,"",F41/22)</f>
        <v/>
      </c>
      <c r="H41" s="13">
        <f>IF(COUNT(C41:E41)&lt;3,"",IF(G41&gt;=0.8,"Green",IF(G41&gt;=0.5,"Yellow","Red")))</f>
        <v/>
      </c>
      <c r="I41" s="13">
        <f>IF(COUNT(C41:E41)&lt;3,"",IF(H41="Green","Well done! "&amp;Parameters!$C$93,"Revise: "&amp;_xlfn.TEXTJOIN(", ",TRUE(),IF(J41&lt;1,Parameters!$A$85,""),IF(K41&lt;1,Parameters!$A$86,""),IF(L41&lt;1,Parameters!$A$87,""))))</f>
        <v/>
      </c>
      <c r="J41" s="13">
        <f>IF(C41="","",C41/8)</f>
        <v/>
      </c>
      <c r="K41" s="13">
        <f>IF(D41="","",D41/7)</f>
        <v/>
      </c>
      <c r="L41" s="13">
        <f>IF(E41="","",E41/7)</f>
        <v/>
      </c>
    </row>
  </sheetData>
  <conditionalFormatting sqref="C11">
    <cfRule type="expression" priority="1" dxfId="0">
      <formula>AND(COUNT(C11:E11)=3,C11=8)</formula>
    </cfRule>
    <cfRule type="expression" priority="2" dxfId="1">
      <formula>AND(COUNT(C11:E11)=3,C11&lt;8*0.4)</formula>
    </cfRule>
    <cfRule type="expression" priority="3" dxfId="2">
      <formula>AND(COUNT(C11:E11)=3,C11&gt;=8*0.4,C11&lt;8)</formula>
    </cfRule>
  </conditionalFormatting>
  <conditionalFormatting sqref="C12">
    <cfRule type="expression" priority="4" dxfId="0">
      <formula>AND(COUNT(C12:E12)=3,C12=8)</formula>
    </cfRule>
    <cfRule type="expression" priority="5" dxfId="1">
      <formula>AND(COUNT(C12:E12)=3,C12&lt;8*0.4)</formula>
    </cfRule>
    <cfRule type="expression" priority="6" dxfId="2">
      <formula>AND(COUNT(C12:E12)=3,C12&gt;=8*0.4,C12&lt;8)</formula>
    </cfRule>
  </conditionalFormatting>
  <conditionalFormatting sqref="C13">
    <cfRule type="expression" priority="7" dxfId="0">
      <formula>AND(COUNT(C13:E13)=3,C13=8)</formula>
    </cfRule>
    <cfRule type="expression" priority="8" dxfId="1">
      <formula>AND(COUNT(C13:E13)=3,C13&lt;8*0.4)</formula>
    </cfRule>
    <cfRule type="expression" priority="9" dxfId="2">
      <formula>AND(COUNT(C13:E13)=3,C13&gt;=8*0.4,C13&lt;8)</formula>
    </cfRule>
  </conditionalFormatting>
  <conditionalFormatting sqref="C14">
    <cfRule type="expression" priority="10" dxfId="0">
      <formula>AND(COUNT(C14:E14)=3,C14=8)</formula>
    </cfRule>
    <cfRule type="expression" priority="11" dxfId="1">
      <formula>AND(COUNT(C14:E14)=3,C14&lt;8*0.4)</formula>
    </cfRule>
    <cfRule type="expression" priority="12" dxfId="2">
      <formula>AND(COUNT(C14:E14)=3,C14&gt;=8*0.4,C14&lt;8)</formula>
    </cfRule>
  </conditionalFormatting>
  <conditionalFormatting sqref="C15">
    <cfRule type="expression" priority="13" dxfId="0">
      <formula>AND(COUNT(C15:E15)=3,C15=8)</formula>
    </cfRule>
    <cfRule type="expression" priority="14" dxfId="1">
      <formula>AND(COUNT(C15:E15)=3,C15&lt;8*0.4)</formula>
    </cfRule>
    <cfRule type="expression" priority="15" dxfId="2">
      <formula>AND(COUNT(C15:E15)=3,C15&gt;=8*0.4,C15&lt;8)</formula>
    </cfRule>
  </conditionalFormatting>
  <conditionalFormatting sqref="C16">
    <cfRule type="expression" priority="16" dxfId="0">
      <formula>AND(COUNT(C16:E16)=3,C16=8)</formula>
    </cfRule>
    <cfRule type="expression" priority="17" dxfId="1">
      <formula>AND(COUNT(C16:E16)=3,C16&lt;8*0.4)</formula>
    </cfRule>
    <cfRule type="expression" priority="18" dxfId="2">
      <formula>AND(COUNT(C16:E16)=3,C16&gt;=8*0.4,C16&lt;8)</formula>
    </cfRule>
  </conditionalFormatting>
  <conditionalFormatting sqref="C17">
    <cfRule type="expression" priority="19" dxfId="0">
      <formula>AND(COUNT(C17:E17)=3,C17=8)</formula>
    </cfRule>
    <cfRule type="expression" priority="20" dxfId="1">
      <formula>AND(COUNT(C17:E17)=3,C17&lt;8*0.4)</formula>
    </cfRule>
    <cfRule type="expression" priority="21" dxfId="2">
      <formula>AND(COUNT(C17:E17)=3,C17&gt;=8*0.4,C17&lt;8)</formula>
    </cfRule>
  </conditionalFormatting>
  <conditionalFormatting sqref="C18">
    <cfRule type="expression" priority="22" dxfId="0">
      <formula>AND(COUNT(C18:E18)=3,C18=8)</formula>
    </cfRule>
    <cfRule type="expression" priority="23" dxfId="1">
      <formula>AND(COUNT(C18:E18)=3,C18&lt;8*0.4)</formula>
    </cfRule>
    <cfRule type="expression" priority="24" dxfId="2">
      <formula>AND(COUNT(C18:E18)=3,C18&gt;=8*0.4,C18&lt;8)</formula>
    </cfRule>
  </conditionalFormatting>
  <conditionalFormatting sqref="C19">
    <cfRule type="expression" priority="25" dxfId="0">
      <formula>AND(COUNT(C19:E19)=3,C19=8)</formula>
    </cfRule>
    <cfRule type="expression" priority="26" dxfId="1">
      <formula>AND(COUNT(C19:E19)=3,C19&lt;8*0.4)</formula>
    </cfRule>
    <cfRule type="expression" priority="27" dxfId="2">
      <formula>AND(COUNT(C19:E19)=3,C19&gt;=8*0.4,C19&lt;8)</formula>
    </cfRule>
  </conditionalFormatting>
  <conditionalFormatting sqref="C20">
    <cfRule type="expression" priority="28" dxfId="0">
      <formula>AND(COUNT(C20:E20)=3,C20=8)</formula>
    </cfRule>
    <cfRule type="expression" priority="29" dxfId="1">
      <formula>AND(COUNT(C20:E20)=3,C20&lt;8*0.4)</formula>
    </cfRule>
    <cfRule type="expression" priority="30" dxfId="2">
      <formula>AND(COUNT(C20:E20)=3,C20&gt;=8*0.4,C20&lt;8)</formula>
    </cfRule>
  </conditionalFormatting>
  <conditionalFormatting sqref="C21">
    <cfRule type="expression" priority="31" dxfId="0">
      <formula>AND(COUNT(C21:E21)=3,C21=8)</formula>
    </cfRule>
    <cfRule type="expression" priority="32" dxfId="1">
      <formula>AND(COUNT(C21:E21)=3,C21&lt;8*0.4)</formula>
    </cfRule>
    <cfRule type="expression" priority="33" dxfId="2">
      <formula>AND(COUNT(C21:E21)=3,C21&gt;=8*0.4,C21&lt;8)</formula>
    </cfRule>
  </conditionalFormatting>
  <conditionalFormatting sqref="C22">
    <cfRule type="expression" priority="34" dxfId="0">
      <formula>AND(COUNT(C22:E22)=3,C22=8)</formula>
    </cfRule>
    <cfRule type="expression" priority="35" dxfId="1">
      <formula>AND(COUNT(C22:E22)=3,C22&lt;8*0.4)</formula>
    </cfRule>
    <cfRule type="expression" priority="36" dxfId="2">
      <formula>AND(COUNT(C22:E22)=3,C22&gt;=8*0.4,C22&lt;8)</formula>
    </cfRule>
  </conditionalFormatting>
  <conditionalFormatting sqref="C23">
    <cfRule type="expression" priority="37" dxfId="0">
      <formula>AND(COUNT(C23:E23)=3,C23=8)</formula>
    </cfRule>
    <cfRule type="expression" priority="38" dxfId="1">
      <formula>AND(COUNT(C23:E23)=3,C23&lt;8*0.4)</formula>
    </cfRule>
    <cfRule type="expression" priority="39" dxfId="2">
      <formula>AND(COUNT(C23:E23)=3,C23&gt;=8*0.4,C23&lt;8)</formula>
    </cfRule>
  </conditionalFormatting>
  <conditionalFormatting sqref="C24">
    <cfRule type="expression" priority="40" dxfId="0">
      <formula>AND(COUNT(C24:E24)=3,C24=8)</formula>
    </cfRule>
    <cfRule type="expression" priority="41" dxfId="1">
      <formula>AND(COUNT(C24:E24)=3,C24&lt;8*0.4)</formula>
    </cfRule>
    <cfRule type="expression" priority="42" dxfId="2">
      <formula>AND(COUNT(C24:E24)=3,C24&gt;=8*0.4,C24&lt;8)</formula>
    </cfRule>
  </conditionalFormatting>
  <conditionalFormatting sqref="C25">
    <cfRule type="expression" priority="43" dxfId="0">
      <formula>AND(COUNT(C25:E25)=3,C25=8)</formula>
    </cfRule>
    <cfRule type="expression" priority="44" dxfId="1">
      <formula>AND(COUNT(C25:E25)=3,C25&lt;8*0.4)</formula>
    </cfRule>
    <cfRule type="expression" priority="45" dxfId="2">
      <formula>AND(COUNT(C25:E25)=3,C25&gt;=8*0.4,C25&lt;8)</formula>
    </cfRule>
  </conditionalFormatting>
  <conditionalFormatting sqref="C26">
    <cfRule type="expression" priority="46" dxfId="0">
      <formula>AND(COUNT(C26:E26)=3,C26=8)</formula>
    </cfRule>
    <cfRule type="expression" priority="47" dxfId="1">
      <formula>AND(COUNT(C26:E26)=3,C26&lt;8*0.4)</formula>
    </cfRule>
    <cfRule type="expression" priority="48" dxfId="2">
      <formula>AND(COUNT(C26:E26)=3,C26&gt;=8*0.4,C26&lt;8)</formula>
    </cfRule>
  </conditionalFormatting>
  <conditionalFormatting sqref="C27">
    <cfRule type="expression" priority="49" dxfId="0">
      <formula>AND(COUNT(C27:E27)=3,C27=8)</formula>
    </cfRule>
    <cfRule type="expression" priority="50" dxfId="1">
      <formula>AND(COUNT(C27:E27)=3,C27&lt;8*0.4)</formula>
    </cfRule>
    <cfRule type="expression" priority="51" dxfId="2">
      <formula>AND(COUNT(C27:E27)=3,C27&gt;=8*0.4,C27&lt;8)</formula>
    </cfRule>
  </conditionalFormatting>
  <conditionalFormatting sqref="C28">
    <cfRule type="expression" priority="52" dxfId="0">
      <formula>AND(COUNT(C28:E28)=3,C28=8)</formula>
    </cfRule>
    <cfRule type="expression" priority="53" dxfId="1">
      <formula>AND(COUNT(C28:E28)=3,C28&lt;8*0.4)</formula>
    </cfRule>
    <cfRule type="expression" priority="54" dxfId="2">
      <formula>AND(COUNT(C28:E28)=3,C28&gt;=8*0.4,C28&lt;8)</formula>
    </cfRule>
  </conditionalFormatting>
  <conditionalFormatting sqref="C29">
    <cfRule type="expression" priority="55" dxfId="0">
      <formula>AND(COUNT(C29:E29)=3,C29=8)</formula>
    </cfRule>
    <cfRule type="expression" priority="56" dxfId="1">
      <formula>AND(COUNT(C29:E29)=3,C29&lt;8*0.4)</formula>
    </cfRule>
    <cfRule type="expression" priority="57" dxfId="2">
      <formula>AND(COUNT(C29:E29)=3,C29&gt;=8*0.4,C29&lt;8)</formula>
    </cfRule>
  </conditionalFormatting>
  <conditionalFormatting sqref="C30">
    <cfRule type="expression" priority="58" dxfId="0">
      <formula>AND(COUNT(C30:E30)=3,C30=8)</formula>
    </cfRule>
    <cfRule type="expression" priority="59" dxfId="1">
      <formula>AND(COUNT(C30:E30)=3,C30&lt;8*0.4)</formula>
    </cfRule>
    <cfRule type="expression" priority="60" dxfId="2">
      <formula>AND(COUNT(C30:E30)=3,C30&gt;=8*0.4,C30&lt;8)</formula>
    </cfRule>
  </conditionalFormatting>
  <conditionalFormatting sqref="C31">
    <cfRule type="expression" priority="61" dxfId="0">
      <formula>AND(COUNT(C31:E31)=3,C31=8)</formula>
    </cfRule>
    <cfRule type="expression" priority="62" dxfId="1">
      <formula>AND(COUNT(C31:E31)=3,C31&lt;8*0.4)</formula>
    </cfRule>
    <cfRule type="expression" priority="63" dxfId="2">
      <formula>AND(COUNT(C31:E31)=3,C31&gt;=8*0.4,C31&lt;8)</formula>
    </cfRule>
  </conditionalFormatting>
  <conditionalFormatting sqref="C32">
    <cfRule type="expression" priority="64" dxfId="0">
      <formula>AND(COUNT(C32:E32)=3,C32=8)</formula>
    </cfRule>
    <cfRule type="expression" priority="65" dxfId="1">
      <formula>AND(COUNT(C32:E32)=3,C32&lt;8*0.4)</formula>
    </cfRule>
    <cfRule type="expression" priority="66" dxfId="2">
      <formula>AND(COUNT(C32:E32)=3,C32&gt;=8*0.4,C32&lt;8)</formula>
    </cfRule>
  </conditionalFormatting>
  <conditionalFormatting sqref="C33">
    <cfRule type="expression" priority="67" dxfId="0">
      <formula>AND(COUNT(C33:E33)=3,C33=8)</formula>
    </cfRule>
    <cfRule type="expression" priority="68" dxfId="1">
      <formula>AND(COUNT(C33:E33)=3,C33&lt;8*0.4)</formula>
    </cfRule>
    <cfRule type="expression" priority="69" dxfId="2">
      <formula>AND(COUNT(C33:E33)=3,C33&gt;=8*0.4,C33&lt;8)</formula>
    </cfRule>
  </conditionalFormatting>
  <conditionalFormatting sqref="C34">
    <cfRule type="expression" priority="70" dxfId="0">
      <formula>AND(COUNT(C34:E34)=3,C34=8)</formula>
    </cfRule>
    <cfRule type="expression" priority="71" dxfId="1">
      <formula>AND(COUNT(C34:E34)=3,C34&lt;8*0.4)</formula>
    </cfRule>
    <cfRule type="expression" priority="72" dxfId="2">
      <formula>AND(COUNT(C34:E34)=3,C34&gt;=8*0.4,C34&lt;8)</formula>
    </cfRule>
  </conditionalFormatting>
  <conditionalFormatting sqref="C35">
    <cfRule type="expression" priority="73" dxfId="0">
      <formula>AND(COUNT(C35:E35)=3,C35=8)</formula>
    </cfRule>
    <cfRule type="expression" priority="74" dxfId="1">
      <formula>AND(COUNT(C35:E35)=3,C35&lt;8*0.4)</formula>
    </cfRule>
    <cfRule type="expression" priority="75" dxfId="2">
      <formula>AND(COUNT(C35:E35)=3,C35&gt;=8*0.4,C35&lt;8)</formula>
    </cfRule>
  </conditionalFormatting>
  <conditionalFormatting sqref="C36">
    <cfRule type="expression" priority="76" dxfId="0">
      <formula>AND(COUNT(C36:E36)=3,C36=8)</formula>
    </cfRule>
    <cfRule type="expression" priority="77" dxfId="1">
      <formula>AND(COUNT(C36:E36)=3,C36&lt;8*0.4)</formula>
    </cfRule>
    <cfRule type="expression" priority="78" dxfId="2">
      <formula>AND(COUNT(C36:E36)=3,C36&gt;=8*0.4,C36&lt;8)</formula>
    </cfRule>
  </conditionalFormatting>
  <conditionalFormatting sqref="C37">
    <cfRule type="expression" priority="79" dxfId="0">
      <formula>AND(COUNT(C37:E37)=3,C37=8)</formula>
    </cfRule>
    <cfRule type="expression" priority="80" dxfId="1">
      <formula>AND(COUNT(C37:E37)=3,C37&lt;8*0.4)</formula>
    </cfRule>
    <cfRule type="expression" priority="81" dxfId="2">
      <formula>AND(COUNT(C37:E37)=3,C37&gt;=8*0.4,C37&lt;8)</formula>
    </cfRule>
  </conditionalFormatting>
  <conditionalFormatting sqref="C38">
    <cfRule type="expression" priority="82" dxfId="0">
      <formula>AND(COUNT(C38:E38)=3,C38=8)</formula>
    </cfRule>
    <cfRule type="expression" priority="83" dxfId="1">
      <formula>AND(COUNT(C38:E38)=3,C38&lt;8*0.4)</formula>
    </cfRule>
    <cfRule type="expression" priority="84" dxfId="2">
      <formula>AND(COUNT(C38:E38)=3,C38&gt;=8*0.4,C38&lt;8)</formula>
    </cfRule>
  </conditionalFormatting>
  <conditionalFormatting sqref="C39">
    <cfRule type="expression" priority="85" dxfId="0">
      <formula>AND(COUNT(C39:E39)=3,C39=8)</formula>
    </cfRule>
    <cfRule type="expression" priority="86" dxfId="1">
      <formula>AND(COUNT(C39:E39)=3,C39&lt;8*0.4)</formula>
    </cfRule>
    <cfRule type="expression" priority="87" dxfId="2">
      <formula>AND(COUNT(C39:E39)=3,C39&gt;=8*0.4,C39&lt;8)</formula>
    </cfRule>
  </conditionalFormatting>
  <conditionalFormatting sqref="C40">
    <cfRule type="expression" priority="88" dxfId="0">
      <formula>AND(COUNT(C40:E40)=3,C40=8)</formula>
    </cfRule>
    <cfRule type="expression" priority="89" dxfId="1">
      <formula>AND(COUNT(C40:E40)=3,C40&lt;8*0.4)</formula>
    </cfRule>
    <cfRule type="expression" priority="90" dxfId="2">
      <formula>AND(COUNT(C40:E40)=3,C40&gt;=8*0.4,C40&lt;8)</formula>
    </cfRule>
  </conditionalFormatting>
  <conditionalFormatting sqref="C41">
    <cfRule type="expression" priority="91" dxfId="0">
      <formula>AND(COUNT(C41:E41)=3,C41=8)</formula>
    </cfRule>
    <cfRule type="expression" priority="92" dxfId="1">
      <formula>AND(COUNT(C41:E41)=3,C41&lt;8*0.4)</formula>
    </cfRule>
    <cfRule type="expression" priority="93" dxfId="2">
      <formula>AND(COUNT(C41:E41)=3,C41&gt;=8*0.4,C41&lt;8)</formula>
    </cfRule>
  </conditionalFormatting>
  <conditionalFormatting sqref="D11">
    <cfRule type="expression" priority="94" dxfId="0">
      <formula>AND(COUNT(C11:E11)=3,D11=7)</formula>
    </cfRule>
    <cfRule type="expression" priority="95" dxfId="1">
      <formula>AND(COUNT(C11:E11)=3,D11&lt;7*0.4)</formula>
    </cfRule>
    <cfRule type="expression" priority="96" dxfId="2">
      <formula>AND(COUNT(C11:E11)=3,D11&gt;=7*0.4,D11&lt;7)</formula>
    </cfRule>
  </conditionalFormatting>
  <conditionalFormatting sqref="D12">
    <cfRule type="expression" priority="97" dxfId="0">
      <formula>AND(COUNT(C12:E12)=3,D12=7)</formula>
    </cfRule>
    <cfRule type="expression" priority="98" dxfId="1">
      <formula>AND(COUNT(C12:E12)=3,D12&lt;7*0.4)</formula>
    </cfRule>
    <cfRule type="expression" priority="99" dxfId="2">
      <formula>AND(COUNT(C12:E12)=3,D12&gt;=7*0.4,D12&lt;7)</formula>
    </cfRule>
  </conditionalFormatting>
  <conditionalFormatting sqref="D13">
    <cfRule type="expression" priority="100" dxfId="0">
      <formula>AND(COUNT(C13:E13)=3,D13=7)</formula>
    </cfRule>
    <cfRule type="expression" priority="101" dxfId="1">
      <formula>AND(COUNT(C13:E13)=3,D13&lt;7*0.4)</formula>
    </cfRule>
    <cfRule type="expression" priority="102" dxfId="2">
      <formula>AND(COUNT(C13:E13)=3,D13&gt;=7*0.4,D13&lt;7)</formula>
    </cfRule>
  </conditionalFormatting>
  <conditionalFormatting sqref="D14">
    <cfRule type="expression" priority="103" dxfId="0">
      <formula>AND(COUNT(C14:E14)=3,D14=7)</formula>
    </cfRule>
    <cfRule type="expression" priority="104" dxfId="1">
      <formula>AND(COUNT(C14:E14)=3,D14&lt;7*0.4)</formula>
    </cfRule>
    <cfRule type="expression" priority="105" dxfId="2">
      <formula>AND(COUNT(C14:E14)=3,D14&gt;=7*0.4,D14&lt;7)</formula>
    </cfRule>
  </conditionalFormatting>
  <conditionalFormatting sqref="D15">
    <cfRule type="expression" priority="106" dxfId="0">
      <formula>AND(COUNT(C15:E15)=3,D15=7)</formula>
    </cfRule>
    <cfRule type="expression" priority="107" dxfId="1">
      <formula>AND(COUNT(C15:E15)=3,D15&lt;7*0.4)</formula>
    </cfRule>
    <cfRule type="expression" priority="108" dxfId="2">
      <formula>AND(COUNT(C15:E15)=3,D15&gt;=7*0.4,D15&lt;7)</formula>
    </cfRule>
  </conditionalFormatting>
  <conditionalFormatting sqref="D16">
    <cfRule type="expression" priority="109" dxfId="0">
      <formula>AND(COUNT(C16:E16)=3,D16=7)</formula>
    </cfRule>
    <cfRule type="expression" priority="110" dxfId="1">
      <formula>AND(COUNT(C16:E16)=3,D16&lt;7*0.4)</formula>
    </cfRule>
    <cfRule type="expression" priority="111" dxfId="2">
      <formula>AND(COUNT(C16:E16)=3,D16&gt;=7*0.4,D16&lt;7)</formula>
    </cfRule>
  </conditionalFormatting>
  <conditionalFormatting sqref="D17">
    <cfRule type="expression" priority="112" dxfId="0">
      <formula>AND(COUNT(C17:E17)=3,D17=7)</formula>
    </cfRule>
    <cfRule type="expression" priority="113" dxfId="1">
      <formula>AND(COUNT(C17:E17)=3,D17&lt;7*0.4)</formula>
    </cfRule>
    <cfRule type="expression" priority="114" dxfId="2">
      <formula>AND(COUNT(C17:E17)=3,D17&gt;=7*0.4,D17&lt;7)</formula>
    </cfRule>
  </conditionalFormatting>
  <conditionalFormatting sqref="D18">
    <cfRule type="expression" priority="115" dxfId="0">
      <formula>AND(COUNT(C18:E18)=3,D18=7)</formula>
    </cfRule>
    <cfRule type="expression" priority="116" dxfId="1">
      <formula>AND(COUNT(C18:E18)=3,D18&lt;7*0.4)</formula>
    </cfRule>
    <cfRule type="expression" priority="117" dxfId="2">
      <formula>AND(COUNT(C18:E18)=3,D18&gt;=7*0.4,D18&lt;7)</formula>
    </cfRule>
  </conditionalFormatting>
  <conditionalFormatting sqref="D19">
    <cfRule type="expression" priority="118" dxfId="0">
      <formula>AND(COUNT(C19:E19)=3,D19=7)</formula>
    </cfRule>
    <cfRule type="expression" priority="119" dxfId="1">
      <formula>AND(COUNT(C19:E19)=3,D19&lt;7*0.4)</formula>
    </cfRule>
    <cfRule type="expression" priority="120" dxfId="2">
      <formula>AND(COUNT(C19:E19)=3,D19&gt;=7*0.4,D19&lt;7)</formula>
    </cfRule>
  </conditionalFormatting>
  <conditionalFormatting sqref="D20">
    <cfRule type="expression" priority="121" dxfId="0">
      <formula>AND(COUNT(C20:E20)=3,D20=7)</formula>
    </cfRule>
    <cfRule type="expression" priority="122" dxfId="1">
      <formula>AND(COUNT(C20:E20)=3,D20&lt;7*0.4)</formula>
    </cfRule>
    <cfRule type="expression" priority="123" dxfId="2">
      <formula>AND(COUNT(C20:E20)=3,D20&gt;=7*0.4,D20&lt;7)</formula>
    </cfRule>
  </conditionalFormatting>
  <conditionalFormatting sqref="D21">
    <cfRule type="expression" priority="124" dxfId="0">
      <formula>AND(COUNT(C21:E21)=3,D21=7)</formula>
    </cfRule>
    <cfRule type="expression" priority="125" dxfId="1">
      <formula>AND(COUNT(C21:E21)=3,D21&lt;7*0.4)</formula>
    </cfRule>
    <cfRule type="expression" priority="126" dxfId="2">
      <formula>AND(COUNT(C21:E21)=3,D21&gt;=7*0.4,D21&lt;7)</formula>
    </cfRule>
  </conditionalFormatting>
  <conditionalFormatting sqref="D22">
    <cfRule type="expression" priority="127" dxfId="0">
      <formula>AND(COUNT(C22:E22)=3,D22=7)</formula>
    </cfRule>
    <cfRule type="expression" priority="128" dxfId="1">
      <formula>AND(COUNT(C22:E22)=3,D22&lt;7*0.4)</formula>
    </cfRule>
    <cfRule type="expression" priority="129" dxfId="2">
      <formula>AND(COUNT(C22:E22)=3,D22&gt;=7*0.4,D22&lt;7)</formula>
    </cfRule>
  </conditionalFormatting>
  <conditionalFormatting sqref="D23">
    <cfRule type="expression" priority="130" dxfId="0">
      <formula>AND(COUNT(C23:E23)=3,D23=7)</formula>
    </cfRule>
    <cfRule type="expression" priority="131" dxfId="1">
      <formula>AND(COUNT(C23:E23)=3,D23&lt;7*0.4)</formula>
    </cfRule>
    <cfRule type="expression" priority="132" dxfId="2">
      <formula>AND(COUNT(C23:E23)=3,D23&gt;=7*0.4,D23&lt;7)</formula>
    </cfRule>
  </conditionalFormatting>
  <conditionalFormatting sqref="D24">
    <cfRule type="expression" priority="133" dxfId="0">
      <formula>AND(COUNT(C24:E24)=3,D24=7)</formula>
    </cfRule>
    <cfRule type="expression" priority="134" dxfId="1">
      <formula>AND(COUNT(C24:E24)=3,D24&lt;7*0.4)</formula>
    </cfRule>
    <cfRule type="expression" priority="135" dxfId="2">
      <formula>AND(COUNT(C24:E24)=3,D24&gt;=7*0.4,D24&lt;7)</formula>
    </cfRule>
  </conditionalFormatting>
  <conditionalFormatting sqref="D25">
    <cfRule type="expression" priority="136" dxfId="0">
      <formula>AND(COUNT(C25:E25)=3,D25=7)</formula>
    </cfRule>
    <cfRule type="expression" priority="137" dxfId="1">
      <formula>AND(COUNT(C25:E25)=3,D25&lt;7*0.4)</formula>
    </cfRule>
    <cfRule type="expression" priority="138" dxfId="2">
      <formula>AND(COUNT(C25:E25)=3,D25&gt;=7*0.4,D25&lt;7)</formula>
    </cfRule>
  </conditionalFormatting>
  <conditionalFormatting sqref="D26">
    <cfRule type="expression" priority="139" dxfId="0">
      <formula>AND(COUNT(C26:E26)=3,D26=7)</formula>
    </cfRule>
    <cfRule type="expression" priority="140" dxfId="1">
      <formula>AND(COUNT(C26:E26)=3,D26&lt;7*0.4)</formula>
    </cfRule>
    <cfRule type="expression" priority="141" dxfId="2">
      <formula>AND(COUNT(C26:E26)=3,D26&gt;=7*0.4,D26&lt;7)</formula>
    </cfRule>
  </conditionalFormatting>
  <conditionalFormatting sqref="D27">
    <cfRule type="expression" priority="142" dxfId="0">
      <formula>AND(COUNT(C27:E27)=3,D27=7)</formula>
    </cfRule>
    <cfRule type="expression" priority="143" dxfId="1">
      <formula>AND(COUNT(C27:E27)=3,D27&lt;7*0.4)</formula>
    </cfRule>
    <cfRule type="expression" priority="144" dxfId="2">
      <formula>AND(COUNT(C27:E27)=3,D27&gt;=7*0.4,D27&lt;7)</formula>
    </cfRule>
  </conditionalFormatting>
  <conditionalFormatting sqref="D28">
    <cfRule type="expression" priority="145" dxfId="0">
      <formula>AND(COUNT(C28:E28)=3,D28=7)</formula>
    </cfRule>
    <cfRule type="expression" priority="146" dxfId="1">
      <formula>AND(COUNT(C28:E28)=3,D28&lt;7*0.4)</formula>
    </cfRule>
    <cfRule type="expression" priority="147" dxfId="2">
      <formula>AND(COUNT(C28:E28)=3,D28&gt;=7*0.4,D28&lt;7)</formula>
    </cfRule>
  </conditionalFormatting>
  <conditionalFormatting sqref="D29">
    <cfRule type="expression" priority="148" dxfId="0">
      <formula>AND(COUNT(C29:E29)=3,D29=7)</formula>
    </cfRule>
    <cfRule type="expression" priority="149" dxfId="1">
      <formula>AND(COUNT(C29:E29)=3,D29&lt;7*0.4)</formula>
    </cfRule>
    <cfRule type="expression" priority="150" dxfId="2">
      <formula>AND(COUNT(C29:E29)=3,D29&gt;=7*0.4,D29&lt;7)</formula>
    </cfRule>
  </conditionalFormatting>
  <conditionalFormatting sqref="D30">
    <cfRule type="expression" priority="151" dxfId="0">
      <formula>AND(COUNT(C30:E30)=3,D30=7)</formula>
    </cfRule>
    <cfRule type="expression" priority="152" dxfId="1">
      <formula>AND(COUNT(C30:E30)=3,D30&lt;7*0.4)</formula>
    </cfRule>
    <cfRule type="expression" priority="153" dxfId="2">
      <formula>AND(COUNT(C30:E30)=3,D30&gt;=7*0.4,D30&lt;7)</formula>
    </cfRule>
  </conditionalFormatting>
  <conditionalFormatting sqref="D31">
    <cfRule type="expression" priority="154" dxfId="0">
      <formula>AND(COUNT(C31:E31)=3,D31=7)</formula>
    </cfRule>
    <cfRule type="expression" priority="155" dxfId="1">
      <formula>AND(COUNT(C31:E31)=3,D31&lt;7*0.4)</formula>
    </cfRule>
    <cfRule type="expression" priority="156" dxfId="2">
      <formula>AND(COUNT(C31:E31)=3,D31&gt;=7*0.4,D31&lt;7)</formula>
    </cfRule>
  </conditionalFormatting>
  <conditionalFormatting sqref="D32">
    <cfRule type="expression" priority="157" dxfId="0">
      <formula>AND(COUNT(C32:E32)=3,D32=7)</formula>
    </cfRule>
    <cfRule type="expression" priority="158" dxfId="1">
      <formula>AND(COUNT(C32:E32)=3,D32&lt;7*0.4)</formula>
    </cfRule>
    <cfRule type="expression" priority="159" dxfId="2">
      <formula>AND(COUNT(C32:E32)=3,D32&gt;=7*0.4,D32&lt;7)</formula>
    </cfRule>
  </conditionalFormatting>
  <conditionalFormatting sqref="D33">
    <cfRule type="expression" priority="160" dxfId="0">
      <formula>AND(COUNT(C33:E33)=3,D33=7)</formula>
    </cfRule>
    <cfRule type="expression" priority="161" dxfId="1">
      <formula>AND(COUNT(C33:E33)=3,D33&lt;7*0.4)</formula>
    </cfRule>
    <cfRule type="expression" priority="162" dxfId="2">
      <formula>AND(COUNT(C33:E33)=3,D33&gt;=7*0.4,D33&lt;7)</formula>
    </cfRule>
  </conditionalFormatting>
  <conditionalFormatting sqref="D34">
    <cfRule type="expression" priority="163" dxfId="0">
      <formula>AND(COUNT(C34:E34)=3,D34=7)</formula>
    </cfRule>
    <cfRule type="expression" priority="164" dxfId="1">
      <formula>AND(COUNT(C34:E34)=3,D34&lt;7*0.4)</formula>
    </cfRule>
    <cfRule type="expression" priority="165" dxfId="2">
      <formula>AND(COUNT(C34:E34)=3,D34&gt;=7*0.4,D34&lt;7)</formula>
    </cfRule>
  </conditionalFormatting>
  <conditionalFormatting sqref="D35">
    <cfRule type="expression" priority="166" dxfId="0">
      <formula>AND(COUNT(C35:E35)=3,D35=7)</formula>
    </cfRule>
    <cfRule type="expression" priority="167" dxfId="1">
      <formula>AND(COUNT(C35:E35)=3,D35&lt;7*0.4)</formula>
    </cfRule>
    <cfRule type="expression" priority="168" dxfId="2">
      <formula>AND(COUNT(C35:E35)=3,D35&gt;=7*0.4,D35&lt;7)</formula>
    </cfRule>
  </conditionalFormatting>
  <conditionalFormatting sqref="D36">
    <cfRule type="expression" priority="169" dxfId="0">
      <formula>AND(COUNT(C36:E36)=3,D36=7)</formula>
    </cfRule>
    <cfRule type="expression" priority="170" dxfId="1">
      <formula>AND(COUNT(C36:E36)=3,D36&lt;7*0.4)</formula>
    </cfRule>
    <cfRule type="expression" priority="171" dxfId="2">
      <formula>AND(COUNT(C36:E36)=3,D36&gt;=7*0.4,D36&lt;7)</formula>
    </cfRule>
  </conditionalFormatting>
  <conditionalFormatting sqref="D37">
    <cfRule type="expression" priority="172" dxfId="0">
      <formula>AND(COUNT(C37:E37)=3,D37=7)</formula>
    </cfRule>
    <cfRule type="expression" priority="173" dxfId="1">
      <formula>AND(COUNT(C37:E37)=3,D37&lt;7*0.4)</formula>
    </cfRule>
    <cfRule type="expression" priority="174" dxfId="2">
      <formula>AND(COUNT(C37:E37)=3,D37&gt;=7*0.4,D37&lt;7)</formula>
    </cfRule>
  </conditionalFormatting>
  <conditionalFormatting sqref="D38">
    <cfRule type="expression" priority="175" dxfId="0">
      <formula>AND(COUNT(C38:E38)=3,D38=7)</formula>
    </cfRule>
    <cfRule type="expression" priority="176" dxfId="1">
      <formula>AND(COUNT(C38:E38)=3,D38&lt;7*0.4)</formula>
    </cfRule>
    <cfRule type="expression" priority="177" dxfId="2">
      <formula>AND(COUNT(C38:E38)=3,D38&gt;=7*0.4,D38&lt;7)</formula>
    </cfRule>
  </conditionalFormatting>
  <conditionalFormatting sqref="D39">
    <cfRule type="expression" priority="178" dxfId="0">
      <formula>AND(COUNT(C39:E39)=3,D39=7)</formula>
    </cfRule>
    <cfRule type="expression" priority="179" dxfId="1">
      <formula>AND(COUNT(C39:E39)=3,D39&lt;7*0.4)</formula>
    </cfRule>
    <cfRule type="expression" priority="180" dxfId="2">
      <formula>AND(COUNT(C39:E39)=3,D39&gt;=7*0.4,D39&lt;7)</formula>
    </cfRule>
  </conditionalFormatting>
  <conditionalFormatting sqref="D40">
    <cfRule type="expression" priority="181" dxfId="0">
      <formula>AND(COUNT(C40:E40)=3,D40=7)</formula>
    </cfRule>
    <cfRule type="expression" priority="182" dxfId="1">
      <formula>AND(COUNT(C40:E40)=3,D40&lt;7*0.4)</formula>
    </cfRule>
    <cfRule type="expression" priority="183" dxfId="2">
      <formula>AND(COUNT(C40:E40)=3,D40&gt;=7*0.4,D40&lt;7)</formula>
    </cfRule>
  </conditionalFormatting>
  <conditionalFormatting sqref="D41">
    <cfRule type="expression" priority="184" dxfId="0">
      <formula>AND(COUNT(C41:E41)=3,D41=7)</formula>
    </cfRule>
    <cfRule type="expression" priority="185" dxfId="1">
      <formula>AND(COUNT(C41:E41)=3,D41&lt;7*0.4)</formula>
    </cfRule>
    <cfRule type="expression" priority="186" dxfId="2">
      <formula>AND(COUNT(C41:E41)=3,D41&gt;=7*0.4,D41&lt;7)</formula>
    </cfRule>
  </conditionalFormatting>
  <conditionalFormatting sqref="E11">
    <cfRule type="expression" priority="187" dxfId="0">
      <formula>AND(COUNT(C11:E11)=3,E11=7)</formula>
    </cfRule>
    <cfRule type="expression" priority="188" dxfId="1">
      <formula>AND(COUNT(C11:E11)=3,E11&lt;7*0.4)</formula>
    </cfRule>
    <cfRule type="expression" priority="189" dxfId="2">
      <formula>AND(COUNT(C11:E11)=3,E11&gt;=7*0.4,E11&lt;7)</formula>
    </cfRule>
  </conditionalFormatting>
  <conditionalFormatting sqref="E12">
    <cfRule type="expression" priority="190" dxfId="0">
      <formula>AND(COUNT(C12:E12)=3,E12=7)</formula>
    </cfRule>
    <cfRule type="expression" priority="191" dxfId="1">
      <formula>AND(COUNT(C12:E12)=3,E12&lt;7*0.4)</formula>
    </cfRule>
    <cfRule type="expression" priority="192" dxfId="2">
      <formula>AND(COUNT(C12:E12)=3,E12&gt;=7*0.4,E12&lt;7)</formula>
    </cfRule>
  </conditionalFormatting>
  <conditionalFormatting sqref="E13">
    <cfRule type="expression" priority="193" dxfId="0">
      <formula>AND(COUNT(C13:E13)=3,E13=7)</formula>
    </cfRule>
    <cfRule type="expression" priority="194" dxfId="1">
      <formula>AND(COUNT(C13:E13)=3,E13&lt;7*0.4)</formula>
    </cfRule>
    <cfRule type="expression" priority="195" dxfId="2">
      <formula>AND(COUNT(C13:E13)=3,E13&gt;=7*0.4,E13&lt;7)</formula>
    </cfRule>
  </conditionalFormatting>
  <conditionalFormatting sqref="E14">
    <cfRule type="expression" priority="196" dxfId="0">
      <formula>AND(COUNT(C14:E14)=3,E14=7)</formula>
    </cfRule>
    <cfRule type="expression" priority="197" dxfId="1">
      <formula>AND(COUNT(C14:E14)=3,E14&lt;7*0.4)</formula>
    </cfRule>
    <cfRule type="expression" priority="198" dxfId="2">
      <formula>AND(COUNT(C14:E14)=3,E14&gt;=7*0.4,E14&lt;7)</formula>
    </cfRule>
  </conditionalFormatting>
  <conditionalFormatting sqref="E15">
    <cfRule type="expression" priority="199" dxfId="0">
      <formula>AND(COUNT(C15:E15)=3,E15=7)</formula>
    </cfRule>
    <cfRule type="expression" priority="200" dxfId="1">
      <formula>AND(COUNT(C15:E15)=3,E15&lt;7*0.4)</formula>
    </cfRule>
    <cfRule type="expression" priority="201" dxfId="2">
      <formula>AND(COUNT(C15:E15)=3,E15&gt;=7*0.4,E15&lt;7)</formula>
    </cfRule>
  </conditionalFormatting>
  <conditionalFormatting sqref="E16">
    <cfRule type="expression" priority="202" dxfId="0">
      <formula>AND(COUNT(C16:E16)=3,E16=7)</formula>
    </cfRule>
    <cfRule type="expression" priority="203" dxfId="1">
      <formula>AND(COUNT(C16:E16)=3,E16&lt;7*0.4)</formula>
    </cfRule>
    <cfRule type="expression" priority="204" dxfId="2">
      <formula>AND(COUNT(C16:E16)=3,E16&gt;=7*0.4,E16&lt;7)</formula>
    </cfRule>
  </conditionalFormatting>
  <conditionalFormatting sqref="E17">
    <cfRule type="expression" priority="205" dxfId="0">
      <formula>AND(COUNT(C17:E17)=3,E17=7)</formula>
    </cfRule>
    <cfRule type="expression" priority="206" dxfId="1">
      <formula>AND(COUNT(C17:E17)=3,E17&lt;7*0.4)</formula>
    </cfRule>
    <cfRule type="expression" priority="207" dxfId="2">
      <formula>AND(COUNT(C17:E17)=3,E17&gt;=7*0.4,E17&lt;7)</formula>
    </cfRule>
  </conditionalFormatting>
  <conditionalFormatting sqref="E18">
    <cfRule type="expression" priority="208" dxfId="0">
      <formula>AND(COUNT(C18:E18)=3,E18=7)</formula>
    </cfRule>
    <cfRule type="expression" priority="209" dxfId="1">
      <formula>AND(COUNT(C18:E18)=3,E18&lt;7*0.4)</formula>
    </cfRule>
    <cfRule type="expression" priority="210" dxfId="2">
      <formula>AND(COUNT(C18:E18)=3,E18&gt;=7*0.4,E18&lt;7)</formula>
    </cfRule>
  </conditionalFormatting>
  <conditionalFormatting sqref="E19">
    <cfRule type="expression" priority="211" dxfId="0">
      <formula>AND(COUNT(C19:E19)=3,E19=7)</formula>
    </cfRule>
    <cfRule type="expression" priority="212" dxfId="1">
      <formula>AND(COUNT(C19:E19)=3,E19&lt;7*0.4)</formula>
    </cfRule>
    <cfRule type="expression" priority="213" dxfId="2">
      <formula>AND(COUNT(C19:E19)=3,E19&gt;=7*0.4,E19&lt;7)</formula>
    </cfRule>
  </conditionalFormatting>
  <conditionalFormatting sqref="E20">
    <cfRule type="expression" priority="214" dxfId="0">
      <formula>AND(COUNT(C20:E20)=3,E20=7)</formula>
    </cfRule>
    <cfRule type="expression" priority="215" dxfId="1">
      <formula>AND(COUNT(C20:E20)=3,E20&lt;7*0.4)</formula>
    </cfRule>
    <cfRule type="expression" priority="216" dxfId="2">
      <formula>AND(COUNT(C20:E20)=3,E20&gt;=7*0.4,E20&lt;7)</formula>
    </cfRule>
  </conditionalFormatting>
  <conditionalFormatting sqref="E21">
    <cfRule type="expression" priority="217" dxfId="0">
      <formula>AND(COUNT(C21:E21)=3,E21=7)</formula>
    </cfRule>
    <cfRule type="expression" priority="218" dxfId="1">
      <formula>AND(COUNT(C21:E21)=3,E21&lt;7*0.4)</formula>
    </cfRule>
    <cfRule type="expression" priority="219" dxfId="2">
      <formula>AND(COUNT(C21:E21)=3,E21&gt;=7*0.4,E21&lt;7)</formula>
    </cfRule>
  </conditionalFormatting>
  <conditionalFormatting sqref="E22">
    <cfRule type="expression" priority="220" dxfId="0">
      <formula>AND(COUNT(C22:E22)=3,E22=7)</formula>
    </cfRule>
    <cfRule type="expression" priority="221" dxfId="1">
      <formula>AND(COUNT(C22:E22)=3,E22&lt;7*0.4)</formula>
    </cfRule>
    <cfRule type="expression" priority="222" dxfId="2">
      <formula>AND(COUNT(C22:E22)=3,E22&gt;=7*0.4,E22&lt;7)</formula>
    </cfRule>
  </conditionalFormatting>
  <conditionalFormatting sqref="E23">
    <cfRule type="expression" priority="223" dxfId="0">
      <formula>AND(COUNT(C23:E23)=3,E23=7)</formula>
    </cfRule>
    <cfRule type="expression" priority="224" dxfId="1">
      <formula>AND(COUNT(C23:E23)=3,E23&lt;7*0.4)</formula>
    </cfRule>
    <cfRule type="expression" priority="225" dxfId="2">
      <formula>AND(COUNT(C23:E23)=3,E23&gt;=7*0.4,E23&lt;7)</formula>
    </cfRule>
  </conditionalFormatting>
  <conditionalFormatting sqref="E24">
    <cfRule type="expression" priority="226" dxfId="0">
      <formula>AND(COUNT(C24:E24)=3,E24=7)</formula>
    </cfRule>
    <cfRule type="expression" priority="227" dxfId="1">
      <formula>AND(COUNT(C24:E24)=3,E24&lt;7*0.4)</formula>
    </cfRule>
    <cfRule type="expression" priority="228" dxfId="2">
      <formula>AND(COUNT(C24:E24)=3,E24&gt;=7*0.4,E24&lt;7)</formula>
    </cfRule>
  </conditionalFormatting>
  <conditionalFormatting sqref="E25">
    <cfRule type="expression" priority="229" dxfId="0">
      <formula>AND(COUNT(C25:E25)=3,E25=7)</formula>
    </cfRule>
    <cfRule type="expression" priority="230" dxfId="1">
      <formula>AND(COUNT(C25:E25)=3,E25&lt;7*0.4)</formula>
    </cfRule>
    <cfRule type="expression" priority="231" dxfId="2">
      <formula>AND(COUNT(C25:E25)=3,E25&gt;=7*0.4,E25&lt;7)</formula>
    </cfRule>
  </conditionalFormatting>
  <conditionalFormatting sqref="E26">
    <cfRule type="expression" priority="232" dxfId="0">
      <formula>AND(COUNT(C26:E26)=3,E26=7)</formula>
    </cfRule>
    <cfRule type="expression" priority="233" dxfId="1">
      <formula>AND(COUNT(C26:E26)=3,E26&lt;7*0.4)</formula>
    </cfRule>
    <cfRule type="expression" priority="234" dxfId="2">
      <formula>AND(COUNT(C26:E26)=3,E26&gt;=7*0.4,E26&lt;7)</formula>
    </cfRule>
  </conditionalFormatting>
  <conditionalFormatting sqref="E27">
    <cfRule type="expression" priority="235" dxfId="0">
      <formula>AND(COUNT(C27:E27)=3,E27=7)</formula>
    </cfRule>
    <cfRule type="expression" priority="236" dxfId="1">
      <formula>AND(COUNT(C27:E27)=3,E27&lt;7*0.4)</formula>
    </cfRule>
    <cfRule type="expression" priority="237" dxfId="2">
      <formula>AND(COUNT(C27:E27)=3,E27&gt;=7*0.4,E27&lt;7)</formula>
    </cfRule>
  </conditionalFormatting>
  <conditionalFormatting sqref="E28">
    <cfRule type="expression" priority="238" dxfId="0">
      <formula>AND(COUNT(C28:E28)=3,E28=7)</formula>
    </cfRule>
    <cfRule type="expression" priority="239" dxfId="1">
      <formula>AND(COUNT(C28:E28)=3,E28&lt;7*0.4)</formula>
    </cfRule>
    <cfRule type="expression" priority="240" dxfId="2">
      <formula>AND(COUNT(C28:E28)=3,E28&gt;=7*0.4,E28&lt;7)</formula>
    </cfRule>
  </conditionalFormatting>
  <conditionalFormatting sqref="E29">
    <cfRule type="expression" priority="241" dxfId="0">
      <formula>AND(COUNT(C29:E29)=3,E29=7)</formula>
    </cfRule>
    <cfRule type="expression" priority="242" dxfId="1">
      <formula>AND(COUNT(C29:E29)=3,E29&lt;7*0.4)</formula>
    </cfRule>
    <cfRule type="expression" priority="243" dxfId="2">
      <formula>AND(COUNT(C29:E29)=3,E29&gt;=7*0.4,E29&lt;7)</formula>
    </cfRule>
  </conditionalFormatting>
  <conditionalFormatting sqref="E30">
    <cfRule type="expression" priority="244" dxfId="0">
      <formula>AND(COUNT(C30:E30)=3,E30=7)</formula>
    </cfRule>
    <cfRule type="expression" priority="245" dxfId="1">
      <formula>AND(COUNT(C30:E30)=3,E30&lt;7*0.4)</formula>
    </cfRule>
    <cfRule type="expression" priority="246" dxfId="2">
      <formula>AND(COUNT(C30:E30)=3,E30&gt;=7*0.4,E30&lt;7)</formula>
    </cfRule>
  </conditionalFormatting>
  <conditionalFormatting sqref="E31">
    <cfRule type="expression" priority="247" dxfId="0">
      <formula>AND(COUNT(C31:E31)=3,E31=7)</formula>
    </cfRule>
    <cfRule type="expression" priority="248" dxfId="1">
      <formula>AND(COUNT(C31:E31)=3,E31&lt;7*0.4)</formula>
    </cfRule>
    <cfRule type="expression" priority="249" dxfId="2">
      <formula>AND(COUNT(C31:E31)=3,E31&gt;=7*0.4,E31&lt;7)</formula>
    </cfRule>
  </conditionalFormatting>
  <conditionalFormatting sqref="E32">
    <cfRule type="expression" priority="250" dxfId="0">
      <formula>AND(COUNT(C32:E32)=3,E32=7)</formula>
    </cfRule>
    <cfRule type="expression" priority="251" dxfId="1">
      <formula>AND(COUNT(C32:E32)=3,E32&lt;7*0.4)</formula>
    </cfRule>
    <cfRule type="expression" priority="252" dxfId="2">
      <formula>AND(COUNT(C32:E32)=3,E32&gt;=7*0.4,E32&lt;7)</formula>
    </cfRule>
  </conditionalFormatting>
  <conditionalFormatting sqref="E33">
    <cfRule type="expression" priority="253" dxfId="0">
      <formula>AND(COUNT(C33:E33)=3,E33=7)</formula>
    </cfRule>
    <cfRule type="expression" priority="254" dxfId="1">
      <formula>AND(COUNT(C33:E33)=3,E33&lt;7*0.4)</formula>
    </cfRule>
    <cfRule type="expression" priority="255" dxfId="2">
      <formula>AND(COUNT(C33:E33)=3,E33&gt;=7*0.4,E33&lt;7)</formula>
    </cfRule>
  </conditionalFormatting>
  <conditionalFormatting sqref="E34">
    <cfRule type="expression" priority="256" dxfId="0">
      <formula>AND(COUNT(C34:E34)=3,E34=7)</formula>
    </cfRule>
    <cfRule type="expression" priority="257" dxfId="1">
      <formula>AND(COUNT(C34:E34)=3,E34&lt;7*0.4)</formula>
    </cfRule>
    <cfRule type="expression" priority="258" dxfId="2">
      <formula>AND(COUNT(C34:E34)=3,E34&gt;=7*0.4,E34&lt;7)</formula>
    </cfRule>
  </conditionalFormatting>
  <conditionalFormatting sqref="E35">
    <cfRule type="expression" priority="259" dxfId="0">
      <formula>AND(COUNT(C35:E35)=3,E35=7)</formula>
    </cfRule>
    <cfRule type="expression" priority="260" dxfId="1">
      <formula>AND(COUNT(C35:E35)=3,E35&lt;7*0.4)</formula>
    </cfRule>
    <cfRule type="expression" priority="261" dxfId="2">
      <formula>AND(COUNT(C35:E35)=3,E35&gt;=7*0.4,E35&lt;7)</formula>
    </cfRule>
  </conditionalFormatting>
  <conditionalFormatting sqref="E36">
    <cfRule type="expression" priority="262" dxfId="0">
      <formula>AND(COUNT(C36:E36)=3,E36=7)</formula>
    </cfRule>
    <cfRule type="expression" priority="263" dxfId="1">
      <formula>AND(COUNT(C36:E36)=3,E36&lt;7*0.4)</formula>
    </cfRule>
    <cfRule type="expression" priority="264" dxfId="2">
      <formula>AND(COUNT(C36:E36)=3,E36&gt;=7*0.4,E36&lt;7)</formula>
    </cfRule>
  </conditionalFormatting>
  <conditionalFormatting sqref="E37">
    <cfRule type="expression" priority="265" dxfId="0">
      <formula>AND(COUNT(C37:E37)=3,E37=7)</formula>
    </cfRule>
    <cfRule type="expression" priority="266" dxfId="1">
      <formula>AND(COUNT(C37:E37)=3,E37&lt;7*0.4)</formula>
    </cfRule>
    <cfRule type="expression" priority="267" dxfId="2">
      <formula>AND(COUNT(C37:E37)=3,E37&gt;=7*0.4,E37&lt;7)</formula>
    </cfRule>
  </conditionalFormatting>
  <conditionalFormatting sqref="E38">
    <cfRule type="expression" priority="268" dxfId="0">
      <formula>AND(COUNT(C38:E38)=3,E38=7)</formula>
    </cfRule>
    <cfRule type="expression" priority="269" dxfId="1">
      <formula>AND(COUNT(C38:E38)=3,E38&lt;7*0.4)</formula>
    </cfRule>
    <cfRule type="expression" priority="270" dxfId="2">
      <formula>AND(COUNT(C38:E38)=3,E38&gt;=7*0.4,E38&lt;7)</formula>
    </cfRule>
  </conditionalFormatting>
  <conditionalFormatting sqref="E39">
    <cfRule type="expression" priority="271" dxfId="0">
      <formula>AND(COUNT(C39:E39)=3,E39=7)</formula>
    </cfRule>
    <cfRule type="expression" priority="272" dxfId="1">
      <formula>AND(COUNT(C39:E39)=3,E39&lt;7*0.4)</formula>
    </cfRule>
    <cfRule type="expression" priority="273" dxfId="2">
      <formula>AND(COUNT(C39:E39)=3,E39&gt;=7*0.4,E39&lt;7)</formula>
    </cfRule>
  </conditionalFormatting>
  <conditionalFormatting sqref="E40">
    <cfRule type="expression" priority="274" dxfId="0">
      <formula>AND(COUNT(C40:E40)=3,E40=7)</formula>
    </cfRule>
    <cfRule type="expression" priority="275" dxfId="1">
      <formula>AND(COUNT(C40:E40)=3,E40&lt;7*0.4)</formula>
    </cfRule>
    <cfRule type="expression" priority="276" dxfId="2">
      <formula>AND(COUNT(C40:E40)=3,E40&gt;=7*0.4,E40&lt;7)</formula>
    </cfRule>
  </conditionalFormatting>
  <conditionalFormatting sqref="E41">
    <cfRule type="expression" priority="277" dxfId="0">
      <formula>AND(COUNT(C41:E41)=3,E41=7)</formula>
    </cfRule>
    <cfRule type="expression" priority="278" dxfId="1">
      <formula>AND(COUNT(C41:E41)=3,E41&lt;7*0.4)</formula>
    </cfRule>
    <cfRule type="expression" priority="279" dxfId="2">
      <formula>AND(COUNT(C41:E41)=3,E41&gt;=7*0.4,E41&lt;7)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40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Mini Test 2.1 — Personal finance</t>
        </is>
      </c>
    </row>
    <row r="2">
      <c r="A2" s="2" t="inlineStr">
        <is>
          <t>Every block below pulls live from 'MT 2.1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SUMPRODUCT(--ISNUMBER('MT 2.1 Results'!H12:H41))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IF('MT 2.1 Results'!H12="","","Mini Test 2.1 — Personal finance")</f>
        <v/>
      </c>
      <c r="K5">
        <f>IF('MT 2.1 Results'!H13="","","Mini Test 2.1 — Personal finance")</f>
        <v/>
      </c>
    </row>
    <row r="6">
      <c r="A6">
        <f>IF('MT 2.1 Results'!H12="","","Name: "&amp;'MT 2.1 Results'!B12&amp;"   Class: "&amp;'MT 2.1 Results'!$B$3&amp;"   Date: "&amp;TEXT('MT 2.1 Results'!$B$5,"DD/MM/YY"))</f>
        <v/>
      </c>
      <c r="K6">
        <f>IF('MT 2.1 Results'!H13="","","Name: "&amp;'MT 2.1 Results'!B13&amp;"   Class: "&amp;'MT 2.1 Results'!$B$3&amp;"   Date: "&amp;TEXT('MT 2.1 Results'!$B$5,"DD/MM/YY"))</f>
        <v/>
      </c>
    </row>
    <row r="7">
      <c r="A7">
        <f>IF('MT 2.1 Results'!H12="","","Total: "&amp;'MT 2.1 Results'!F12&amp;"/22 ("&amp;TEXT('MT 2.1 Results'!G12,"0%")&amp;")   Overall: "&amp;'MT 2.1 Results'!H12)</f>
        <v/>
      </c>
      <c r="K7">
        <f>IF('MT 2.1 Results'!H13="","","Total: "&amp;'MT 2.1 Results'!F13&amp;"/22 ("&amp;TEXT('MT 2.1 Results'!G13,"0%")&amp;")   Overall: "&amp;'MT 2.1 Results'!H13)</f>
        <v/>
      </c>
    </row>
    <row r="8">
      <c r="A8">
        <f>IF('MT 2.1 Results'!H12="","",IF('MT 2.1 Results'!H12="Green",Parameters!$C$93,IF('MT 2.1 Results'!H12="Yellow",Parameters!$C$92,Parameters!$C$91)))</f>
        <v/>
      </c>
      <c r="K8">
        <f>IF('MT 2.1 Results'!H13="","",IF('MT 2.1 Results'!H13="Green",Parameters!$C$93,IF('MT 2.1 Results'!H13="Yellow",Parameters!$C$92,Parameters!$C$91)))</f>
        <v/>
      </c>
    </row>
    <row r="10">
      <c r="A10">
        <f>IF('MT 2.1 Results'!H12="","","Breakdown:")</f>
        <v/>
      </c>
      <c r="K10">
        <f>IF('MT 2.1 Results'!H13="","","Breakdown:")</f>
        <v/>
      </c>
    </row>
    <row r="11">
      <c r="A11">
        <f>IF('MT 2.1 Results'!H12="","","Q1 Income tax &amp; National Insurance: "&amp;'MT 2.1 Results'!C12&amp;"/8")</f>
        <v/>
      </c>
      <c r="K11">
        <f>IF('MT 2.1 Results'!H13="","","Q1 Income tax &amp; National Insurance: "&amp;'MT 2.1 Results'!C13&amp;"/8")</f>
        <v/>
      </c>
    </row>
    <row r="12">
      <c r="A12">
        <f>IF('MT 2.1 Results'!H12="","","Q2 Budgeting: "&amp;'MT 2.1 Results'!D12&amp;"/7")</f>
        <v/>
      </c>
      <c r="K12">
        <f>IF('MT 2.1 Results'!H13="","","Q2 Budgeting: "&amp;'MT 2.1 Results'!D13&amp;"/7")</f>
        <v/>
      </c>
    </row>
    <row r="13">
      <c r="A13">
        <f>IF('MT 2.1 Results'!H12="","","Q3 Simple &amp; compound interest: "&amp;'MT 2.1 Results'!E12&amp;"/7")</f>
        <v/>
      </c>
      <c r="K13">
        <f>IF('MT 2.1 Results'!H13="","","Q3 Simple &amp; compound interest: "&amp;'MT 2.1 Results'!E13&amp;"/7")</f>
        <v/>
      </c>
    </row>
    <row r="14">
      <c r="A14">
        <f>IF(OR('MT 2.1 Results'!H12="",'MT 2.1 Results'!I12=""),"",'MT 2.1 Results'!I12)</f>
        <v/>
      </c>
      <c r="K14">
        <f>IF(OR('MT 2.1 Results'!H13="",'MT 2.1 Results'!I13=""),"",'MT 2.1 Results'!I13)</f>
        <v/>
      </c>
    </row>
    <row r="16">
      <c r="A16">
        <f>IF('MT 2.1 Results'!H12="","","Comments:")</f>
        <v/>
      </c>
      <c r="K16">
        <f>IF('MT 2.1 Results'!H13="","","Comments:")</f>
        <v/>
      </c>
    </row>
    <row r="21">
      <c r="A21">
        <f>IF('MT 2.1 Results'!H14="","","Mini Test 2.1 — Personal finance")</f>
        <v/>
      </c>
      <c r="K21">
        <f>IF('MT 2.1 Results'!H15="","","Mini Test 2.1 — Personal finance")</f>
        <v/>
      </c>
    </row>
    <row r="22">
      <c r="A22">
        <f>IF('MT 2.1 Results'!H14="","","Name: "&amp;'MT 2.1 Results'!B14&amp;"   Class: "&amp;'MT 2.1 Results'!$B$3&amp;"   Date: "&amp;TEXT('MT 2.1 Results'!$B$5,"DD/MM/YY"))</f>
        <v/>
      </c>
      <c r="K22">
        <f>IF('MT 2.1 Results'!H15="","","Name: "&amp;'MT 2.1 Results'!B15&amp;"   Class: "&amp;'MT 2.1 Results'!$B$3&amp;"   Date: "&amp;TEXT('MT 2.1 Results'!$B$5,"DD/MM/YY"))</f>
        <v/>
      </c>
    </row>
    <row r="23">
      <c r="A23">
        <f>IF('MT 2.1 Results'!H14="","","Total: "&amp;'MT 2.1 Results'!F14&amp;"/22 ("&amp;TEXT('MT 2.1 Results'!G14,"0%")&amp;")   Overall: "&amp;'MT 2.1 Results'!H14)</f>
        <v/>
      </c>
      <c r="K23">
        <f>IF('MT 2.1 Results'!H15="","","Total: "&amp;'MT 2.1 Results'!F15&amp;"/22 ("&amp;TEXT('MT 2.1 Results'!G15,"0%")&amp;")   Overall: "&amp;'MT 2.1 Results'!H15)</f>
        <v/>
      </c>
    </row>
    <row r="24">
      <c r="A24">
        <f>IF('MT 2.1 Results'!H14="","",IF('MT 2.1 Results'!H14="Green",Parameters!$C$93,IF('MT 2.1 Results'!H14="Yellow",Parameters!$C$92,Parameters!$C$91)))</f>
        <v/>
      </c>
      <c r="K24">
        <f>IF('MT 2.1 Results'!H15="","",IF('MT 2.1 Results'!H15="Green",Parameters!$C$93,IF('MT 2.1 Results'!H15="Yellow",Parameters!$C$92,Parameters!$C$91)))</f>
        <v/>
      </c>
    </row>
    <row r="26">
      <c r="A26">
        <f>IF('MT 2.1 Results'!H14="","","Breakdown:")</f>
        <v/>
      </c>
      <c r="K26">
        <f>IF('MT 2.1 Results'!H15="","","Breakdown:")</f>
        <v/>
      </c>
    </row>
    <row r="27">
      <c r="A27">
        <f>IF('MT 2.1 Results'!H14="","","Q1 Income tax &amp; National Insurance: "&amp;'MT 2.1 Results'!C14&amp;"/8")</f>
        <v/>
      </c>
      <c r="K27">
        <f>IF('MT 2.1 Results'!H15="","","Q1 Income tax &amp; National Insurance: "&amp;'MT 2.1 Results'!C15&amp;"/8")</f>
        <v/>
      </c>
    </row>
    <row r="28">
      <c r="A28">
        <f>IF('MT 2.1 Results'!H14="","","Q2 Budgeting: "&amp;'MT 2.1 Results'!D14&amp;"/7")</f>
        <v/>
      </c>
      <c r="K28">
        <f>IF('MT 2.1 Results'!H15="","","Q2 Budgeting: "&amp;'MT 2.1 Results'!D15&amp;"/7")</f>
        <v/>
      </c>
    </row>
    <row r="29">
      <c r="A29">
        <f>IF('MT 2.1 Results'!H14="","","Q3 Simple &amp; compound interest: "&amp;'MT 2.1 Results'!E14&amp;"/7")</f>
        <v/>
      </c>
      <c r="K29">
        <f>IF('MT 2.1 Results'!H15="","","Q3 Simple &amp; compound interest: "&amp;'MT 2.1 Results'!E15&amp;"/7")</f>
        <v/>
      </c>
    </row>
    <row r="30">
      <c r="A30">
        <f>IF(OR('MT 2.1 Results'!H14="",'MT 2.1 Results'!I14=""),"",'MT 2.1 Results'!I14)</f>
        <v/>
      </c>
      <c r="K30">
        <f>IF(OR('MT 2.1 Results'!H15="",'MT 2.1 Results'!I15=""),"",'MT 2.1 Results'!I15)</f>
        <v/>
      </c>
    </row>
    <row r="32">
      <c r="A32">
        <f>IF('MT 2.1 Results'!H14="","","Comments:")</f>
        <v/>
      </c>
      <c r="K32">
        <f>IF('MT 2.1 Results'!H15="","","Comments:")</f>
        <v/>
      </c>
    </row>
    <row r="37">
      <c r="A37">
        <f>IF('MT 2.1 Results'!H16="","","Mini Test 2.1 — Personal finance")</f>
        <v/>
      </c>
      <c r="K37">
        <f>IF('MT 2.1 Results'!H17="","","Mini Test 2.1 — Personal finance")</f>
        <v/>
      </c>
    </row>
    <row r="38">
      <c r="A38">
        <f>IF('MT 2.1 Results'!H16="","","Name: "&amp;'MT 2.1 Results'!B16&amp;"   Class: "&amp;'MT 2.1 Results'!$B$3&amp;"   Date: "&amp;TEXT('MT 2.1 Results'!$B$5,"DD/MM/YY"))</f>
        <v/>
      </c>
      <c r="K38">
        <f>IF('MT 2.1 Results'!H17="","","Name: "&amp;'MT 2.1 Results'!B17&amp;"   Class: "&amp;'MT 2.1 Results'!$B$3&amp;"   Date: "&amp;TEXT('MT 2.1 Results'!$B$5,"DD/MM/YY"))</f>
        <v/>
      </c>
    </row>
    <row r="39">
      <c r="A39">
        <f>IF('MT 2.1 Results'!H16="","","Total: "&amp;'MT 2.1 Results'!F16&amp;"/22 ("&amp;TEXT('MT 2.1 Results'!G16,"0%")&amp;")   Overall: "&amp;'MT 2.1 Results'!H16)</f>
        <v/>
      </c>
      <c r="K39">
        <f>IF('MT 2.1 Results'!H17="","","Total: "&amp;'MT 2.1 Results'!F17&amp;"/22 ("&amp;TEXT('MT 2.1 Results'!G17,"0%")&amp;")   Overall: "&amp;'MT 2.1 Results'!H17)</f>
        <v/>
      </c>
    </row>
    <row r="40">
      <c r="A40">
        <f>IF('MT 2.1 Results'!H16="","",IF('MT 2.1 Results'!H16="Green",Parameters!$C$93,IF('MT 2.1 Results'!H16="Yellow",Parameters!$C$92,Parameters!$C$91)))</f>
        <v/>
      </c>
      <c r="K40">
        <f>IF('MT 2.1 Results'!H17="","",IF('MT 2.1 Results'!H17="Green",Parameters!$C$93,IF('MT 2.1 Results'!H17="Yellow",Parameters!$C$92,Parameters!$C$91)))</f>
        <v/>
      </c>
    </row>
    <row r="42">
      <c r="A42">
        <f>IF('MT 2.1 Results'!H16="","","Breakdown:")</f>
        <v/>
      </c>
      <c r="K42">
        <f>IF('MT 2.1 Results'!H17="","","Breakdown:")</f>
        <v/>
      </c>
    </row>
    <row r="43">
      <c r="A43">
        <f>IF('MT 2.1 Results'!H16="","","Q1 Income tax &amp; National Insurance: "&amp;'MT 2.1 Results'!C16&amp;"/8")</f>
        <v/>
      </c>
      <c r="K43">
        <f>IF('MT 2.1 Results'!H17="","","Q1 Income tax &amp; National Insurance: "&amp;'MT 2.1 Results'!C17&amp;"/8")</f>
        <v/>
      </c>
    </row>
    <row r="44">
      <c r="A44">
        <f>IF('MT 2.1 Results'!H16="","","Q2 Budgeting: "&amp;'MT 2.1 Results'!D16&amp;"/7")</f>
        <v/>
      </c>
      <c r="K44">
        <f>IF('MT 2.1 Results'!H17="","","Q2 Budgeting: "&amp;'MT 2.1 Results'!D17&amp;"/7")</f>
        <v/>
      </c>
    </row>
    <row r="45">
      <c r="A45">
        <f>IF('MT 2.1 Results'!H16="","","Q3 Simple &amp; compound interest: "&amp;'MT 2.1 Results'!E16&amp;"/7")</f>
        <v/>
      </c>
      <c r="K45">
        <f>IF('MT 2.1 Results'!H17="","","Q3 Simple &amp; compound interest: "&amp;'MT 2.1 Results'!E17&amp;"/7")</f>
        <v/>
      </c>
    </row>
    <row r="46">
      <c r="A46">
        <f>IF(OR('MT 2.1 Results'!H16="",'MT 2.1 Results'!I16=""),"",'MT 2.1 Results'!I16)</f>
        <v/>
      </c>
      <c r="K46">
        <f>IF(OR('MT 2.1 Results'!H17="",'MT 2.1 Results'!I17=""),"",'MT 2.1 Results'!I17)</f>
        <v/>
      </c>
    </row>
    <row r="48">
      <c r="A48">
        <f>IF('MT 2.1 Results'!H16="","","Comments:")</f>
        <v/>
      </c>
      <c r="K48">
        <f>IF('MT 2.1 Results'!H17="","","Comments:")</f>
        <v/>
      </c>
    </row>
    <row r="53">
      <c r="A53">
        <f>IF('MT 2.1 Results'!H18="","","Mini Test 2.1 — Personal finance")</f>
        <v/>
      </c>
      <c r="K53">
        <f>IF('MT 2.1 Results'!H19="","","Mini Test 2.1 — Personal finance")</f>
        <v/>
      </c>
    </row>
    <row r="54">
      <c r="A54">
        <f>IF('MT 2.1 Results'!H18="","","Name: "&amp;'MT 2.1 Results'!B18&amp;"   Class: "&amp;'MT 2.1 Results'!$B$3&amp;"   Date: "&amp;TEXT('MT 2.1 Results'!$B$5,"DD/MM/YY"))</f>
        <v/>
      </c>
      <c r="K54">
        <f>IF('MT 2.1 Results'!H19="","","Name: "&amp;'MT 2.1 Results'!B19&amp;"   Class: "&amp;'MT 2.1 Results'!$B$3&amp;"   Date: "&amp;TEXT('MT 2.1 Results'!$B$5,"DD/MM/YY"))</f>
        <v/>
      </c>
    </row>
    <row r="55">
      <c r="A55">
        <f>IF('MT 2.1 Results'!H18="","","Total: "&amp;'MT 2.1 Results'!F18&amp;"/22 ("&amp;TEXT('MT 2.1 Results'!G18,"0%")&amp;")   Overall: "&amp;'MT 2.1 Results'!H18)</f>
        <v/>
      </c>
      <c r="K55">
        <f>IF('MT 2.1 Results'!H19="","","Total: "&amp;'MT 2.1 Results'!F19&amp;"/22 ("&amp;TEXT('MT 2.1 Results'!G19,"0%")&amp;")   Overall: "&amp;'MT 2.1 Results'!H19)</f>
        <v/>
      </c>
    </row>
    <row r="56">
      <c r="A56">
        <f>IF('MT 2.1 Results'!H18="","",IF('MT 2.1 Results'!H18="Green",Parameters!$C$93,IF('MT 2.1 Results'!H18="Yellow",Parameters!$C$92,Parameters!$C$91)))</f>
        <v/>
      </c>
      <c r="K56">
        <f>IF('MT 2.1 Results'!H19="","",IF('MT 2.1 Results'!H19="Green",Parameters!$C$93,IF('MT 2.1 Results'!H19="Yellow",Parameters!$C$92,Parameters!$C$91)))</f>
        <v/>
      </c>
    </row>
    <row r="58">
      <c r="A58">
        <f>IF('MT 2.1 Results'!H18="","","Breakdown:")</f>
        <v/>
      </c>
      <c r="K58">
        <f>IF('MT 2.1 Results'!H19="","","Breakdown:")</f>
        <v/>
      </c>
    </row>
    <row r="59">
      <c r="A59">
        <f>IF('MT 2.1 Results'!H18="","","Q1 Income tax &amp; National Insurance: "&amp;'MT 2.1 Results'!C18&amp;"/8")</f>
        <v/>
      </c>
      <c r="K59">
        <f>IF('MT 2.1 Results'!H19="","","Q1 Income tax &amp; National Insurance: "&amp;'MT 2.1 Results'!C19&amp;"/8")</f>
        <v/>
      </c>
    </row>
    <row r="60">
      <c r="A60">
        <f>IF('MT 2.1 Results'!H18="","","Q2 Budgeting: "&amp;'MT 2.1 Results'!D18&amp;"/7")</f>
        <v/>
      </c>
      <c r="K60">
        <f>IF('MT 2.1 Results'!H19="","","Q2 Budgeting: "&amp;'MT 2.1 Results'!D19&amp;"/7")</f>
        <v/>
      </c>
    </row>
    <row r="61">
      <c r="A61">
        <f>IF('MT 2.1 Results'!H18="","","Q3 Simple &amp; compound interest: "&amp;'MT 2.1 Results'!E18&amp;"/7")</f>
        <v/>
      </c>
      <c r="K61">
        <f>IF('MT 2.1 Results'!H19="","","Q3 Simple &amp; compound interest: "&amp;'MT 2.1 Results'!E19&amp;"/7")</f>
        <v/>
      </c>
    </row>
    <row r="62">
      <c r="A62">
        <f>IF(OR('MT 2.1 Results'!H18="",'MT 2.1 Results'!I18=""),"",'MT 2.1 Results'!I18)</f>
        <v/>
      </c>
      <c r="K62">
        <f>IF(OR('MT 2.1 Results'!H19="",'MT 2.1 Results'!I19=""),"",'MT 2.1 Results'!I19)</f>
        <v/>
      </c>
    </row>
    <row r="64">
      <c r="A64">
        <f>IF('MT 2.1 Results'!H18="","","Comments:")</f>
        <v/>
      </c>
      <c r="K64">
        <f>IF('MT 2.1 Results'!H19="","","Comments:")</f>
        <v/>
      </c>
    </row>
    <row r="69">
      <c r="A69">
        <f>IF('MT 2.1 Results'!H20="","","Mini Test 2.1 — Personal finance")</f>
        <v/>
      </c>
      <c r="K69">
        <f>IF('MT 2.1 Results'!H21="","","Mini Test 2.1 — Personal finance")</f>
        <v/>
      </c>
    </row>
    <row r="70">
      <c r="A70">
        <f>IF('MT 2.1 Results'!H20="","","Name: "&amp;'MT 2.1 Results'!B20&amp;"   Class: "&amp;'MT 2.1 Results'!$B$3&amp;"   Date: "&amp;TEXT('MT 2.1 Results'!$B$5,"DD/MM/YY"))</f>
        <v/>
      </c>
      <c r="K70">
        <f>IF('MT 2.1 Results'!H21="","","Name: "&amp;'MT 2.1 Results'!B21&amp;"   Class: "&amp;'MT 2.1 Results'!$B$3&amp;"   Date: "&amp;TEXT('MT 2.1 Results'!$B$5,"DD/MM/YY"))</f>
        <v/>
      </c>
    </row>
    <row r="71">
      <c r="A71">
        <f>IF('MT 2.1 Results'!H20="","","Total: "&amp;'MT 2.1 Results'!F20&amp;"/22 ("&amp;TEXT('MT 2.1 Results'!G20,"0%")&amp;")   Overall: "&amp;'MT 2.1 Results'!H20)</f>
        <v/>
      </c>
      <c r="K71">
        <f>IF('MT 2.1 Results'!H21="","","Total: "&amp;'MT 2.1 Results'!F21&amp;"/22 ("&amp;TEXT('MT 2.1 Results'!G21,"0%")&amp;")   Overall: "&amp;'MT 2.1 Results'!H21)</f>
        <v/>
      </c>
    </row>
    <row r="72">
      <c r="A72">
        <f>IF('MT 2.1 Results'!H20="","",IF('MT 2.1 Results'!H20="Green",Parameters!$C$93,IF('MT 2.1 Results'!H20="Yellow",Parameters!$C$92,Parameters!$C$91)))</f>
        <v/>
      </c>
      <c r="K72">
        <f>IF('MT 2.1 Results'!H21="","",IF('MT 2.1 Results'!H21="Green",Parameters!$C$93,IF('MT 2.1 Results'!H21="Yellow",Parameters!$C$92,Parameters!$C$91)))</f>
        <v/>
      </c>
    </row>
    <row r="74">
      <c r="A74">
        <f>IF('MT 2.1 Results'!H20="","","Breakdown:")</f>
        <v/>
      </c>
      <c r="K74">
        <f>IF('MT 2.1 Results'!H21="","","Breakdown:")</f>
        <v/>
      </c>
    </row>
    <row r="75">
      <c r="A75">
        <f>IF('MT 2.1 Results'!H20="","","Q1 Income tax &amp; National Insurance: "&amp;'MT 2.1 Results'!C20&amp;"/8")</f>
        <v/>
      </c>
      <c r="K75">
        <f>IF('MT 2.1 Results'!H21="","","Q1 Income tax &amp; National Insurance: "&amp;'MT 2.1 Results'!C21&amp;"/8")</f>
        <v/>
      </c>
    </row>
    <row r="76">
      <c r="A76">
        <f>IF('MT 2.1 Results'!H20="","","Q2 Budgeting: "&amp;'MT 2.1 Results'!D20&amp;"/7")</f>
        <v/>
      </c>
      <c r="K76">
        <f>IF('MT 2.1 Results'!H21="","","Q2 Budgeting: "&amp;'MT 2.1 Results'!D21&amp;"/7")</f>
        <v/>
      </c>
    </row>
    <row r="77">
      <c r="A77">
        <f>IF('MT 2.1 Results'!H20="","","Q3 Simple &amp; compound interest: "&amp;'MT 2.1 Results'!E20&amp;"/7")</f>
        <v/>
      </c>
      <c r="K77">
        <f>IF('MT 2.1 Results'!H21="","","Q3 Simple &amp; compound interest: "&amp;'MT 2.1 Results'!E21&amp;"/7")</f>
        <v/>
      </c>
    </row>
    <row r="78">
      <c r="A78">
        <f>IF(OR('MT 2.1 Results'!H20="",'MT 2.1 Results'!I20=""),"",'MT 2.1 Results'!I20)</f>
        <v/>
      </c>
      <c r="K78">
        <f>IF(OR('MT 2.1 Results'!H21="",'MT 2.1 Results'!I21=""),"",'MT 2.1 Results'!I21)</f>
        <v/>
      </c>
    </row>
    <row r="80">
      <c r="A80">
        <f>IF('MT 2.1 Results'!H20="","","Comments:")</f>
        <v/>
      </c>
      <c r="K80">
        <f>IF('MT 2.1 Results'!H21="","","Comments:")</f>
        <v/>
      </c>
    </row>
    <row r="85">
      <c r="A85">
        <f>IF('MT 2.1 Results'!H22="","","Mini Test 2.1 — Personal finance")</f>
        <v/>
      </c>
      <c r="K85">
        <f>IF('MT 2.1 Results'!H23="","","Mini Test 2.1 — Personal finance")</f>
        <v/>
      </c>
    </row>
    <row r="86">
      <c r="A86">
        <f>IF('MT 2.1 Results'!H22="","","Name: "&amp;'MT 2.1 Results'!B22&amp;"   Class: "&amp;'MT 2.1 Results'!$B$3&amp;"   Date: "&amp;TEXT('MT 2.1 Results'!$B$5,"DD/MM/YY"))</f>
        <v/>
      </c>
      <c r="K86">
        <f>IF('MT 2.1 Results'!H23="","","Name: "&amp;'MT 2.1 Results'!B23&amp;"   Class: "&amp;'MT 2.1 Results'!$B$3&amp;"   Date: "&amp;TEXT('MT 2.1 Results'!$B$5,"DD/MM/YY"))</f>
        <v/>
      </c>
    </row>
    <row r="87">
      <c r="A87">
        <f>IF('MT 2.1 Results'!H22="","","Total: "&amp;'MT 2.1 Results'!F22&amp;"/22 ("&amp;TEXT('MT 2.1 Results'!G22,"0%")&amp;")   Overall: "&amp;'MT 2.1 Results'!H22)</f>
        <v/>
      </c>
      <c r="K87">
        <f>IF('MT 2.1 Results'!H23="","","Total: "&amp;'MT 2.1 Results'!F23&amp;"/22 ("&amp;TEXT('MT 2.1 Results'!G23,"0%")&amp;")   Overall: "&amp;'MT 2.1 Results'!H23)</f>
        <v/>
      </c>
    </row>
    <row r="88">
      <c r="A88">
        <f>IF('MT 2.1 Results'!H22="","",IF('MT 2.1 Results'!H22="Green",Parameters!$C$93,IF('MT 2.1 Results'!H22="Yellow",Parameters!$C$92,Parameters!$C$91)))</f>
        <v/>
      </c>
      <c r="K88">
        <f>IF('MT 2.1 Results'!H23="","",IF('MT 2.1 Results'!H23="Green",Parameters!$C$93,IF('MT 2.1 Results'!H23="Yellow",Parameters!$C$92,Parameters!$C$91)))</f>
        <v/>
      </c>
    </row>
    <row r="90">
      <c r="A90">
        <f>IF('MT 2.1 Results'!H22="","","Breakdown:")</f>
        <v/>
      </c>
      <c r="K90">
        <f>IF('MT 2.1 Results'!H23="","","Breakdown:")</f>
        <v/>
      </c>
    </row>
    <row r="91">
      <c r="A91">
        <f>IF('MT 2.1 Results'!H22="","","Q1 Income tax &amp; National Insurance: "&amp;'MT 2.1 Results'!C22&amp;"/8")</f>
        <v/>
      </c>
      <c r="K91">
        <f>IF('MT 2.1 Results'!H23="","","Q1 Income tax &amp; National Insurance: "&amp;'MT 2.1 Results'!C23&amp;"/8")</f>
        <v/>
      </c>
    </row>
    <row r="92">
      <c r="A92">
        <f>IF('MT 2.1 Results'!H22="","","Q2 Budgeting: "&amp;'MT 2.1 Results'!D22&amp;"/7")</f>
        <v/>
      </c>
      <c r="K92">
        <f>IF('MT 2.1 Results'!H23="","","Q2 Budgeting: "&amp;'MT 2.1 Results'!D23&amp;"/7")</f>
        <v/>
      </c>
    </row>
    <row r="93">
      <c r="A93">
        <f>IF('MT 2.1 Results'!H22="","","Q3 Simple &amp; compound interest: "&amp;'MT 2.1 Results'!E22&amp;"/7")</f>
        <v/>
      </c>
      <c r="K93">
        <f>IF('MT 2.1 Results'!H23="","","Q3 Simple &amp; compound interest: "&amp;'MT 2.1 Results'!E23&amp;"/7")</f>
        <v/>
      </c>
    </row>
    <row r="94">
      <c r="A94">
        <f>IF(OR('MT 2.1 Results'!H22="",'MT 2.1 Results'!I22=""),"",'MT 2.1 Results'!I22)</f>
        <v/>
      </c>
      <c r="K94">
        <f>IF(OR('MT 2.1 Results'!H23="",'MT 2.1 Results'!I23=""),"",'MT 2.1 Results'!I23)</f>
        <v/>
      </c>
    </row>
    <row r="96">
      <c r="A96">
        <f>IF('MT 2.1 Results'!H22="","","Comments:")</f>
        <v/>
      </c>
      <c r="K96">
        <f>IF('MT 2.1 Results'!H23="","","Comments:")</f>
        <v/>
      </c>
    </row>
    <row r="101">
      <c r="A101">
        <f>IF('MT 2.1 Results'!H24="","","Mini Test 2.1 — Personal finance")</f>
        <v/>
      </c>
      <c r="K101">
        <f>IF('MT 2.1 Results'!H25="","","Mini Test 2.1 — Personal finance")</f>
        <v/>
      </c>
    </row>
    <row r="102">
      <c r="A102">
        <f>IF('MT 2.1 Results'!H24="","","Name: "&amp;'MT 2.1 Results'!B24&amp;"   Class: "&amp;'MT 2.1 Results'!$B$3&amp;"   Date: "&amp;TEXT('MT 2.1 Results'!$B$5,"DD/MM/YY"))</f>
        <v/>
      </c>
      <c r="K102">
        <f>IF('MT 2.1 Results'!H25="","","Name: "&amp;'MT 2.1 Results'!B25&amp;"   Class: "&amp;'MT 2.1 Results'!$B$3&amp;"   Date: "&amp;TEXT('MT 2.1 Results'!$B$5,"DD/MM/YY"))</f>
        <v/>
      </c>
    </row>
    <row r="103">
      <c r="A103">
        <f>IF('MT 2.1 Results'!H24="","","Total: "&amp;'MT 2.1 Results'!F24&amp;"/22 ("&amp;TEXT('MT 2.1 Results'!G24,"0%")&amp;")   Overall: "&amp;'MT 2.1 Results'!H24)</f>
        <v/>
      </c>
      <c r="K103">
        <f>IF('MT 2.1 Results'!H25="","","Total: "&amp;'MT 2.1 Results'!F25&amp;"/22 ("&amp;TEXT('MT 2.1 Results'!G25,"0%")&amp;")   Overall: "&amp;'MT 2.1 Results'!H25)</f>
        <v/>
      </c>
    </row>
    <row r="104">
      <c r="A104">
        <f>IF('MT 2.1 Results'!H24="","",IF('MT 2.1 Results'!H24="Green",Parameters!$C$93,IF('MT 2.1 Results'!H24="Yellow",Parameters!$C$92,Parameters!$C$91)))</f>
        <v/>
      </c>
      <c r="K104">
        <f>IF('MT 2.1 Results'!H25="","",IF('MT 2.1 Results'!H25="Green",Parameters!$C$93,IF('MT 2.1 Results'!H25="Yellow",Parameters!$C$92,Parameters!$C$91)))</f>
        <v/>
      </c>
    </row>
    <row r="106">
      <c r="A106">
        <f>IF('MT 2.1 Results'!H24="","","Breakdown:")</f>
        <v/>
      </c>
      <c r="K106">
        <f>IF('MT 2.1 Results'!H25="","","Breakdown:")</f>
        <v/>
      </c>
    </row>
    <row r="107">
      <c r="A107">
        <f>IF('MT 2.1 Results'!H24="","","Q1 Income tax &amp; National Insurance: "&amp;'MT 2.1 Results'!C24&amp;"/8")</f>
        <v/>
      </c>
      <c r="K107">
        <f>IF('MT 2.1 Results'!H25="","","Q1 Income tax &amp; National Insurance: "&amp;'MT 2.1 Results'!C25&amp;"/8")</f>
        <v/>
      </c>
    </row>
    <row r="108">
      <c r="A108">
        <f>IF('MT 2.1 Results'!H24="","","Q2 Budgeting: "&amp;'MT 2.1 Results'!D24&amp;"/7")</f>
        <v/>
      </c>
      <c r="K108">
        <f>IF('MT 2.1 Results'!H25="","","Q2 Budgeting: "&amp;'MT 2.1 Results'!D25&amp;"/7")</f>
        <v/>
      </c>
    </row>
    <row r="109">
      <c r="A109">
        <f>IF('MT 2.1 Results'!H24="","","Q3 Simple &amp; compound interest: "&amp;'MT 2.1 Results'!E24&amp;"/7")</f>
        <v/>
      </c>
      <c r="K109">
        <f>IF('MT 2.1 Results'!H25="","","Q3 Simple &amp; compound interest: "&amp;'MT 2.1 Results'!E25&amp;"/7")</f>
        <v/>
      </c>
    </row>
    <row r="110">
      <c r="A110">
        <f>IF(OR('MT 2.1 Results'!H24="",'MT 2.1 Results'!I24=""),"",'MT 2.1 Results'!I24)</f>
        <v/>
      </c>
      <c r="K110">
        <f>IF(OR('MT 2.1 Results'!H25="",'MT 2.1 Results'!I25=""),"",'MT 2.1 Results'!I25)</f>
        <v/>
      </c>
    </row>
    <row r="112">
      <c r="A112">
        <f>IF('MT 2.1 Results'!H24="","","Comments:")</f>
        <v/>
      </c>
      <c r="K112">
        <f>IF('MT 2.1 Results'!H25="","","Comments:")</f>
        <v/>
      </c>
    </row>
    <row r="117">
      <c r="A117">
        <f>IF('MT 2.1 Results'!H26="","","Mini Test 2.1 — Personal finance")</f>
        <v/>
      </c>
      <c r="K117">
        <f>IF('MT 2.1 Results'!H27="","","Mini Test 2.1 — Personal finance")</f>
        <v/>
      </c>
    </row>
    <row r="118">
      <c r="A118">
        <f>IF('MT 2.1 Results'!H26="","","Name: "&amp;'MT 2.1 Results'!B26&amp;"   Class: "&amp;'MT 2.1 Results'!$B$3&amp;"   Date: "&amp;TEXT('MT 2.1 Results'!$B$5,"DD/MM/YY"))</f>
        <v/>
      </c>
      <c r="K118">
        <f>IF('MT 2.1 Results'!H27="","","Name: "&amp;'MT 2.1 Results'!B27&amp;"   Class: "&amp;'MT 2.1 Results'!$B$3&amp;"   Date: "&amp;TEXT('MT 2.1 Results'!$B$5,"DD/MM/YY"))</f>
        <v/>
      </c>
    </row>
    <row r="119">
      <c r="A119">
        <f>IF('MT 2.1 Results'!H26="","","Total: "&amp;'MT 2.1 Results'!F26&amp;"/22 ("&amp;TEXT('MT 2.1 Results'!G26,"0%")&amp;")   Overall: "&amp;'MT 2.1 Results'!H26)</f>
        <v/>
      </c>
      <c r="K119">
        <f>IF('MT 2.1 Results'!H27="","","Total: "&amp;'MT 2.1 Results'!F27&amp;"/22 ("&amp;TEXT('MT 2.1 Results'!G27,"0%")&amp;")   Overall: "&amp;'MT 2.1 Results'!H27)</f>
        <v/>
      </c>
    </row>
    <row r="120">
      <c r="A120">
        <f>IF('MT 2.1 Results'!H26="","",IF('MT 2.1 Results'!H26="Green",Parameters!$C$93,IF('MT 2.1 Results'!H26="Yellow",Parameters!$C$92,Parameters!$C$91)))</f>
        <v/>
      </c>
      <c r="K120">
        <f>IF('MT 2.1 Results'!H27="","",IF('MT 2.1 Results'!H27="Green",Parameters!$C$93,IF('MT 2.1 Results'!H27="Yellow",Parameters!$C$92,Parameters!$C$91)))</f>
        <v/>
      </c>
    </row>
    <row r="122">
      <c r="A122">
        <f>IF('MT 2.1 Results'!H26="","","Breakdown:")</f>
        <v/>
      </c>
      <c r="K122">
        <f>IF('MT 2.1 Results'!H27="","","Breakdown:")</f>
        <v/>
      </c>
    </row>
    <row r="123">
      <c r="A123">
        <f>IF('MT 2.1 Results'!H26="","","Q1 Income tax &amp; National Insurance: "&amp;'MT 2.1 Results'!C26&amp;"/8")</f>
        <v/>
      </c>
      <c r="K123">
        <f>IF('MT 2.1 Results'!H27="","","Q1 Income tax &amp; National Insurance: "&amp;'MT 2.1 Results'!C27&amp;"/8")</f>
        <v/>
      </c>
    </row>
    <row r="124">
      <c r="A124">
        <f>IF('MT 2.1 Results'!H26="","","Q2 Budgeting: "&amp;'MT 2.1 Results'!D26&amp;"/7")</f>
        <v/>
      </c>
      <c r="K124">
        <f>IF('MT 2.1 Results'!H27="","","Q2 Budgeting: "&amp;'MT 2.1 Results'!D27&amp;"/7")</f>
        <v/>
      </c>
    </row>
    <row r="125">
      <c r="A125">
        <f>IF('MT 2.1 Results'!H26="","","Q3 Simple &amp; compound interest: "&amp;'MT 2.1 Results'!E26&amp;"/7")</f>
        <v/>
      </c>
      <c r="K125">
        <f>IF('MT 2.1 Results'!H27="","","Q3 Simple &amp; compound interest: "&amp;'MT 2.1 Results'!E27&amp;"/7")</f>
        <v/>
      </c>
    </row>
    <row r="126">
      <c r="A126">
        <f>IF(OR('MT 2.1 Results'!H26="",'MT 2.1 Results'!I26=""),"",'MT 2.1 Results'!I26)</f>
        <v/>
      </c>
      <c r="K126">
        <f>IF(OR('MT 2.1 Results'!H27="",'MT 2.1 Results'!I27=""),"",'MT 2.1 Results'!I27)</f>
        <v/>
      </c>
    </row>
    <row r="128">
      <c r="A128">
        <f>IF('MT 2.1 Results'!H26="","","Comments:")</f>
        <v/>
      </c>
      <c r="K128">
        <f>IF('MT 2.1 Results'!H27="","","Comments:")</f>
        <v/>
      </c>
    </row>
    <row r="133">
      <c r="A133">
        <f>IF('MT 2.1 Results'!H28="","","Mini Test 2.1 — Personal finance")</f>
        <v/>
      </c>
      <c r="K133">
        <f>IF('MT 2.1 Results'!H29="","","Mini Test 2.1 — Personal finance")</f>
        <v/>
      </c>
    </row>
    <row r="134">
      <c r="A134">
        <f>IF('MT 2.1 Results'!H28="","","Name: "&amp;'MT 2.1 Results'!B28&amp;"   Class: "&amp;'MT 2.1 Results'!$B$3&amp;"   Date: "&amp;TEXT('MT 2.1 Results'!$B$5,"DD/MM/YY"))</f>
        <v/>
      </c>
      <c r="K134">
        <f>IF('MT 2.1 Results'!H29="","","Name: "&amp;'MT 2.1 Results'!B29&amp;"   Class: "&amp;'MT 2.1 Results'!$B$3&amp;"   Date: "&amp;TEXT('MT 2.1 Results'!$B$5,"DD/MM/YY"))</f>
        <v/>
      </c>
    </row>
    <row r="135">
      <c r="A135">
        <f>IF('MT 2.1 Results'!H28="","","Total: "&amp;'MT 2.1 Results'!F28&amp;"/22 ("&amp;TEXT('MT 2.1 Results'!G28,"0%")&amp;")   Overall: "&amp;'MT 2.1 Results'!H28)</f>
        <v/>
      </c>
      <c r="K135">
        <f>IF('MT 2.1 Results'!H29="","","Total: "&amp;'MT 2.1 Results'!F29&amp;"/22 ("&amp;TEXT('MT 2.1 Results'!G29,"0%")&amp;")   Overall: "&amp;'MT 2.1 Results'!H29)</f>
        <v/>
      </c>
    </row>
    <row r="136">
      <c r="A136">
        <f>IF('MT 2.1 Results'!H28="","",IF('MT 2.1 Results'!H28="Green",Parameters!$C$93,IF('MT 2.1 Results'!H28="Yellow",Parameters!$C$92,Parameters!$C$91)))</f>
        <v/>
      </c>
      <c r="K136">
        <f>IF('MT 2.1 Results'!H29="","",IF('MT 2.1 Results'!H29="Green",Parameters!$C$93,IF('MT 2.1 Results'!H29="Yellow",Parameters!$C$92,Parameters!$C$91)))</f>
        <v/>
      </c>
    </row>
    <row r="138">
      <c r="A138">
        <f>IF('MT 2.1 Results'!H28="","","Breakdown:")</f>
        <v/>
      </c>
      <c r="K138">
        <f>IF('MT 2.1 Results'!H29="","","Breakdown:")</f>
        <v/>
      </c>
    </row>
    <row r="139">
      <c r="A139">
        <f>IF('MT 2.1 Results'!H28="","","Q1 Income tax &amp; National Insurance: "&amp;'MT 2.1 Results'!C28&amp;"/8")</f>
        <v/>
      </c>
      <c r="K139">
        <f>IF('MT 2.1 Results'!H29="","","Q1 Income tax &amp; National Insurance: "&amp;'MT 2.1 Results'!C29&amp;"/8")</f>
        <v/>
      </c>
    </row>
    <row r="140">
      <c r="A140">
        <f>IF('MT 2.1 Results'!H28="","","Q2 Budgeting: "&amp;'MT 2.1 Results'!D28&amp;"/7")</f>
        <v/>
      </c>
      <c r="K140">
        <f>IF('MT 2.1 Results'!H29="","","Q2 Budgeting: "&amp;'MT 2.1 Results'!D29&amp;"/7")</f>
        <v/>
      </c>
    </row>
    <row r="141">
      <c r="A141">
        <f>IF('MT 2.1 Results'!H28="","","Q3 Simple &amp; compound interest: "&amp;'MT 2.1 Results'!E28&amp;"/7")</f>
        <v/>
      </c>
      <c r="K141">
        <f>IF('MT 2.1 Results'!H29="","","Q3 Simple &amp; compound interest: "&amp;'MT 2.1 Results'!E29&amp;"/7")</f>
        <v/>
      </c>
    </row>
    <row r="142">
      <c r="A142">
        <f>IF(OR('MT 2.1 Results'!H28="",'MT 2.1 Results'!I28=""),"",'MT 2.1 Results'!I28)</f>
        <v/>
      </c>
      <c r="K142">
        <f>IF(OR('MT 2.1 Results'!H29="",'MT 2.1 Results'!I29=""),"",'MT 2.1 Results'!I29)</f>
        <v/>
      </c>
    </row>
    <row r="144">
      <c r="A144">
        <f>IF('MT 2.1 Results'!H28="","","Comments:")</f>
        <v/>
      </c>
      <c r="K144">
        <f>IF('MT 2.1 Results'!H29="","","Comments:")</f>
        <v/>
      </c>
    </row>
    <row r="149">
      <c r="A149">
        <f>IF('MT 2.1 Results'!H30="","","Mini Test 2.1 — Personal finance")</f>
        <v/>
      </c>
      <c r="K149">
        <f>IF('MT 2.1 Results'!H31="","","Mini Test 2.1 — Personal finance")</f>
        <v/>
      </c>
    </row>
    <row r="150">
      <c r="A150">
        <f>IF('MT 2.1 Results'!H30="","","Name: "&amp;'MT 2.1 Results'!B30&amp;"   Class: "&amp;'MT 2.1 Results'!$B$3&amp;"   Date: "&amp;TEXT('MT 2.1 Results'!$B$5,"DD/MM/YY"))</f>
        <v/>
      </c>
      <c r="K150">
        <f>IF('MT 2.1 Results'!H31="","","Name: "&amp;'MT 2.1 Results'!B31&amp;"   Class: "&amp;'MT 2.1 Results'!$B$3&amp;"   Date: "&amp;TEXT('MT 2.1 Results'!$B$5,"DD/MM/YY"))</f>
        <v/>
      </c>
    </row>
    <row r="151">
      <c r="A151">
        <f>IF('MT 2.1 Results'!H30="","","Total: "&amp;'MT 2.1 Results'!F30&amp;"/22 ("&amp;TEXT('MT 2.1 Results'!G30,"0%")&amp;")   Overall: "&amp;'MT 2.1 Results'!H30)</f>
        <v/>
      </c>
      <c r="K151">
        <f>IF('MT 2.1 Results'!H31="","","Total: "&amp;'MT 2.1 Results'!F31&amp;"/22 ("&amp;TEXT('MT 2.1 Results'!G31,"0%")&amp;")   Overall: "&amp;'MT 2.1 Results'!H31)</f>
        <v/>
      </c>
    </row>
    <row r="152">
      <c r="A152">
        <f>IF('MT 2.1 Results'!H30="","",IF('MT 2.1 Results'!H30="Green",Parameters!$C$93,IF('MT 2.1 Results'!H30="Yellow",Parameters!$C$92,Parameters!$C$91)))</f>
        <v/>
      </c>
      <c r="K152">
        <f>IF('MT 2.1 Results'!H31="","",IF('MT 2.1 Results'!H31="Green",Parameters!$C$93,IF('MT 2.1 Results'!H31="Yellow",Parameters!$C$92,Parameters!$C$91)))</f>
        <v/>
      </c>
    </row>
    <row r="154">
      <c r="A154">
        <f>IF('MT 2.1 Results'!H30="","","Breakdown:")</f>
        <v/>
      </c>
      <c r="K154">
        <f>IF('MT 2.1 Results'!H31="","","Breakdown:")</f>
        <v/>
      </c>
    </row>
    <row r="155">
      <c r="A155">
        <f>IF('MT 2.1 Results'!H30="","","Q1 Income tax &amp; National Insurance: "&amp;'MT 2.1 Results'!C30&amp;"/8")</f>
        <v/>
      </c>
      <c r="K155">
        <f>IF('MT 2.1 Results'!H31="","","Q1 Income tax &amp; National Insurance: "&amp;'MT 2.1 Results'!C31&amp;"/8")</f>
        <v/>
      </c>
    </row>
    <row r="156">
      <c r="A156">
        <f>IF('MT 2.1 Results'!H30="","","Q2 Budgeting: "&amp;'MT 2.1 Results'!D30&amp;"/7")</f>
        <v/>
      </c>
      <c r="K156">
        <f>IF('MT 2.1 Results'!H31="","","Q2 Budgeting: "&amp;'MT 2.1 Results'!D31&amp;"/7")</f>
        <v/>
      </c>
    </row>
    <row r="157">
      <c r="A157">
        <f>IF('MT 2.1 Results'!H30="","","Q3 Simple &amp; compound interest: "&amp;'MT 2.1 Results'!E30&amp;"/7")</f>
        <v/>
      </c>
      <c r="K157">
        <f>IF('MT 2.1 Results'!H31="","","Q3 Simple &amp; compound interest: "&amp;'MT 2.1 Results'!E31&amp;"/7")</f>
        <v/>
      </c>
    </row>
    <row r="158">
      <c r="A158">
        <f>IF(OR('MT 2.1 Results'!H30="",'MT 2.1 Results'!I30=""),"",'MT 2.1 Results'!I30)</f>
        <v/>
      </c>
      <c r="K158">
        <f>IF(OR('MT 2.1 Results'!H31="",'MT 2.1 Results'!I31=""),"",'MT 2.1 Results'!I31)</f>
        <v/>
      </c>
    </row>
    <row r="160">
      <c r="A160">
        <f>IF('MT 2.1 Results'!H30="","","Comments:")</f>
        <v/>
      </c>
      <c r="K160">
        <f>IF('MT 2.1 Results'!H31="","","Comments:")</f>
        <v/>
      </c>
    </row>
    <row r="165">
      <c r="A165">
        <f>IF('MT 2.1 Results'!H32="","","Mini Test 2.1 — Personal finance")</f>
        <v/>
      </c>
      <c r="K165">
        <f>IF('MT 2.1 Results'!H33="","","Mini Test 2.1 — Personal finance")</f>
        <v/>
      </c>
    </row>
    <row r="166">
      <c r="A166">
        <f>IF('MT 2.1 Results'!H32="","","Name: "&amp;'MT 2.1 Results'!B32&amp;"   Class: "&amp;'MT 2.1 Results'!$B$3&amp;"   Date: "&amp;TEXT('MT 2.1 Results'!$B$5,"DD/MM/YY"))</f>
        <v/>
      </c>
      <c r="K166">
        <f>IF('MT 2.1 Results'!H33="","","Name: "&amp;'MT 2.1 Results'!B33&amp;"   Class: "&amp;'MT 2.1 Results'!$B$3&amp;"   Date: "&amp;TEXT('MT 2.1 Results'!$B$5,"DD/MM/YY"))</f>
        <v/>
      </c>
    </row>
    <row r="167">
      <c r="A167">
        <f>IF('MT 2.1 Results'!H32="","","Total: "&amp;'MT 2.1 Results'!F32&amp;"/22 ("&amp;TEXT('MT 2.1 Results'!G32,"0%")&amp;")   Overall: "&amp;'MT 2.1 Results'!H32)</f>
        <v/>
      </c>
      <c r="K167">
        <f>IF('MT 2.1 Results'!H33="","","Total: "&amp;'MT 2.1 Results'!F33&amp;"/22 ("&amp;TEXT('MT 2.1 Results'!G33,"0%")&amp;")   Overall: "&amp;'MT 2.1 Results'!H33)</f>
        <v/>
      </c>
    </row>
    <row r="168">
      <c r="A168">
        <f>IF('MT 2.1 Results'!H32="","",IF('MT 2.1 Results'!H32="Green",Parameters!$C$93,IF('MT 2.1 Results'!H32="Yellow",Parameters!$C$92,Parameters!$C$91)))</f>
        <v/>
      </c>
      <c r="K168">
        <f>IF('MT 2.1 Results'!H33="","",IF('MT 2.1 Results'!H33="Green",Parameters!$C$93,IF('MT 2.1 Results'!H33="Yellow",Parameters!$C$92,Parameters!$C$91)))</f>
        <v/>
      </c>
    </row>
    <row r="170">
      <c r="A170">
        <f>IF('MT 2.1 Results'!H32="","","Breakdown:")</f>
        <v/>
      </c>
      <c r="K170">
        <f>IF('MT 2.1 Results'!H33="","","Breakdown:")</f>
        <v/>
      </c>
    </row>
    <row r="171">
      <c r="A171">
        <f>IF('MT 2.1 Results'!H32="","","Q1 Income tax &amp; National Insurance: "&amp;'MT 2.1 Results'!C32&amp;"/8")</f>
        <v/>
      </c>
      <c r="K171">
        <f>IF('MT 2.1 Results'!H33="","","Q1 Income tax &amp; National Insurance: "&amp;'MT 2.1 Results'!C33&amp;"/8")</f>
        <v/>
      </c>
    </row>
    <row r="172">
      <c r="A172">
        <f>IF('MT 2.1 Results'!H32="","","Q2 Budgeting: "&amp;'MT 2.1 Results'!D32&amp;"/7")</f>
        <v/>
      </c>
      <c r="K172">
        <f>IF('MT 2.1 Results'!H33="","","Q2 Budgeting: "&amp;'MT 2.1 Results'!D33&amp;"/7")</f>
        <v/>
      </c>
    </row>
    <row r="173">
      <c r="A173">
        <f>IF('MT 2.1 Results'!H32="","","Q3 Simple &amp; compound interest: "&amp;'MT 2.1 Results'!E32&amp;"/7")</f>
        <v/>
      </c>
      <c r="K173">
        <f>IF('MT 2.1 Results'!H33="","","Q3 Simple &amp; compound interest: "&amp;'MT 2.1 Results'!E33&amp;"/7")</f>
        <v/>
      </c>
    </row>
    <row r="174">
      <c r="A174">
        <f>IF(OR('MT 2.1 Results'!H32="",'MT 2.1 Results'!I32=""),"",'MT 2.1 Results'!I32)</f>
        <v/>
      </c>
      <c r="K174">
        <f>IF(OR('MT 2.1 Results'!H33="",'MT 2.1 Results'!I33=""),"",'MT 2.1 Results'!I33)</f>
        <v/>
      </c>
    </row>
    <row r="176">
      <c r="A176">
        <f>IF('MT 2.1 Results'!H32="","","Comments:")</f>
        <v/>
      </c>
      <c r="K176">
        <f>IF('MT 2.1 Results'!H33="","","Comments:")</f>
        <v/>
      </c>
    </row>
    <row r="181">
      <c r="A181">
        <f>IF('MT 2.1 Results'!H34="","","Mini Test 2.1 — Personal finance")</f>
        <v/>
      </c>
      <c r="K181">
        <f>IF('MT 2.1 Results'!H35="","","Mini Test 2.1 — Personal finance")</f>
        <v/>
      </c>
    </row>
    <row r="182">
      <c r="A182">
        <f>IF('MT 2.1 Results'!H34="","","Name: "&amp;'MT 2.1 Results'!B34&amp;"   Class: "&amp;'MT 2.1 Results'!$B$3&amp;"   Date: "&amp;TEXT('MT 2.1 Results'!$B$5,"DD/MM/YY"))</f>
        <v/>
      </c>
      <c r="K182">
        <f>IF('MT 2.1 Results'!H35="","","Name: "&amp;'MT 2.1 Results'!B35&amp;"   Class: "&amp;'MT 2.1 Results'!$B$3&amp;"   Date: "&amp;TEXT('MT 2.1 Results'!$B$5,"DD/MM/YY"))</f>
        <v/>
      </c>
    </row>
    <row r="183">
      <c r="A183">
        <f>IF('MT 2.1 Results'!H34="","","Total: "&amp;'MT 2.1 Results'!F34&amp;"/22 ("&amp;TEXT('MT 2.1 Results'!G34,"0%")&amp;")   Overall: "&amp;'MT 2.1 Results'!H34)</f>
        <v/>
      </c>
      <c r="K183">
        <f>IF('MT 2.1 Results'!H35="","","Total: "&amp;'MT 2.1 Results'!F35&amp;"/22 ("&amp;TEXT('MT 2.1 Results'!G35,"0%")&amp;")   Overall: "&amp;'MT 2.1 Results'!H35)</f>
        <v/>
      </c>
    </row>
    <row r="184">
      <c r="A184">
        <f>IF('MT 2.1 Results'!H34="","",IF('MT 2.1 Results'!H34="Green",Parameters!$C$93,IF('MT 2.1 Results'!H34="Yellow",Parameters!$C$92,Parameters!$C$91)))</f>
        <v/>
      </c>
      <c r="K184">
        <f>IF('MT 2.1 Results'!H35="","",IF('MT 2.1 Results'!H35="Green",Parameters!$C$93,IF('MT 2.1 Results'!H35="Yellow",Parameters!$C$92,Parameters!$C$91)))</f>
        <v/>
      </c>
    </row>
    <row r="186">
      <c r="A186">
        <f>IF('MT 2.1 Results'!H34="","","Breakdown:")</f>
        <v/>
      </c>
      <c r="K186">
        <f>IF('MT 2.1 Results'!H35="","","Breakdown:")</f>
        <v/>
      </c>
    </row>
    <row r="187">
      <c r="A187">
        <f>IF('MT 2.1 Results'!H34="","","Q1 Income tax &amp; National Insurance: "&amp;'MT 2.1 Results'!C34&amp;"/8")</f>
        <v/>
      </c>
      <c r="K187">
        <f>IF('MT 2.1 Results'!H35="","","Q1 Income tax &amp; National Insurance: "&amp;'MT 2.1 Results'!C35&amp;"/8")</f>
        <v/>
      </c>
    </row>
    <row r="188">
      <c r="A188">
        <f>IF('MT 2.1 Results'!H34="","","Q2 Budgeting: "&amp;'MT 2.1 Results'!D34&amp;"/7")</f>
        <v/>
      </c>
      <c r="K188">
        <f>IF('MT 2.1 Results'!H35="","","Q2 Budgeting: "&amp;'MT 2.1 Results'!D35&amp;"/7")</f>
        <v/>
      </c>
    </row>
    <row r="189">
      <c r="A189">
        <f>IF('MT 2.1 Results'!H34="","","Q3 Simple &amp; compound interest: "&amp;'MT 2.1 Results'!E34&amp;"/7")</f>
        <v/>
      </c>
      <c r="K189">
        <f>IF('MT 2.1 Results'!H35="","","Q3 Simple &amp; compound interest: "&amp;'MT 2.1 Results'!E35&amp;"/7")</f>
        <v/>
      </c>
    </row>
    <row r="190">
      <c r="A190">
        <f>IF(OR('MT 2.1 Results'!H34="",'MT 2.1 Results'!I34=""),"",'MT 2.1 Results'!I34)</f>
        <v/>
      </c>
      <c r="K190">
        <f>IF(OR('MT 2.1 Results'!H35="",'MT 2.1 Results'!I35=""),"",'MT 2.1 Results'!I35)</f>
        <v/>
      </c>
    </row>
    <row r="192">
      <c r="A192">
        <f>IF('MT 2.1 Results'!H34="","","Comments:")</f>
        <v/>
      </c>
      <c r="K192">
        <f>IF('MT 2.1 Results'!H35="","","Comments:")</f>
        <v/>
      </c>
    </row>
    <row r="197">
      <c r="A197">
        <f>IF('MT 2.1 Results'!H36="","","Mini Test 2.1 — Personal finance")</f>
        <v/>
      </c>
      <c r="K197">
        <f>IF('MT 2.1 Results'!H37="","","Mini Test 2.1 — Personal finance")</f>
        <v/>
      </c>
    </row>
    <row r="198">
      <c r="A198">
        <f>IF('MT 2.1 Results'!H36="","","Name: "&amp;'MT 2.1 Results'!B36&amp;"   Class: "&amp;'MT 2.1 Results'!$B$3&amp;"   Date: "&amp;TEXT('MT 2.1 Results'!$B$5,"DD/MM/YY"))</f>
        <v/>
      </c>
      <c r="K198">
        <f>IF('MT 2.1 Results'!H37="","","Name: "&amp;'MT 2.1 Results'!B37&amp;"   Class: "&amp;'MT 2.1 Results'!$B$3&amp;"   Date: "&amp;TEXT('MT 2.1 Results'!$B$5,"DD/MM/YY"))</f>
        <v/>
      </c>
    </row>
    <row r="199">
      <c r="A199">
        <f>IF('MT 2.1 Results'!H36="","","Total: "&amp;'MT 2.1 Results'!F36&amp;"/22 ("&amp;TEXT('MT 2.1 Results'!G36,"0%")&amp;")   Overall: "&amp;'MT 2.1 Results'!H36)</f>
        <v/>
      </c>
      <c r="K199">
        <f>IF('MT 2.1 Results'!H37="","","Total: "&amp;'MT 2.1 Results'!F37&amp;"/22 ("&amp;TEXT('MT 2.1 Results'!G37,"0%")&amp;")   Overall: "&amp;'MT 2.1 Results'!H37)</f>
        <v/>
      </c>
    </row>
    <row r="200">
      <c r="A200">
        <f>IF('MT 2.1 Results'!H36="","",IF('MT 2.1 Results'!H36="Green",Parameters!$C$93,IF('MT 2.1 Results'!H36="Yellow",Parameters!$C$92,Parameters!$C$91)))</f>
        <v/>
      </c>
      <c r="K200">
        <f>IF('MT 2.1 Results'!H37="","",IF('MT 2.1 Results'!H37="Green",Parameters!$C$93,IF('MT 2.1 Results'!H37="Yellow",Parameters!$C$92,Parameters!$C$91)))</f>
        <v/>
      </c>
    </row>
    <row r="202">
      <c r="A202">
        <f>IF('MT 2.1 Results'!H36="","","Breakdown:")</f>
        <v/>
      </c>
      <c r="K202">
        <f>IF('MT 2.1 Results'!H37="","","Breakdown:")</f>
        <v/>
      </c>
    </row>
    <row r="203">
      <c r="A203">
        <f>IF('MT 2.1 Results'!H36="","","Q1 Income tax &amp; National Insurance: "&amp;'MT 2.1 Results'!C36&amp;"/8")</f>
        <v/>
      </c>
      <c r="K203">
        <f>IF('MT 2.1 Results'!H37="","","Q1 Income tax &amp; National Insurance: "&amp;'MT 2.1 Results'!C37&amp;"/8")</f>
        <v/>
      </c>
    </row>
    <row r="204">
      <c r="A204">
        <f>IF('MT 2.1 Results'!H36="","","Q2 Budgeting: "&amp;'MT 2.1 Results'!D36&amp;"/7")</f>
        <v/>
      </c>
      <c r="K204">
        <f>IF('MT 2.1 Results'!H37="","","Q2 Budgeting: "&amp;'MT 2.1 Results'!D37&amp;"/7")</f>
        <v/>
      </c>
    </row>
    <row r="205">
      <c r="A205">
        <f>IF('MT 2.1 Results'!H36="","","Q3 Simple &amp; compound interest: "&amp;'MT 2.1 Results'!E36&amp;"/7")</f>
        <v/>
      </c>
      <c r="K205">
        <f>IF('MT 2.1 Results'!H37="","","Q3 Simple &amp; compound interest: "&amp;'MT 2.1 Results'!E37&amp;"/7")</f>
        <v/>
      </c>
    </row>
    <row r="206">
      <c r="A206">
        <f>IF(OR('MT 2.1 Results'!H36="",'MT 2.1 Results'!I36=""),"",'MT 2.1 Results'!I36)</f>
        <v/>
      </c>
      <c r="K206">
        <f>IF(OR('MT 2.1 Results'!H37="",'MT 2.1 Results'!I37=""),"",'MT 2.1 Results'!I37)</f>
        <v/>
      </c>
    </row>
    <row r="208">
      <c r="A208">
        <f>IF('MT 2.1 Results'!H36="","","Comments:")</f>
        <v/>
      </c>
      <c r="K208">
        <f>IF('MT 2.1 Results'!H37="","","Comments:")</f>
        <v/>
      </c>
    </row>
    <row r="213">
      <c r="A213">
        <f>IF('MT 2.1 Results'!H38="","","Mini Test 2.1 — Personal finance")</f>
        <v/>
      </c>
      <c r="K213">
        <f>IF('MT 2.1 Results'!H39="","","Mini Test 2.1 — Personal finance")</f>
        <v/>
      </c>
    </row>
    <row r="214">
      <c r="A214">
        <f>IF('MT 2.1 Results'!H38="","","Name: "&amp;'MT 2.1 Results'!B38&amp;"   Class: "&amp;'MT 2.1 Results'!$B$3&amp;"   Date: "&amp;TEXT('MT 2.1 Results'!$B$5,"DD/MM/YY"))</f>
        <v/>
      </c>
      <c r="K214">
        <f>IF('MT 2.1 Results'!H39="","","Name: "&amp;'MT 2.1 Results'!B39&amp;"   Class: "&amp;'MT 2.1 Results'!$B$3&amp;"   Date: "&amp;TEXT('MT 2.1 Results'!$B$5,"DD/MM/YY"))</f>
        <v/>
      </c>
    </row>
    <row r="215">
      <c r="A215">
        <f>IF('MT 2.1 Results'!H38="","","Total: "&amp;'MT 2.1 Results'!F38&amp;"/22 ("&amp;TEXT('MT 2.1 Results'!G38,"0%")&amp;")   Overall: "&amp;'MT 2.1 Results'!H38)</f>
        <v/>
      </c>
      <c r="K215">
        <f>IF('MT 2.1 Results'!H39="","","Total: "&amp;'MT 2.1 Results'!F39&amp;"/22 ("&amp;TEXT('MT 2.1 Results'!G39,"0%")&amp;")   Overall: "&amp;'MT 2.1 Results'!H39)</f>
        <v/>
      </c>
    </row>
    <row r="216">
      <c r="A216">
        <f>IF('MT 2.1 Results'!H38="","",IF('MT 2.1 Results'!H38="Green",Parameters!$C$93,IF('MT 2.1 Results'!H38="Yellow",Parameters!$C$92,Parameters!$C$91)))</f>
        <v/>
      </c>
      <c r="K216">
        <f>IF('MT 2.1 Results'!H39="","",IF('MT 2.1 Results'!H39="Green",Parameters!$C$93,IF('MT 2.1 Results'!H39="Yellow",Parameters!$C$92,Parameters!$C$91)))</f>
        <v/>
      </c>
    </row>
    <row r="218">
      <c r="A218">
        <f>IF('MT 2.1 Results'!H38="","","Breakdown:")</f>
        <v/>
      </c>
      <c r="K218">
        <f>IF('MT 2.1 Results'!H39="","","Breakdown:")</f>
        <v/>
      </c>
    </row>
    <row r="219">
      <c r="A219">
        <f>IF('MT 2.1 Results'!H38="","","Q1 Income tax &amp; National Insurance: "&amp;'MT 2.1 Results'!C38&amp;"/8")</f>
        <v/>
      </c>
      <c r="K219">
        <f>IF('MT 2.1 Results'!H39="","","Q1 Income tax &amp; National Insurance: "&amp;'MT 2.1 Results'!C39&amp;"/8")</f>
        <v/>
      </c>
    </row>
    <row r="220">
      <c r="A220">
        <f>IF('MT 2.1 Results'!H38="","","Q2 Budgeting: "&amp;'MT 2.1 Results'!D38&amp;"/7")</f>
        <v/>
      </c>
      <c r="K220">
        <f>IF('MT 2.1 Results'!H39="","","Q2 Budgeting: "&amp;'MT 2.1 Results'!D39&amp;"/7")</f>
        <v/>
      </c>
    </row>
    <row r="221">
      <c r="A221">
        <f>IF('MT 2.1 Results'!H38="","","Q3 Simple &amp; compound interest: "&amp;'MT 2.1 Results'!E38&amp;"/7")</f>
        <v/>
      </c>
      <c r="K221">
        <f>IF('MT 2.1 Results'!H39="","","Q3 Simple &amp; compound interest: "&amp;'MT 2.1 Results'!E39&amp;"/7")</f>
        <v/>
      </c>
    </row>
    <row r="222">
      <c r="A222">
        <f>IF(OR('MT 2.1 Results'!H38="",'MT 2.1 Results'!I38=""),"",'MT 2.1 Results'!I38)</f>
        <v/>
      </c>
      <c r="K222">
        <f>IF(OR('MT 2.1 Results'!H39="",'MT 2.1 Results'!I39=""),"",'MT 2.1 Results'!I39)</f>
        <v/>
      </c>
    </row>
    <row r="224">
      <c r="A224">
        <f>IF('MT 2.1 Results'!H38="","","Comments:")</f>
        <v/>
      </c>
      <c r="K224">
        <f>IF('MT 2.1 Results'!H39="","","Comments:")</f>
        <v/>
      </c>
    </row>
    <row r="229">
      <c r="A229">
        <f>IF('MT 2.1 Results'!H40="","","Mini Test 2.1 — Personal finance")</f>
        <v/>
      </c>
      <c r="K229">
        <f>IF('MT 2.1 Results'!H41="","","Mini Test 2.1 — Personal finance")</f>
        <v/>
      </c>
    </row>
    <row r="230">
      <c r="A230">
        <f>IF('MT 2.1 Results'!H40="","","Name: "&amp;'MT 2.1 Results'!B40&amp;"   Class: "&amp;'MT 2.1 Results'!$B$3&amp;"   Date: "&amp;TEXT('MT 2.1 Results'!$B$5,"DD/MM/YY"))</f>
        <v/>
      </c>
      <c r="K230">
        <f>IF('MT 2.1 Results'!H41="","","Name: "&amp;'MT 2.1 Results'!B41&amp;"   Class: "&amp;'MT 2.1 Results'!$B$3&amp;"   Date: "&amp;TEXT('MT 2.1 Results'!$B$5,"DD/MM/YY"))</f>
        <v/>
      </c>
    </row>
    <row r="231">
      <c r="A231">
        <f>IF('MT 2.1 Results'!H40="","","Total: "&amp;'MT 2.1 Results'!F40&amp;"/22 ("&amp;TEXT('MT 2.1 Results'!G40,"0%")&amp;")   Overall: "&amp;'MT 2.1 Results'!H40)</f>
        <v/>
      </c>
      <c r="K231">
        <f>IF('MT 2.1 Results'!H41="","","Total: "&amp;'MT 2.1 Results'!F41&amp;"/22 ("&amp;TEXT('MT 2.1 Results'!G41,"0%")&amp;")   Overall: "&amp;'MT 2.1 Results'!H41)</f>
        <v/>
      </c>
    </row>
    <row r="232">
      <c r="A232">
        <f>IF('MT 2.1 Results'!H40="","",IF('MT 2.1 Results'!H40="Green",Parameters!$C$93,IF('MT 2.1 Results'!H40="Yellow",Parameters!$C$92,Parameters!$C$91)))</f>
        <v/>
      </c>
      <c r="K232">
        <f>IF('MT 2.1 Results'!H41="","",IF('MT 2.1 Results'!H41="Green",Parameters!$C$93,IF('MT 2.1 Results'!H41="Yellow",Parameters!$C$92,Parameters!$C$91)))</f>
        <v/>
      </c>
    </row>
    <row r="234">
      <c r="A234">
        <f>IF('MT 2.1 Results'!H40="","","Breakdown:")</f>
        <v/>
      </c>
      <c r="K234">
        <f>IF('MT 2.1 Results'!H41="","","Breakdown:")</f>
        <v/>
      </c>
    </row>
    <row r="235">
      <c r="A235">
        <f>IF('MT 2.1 Results'!H40="","","Q1 Income tax &amp; National Insurance: "&amp;'MT 2.1 Results'!C40&amp;"/8")</f>
        <v/>
      </c>
      <c r="K235">
        <f>IF('MT 2.1 Results'!H41="","","Q1 Income tax &amp; National Insurance: "&amp;'MT 2.1 Results'!C41&amp;"/8")</f>
        <v/>
      </c>
    </row>
    <row r="236">
      <c r="A236">
        <f>IF('MT 2.1 Results'!H40="","","Q2 Budgeting: "&amp;'MT 2.1 Results'!D40&amp;"/7")</f>
        <v/>
      </c>
      <c r="K236">
        <f>IF('MT 2.1 Results'!H41="","","Q2 Budgeting: "&amp;'MT 2.1 Results'!D41&amp;"/7")</f>
        <v/>
      </c>
    </row>
    <row r="237">
      <c r="A237">
        <f>IF('MT 2.1 Results'!H40="","","Q3 Simple &amp; compound interest: "&amp;'MT 2.1 Results'!E40&amp;"/7")</f>
        <v/>
      </c>
      <c r="K237">
        <f>IF('MT 2.1 Results'!H41="","","Q3 Simple &amp; compound interest: "&amp;'MT 2.1 Results'!E41&amp;"/7")</f>
        <v/>
      </c>
    </row>
    <row r="238">
      <c r="A238">
        <f>IF(OR('MT 2.1 Results'!H40="",'MT 2.1 Results'!I40=""),"",'MT 2.1 Results'!I40)</f>
        <v/>
      </c>
      <c r="K238">
        <f>IF(OR('MT 2.1 Results'!H41="",'MT 2.1 Results'!I41=""),"",'MT 2.1 Results'!I41)</f>
        <v/>
      </c>
    </row>
    <row r="240">
      <c r="A240">
        <f>IF('MT 2.1 Results'!H40="","","Comments:")</f>
        <v/>
      </c>
      <c r="K240">
        <f>IF('MT 2.1 Results'!H41="","","Comments:")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0" customWidth="1" min="7" max="7"/>
    <col width="8" customWidth="1" min="8" max="8"/>
    <col width="10" customWidth="1" min="9" max="9"/>
    <col width="45" customWidth="1" min="10" max="10"/>
  </cols>
  <sheetData>
    <row r="1">
      <c r="A1" s="11" t="inlineStr">
        <is>
          <t>Mini Test 2.2 — Personal finance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Comparing loans
(/7)</t>
        </is>
      </c>
      <c r="D9" s="12" t="inlineStr">
        <is>
          <t>Q2
Exchange rates
(/6)</t>
        </is>
      </c>
      <c r="E9" s="12" t="inlineStr">
        <is>
          <t>Q3
Depreciation
(/7)</t>
        </is>
      </c>
      <c r="F9" s="12" t="inlineStr">
        <is>
          <t>Q4
Price indices &amp; inflation
(/6)</t>
        </is>
      </c>
      <c r="G9" s="12" t="inlineStr">
        <is>
          <t>Total
(/26)</t>
        </is>
      </c>
      <c r="H9" s="12" t="inlineStr">
        <is>
          <t>%</t>
        </is>
      </c>
      <c r="I9" s="12" t="inlineStr">
        <is>
          <t>Overall</t>
        </is>
      </c>
      <c r="J9" s="12" t="inlineStr">
        <is>
          <t>Focus for next steps</t>
        </is>
      </c>
      <c r="K9" s="12" t="inlineStr">
        <is>
          <t>Q1%</t>
        </is>
      </c>
      <c r="L9" s="12" t="inlineStr">
        <is>
          <t>Q2%</t>
        </is>
      </c>
      <c r="M9" s="12" t="inlineStr">
        <is>
          <t>Q3%</t>
        </is>
      </c>
      <c r="N9" s="12" t="inlineStr">
        <is>
          <t>Q4%</t>
        </is>
      </c>
    </row>
    <row r="10">
      <c r="A10" s="3" t="n"/>
      <c r="B10" s="3" t="inlineStr">
        <is>
          <t>Max marks</t>
        </is>
      </c>
      <c r="C10" s="3" t="n">
        <v>7</v>
      </c>
      <c r="D10" s="3" t="n">
        <v>6</v>
      </c>
      <c r="E10" s="3" t="n">
        <v>7</v>
      </c>
      <c r="F10" s="3" t="n">
        <v>6</v>
      </c>
      <c r="G10" s="3" t="n">
        <v>26</v>
      </c>
      <c r="H10" s="3" t="inlineStr">
        <is>
          <t>100%</t>
        </is>
      </c>
      <c r="I10" s="3" t="n"/>
      <c r="J10" s="3" t="n"/>
      <c r="K10" s="3" t="n"/>
      <c r="L10" s="3" t="n"/>
      <c r="M10" s="3" t="n"/>
      <c r="N10" s="3" t="n"/>
    </row>
    <row r="11">
      <c r="A11" s="13" t="n">
        <v>1</v>
      </c>
      <c r="B11" s="13" t="inlineStr">
        <is>
          <t>Example pupil (edit me)</t>
        </is>
      </c>
      <c r="C11" s="13" t="n">
        <v>6</v>
      </c>
      <c r="D11" s="13" t="n">
        <v>5</v>
      </c>
      <c r="E11" s="13" t="n">
        <v>6</v>
      </c>
      <c r="F11" s="13" t="n">
        <v>5</v>
      </c>
      <c r="G11" s="13">
        <f>IF(COUNT(C11:F11)&lt;4,"",SUM(C11:F11))</f>
        <v/>
      </c>
      <c r="H11" s="13">
        <f>IF(COUNT(C11:F11)&lt;4,"",G11/26)</f>
        <v/>
      </c>
      <c r="I11" s="13">
        <f>IF(COUNT(C11:F11)&lt;4,"",IF(H11&gt;=0.8,"Green",IF(H11&gt;=0.5,"Yellow","Red")))</f>
        <v/>
      </c>
      <c r="J11" s="13">
        <f>IF(COUNT(C11:F11)&lt;4,"",IF(I11="Green","Well done! "&amp;Parameters!$C$108,"Revise: "&amp;_xlfn.TEXTJOIN(", ",TRUE(),IF(K11&lt;1,Parameters!$A$99,""),IF(L11&lt;1,Parameters!$A$100,""),IF(M11&lt;1,Parameters!$A$101,""),IF(N11&lt;1,Parameters!$A$102,""))))</f>
        <v/>
      </c>
      <c r="K11" s="13">
        <f>IF(C11="","",C11/7)</f>
        <v/>
      </c>
      <c r="L11" s="13">
        <f>IF(D11="","",D11/6)</f>
        <v/>
      </c>
      <c r="M11" s="13">
        <f>IF(E11="","",E11/7)</f>
        <v/>
      </c>
      <c r="N11" s="13">
        <f>IF(F11="","",F11/6)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3">
        <f>IF(COUNT(C12:F12)&lt;4,"",SUM(C12:F12))</f>
        <v/>
      </c>
      <c r="H12" s="13">
        <f>IF(COUNT(C12:F12)&lt;4,"",G12/26)</f>
        <v/>
      </c>
      <c r="I12" s="13">
        <f>IF(COUNT(C12:F12)&lt;4,"",IF(H12&gt;=0.8,"Green",IF(H12&gt;=0.5,"Yellow","Red")))</f>
        <v/>
      </c>
      <c r="J12" s="13">
        <f>IF(COUNT(C12:F12)&lt;4,"",IF(I12="Green","Well done! "&amp;Parameters!$C$108,"Revise: "&amp;_xlfn.TEXTJOIN(", ",TRUE(),IF(K12&lt;1,Parameters!$A$99,""),IF(L12&lt;1,Parameters!$A$100,""),IF(M12&lt;1,Parameters!$A$101,""),IF(N12&lt;1,Parameters!$A$102,""))))</f>
        <v/>
      </c>
      <c r="K12" s="13">
        <f>IF(C12="","",C12/7)</f>
        <v/>
      </c>
      <c r="L12" s="13">
        <f>IF(D12="","",D12/6)</f>
        <v/>
      </c>
      <c r="M12" s="13">
        <f>IF(E12="","",E12/7)</f>
        <v/>
      </c>
      <c r="N12" s="13">
        <f>IF(F12="","",F12/6)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3">
        <f>IF(COUNT(C13:F13)&lt;4,"",SUM(C13:F13))</f>
        <v/>
      </c>
      <c r="H13" s="13">
        <f>IF(COUNT(C13:F13)&lt;4,"",G13/26)</f>
        <v/>
      </c>
      <c r="I13" s="13">
        <f>IF(COUNT(C13:F13)&lt;4,"",IF(H13&gt;=0.8,"Green",IF(H13&gt;=0.5,"Yellow","Red")))</f>
        <v/>
      </c>
      <c r="J13" s="13">
        <f>IF(COUNT(C13:F13)&lt;4,"",IF(I13="Green","Well done! "&amp;Parameters!$C$108,"Revise: "&amp;_xlfn.TEXTJOIN(", ",TRUE(),IF(K13&lt;1,Parameters!$A$99,""),IF(L13&lt;1,Parameters!$A$100,""),IF(M13&lt;1,Parameters!$A$101,""),IF(N13&lt;1,Parameters!$A$102,""))))</f>
        <v/>
      </c>
      <c r="K13" s="13">
        <f>IF(C13="","",C13/7)</f>
        <v/>
      </c>
      <c r="L13" s="13">
        <f>IF(D13="","",D13/6)</f>
        <v/>
      </c>
      <c r="M13" s="13">
        <f>IF(E13="","",E13/7)</f>
        <v/>
      </c>
      <c r="N13" s="13">
        <f>IF(F13="","",F13/6)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3">
        <f>IF(COUNT(C14:F14)&lt;4,"",SUM(C14:F14))</f>
        <v/>
      </c>
      <c r="H14" s="13">
        <f>IF(COUNT(C14:F14)&lt;4,"",G14/26)</f>
        <v/>
      </c>
      <c r="I14" s="13">
        <f>IF(COUNT(C14:F14)&lt;4,"",IF(H14&gt;=0.8,"Green",IF(H14&gt;=0.5,"Yellow","Red")))</f>
        <v/>
      </c>
      <c r="J14" s="13">
        <f>IF(COUNT(C14:F14)&lt;4,"",IF(I14="Green","Well done! "&amp;Parameters!$C$108,"Revise: "&amp;_xlfn.TEXTJOIN(", ",TRUE(),IF(K14&lt;1,Parameters!$A$99,""),IF(L14&lt;1,Parameters!$A$100,""),IF(M14&lt;1,Parameters!$A$101,""),IF(N14&lt;1,Parameters!$A$102,""))))</f>
        <v/>
      </c>
      <c r="K14" s="13">
        <f>IF(C14="","",C14/7)</f>
        <v/>
      </c>
      <c r="L14" s="13">
        <f>IF(D14="","",D14/6)</f>
        <v/>
      </c>
      <c r="M14" s="13">
        <f>IF(E14="","",E14/7)</f>
        <v/>
      </c>
      <c r="N14" s="13">
        <f>IF(F14="","",F14/6)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3">
        <f>IF(COUNT(C15:F15)&lt;4,"",SUM(C15:F15))</f>
        <v/>
      </c>
      <c r="H15" s="13">
        <f>IF(COUNT(C15:F15)&lt;4,"",G15/26)</f>
        <v/>
      </c>
      <c r="I15" s="13">
        <f>IF(COUNT(C15:F15)&lt;4,"",IF(H15&gt;=0.8,"Green",IF(H15&gt;=0.5,"Yellow","Red")))</f>
        <v/>
      </c>
      <c r="J15" s="13">
        <f>IF(COUNT(C15:F15)&lt;4,"",IF(I15="Green","Well done! "&amp;Parameters!$C$108,"Revise: "&amp;_xlfn.TEXTJOIN(", ",TRUE(),IF(K15&lt;1,Parameters!$A$99,""),IF(L15&lt;1,Parameters!$A$100,""),IF(M15&lt;1,Parameters!$A$101,""),IF(N15&lt;1,Parameters!$A$102,""))))</f>
        <v/>
      </c>
      <c r="K15" s="13">
        <f>IF(C15="","",C15/7)</f>
        <v/>
      </c>
      <c r="L15" s="13">
        <f>IF(D15="","",D15/6)</f>
        <v/>
      </c>
      <c r="M15" s="13">
        <f>IF(E15="","",E15/7)</f>
        <v/>
      </c>
      <c r="N15" s="13">
        <f>IF(F15="","",F15/6)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3">
        <f>IF(COUNT(C16:F16)&lt;4,"",SUM(C16:F16))</f>
        <v/>
      </c>
      <c r="H16" s="13">
        <f>IF(COUNT(C16:F16)&lt;4,"",G16/26)</f>
        <v/>
      </c>
      <c r="I16" s="13">
        <f>IF(COUNT(C16:F16)&lt;4,"",IF(H16&gt;=0.8,"Green",IF(H16&gt;=0.5,"Yellow","Red")))</f>
        <v/>
      </c>
      <c r="J16" s="13">
        <f>IF(COUNT(C16:F16)&lt;4,"",IF(I16="Green","Well done! "&amp;Parameters!$C$108,"Revise: "&amp;_xlfn.TEXTJOIN(", ",TRUE(),IF(K16&lt;1,Parameters!$A$99,""),IF(L16&lt;1,Parameters!$A$100,""),IF(M16&lt;1,Parameters!$A$101,""),IF(N16&lt;1,Parameters!$A$102,""))))</f>
        <v/>
      </c>
      <c r="K16" s="13">
        <f>IF(C16="","",C16/7)</f>
        <v/>
      </c>
      <c r="L16" s="13">
        <f>IF(D16="","",D16/6)</f>
        <v/>
      </c>
      <c r="M16" s="13">
        <f>IF(E16="","",E16/7)</f>
        <v/>
      </c>
      <c r="N16" s="13">
        <f>IF(F16="","",F16/6)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3">
        <f>IF(COUNT(C17:F17)&lt;4,"",SUM(C17:F17))</f>
        <v/>
      </c>
      <c r="H17" s="13">
        <f>IF(COUNT(C17:F17)&lt;4,"",G17/26)</f>
        <v/>
      </c>
      <c r="I17" s="13">
        <f>IF(COUNT(C17:F17)&lt;4,"",IF(H17&gt;=0.8,"Green",IF(H17&gt;=0.5,"Yellow","Red")))</f>
        <v/>
      </c>
      <c r="J17" s="13">
        <f>IF(COUNT(C17:F17)&lt;4,"",IF(I17="Green","Well done! "&amp;Parameters!$C$108,"Revise: "&amp;_xlfn.TEXTJOIN(", ",TRUE(),IF(K17&lt;1,Parameters!$A$99,""),IF(L17&lt;1,Parameters!$A$100,""),IF(M17&lt;1,Parameters!$A$101,""),IF(N17&lt;1,Parameters!$A$102,""))))</f>
        <v/>
      </c>
      <c r="K17" s="13">
        <f>IF(C17="","",C17/7)</f>
        <v/>
      </c>
      <c r="L17" s="13">
        <f>IF(D17="","",D17/6)</f>
        <v/>
      </c>
      <c r="M17" s="13">
        <f>IF(E17="","",E17/7)</f>
        <v/>
      </c>
      <c r="N17" s="13">
        <f>IF(F17="","",F17/6)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3">
        <f>IF(COUNT(C18:F18)&lt;4,"",SUM(C18:F18))</f>
        <v/>
      </c>
      <c r="H18" s="13">
        <f>IF(COUNT(C18:F18)&lt;4,"",G18/26)</f>
        <v/>
      </c>
      <c r="I18" s="13">
        <f>IF(COUNT(C18:F18)&lt;4,"",IF(H18&gt;=0.8,"Green",IF(H18&gt;=0.5,"Yellow","Red")))</f>
        <v/>
      </c>
      <c r="J18" s="13">
        <f>IF(COUNT(C18:F18)&lt;4,"",IF(I18="Green","Well done! "&amp;Parameters!$C$108,"Revise: "&amp;_xlfn.TEXTJOIN(", ",TRUE(),IF(K18&lt;1,Parameters!$A$99,""),IF(L18&lt;1,Parameters!$A$100,""),IF(M18&lt;1,Parameters!$A$101,""),IF(N18&lt;1,Parameters!$A$102,""))))</f>
        <v/>
      </c>
      <c r="K18" s="13">
        <f>IF(C18="","",C18/7)</f>
        <v/>
      </c>
      <c r="L18" s="13">
        <f>IF(D18="","",D18/6)</f>
        <v/>
      </c>
      <c r="M18" s="13">
        <f>IF(E18="","",E18/7)</f>
        <v/>
      </c>
      <c r="N18" s="13">
        <f>IF(F18="","",F18/6)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3">
        <f>IF(COUNT(C19:F19)&lt;4,"",SUM(C19:F19))</f>
        <v/>
      </c>
      <c r="H19" s="13">
        <f>IF(COUNT(C19:F19)&lt;4,"",G19/26)</f>
        <v/>
      </c>
      <c r="I19" s="13">
        <f>IF(COUNT(C19:F19)&lt;4,"",IF(H19&gt;=0.8,"Green",IF(H19&gt;=0.5,"Yellow","Red")))</f>
        <v/>
      </c>
      <c r="J19" s="13">
        <f>IF(COUNT(C19:F19)&lt;4,"",IF(I19="Green","Well done! "&amp;Parameters!$C$108,"Revise: "&amp;_xlfn.TEXTJOIN(", ",TRUE(),IF(K19&lt;1,Parameters!$A$99,""),IF(L19&lt;1,Parameters!$A$100,""),IF(M19&lt;1,Parameters!$A$101,""),IF(N19&lt;1,Parameters!$A$102,""))))</f>
        <v/>
      </c>
      <c r="K19" s="13">
        <f>IF(C19="","",C19/7)</f>
        <v/>
      </c>
      <c r="L19" s="13">
        <f>IF(D19="","",D19/6)</f>
        <v/>
      </c>
      <c r="M19" s="13">
        <f>IF(E19="","",E19/7)</f>
        <v/>
      </c>
      <c r="N19" s="13">
        <f>IF(F19="","",F19/6)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3">
        <f>IF(COUNT(C20:F20)&lt;4,"",SUM(C20:F20))</f>
        <v/>
      </c>
      <c r="H20" s="13">
        <f>IF(COUNT(C20:F20)&lt;4,"",G20/26)</f>
        <v/>
      </c>
      <c r="I20" s="13">
        <f>IF(COUNT(C20:F20)&lt;4,"",IF(H20&gt;=0.8,"Green",IF(H20&gt;=0.5,"Yellow","Red")))</f>
        <v/>
      </c>
      <c r="J20" s="13">
        <f>IF(COUNT(C20:F20)&lt;4,"",IF(I20="Green","Well done! "&amp;Parameters!$C$108,"Revise: "&amp;_xlfn.TEXTJOIN(", ",TRUE(),IF(K20&lt;1,Parameters!$A$99,""),IF(L20&lt;1,Parameters!$A$100,""),IF(M20&lt;1,Parameters!$A$101,""),IF(N20&lt;1,Parameters!$A$102,""))))</f>
        <v/>
      </c>
      <c r="K20" s="13">
        <f>IF(C20="","",C20/7)</f>
        <v/>
      </c>
      <c r="L20" s="13">
        <f>IF(D20="","",D20/6)</f>
        <v/>
      </c>
      <c r="M20" s="13">
        <f>IF(E20="","",E20/7)</f>
        <v/>
      </c>
      <c r="N20" s="13">
        <f>IF(F20="","",F20/6)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3">
        <f>IF(COUNT(C21:F21)&lt;4,"",SUM(C21:F21))</f>
        <v/>
      </c>
      <c r="H21" s="13">
        <f>IF(COUNT(C21:F21)&lt;4,"",G21/26)</f>
        <v/>
      </c>
      <c r="I21" s="13">
        <f>IF(COUNT(C21:F21)&lt;4,"",IF(H21&gt;=0.8,"Green",IF(H21&gt;=0.5,"Yellow","Red")))</f>
        <v/>
      </c>
      <c r="J21" s="13">
        <f>IF(COUNT(C21:F21)&lt;4,"",IF(I21="Green","Well done! "&amp;Parameters!$C$108,"Revise: "&amp;_xlfn.TEXTJOIN(", ",TRUE(),IF(K21&lt;1,Parameters!$A$99,""),IF(L21&lt;1,Parameters!$A$100,""),IF(M21&lt;1,Parameters!$A$101,""),IF(N21&lt;1,Parameters!$A$102,""))))</f>
        <v/>
      </c>
      <c r="K21" s="13">
        <f>IF(C21="","",C21/7)</f>
        <v/>
      </c>
      <c r="L21" s="13">
        <f>IF(D21="","",D21/6)</f>
        <v/>
      </c>
      <c r="M21" s="13">
        <f>IF(E21="","",E21/7)</f>
        <v/>
      </c>
      <c r="N21" s="13">
        <f>IF(F21="","",F21/6)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3">
        <f>IF(COUNT(C22:F22)&lt;4,"",SUM(C22:F22))</f>
        <v/>
      </c>
      <c r="H22" s="13">
        <f>IF(COUNT(C22:F22)&lt;4,"",G22/26)</f>
        <v/>
      </c>
      <c r="I22" s="13">
        <f>IF(COUNT(C22:F22)&lt;4,"",IF(H22&gt;=0.8,"Green",IF(H22&gt;=0.5,"Yellow","Red")))</f>
        <v/>
      </c>
      <c r="J22" s="13">
        <f>IF(COUNT(C22:F22)&lt;4,"",IF(I22="Green","Well done! "&amp;Parameters!$C$108,"Revise: "&amp;_xlfn.TEXTJOIN(", ",TRUE(),IF(K22&lt;1,Parameters!$A$99,""),IF(L22&lt;1,Parameters!$A$100,""),IF(M22&lt;1,Parameters!$A$101,""),IF(N22&lt;1,Parameters!$A$102,""))))</f>
        <v/>
      </c>
      <c r="K22" s="13">
        <f>IF(C22="","",C22/7)</f>
        <v/>
      </c>
      <c r="L22" s="13">
        <f>IF(D22="","",D22/6)</f>
        <v/>
      </c>
      <c r="M22" s="13">
        <f>IF(E22="","",E22/7)</f>
        <v/>
      </c>
      <c r="N22" s="13">
        <f>IF(F22="","",F22/6)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3">
        <f>IF(COUNT(C23:F23)&lt;4,"",SUM(C23:F23))</f>
        <v/>
      </c>
      <c r="H23" s="13">
        <f>IF(COUNT(C23:F23)&lt;4,"",G23/26)</f>
        <v/>
      </c>
      <c r="I23" s="13">
        <f>IF(COUNT(C23:F23)&lt;4,"",IF(H23&gt;=0.8,"Green",IF(H23&gt;=0.5,"Yellow","Red")))</f>
        <v/>
      </c>
      <c r="J23" s="13">
        <f>IF(COUNT(C23:F23)&lt;4,"",IF(I23="Green","Well done! "&amp;Parameters!$C$108,"Revise: "&amp;_xlfn.TEXTJOIN(", ",TRUE(),IF(K23&lt;1,Parameters!$A$99,""),IF(L23&lt;1,Parameters!$A$100,""),IF(M23&lt;1,Parameters!$A$101,""),IF(N23&lt;1,Parameters!$A$102,""))))</f>
        <v/>
      </c>
      <c r="K23" s="13">
        <f>IF(C23="","",C23/7)</f>
        <v/>
      </c>
      <c r="L23" s="13">
        <f>IF(D23="","",D23/6)</f>
        <v/>
      </c>
      <c r="M23" s="13">
        <f>IF(E23="","",E23/7)</f>
        <v/>
      </c>
      <c r="N23" s="13">
        <f>IF(F23="","",F23/6)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3">
        <f>IF(COUNT(C24:F24)&lt;4,"",SUM(C24:F24))</f>
        <v/>
      </c>
      <c r="H24" s="13">
        <f>IF(COUNT(C24:F24)&lt;4,"",G24/26)</f>
        <v/>
      </c>
      <c r="I24" s="13">
        <f>IF(COUNT(C24:F24)&lt;4,"",IF(H24&gt;=0.8,"Green",IF(H24&gt;=0.5,"Yellow","Red")))</f>
        <v/>
      </c>
      <c r="J24" s="13">
        <f>IF(COUNT(C24:F24)&lt;4,"",IF(I24="Green","Well done! "&amp;Parameters!$C$108,"Revise: "&amp;_xlfn.TEXTJOIN(", ",TRUE(),IF(K24&lt;1,Parameters!$A$99,""),IF(L24&lt;1,Parameters!$A$100,""),IF(M24&lt;1,Parameters!$A$101,""),IF(N24&lt;1,Parameters!$A$102,""))))</f>
        <v/>
      </c>
      <c r="K24" s="13">
        <f>IF(C24="","",C24/7)</f>
        <v/>
      </c>
      <c r="L24" s="13">
        <f>IF(D24="","",D24/6)</f>
        <v/>
      </c>
      <c r="M24" s="13">
        <f>IF(E24="","",E24/7)</f>
        <v/>
      </c>
      <c r="N24" s="13">
        <f>IF(F24="","",F24/6)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3">
        <f>IF(COUNT(C25:F25)&lt;4,"",SUM(C25:F25))</f>
        <v/>
      </c>
      <c r="H25" s="13">
        <f>IF(COUNT(C25:F25)&lt;4,"",G25/26)</f>
        <v/>
      </c>
      <c r="I25" s="13">
        <f>IF(COUNT(C25:F25)&lt;4,"",IF(H25&gt;=0.8,"Green",IF(H25&gt;=0.5,"Yellow","Red")))</f>
        <v/>
      </c>
      <c r="J25" s="13">
        <f>IF(COUNT(C25:F25)&lt;4,"",IF(I25="Green","Well done! "&amp;Parameters!$C$108,"Revise: "&amp;_xlfn.TEXTJOIN(", ",TRUE(),IF(K25&lt;1,Parameters!$A$99,""),IF(L25&lt;1,Parameters!$A$100,""),IF(M25&lt;1,Parameters!$A$101,""),IF(N25&lt;1,Parameters!$A$102,""))))</f>
        <v/>
      </c>
      <c r="K25" s="13">
        <f>IF(C25="","",C25/7)</f>
        <v/>
      </c>
      <c r="L25" s="13">
        <f>IF(D25="","",D25/6)</f>
        <v/>
      </c>
      <c r="M25" s="13">
        <f>IF(E25="","",E25/7)</f>
        <v/>
      </c>
      <c r="N25" s="13">
        <f>IF(F25="","",F25/6)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3">
        <f>IF(COUNT(C26:F26)&lt;4,"",SUM(C26:F26))</f>
        <v/>
      </c>
      <c r="H26" s="13">
        <f>IF(COUNT(C26:F26)&lt;4,"",G26/26)</f>
        <v/>
      </c>
      <c r="I26" s="13">
        <f>IF(COUNT(C26:F26)&lt;4,"",IF(H26&gt;=0.8,"Green",IF(H26&gt;=0.5,"Yellow","Red")))</f>
        <v/>
      </c>
      <c r="J26" s="13">
        <f>IF(COUNT(C26:F26)&lt;4,"",IF(I26="Green","Well done! "&amp;Parameters!$C$108,"Revise: "&amp;_xlfn.TEXTJOIN(", ",TRUE(),IF(K26&lt;1,Parameters!$A$99,""),IF(L26&lt;1,Parameters!$A$100,""),IF(M26&lt;1,Parameters!$A$101,""),IF(N26&lt;1,Parameters!$A$102,""))))</f>
        <v/>
      </c>
      <c r="K26" s="13">
        <f>IF(C26="","",C26/7)</f>
        <v/>
      </c>
      <c r="L26" s="13">
        <f>IF(D26="","",D26/6)</f>
        <v/>
      </c>
      <c r="M26" s="13">
        <f>IF(E26="","",E26/7)</f>
        <v/>
      </c>
      <c r="N26" s="13">
        <f>IF(F26="","",F26/6)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3">
        <f>IF(COUNT(C27:F27)&lt;4,"",SUM(C27:F27))</f>
        <v/>
      </c>
      <c r="H27" s="13">
        <f>IF(COUNT(C27:F27)&lt;4,"",G27/26)</f>
        <v/>
      </c>
      <c r="I27" s="13">
        <f>IF(COUNT(C27:F27)&lt;4,"",IF(H27&gt;=0.8,"Green",IF(H27&gt;=0.5,"Yellow","Red")))</f>
        <v/>
      </c>
      <c r="J27" s="13">
        <f>IF(COUNT(C27:F27)&lt;4,"",IF(I27="Green","Well done! "&amp;Parameters!$C$108,"Revise: "&amp;_xlfn.TEXTJOIN(", ",TRUE(),IF(K27&lt;1,Parameters!$A$99,""),IF(L27&lt;1,Parameters!$A$100,""),IF(M27&lt;1,Parameters!$A$101,""),IF(N27&lt;1,Parameters!$A$102,""))))</f>
        <v/>
      </c>
      <c r="K27" s="13">
        <f>IF(C27="","",C27/7)</f>
        <v/>
      </c>
      <c r="L27" s="13">
        <f>IF(D27="","",D27/6)</f>
        <v/>
      </c>
      <c r="M27" s="13">
        <f>IF(E27="","",E27/7)</f>
        <v/>
      </c>
      <c r="N27" s="13">
        <f>IF(F27="","",F27/6)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3">
        <f>IF(COUNT(C28:F28)&lt;4,"",SUM(C28:F28))</f>
        <v/>
      </c>
      <c r="H28" s="13">
        <f>IF(COUNT(C28:F28)&lt;4,"",G28/26)</f>
        <v/>
      </c>
      <c r="I28" s="13">
        <f>IF(COUNT(C28:F28)&lt;4,"",IF(H28&gt;=0.8,"Green",IF(H28&gt;=0.5,"Yellow","Red")))</f>
        <v/>
      </c>
      <c r="J28" s="13">
        <f>IF(COUNT(C28:F28)&lt;4,"",IF(I28="Green","Well done! "&amp;Parameters!$C$108,"Revise: "&amp;_xlfn.TEXTJOIN(", ",TRUE(),IF(K28&lt;1,Parameters!$A$99,""),IF(L28&lt;1,Parameters!$A$100,""),IF(M28&lt;1,Parameters!$A$101,""),IF(N28&lt;1,Parameters!$A$102,""))))</f>
        <v/>
      </c>
      <c r="K28" s="13">
        <f>IF(C28="","",C28/7)</f>
        <v/>
      </c>
      <c r="L28" s="13">
        <f>IF(D28="","",D28/6)</f>
        <v/>
      </c>
      <c r="M28" s="13">
        <f>IF(E28="","",E28/7)</f>
        <v/>
      </c>
      <c r="N28" s="13">
        <f>IF(F28="","",F28/6)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3">
        <f>IF(COUNT(C29:F29)&lt;4,"",SUM(C29:F29))</f>
        <v/>
      </c>
      <c r="H29" s="13">
        <f>IF(COUNT(C29:F29)&lt;4,"",G29/26)</f>
        <v/>
      </c>
      <c r="I29" s="13">
        <f>IF(COUNT(C29:F29)&lt;4,"",IF(H29&gt;=0.8,"Green",IF(H29&gt;=0.5,"Yellow","Red")))</f>
        <v/>
      </c>
      <c r="J29" s="13">
        <f>IF(COUNT(C29:F29)&lt;4,"",IF(I29="Green","Well done! "&amp;Parameters!$C$108,"Revise: "&amp;_xlfn.TEXTJOIN(", ",TRUE(),IF(K29&lt;1,Parameters!$A$99,""),IF(L29&lt;1,Parameters!$A$100,""),IF(M29&lt;1,Parameters!$A$101,""),IF(N29&lt;1,Parameters!$A$102,""))))</f>
        <v/>
      </c>
      <c r="K29" s="13">
        <f>IF(C29="","",C29/7)</f>
        <v/>
      </c>
      <c r="L29" s="13">
        <f>IF(D29="","",D29/6)</f>
        <v/>
      </c>
      <c r="M29" s="13">
        <f>IF(E29="","",E29/7)</f>
        <v/>
      </c>
      <c r="N29" s="13">
        <f>IF(F29="","",F29/6)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3">
        <f>IF(COUNT(C30:F30)&lt;4,"",SUM(C30:F30))</f>
        <v/>
      </c>
      <c r="H30" s="13">
        <f>IF(COUNT(C30:F30)&lt;4,"",G30/26)</f>
        <v/>
      </c>
      <c r="I30" s="13">
        <f>IF(COUNT(C30:F30)&lt;4,"",IF(H30&gt;=0.8,"Green",IF(H30&gt;=0.5,"Yellow","Red")))</f>
        <v/>
      </c>
      <c r="J30" s="13">
        <f>IF(COUNT(C30:F30)&lt;4,"",IF(I30="Green","Well done! "&amp;Parameters!$C$108,"Revise: "&amp;_xlfn.TEXTJOIN(", ",TRUE(),IF(K30&lt;1,Parameters!$A$99,""),IF(L30&lt;1,Parameters!$A$100,""),IF(M30&lt;1,Parameters!$A$101,""),IF(N30&lt;1,Parameters!$A$102,""))))</f>
        <v/>
      </c>
      <c r="K30" s="13">
        <f>IF(C30="","",C30/7)</f>
        <v/>
      </c>
      <c r="L30" s="13">
        <f>IF(D30="","",D30/6)</f>
        <v/>
      </c>
      <c r="M30" s="13">
        <f>IF(E30="","",E30/7)</f>
        <v/>
      </c>
      <c r="N30" s="13">
        <f>IF(F30="","",F30/6)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3">
        <f>IF(COUNT(C31:F31)&lt;4,"",SUM(C31:F31))</f>
        <v/>
      </c>
      <c r="H31" s="13">
        <f>IF(COUNT(C31:F31)&lt;4,"",G31/26)</f>
        <v/>
      </c>
      <c r="I31" s="13">
        <f>IF(COUNT(C31:F31)&lt;4,"",IF(H31&gt;=0.8,"Green",IF(H31&gt;=0.5,"Yellow","Red")))</f>
        <v/>
      </c>
      <c r="J31" s="13">
        <f>IF(COUNT(C31:F31)&lt;4,"",IF(I31="Green","Well done! "&amp;Parameters!$C$108,"Revise: "&amp;_xlfn.TEXTJOIN(", ",TRUE(),IF(K31&lt;1,Parameters!$A$99,""),IF(L31&lt;1,Parameters!$A$100,""),IF(M31&lt;1,Parameters!$A$101,""),IF(N31&lt;1,Parameters!$A$102,""))))</f>
        <v/>
      </c>
      <c r="K31" s="13">
        <f>IF(C31="","",C31/7)</f>
        <v/>
      </c>
      <c r="L31" s="13">
        <f>IF(D31="","",D31/6)</f>
        <v/>
      </c>
      <c r="M31" s="13">
        <f>IF(E31="","",E31/7)</f>
        <v/>
      </c>
      <c r="N31" s="13">
        <f>IF(F31="","",F31/6)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3">
        <f>IF(COUNT(C32:F32)&lt;4,"",SUM(C32:F32))</f>
        <v/>
      </c>
      <c r="H32" s="13">
        <f>IF(COUNT(C32:F32)&lt;4,"",G32/26)</f>
        <v/>
      </c>
      <c r="I32" s="13">
        <f>IF(COUNT(C32:F32)&lt;4,"",IF(H32&gt;=0.8,"Green",IF(H32&gt;=0.5,"Yellow","Red")))</f>
        <v/>
      </c>
      <c r="J32" s="13">
        <f>IF(COUNT(C32:F32)&lt;4,"",IF(I32="Green","Well done! "&amp;Parameters!$C$108,"Revise: "&amp;_xlfn.TEXTJOIN(", ",TRUE(),IF(K32&lt;1,Parameters!$A$99,""),IF(L32&lt;1,Parameters!$A$100,""),IF(M32&lt;1,Parameters!$A$101,""),IF(N32&lt;1,Parameters!$A$102,""))))</f>
        <v/>
      </c>
      <c r="K32" s="13">
        <f>IF(C32="","",C32/7)</f>
        <v/>
      </c>
      <c r="L32" s="13">
        <f>IF(D32="","",D32/6)</f>
        <v/>
      </c>
      <c r="M32" s="13">
        <f>IF(E32="","",E32/7)</f>
        <v/>
      </c>
      <c r="N32" s="13">
        <f>IF(F32="","",F32/6)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3">
        <f>IF(COUNT(C33:F33)&lt;4,"",SUM(C33:F33))</f>
        <v/>
      </c>
      <c r="H33" s="13">
        <f>IF(COUNT(C33:F33)&lt;4,"",G33/26)</f>
        <v/>
      </c>
      <c r="I33" s="13">
        <f>IF(COUNT(C33:F33)&lt;4,"",IF(H33&gt;=0.8,"Green",IF(H33&gt;=0.5,"Yellow","Red")))</f>
        <v/>
      </c>
      <c r="J33" s="13">
        <f>IF(COUNT(C33:F33)&lt;4,"",IF(I33="Green","Well done! "&amp;Parameters!$C$108,"Revise: "&amp;_xlfn.TEXTJOIN(", ",TRUE(),IF(K33&lt;1,Parameters!$A$99,""),IF(L33&lt;1,Parameters!$A$100,""),IF(M33&lt;1,Parameters!$A$101,""),IF(N33&lt;1,Parameters!$A$102,""))))</f>
        <v/>
      </c>
      <c r="K33" s="13">
        <f>IF(C33="","",C33/7)</f>
        <v/>
      </c>
      <c r="L33" s="13">
        <f>IF(D33="","",D33/6)</f>
        <v/>
      </c>
      <c r="M33" s="13">
        <f>IF(E33="","",E33/7)</f>
        <v/>
      </c>
      <c r="N33" s="13">
        <f>IF(F33="","",F33/6)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3">
        <f>IF(COUNT(C34:F34)&lt;4,"",SUM(C34:F34))</f>
        <v/>
      </c>
      <c r="H34" s="13">
        <f>IF(COUNT(C34:F34)&lt;4,"",G34/26)</f>
        <v/>
      </c>
      <c r="I34" s="13">
        <f>IF(COUNT(C34:F34)&lt;4,"",IF(H34&gt;=0.8,"Green",IF(H34&gt;=0.5,"Yellow","Red")))</f>
        <v/>
      </c>
      <c r="J34" s="13">
        <f>IF(COUNT(C34:F34)&lt;4,"",IF(I34="Green","Well done! "&amp;Parameters!$C$108,"Revise: "&amp;_xlfn.TEXTJOIN(", ",TRUE(),IF(K34&lt;1,Parameters!$A$99,""),IF(L34&lt;1,Parameters!$A$100,""),IF(M34&lt;1,Parameters!$A$101,""),IF(N34&lt;1,Parameters!$A$102,""))))</f>
        <v/>
      </c>
      <c r="K34" s="13">
        <f>IF(C34="","",C34/7)</f>
        <v/>
      </c>
      <c r="L34" s="13">
        <f>IF(D34="","",D34/6)</f>
        <v/>
      </c>
      <c r="M34" s="13">
        <f>IF(E34="","",E34/7)</f>
        <v/>
      </c>
      <c r="N34" s="13">
        <f>IF(F34="","",F34/6)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3">
        <f>IF(COUNT(C35:F35)&lt;4,"",SUM(C35:F35))</f>
        <v/>
      </c>
      <c r="H35" s="13">
        <f>IF(COUNT(C35:F35)&lt;4,"",G35/26)</f>
        <v/>
      </c>
      <c r="I35" s="13">
        <f>IF(COUNT(C35:F35)&lt;4,"",IF(H35&gt;=0.8,"Green",IF(H35&gt;=0.5,"Yellow","Red")))</f>
        <v/>
      </c>
      <c r="J35" s="13">
        <f>IF(COUNT(C35:F35)&lt;4,"",IF(I35="Green","Well done! "&amp;Parameters!$C$108,"Revise: "&amp;_xlfn.TEXTJOIN(", ",TRUE(),IF(K35&lt;1,Parameters!$A$99,""),IF(L35&lt;1,Parameters!$A$100,""),IF(M35&lt;1,Parameters!$A$101,""),IF(N35&lt;1,Parameters!$A$102,""))))</f>
        <v/>
      </c>
      <c r="K35" s="13">
        <f>IF(C35="","",C35/7)</f>
        <v/>
      </c>
      <c r="L35" s="13">
        <f>IF(D35="","",D35/6)</f>
        <v/>
      </c>
      <c r="M35" s="13">
        <f>IF(E35="","",E35/7)</f>
        <v/>
      </c>
      <c r="N35" s="13">
        <f>IF(F35="","",F35/6)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3">
        <f>IF(COUNT(C36:F36)&lt;4,"",SUM(C36:F36))</f>
        <v/>
      </c>
      <c r="H36" s="13">
        <f>IF(COUNT(C36:F36)&lt;4,"",G36/26)</f>
        <v/>
      </c>
      <c r="I36" s="13">
        <f>IF(COUNT(C36:F36)&lt;4,"",IF(H36&gt;=0.8,"Green",IF(H36&gt;=0.5,"Yellow","Red")))</f>
        <v/>
      </c>
      <c r="J36" s="13">
        <f>IF(COUNT(C36:F36)&lt;4,"",IF(I36="Green","Well done! "&amp;Parameters!$C$108,"Revise: "&amp;_xlfn.TEXTJOIN(", ",TRUE(),IF(K36&lt;1,Parameters!$A$99,""),IF(L36&lt;1,Parameters!$A$100,""),IF(M36&lt;1,Parameters!$A$101,""),IF(N36&lt;1,Parameters!$A$102,""))))</f>
        <v/>
      </c>
      <c r="K36" s="13">
        <f>IF(C36="","",C36/7)</f>
        <v/>
      </c>
      <c r="L36" s="13">
        <f>IF(D36="","",D36/6)</f>
        <v/>
      </c>
      <c r="M36" s="13">
        <f>IF(E36="","",E36/7)</f>
        <v/>
      </c>
      <c r="N36" s="13">
        <f>IF(F36="","",F36/6)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3">
        <f>IF(COUNT(C37:F37)&lt;4,"",SUM(C37:F37))</f>
        <v/>
      </c>
      <c r="H37" s="13">
        <f>IF(COUNT(C37:F37)&lt;4,"",G37/26)</f>
        <v/>
      </c>
      <c r="I37" s="13">
        <f>IF(COUNT(C37:F37)&lt;4,"",IF(H37&gt;=0.8,"Green",IF(H37&gt;=0.5,"Yellow","Red")))</f>
        <v/>
      </c>
      <c r="J37" s="13">
        <f>IF(COUNT(C37:F37)&lt;4,"",IF(I37="Green","Well done! "&amp;Parameters!$C$108,"Revise: "&amp;_xlfn.TEXTJOIN(", ",TRUE(),IF(K37&lt;1,Parameters!$A$99,""),IF(L37&lt;1,Parameters!$A$100,""),IF(M37&lt;1,Parameters!$A$101,""),IF(N37&lt;1,Parameters!$A$102,""))))</f>
        <v/>
      </c>
      <c r="K37" s="13">
        <f>IF(C37="","",C37/7)</f>
        <v/>
      </c>
      <c r="L37" s="13">
        <f>IF(D37="","",D37/6)</f>
        <v/>
      </c>
      <c r="M37" s="13">
        <f>IF(E37="","",E37/7)</f>
        <v/>
      </c>
      <c r="N37" s="13">
        <f>IF(F37="","",F37/6)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3">
        <f>IF(COUNT(C38:F38)&lt;4,"",SUM(C38:F38))</f>
        <v/>
      </c>
      <c r="H38" s="13">
        <f>IF(COUNT(C38:F38)&lt;4,"",G38/26)</f>
        <v/>
      </c>
      <c r="I38" s="13">
        <f>IF(COUNT(C38:F38)&lt;4,"",IF(H38&gt;=0.8,"Green",IF(H38&gt;=0.5,"Yellow","Red")))</f>
        <v/>
      </c>
      <c r="J38" s="13">
        <f>IF(COUNT(C38:F38)&lt;4,"",IF(I38="Green","Well done! "&amp;Parameters!$C$108,"Revise: "&amp;_xlfn.TEXTJOIN(", ",TRUE(),IF(K38&lt;1,Parameters!$A$99,""),IF(L38&lt;1,Parameters!$A$100,""),IF(M38&lt;1,Parameters!$A$101,""),IF(N38&lt;1,Parameters!$A$102,""))))</f>
        <v/>
      </c>
      <c r="K38" s="13">
        <f>IF(C38="","",C38/7)</f>
        <v/>
      </c>
      <c r="L38" s="13">
        <f>IF(D38="","",D38/6)</f>
        <v/>
      </c>
      <c r="M38" s="13">
        <f>IF(E38="","",E38/7)</f>
        <v/>
      </c>
      <c r="N38" s="13">
        <f>IF(F38="","",F38/6)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3">
        <f>IF(COUNT(C39:F39)&lt;4,"",SUM(C39:F39))</f>
        <v/>
      </c>
      <c r="H39" s="13">
        <f>IF(COUNT(C39:F39)&lt;4,"",G39/26)</f>
        <v/>
      </c>
      <c r="I39" s="13">
        <f>IF(COUNT(C39:F39)&lt;4,"",IF(H39&gt;=0.8,"Green",IF(H39&gt;=0.5,"Yellow","Red")))</f>
        <v/>
      </c>
      <c r="J39" s="13">
        <f>IF(COUNT(C39:F39)&lt;4,"",IF(I39="Green","Well done! "&amp;Parameters!$C$108,"Revise: "&amp;_xlfn.TEXTJOIN(", ",TRUE(),IF(K39&lt;1,Parameters!$A$99,""),IF(L39&lt;1,Parameters!$A$100,""),IF(M39&lt;1,Parameters!$A$101,""),IF(N39&lt;1,Parameters!$A$102,""))))</f>
        <v/>
      </c>
      <c r="K39" s="13">
        <f>IF(C39="","",C39/7)</f>
        <v/>
      </c>
      <c r="L39" s="13">
        <f>IF(D39="","",D39/6)</f>
        <v/>
      </c>
      <c r="M39" s="13">
        <f>IF(E39="","",E39/7)</f>
        <v/>
      </c>
      <c r="N39" s="13">
        <f>IF(F39="","",F39/6)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3">
        <f>IF(COUNT(C40:F40)&lt;4,"",SUM(C40:F40))</f>
        <v/>
      </c>
      <c r="H40" s="13">
        <f>IF(COUNT(C40:F40)&lt;4,"",G40/26)</f>
        <v/>
      </c>
      <c r="I40" s="13">
        <f>IF(COUNT(C40:F40)&lt;4,"",IF(H40&gt;=0.8,"Green",IF(H40&gt;=0.5,"Yellow","Red")))</f>
        <v/>
      </c>
      <c r="J40" s="13">
        <f>IF(COUNT(C40:F40)&lt;4,"",IF(I40="Green","Well done! "&amp;Parameters!$C$108,"Revise: "&amp;_xlfn.TEXTJOIN(", ",TRUE(),IF(K40&lt;1,Parameters!$A$99,""),IF(L40&lt;1,Parameters!$A$100,""),IF(M40&lt;1,Parameters!$A$101,""),IF(N40&lt;1,Parameters!$A$102,""))))</f>
        <v/>
      </c>
      <c r="K40" s="13">
        <f>IF(C40="","",C40/7)</f>
        <v/>
      </c>
      <c r="L40" s="13">
        <f>IF(D40="","",D40/6)</f>
        <v/>
      </c>
      <c r="M40" s="13">
        <f>IF(E40="","",E40/7)</f>
        <v/>
      </c>
      <c r="N40" s="13">
        <f>IF(F40="","",F40/6)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3">
        <f>IF(COUNT(C41:F41)&lt;4,"",SUM(C41:F41))</f>
        <v/>
      </c>
      <c r="H41" s="13">
        <f>IF(COUNT(C41:F41)&lt;4,"",G41/26)</f>
        <v/>
      </c>
      <c r="I41" s="13">
        <f>IF(COUNT(C41:F41)&lt;4,"",IF(H41&gt;=0.8,"Green",IF(H41&gt;=0.5,"Yellow","Red")))</f>
        <v/>
      </c>
      <c r="J41" s="13">
        <f>IF(COUNT(C41:F41)&lt;4,"",IF(I41="Green","Well done! "&amp;Parameters!$C$108,"Revise: "&amp;_xlfn.TEXTJOIN(", ",TRUE(),IF(K41&lt;1,Parameters!$A$99,""),IF(L41&lt;1,Parameters!$A$100,""),IF(M41&lt;1,Parameters!$A$101,""),IF(N41&lt;1,Parameters!$A$102,""))))</f>
        <v/>
      </c>
      <c r="K41" s="13">
        <f>IF(C41="","",C41/7)</f>
        <v/>
      </c>
      <c r="L41" s="13">
        <f>IF(D41="","",D41/6)</f>
        <v/>
      </c>
      <c r="M41" s="13">
        <f>IF(E41="","",E41/7)</f>
        <v/>
      </c>
      <c r="N41" s="13">
        <f>IF(F41="","",F41/6)</f>
        <v/>
      </c>
    </row>
  </sheetData>
  <conditionalFormatting sqref="C11">
    <cfRule type="expression" priority="1" dxfId="0">
      <formula>AND(COUNT(C11:F11)=4,C11=7)</formula>
    </cfRule>
    <cfRule type="expression" priority="2" dxfId="1">
      <formula>AND(COUNT(C11:F11)=4,C11&lt;7*0.4)</formula>
    </cfRule>
    <cfRule type="expression" priority="3" dxfId="2">
      <formula>AND(COUNT(C11:F11)=4,C11&gt;=7*0.4,C11&lt;7)</formula>
    </cfRule>
  </conditionalFormatting>
  <conditionalFormatting sqref="C12">
    <cfRule type="expression" priority="4" dxfId="0">
      <formula>AND(COUNT(C12:F12)=4,C12=7)</formula>
    </cfRule>
    <cfRule type="expression" priority="5" dxfId="1">
      <formula>AND(COUNT(C12:F12)=4,C12&lt;7*0.4)</formula>
    </cfRule>
    <cfRule type="expression" priority="6" dxfId="2">
      <formula>AND(COUNT(C12:F12)=4,C12&gt;=7*0.4,C12&lt;7)</formula>
    </cfRule>
  </conditionalFormatting>
  <conditionalFormatting sqref="C13">
    <cfRule type="expression" priority="7" dxfId="0">
      <formula>AND(COUNT(C13:F13)=4,C13=7)</formula>
    </cfRule>
    <cfRule type="expression" priority="8" dxfId="1">
      <formula>AND(COUNT(C13:F13)=4,C13&lt;7*0.4)</formula>
    </cfRule>
    <cfRule type="expression" priority="9" dxfId="2">
      <formula>AND(COUNT(C13:F13)=4,C13&gt;=7*0.4,C13&lt;7)</formula>
    </cfRule>
  </conditionalFormatting>
  <conditionalFormatting sqref="C14">
    <cfRule type="expression" priority="10" dxfId="0">
      <formula>AND(COUNT(C14:F14)=4,C14=7)</formula>
    </cfRule>
    <cfRule type="expression" priority="11" dxfId="1">
      <formula>AND(COUNT(C14:F14)=4,C14&lt;7*0.4)</formula>
    </cfRule>
    <cfRule type="expression" priority="12" dxfId="2">
      <formula>AND(COUNT(C14:F14)=4,C14&gt;=7*0.4,C14&lt;7)</formula>
    </cfRule>
  </conditionalFormatting>
  <conditionalFormatting sqref="C15">
    <cfRule type="expression" priority="13" dxfId="0">
      <formula>AND(COUNT(C15:F15)=4,C15=7)</formula>
    </cfRule>
    <cfRule type="expression" priority="14" dxfId="1">
      <formula>AND(COUNT(C15:F15)=4,C15&lt;7*0.4)</formula>
    </cfRule>
    <cfRule type="expression" priority="15" dxfId="2">
      <formula>AND(COUNT(C15:F15)=4,C15&gt;=7*0.4,C15&lt;7)</formula>
    </cfRule>
  </conditionalFormatting>
  <conditionalFormatting sqref="C16">
    <cfRule type="expression" priority="16" dxfId="0">
      <formula>AND(COUNT(C16:F16)=4,C16=7)</formula>
    </cfRule>
    <cfRule type="expression" priority="17" dxfId="1">
      <formula>AND(COUNT(C16:F16)=4,C16&lt;7*0.4)</formula>
    </cfRule>
    <cfRule type="expression" priority="18" dxfId="2">
      <formula>AND(COUNT(C16:F16)=4,C16&gt;=7*0.4,C16&lt;7)</formula>
    </cfRule>
  </conditionalFormatting>
  <conditionalFormatting sqref="C17">
    <cfRule type="expression" priority="19" dxfId="0">
      <formula>AND(COUNT(C17:F17)=4,C17=7)</formula>
    </cfRule>
    <cfRule type="expression" priority="20" dxfId="1">
      <formula>AND(COUNT(C17:F17)=4,C17&lt;7*0.4)</formula>
    </cfRule>
    <cfRule type="expression" priority="21" dxfId="2">
      <formula>AND(COUNT(C17:F17)=4,C17&gt;=7*0.4,C17&lt;7)</formula>
    </cfRule>
  </conditionalFormatting>
  <conditionalFormatting sqref="C18">
    <cfRule type="expression" priority="22" dxfId="0">
      <formula>AND(COUNT(C18:F18)=4,C18=7)</formula>
    </cfRule>
    <cfRule type="expression" priority="23" dxfId="1">
      <formula>AND(COUNT(C18:F18)=4,C18&lt;7*0.4)</formula>
    </cfRule>
    <cfRule type="expression" priority="24" dxfId="2">
      <formula>AND(COUNT(C18:F18)=4,C18&gt;=7*0.4,C18&lt;7)</formula>
    </cfRule>
  </conditionalFormatting>
  <conditionalFormatting sqref="C19">
    <cfRule type="expression" priority="25" dxfId="0">
      <formula>AND(COUNT(C19:F19)=4,C19=7)</formula>
    </cfRule>
    <cfRule type="expression" priority="26" dxfId="1">
      <formula>AND(COUNT(C19:F19)=4,C19&lt;7*0.4)</formula>
    </cfRule>
    <cfRule type="expression" priority="27" dxfId="2">
      <formula>AND(COUNT(C19:F19)=4,C19&gt;=7*0.4,C19&lt;7)</formula>
    </cfRule>
  </conditionalFormatting>
  <conditionalFormatting sqref="C20">
    <cfRule type="expression" priority="28" dxfId="0">
      <formula>AND(COUNT(C20:F20)=4,C20=7)</formula>
    </cfRule>
    <cfRule type="expression" priority="29" dxfId="1">
      <formula>AND(COUNT(C20:F20)=4,C20&lt;7*0.4)</formula>
    </cfRule>
    <cfRule type="expression" priority="30" dxfId="2">
      <formula>AND(COUNT(C20:F20)=4,C20&gt;=7*0.4,C20&lt;7)</formula>
    </cfRule>
  </conditionalFormatting>
  <conditionalFormatting sqref="C21">
    <cfRule type="expression" priority="31" dxfId="0">
      <formula>AND(COUNT(C21:F21)=4,C21=7)</formula>
    </cfRule>
    <cfRule type="expression" priority="32" dxfId="1">
      <formula>AND(COUNT(C21:F21)=4,C21&lt;7*0.4)</formula>
    </cfRule>
    <cfRule type="expression" priority="33" dxfId="2">
      <formula>AND(COUNT(C21:F21)=4,C21&gt;=7*0.4,C21&lt;7)</formula>
    </cfRule>
  </conditionalFormatting>
  <conditionalFormatting sqref="C22">
    <cfRule type="expression" priority="34" dxfId="0">
      <formula>AND(COUNT(C22:F22)=4,C22=7)</formula>
    </cfRule>
    <cfRule type="expression" priority="35" dxfId="1">
      <formula>AND(COUNT(C22:F22)=4,C22&lt;7*0.4)</formula>
    </cfRule>
    <cfRule type="expression" priority="36" dxfId="2">
      <formula>AND(COUNT(C22:F22)=4,C22&gt;=7*0.4,C22&lt;7)</formula>
    </cfRule>
  </conditionalFormatting>
  <conditionalFormatting sqref="C23">
    <cfRule type="expression" priority="37" dxfId="0">
      <formula>AND(COUNT(C23:F23)=4,C23=7)</formula>
    </cfRule>
    <cfRule type="expression" priority="38" dxfId="1">
      <formula>AND(COUNT(C23:F23)=4,C23&lt;7*0.4)</formula>
    </cfRule>
    <cfRule type="expression" priority="39" dxfId="2">
      <formula>AND(COUNT(C23:F23)=4,C23&gt;=7*0.4,C23&lt;7)</formula>
    </cfRule>
  </conditionalFormatting>
  <conditionalFormatting sqref="C24">
    <cfRule type="expression" priority="40" dxfId="0">
      <formula>AND(COUNT(C24:F24)=4,C24=7)</formula>
    </cfRule>
    <cfRule type="expression" priority="41" dxfId="1">
      <formula>AND(COUNT(C24:F24)=4,C24&lt;7*0.4)</formula>
    </cfRule>
    <cfRule type="expression" priority="42" dxfId="2">
      <formula>AND(COUNT(C24:F24)=4,C24&gt;=7*0.4,C24&lt;7)</formula>
    </cfRule>
  </conditionalFormatting>
  <conditionalFormatting sqref="C25">
    <cfRule type="expression" priority="43" dxfId="0">
      <formula>AND(COUNT(C25:F25)=4,C25=7)</formula>
    </cfRule>
    <cfRule type="expression" priority="44" dxfId="1">
      <formula>AND(COUNT(C25:F25)=4,C25&lt;7*0.4)</formula>
    </cfRule>
    <cfRule type="expression" priority="45" dxfId="2">
      <formula>AND(COUNT(C25:F25)=4,C25&gt;=7*0.4,C25&lt;7)</formula>
    </cfRule>
  </conditionalFormatting>
  <conditionalFormatting sqref="C26">
    <cfRule type="expression" priority="46" dxfId="0">
      <formula>AND(COUNT(C26:F26)=4,C26=7)</formula>
    </cfRule>
    <cfRule type="expression" priority="47" dxfId="1">
      <formula>AND(COUNT(C26:F26)=4,C26&lt;7*0.4)</formula>
    </cfRule>
    <cfRule type="expression" priority="48" dxfId="2">
      <formula>AND(COUNT(C26:F26)=4,C26&gt;=7*0.4,C26&lt;7)</formula>
    </cfRule>
  </conditionalFormatting>
  <conditionalFormatting sqref="C27">
    <cfRule type="expression" priority="49" dxfId="0">
      <formula>AND(COUNT(C27:F27)=4,C27=7)</formula>
    </cfRule>
    <cfRule type="expression" priority="50" dxfId="1">
      <formula>AND(COUNT(C27:F27)=4,C27&lt;7*0.4)</formula>
    </cfRule>
    <cfRule type="expression" priority="51" dxfId="2">
      <formula>AND(COUNT(C27:F27)=4,C27&gt;=7*0.4,C27&lt;7)</formula>
    </cfRule>
  </conditionalFormatting>
  <conditionalFormatting sqref="C28">
    <cfRule type="expression" priority="52" dxfId="0">
      <formula>AND(COUNT(C28:F28)=4,C28=7)</formula>
    </cfRule>
    <cfRule type="expression" priority="53" dxfId="1">
      <formula>AND(COUNT(C28:F28)=4,C28&lt;7*0.4)</formula>
    </cfRule>
    <cfRule type="expression" priority="54" dxfId="2">
      <formula>AND(COUNT(C28:F28)=4,C28&gt;=7*0.4,C28&lt;7)</formula>
    </cfRule>
  </conditionalFormatting>
  <conditionalFormatting sqref="C29">
    <cfRule type="expression" priority="55" dxfId="0">
      <formula>AND(COUNT(C29:F29)=4,C29=7)</formula>
    </cfRule>
    <cfRule type="expression" priority="56" dxfId="1">
      <formula>AND(COUNT(C29:F29)=4,C29&lt;7*0.4)</formula>
    </cfRule>
    <cfRule type="expression" priority="57" dxfId="2">
      <formula>AND(COUNT(C29:F29)=4,C29&gt;=7*0.4,C29&lt;7)</formula>
    </cfRule>
  </conditionalFormatting>
  <conditionalFormatting sqref="C30">
    <cfRule type="expression" priority="58" dxfId="0">
      <formula>AND(COUNT(C30:F30)=4,C30=7)</formula>
    </cfRule>
    <cfRule type="expression" priority="59" dxfId="1">
      <formula>AND(COUNT(C30:F30)=4,C30&lt;7*0.4)</formula>
    </cfRule>
    <cfRule type="expression" priority="60" dxfId="2">
      <formula>AND(COUNT(C30:F30)=4,C30&gt;=7*0.4,C30&lt;7)</formula>
    </cfRule>
  </conditionalFormatting>
  <conditionalFormatting sqref="C31">
    <cfRule type="expression" priority="61" dxfId="0">
      <formula>AND(COUNT(C31:F31)=4,C31=7)</formula>
    </cfRule>
    <cfRule type="expression" priority="62" dxfId="1">
      <formula>AND(COUNT(C31:F31)=4,C31&lt;7*0.4)</formula>
    </cfRule>
    <cfRule type="expression" priority="63" dxfId="2">
      <formula>AND(COUNT(C31:F31)=4,C31&gt;=7*0.4,C31&lt;7)</formula>
    </cfRule>
  </conditionalFormatting>
  <conditionalFormatting sqref="C32">
    <cfRule type="expression" priority="64" dxfId="0">
      <formula>AND(COUNT(C32:F32)=4,C32=7)</formula>
    </cfRule>
    <cfRule type="expression" priority="65" dxfId="1">
      <formula>AND(COUNT(C32:F32)=4,C32&lt;7*0.4)</formula>
    </cfRule>
    <cfRule type="expression" priority="66" dxfId="2">
      <formula>AND(COUNT(C32:F32)=4,C32&gt;=7*0.4,C32&lt;7)</formula>
    </cfRule>
  </conditionalFormatting>
  <conditionalFormatting sqref="C33">
    <cfRule type="expression" priority="67" dxfId="0">
      <formula>AND(COUNT(C33:F33)=4,C33=7)</formula>
    </cfRule>
    <cfRule type="expression" priority="68" dxfId="1">
      <formula>AND(COUNT(C33:F33)=4,C33&lt;7*0.4)</formula>
    </cfRule>
    <cfRule type="expression" priority="69" dxfId="2">
      <formula>AND(COUNT(C33:F33)=4,C33&gt;=7*0.4,C33&lt;7)</formula>
    </cfRule>
  </conditionalFormatting>
  <conditionalFormatting sqref="C34">
    <cfRule type="expression" priority="70" dxfId="0">
      <formula>AND(COUNT(C34:F34)=4,C34=7)</formula>
    </cfRule>
    <cfRule type="expression" priority="71" dxfId="1">
      <formula>AND(COUNT(C34:F34)=4,C34&lt;7*0.4)</formula>
    </cfRule>
    <cfRule type="expression" priority="72" dxfId="2">
      <formula>AND(COUNT(C34:F34)=4,C34&gt;=7*0.4,C34&lt;7)</formula>
    </cfRule>
  </conditionalFormatting>
  <conditionalFormatting sqref="C35">
    <cfRule type="expression" priority="73" dxfId="0">
      <formula>AND(COUNT(C35:F35)=4,C35=7)</formula>
    </cfRule>
    <cfRule type="expression" priority="74" dxfId="1">
      <formula>AND(COUNT(C35:F35)=4,C35&lt;7*0.4)</formula>
    </cfRule>
    <cfRule type="expression" priority="75" dxfId="2">
      <formula>AND(COUNT(C35:F35)=4,C35&gt;=7*0.4,C35&lt;7)</formula>
    </cfRule>
  </conditionalFormatting>
  <conditionalFormatting sqref="C36">
    <cfRule type="expression" priority="76" dxfId="0">
      <formula>AND(COUNT(C36:F36)=4,C36=7)</formula>
    </cfRule>
    <cfRule type="expression" priority="77" dxfId="1">
      <formula>AND(COUNT(C36:F36)=4,C36&lt;7*0.4)</formula>
    </cfRule>
    <cfRule type="expression" priority="78" dxfId="2">
      <formula>AND(COUNT(C36:F36)=4,C36&gt;=7*0.4,C36&lt;7)</formula>
    </cfRule>
  </conditionalFormatting>
  <conditionalFormatting sqref="C37">
    <cfRule type="expression" priority="79" dxfId="0">
      <formula>AND(COUNT(C37:F37)=4,C37=7)</formula>
    </cfRule>
    <cfRule type="expression" priority="80" dxfId="1">
      <formula>AND(COUNT(C37:F37)=4,C37&lt;7*0.4)</formula>
    </cfRule>
    <cfRule type="expression" priority="81" dxfId="2">
      <formula>AND(COUNT(C37:F37)=4,C37&gt;=7*0.4,C37&lt;7)</formula>
    </cfRule>
  </conditionalFormatting>
  <conditionalFormatting sqref="C38">
    <cfRule type="expression" priority="82" dxfId="0">
      <formula>AND(COUNT(C38:F38)=4,C38=7)</formula>
    </cfRule>
    <cfRule type="expression" priority="83" dxfId="1">
      <formula>AND(COUNT(C38:F38)=4,C38&lt;7*0.4)</formula>
    </cfRule>
    <cfRule type="expression" priority="84" dxfId="2">
      <formula>AND(COUNT(C38:F38)=4,C38&gt;=7*0.4,C38&lt;7)</formula>
    </cfRule>
  </conditionalFormatting>
  <conditionalFormatting sqref="C39">
    <cfRule type="expression" priority="85" dxfId="0">
      <formula>AND(COUNT(C39:F39)=4,C39=7)</formula>
    </cfRule>
    <cfRule type="expression" priority="86" dxfId="1">
      <formula>AND(COUNT(C39:F39)=4,C39&lt;7*0.4)</formula>
    </cfRule>
    <cfRule type="expression" priority="87" dxfId="2">
      <formula>AND(COUNT(C39:F39)=4,C39&gt;=7*0.4,C39&lt;7)</formula>
    </cfRule>
  </conditionalFormatting>
  <conditionalFormatting sqref="C40">
    <cfRule type="expression" priority="88" dxfId="0">
      <formula>AND(COUNT(C40:F40)=4,C40=7)</formula>
    </cfRule>
    <cfRule type="expression" priority="89" dxfId="1">
      <formula>AND(COUNT(C40:F40)=4,C40&lt;7*0.4)</formula>
    </cfRule>
    <cfRule type="expression" priority="90" dxfId="2">
      <formula>AND(COUNT(C40:F40)=4,C40&gt;=7*0.4,C40&lt;7)</formula>
    </cfRule>
  </conditionalFormatting>
  <conditionalFormatting sqref="C41">
    <cfRule type="expression" priority="91" dxfId="0">
      <formula>AND(COUNT(C41:F41)=4,C41=7)</formula>
    </cfRule>
    <cfRule type="expression" priority="92" dxfId="1">
      <formula>AND(COUNT(C41:F41)=4,C41&lt;7*0.4)</formula>
    </cfRule>
    <cfRule type="expression" priority="93" dxfId="2">
      <formula>AND(COUNT(C41:F41)=4,C41&gt;=7*0.4,C41&lt;7)</formula>
    </cfRule>
  </conditionalFormatting>
  <conditionalFormatting sqref="D11">
    <cfRule type="expression" priority="94" dxfId="0">
      <formula>AND(COUNT(C11:F11)=4,D11=6)</formula>
    </cfRule>
    <cfRule type="expression" priority="95" dxfId="1">
      <formula>AND(COUNT(C11:F11)=4,D11&lt;6*0.4)</formula>
    </cfRule>
    <cfRule type="expression" priority="96" dxfId="2">
      <formula>AND(COUNT(C11:F11)=4,D11&gt;=6*0.4,D11&lt;6)</formula>
    </cfRule>
  </conditionalFormatting>
  <conditionalFormatting sqref="D12">
    <cfRule type="expression" priority="97" dxfId="0">
      <formula>AND(COUNT(C12:F12)=4,D12=6)</formula>
    </cfRule>
    <cfRule type="expression" priority="98" dxfId="1">
      <formula>AND(COUNT(C12:F12)=4,D12&lt;6*0.4)</formula>
    </cfRule>
    <cfRule type="expression" priority="99" dxfId="2">
      <formula>AND(COUNT(C12:F12)=4,D12&gt;=6*0.4,D12&lt;6)</formula>
    </cfRule>
  </conditionalFormatting>
  <conditionalFormatting sqref="D13">
    <cfRule type="expression" priority="100" dxfId="0">
      <formula>AND(COUNT(C13:F13)=4,D13=6)</formula>
    </cfRule>
    <cfRule type="expression" priority="101" dxfId="1">
      <formula>AND(COUNT(C13:F13)=4,D13&lt;6*0.4)</formula>
    </cfRule>
    <cfRule type="expression" priority="102" dxfId="2">
      <formula>AND(COUNT(C13:F13)=4,D13&gt;=6*0.4,D13&lt;6)</formula>
    </cfRule>
  </conditionalFormatting>
  <conditionalFormatting sqref="D14">
    <cfRule type="expression" priority="103" dxfId="0">
      <formula>AND(COUNT(C14:F14)=4,D14=6)</formula>
    </cfRule>
    <cfRule type="expression" priority="104" dxfId="1">
      <formula>AND(COUNT(C14:F14)=4,D14&lt;6*0.4)</formula>
    </cfRule>
    <cfRule type="expression" priority="105" dxfId="2">
      <formula>AND(COUNT(C14:F14)=4,D14&gt;=6*0.4,D14&lt;6)</formula>
    </cfRule>
  </conditionalFormatting>
  <conditionalFormatting sqref="D15">
    <cfRule type="expression" priority="106" dxfId="0">
      <formula>AND(COUNT(C15:F15)=4,D15=6)</formula>
    </cfRule>
    <cfRule type="expression" priority="107" dxfId="1">
      <formula>AND(COUNT(C15:F15)=4,D15&lt;6*0.4)</formula>
    </cfRule>
    <cfRule type="expression" priority="108" dxfId="2">
      <formula>AND(COUNT(C15:F15)=4,D15&gt;=6*0.4,D15&lt;6)</formula>
    </cfRule>
  </conditionalFormatting>
  <conditionalFormatting sqref="D16">
    <cfRule type="expression" priority="109" dxfId="0">
      <formula>AND(COUNT(C16:F16)=4,D16=6)</formula>
    </cfRule>
    <cfRule type="expression" priority="110" dxfId="1">
      <formula>AND(COUNT(C16:F16)=4,D16&lt;6*0.4)</formula>
    </cfRule>
    <cfRule type="expression" priority="111" dxfId="2">
      <formula>AND(COUNT(C16:F16)=4,D16&gt;=6*0.4,D16&lt;6)</formula>
    </cfRule>
  </conditionalFormatting>
  <conditionalFormatting sqref="D17">
    <cfRule type="expression" priority="112" dxfId="0">
      <formula>AND(COUNT(C17:F17)=4,D17=6)</formula>
    </cfRule>
    <cfRule type="expression" priority="113" dxfId="1">
      <formula>AND(COUNT(C17:F17)=4,D17&lt;6*0.4)</formula>
    </cfRule>
    <cfRule type="expression" priority="114" dxfId="2">
      <formula>AND(COUNT(C17:F17)=4,D17&gt;=6*0.4,D17&lt;6)</formula>
    </cfRule>
  </conditionalFormatting>
  <conditionalFormatting sqref="D18">
    <cfRule type="expression" priority="115" dxfId="0">
      <formula>AND(COUNT(C18:F18)=4,D18=6)</formula>
    </cfRule>
    <cfRule type="expression" priority="116" dxfId="1">
      <formula>AND(COUNT(C18:F18)=4,D18&lt;6*0.4)</formula>
    </cfRule>
    <cfRule type="expression" priority="117" dxfId="2">
      <formula>AND(COUNT(C18:F18)=4,D18&gt;=6*0.4,D18&lt;6)</formula>
    </cfRule>
  </conditionalFormatting>
  <conditionalFormatting sqref="D19">
    <cfRule type="expression" priority="118" dxfId="0">
      <formula>AND(COUNT(C19:F19)=4,D19=6)</formula>
    </cfRule>
    <cfRule type="expression" priority="119" dxfId="1">
      <formula>AND(COUNT(C19:F19)=4,D19&lt;6*0.4)</formula>
    </cfRule>
    <cfRule type="expression" priority="120" dxfId="2">
      <formula>AND(COUNT(C19:F19)=4,D19&gt;=6*0.4,D19&lt;6)</formula>
    </cfRule>
  </conditionalFormatting>
  <conditionalFormatting sqref="D20">
    <cfRule type="expression" priority="121" dxfId="0">
      <formula>AND(COUNT(C20:F20)=4,D20=6)</formula>
    </cfRule>
    <cfRule type="expression" priority="122" dxfId="1">
      <formula>AND(COUNT(C20:F20)=4,D20&lt;6*0.4)</formula>
    </cfRule>
    <cfRule type="expression" priority="123" dxfId="2">
      <formula>AND(COUNT(C20:F20)=4,D20&gt;=6*0.4,D20&lt;6)</formula>
    </cfRule>
  </conditionalFormatting>
  <conditionalFormatting sqref="D21">
    <cfRule type="expression" priority="124" dxfId="0">
      <formula>AND(COUNT(C21:F21)=4,D21=6)</formula>
    </cfRule>
    <cfRule type="expression" priority="125" dxfId="1">
      <formula>AND(COUNT(C21:F21)=4,D21&lt;6*0.4)</formula>
    </cfRule>
    <cfRule type="expression" priority="126" dxfId="2">
      <formula>AND(COUNT(C21:F21)=4,D21&gt;=6*0.4,D21&lt;6)</formula>
    </cfRule>
  </conditionalFormatting>
  <conditionalFormatting sqref="D22">
    <cfRule type="expression" priority="127" dxfId="0">
      <formula>AND(COUNT(C22:F22)=4,D22=6)</formula>
    </cfRule>
    <cfRule type="expression" priority="128" dxfId="1">
      <formula>AND(COUNT(C22:F22)=4,D22&lt;6*0.4)</formula>
    </cfRule>
    <cfRule type="expression" priority="129" dxfId="2">
      <formula>AND(COUNT(C22:F22)=4,D22&gt;=6*0.4,D22&lt;6)</formula>
    </cfRule>
  </conditionalFormatting>
  <conditionalFormatting sqref="D23">
    <cfRule type="expression" priority="130" dxfId="0">
      <formula>AND(COUNT(C23:F23)=4,D23=6)</formula>
    </cfRule>
    <cfRule type="expression" priority="131" dxfId="1">
      <formula>AND(COUNT(C23:F23)=4,D23&lt;6*0.4)</formula>
    </cfRule>
    <cfRule type="expression" priority="132" dxfId="2">
      <formula>AND(COUNT(C23:F23)=4,D23&gt;=6*0.4,D23&lt;6)</formula>
    </cfRule>
  </conditionalFormatting>
  <conditionalFormatting sqref="D24">
    <cfRule type="expression" priority="133" dxfId="0">
      <formula>AND(COUNT(C24:F24)=4,D24=6)</formula>
    </cfRule>
    <cfRule type="expression" priority="134" dxfId="1">
      <formula>AND(COUNT(C24:F24)=4,D24&lt;6*0.4)</formula>
    </cfRule>
    <cfRule type="expression" priority="135" dxfId="2">
      <formula>AND(COUNT(C24:F24)=4,D24&gt;=6*0.4,D24&lt;6)</formula>
    </cfRule>
  </conditionalFormatting>
  <conditionalFormatting sqref="D25">
    <cfRule type="expression" priority="136" dxfId="0">
      <formula>AND(COUNT(C25:F25)=4,D25=6)</formula>
    </cfRule>
    <cfRule type="expression" priority="137" dxfId="1">
      <formula>AND(COUNT(C25:F25)=4,D25&lt;6*0.4)</formula>
    </cfRule>
    <cfRule type="expression" priority="138" dxfId="2">
      <formula>AND(COUNT(C25:F25)=4,D25&gt;=6*0.4,D25&lt;6)</formula>
    </cfRule>
  </conditionalFormatting>
  <conditionalFormatting sqref="D26">
    <cfRule type="expression" priority="139" dxfId="0">
      <formula>AND(COUNT(C26:F26)=4,D26=6)</formula>
    </cfRule>
    <cfRule type="expression" priority="140" dxfId="1">
      <formula>AND(COUNT(C26:F26)=4,D26&lt;6*0.4)</formula>
    </cfRule>
    <cfRule type="expression" priority="141" dxfId="2">
      <formula>AND(COUNT(C26:F26)=4,D26&gt;=6*0.4,D26&lt;6)</formula>
    </cfRule>
  </conditionalFormatting>
  <conditionalFormatting sqref="D27">
    <cfRule type="expression" priority="142" dxfId="0">
      <formula>AND(COUNT(C27:F27)=4,D27=6)</formula>
    </cfRule>
    <cfRule type="expression" priority="143" dxfId="1">
      <formula>AND(COUNT(C27:F27)=4,D27&lt;6*0.4)</formula>
    </cfRule>
    <cfRule type="expression" priority="144" dxfId="2">
      <formula>AND(COUNT(C27:F27)=4,D27&gt;=6*0.4,D27&lt;6)</formula>
    </cfRule>
  </conditionalFormatting>
  <conditionalFormatting sqref="D28">
    <cfRule type="expression" priority="145" dxfId="0">
      <formula>AND(COUNT(C28:F28)=4,D28=6)</formula>
    </cfRule>
    <cfRule type="expression" priority="146" dxfId="1">
      <formula>AND(COUNT(C28:F28)=4,D28&lt;6*0.4)</formula>
    </cfRule>
    <cfRule type="expression" priority="147" dxfId="2">
      <formula>AND(COUNT(C28:F28)=4,D28&gt;=6*0.4,D28&lt;6)</formula>
    </cfRule>
  </conditionalFormatting>
  <conditionalFormatting sqref="D29">
    <cfRule type="expression" priority="148" dxfId="0">
      <formula>AND(COUNT(C29:F29)=4,D29=6)</formula>
    </cfRule>
    <cfRule type="expression" priority="149" dxfId="1">
      <formula>AND(COUNT(C29:F29)=4,D29&lt;6*0.4)</formula>
    </cfRule>
    <cfRule type="expression" priority="150" dxfId="2">
      <formula>AND(COUNT(C29:F29)=4,D29&gt;=6*0.4,D29&lt;6)</formula>
    </cfRule>
  </conditionalFormatting>
  <conditionalFormatting sqref="D30">
    <cfRule type="expression" priority="151" dxfId="0">
      <formula>AND(COUNT(C30:F30)=4,D30=6)</formula>
    </cfRule>
    <cfRule type="expression" priority="152" dxfId="1">
      <formula>AND(COUNT(C30:F30)=4,D30&lt;6*0.4)</formula>
    </cfRule>
    <cfRule type="expression" priority="153" dxfId="2">
      <formula>AND(COUNT(C30:F30)=4,D30&gt;=6*0.4,D30&lt;6)</formula>
    </cfRule>
  </conditionalFormatting>
  <conditionalFormatting sqref="D31">
    <cfRule type="expression" priority="154" dxfId="0">
      <formula>AND(COUNT(C31:F31)=4,D31=6)</formula>
    </cfRule>
    <cfRule type="expression" priority="155" dxfId="1">
      <formula>AND(COUNT(C31:F31)=4,D31&lt;6*0.4)</formula>
    </cfRule>
    <cfRule type="expression" priority="156" dxfId="2">
      <formula>AND(COUNT(C31:F31)=4,D31&gt;=6*0.4,D31&lt;6)</formula>
    </cfRule>
  </conditionalFormatting>
  <conditionalFormatting sqref="D32">
    <cfRule type="expression" priority="157" dxfId="0">
      <formula>AND(COUNT(C32:F32)=4,D32=6)</formula>
    </cfRule>
    <cfRule type="expression" priority="158" dxfId="1">
      <formula>AND(COUNT(C32:F32)=4,D32&lt;6*0.4)</formula>
    </cfRule>
    <cfRule type="expression" priority="159" dxfId="2">
      <formula>AND(COUNT(C32:F32)=4,D32&gt;=6*0.4,D32&lt;6)</formula>
    </cfRule>
  </conditionalFormatting>
  <conditionalFormatting sqref="D33">
    <cfRule type="expression" priority="160" dxfId="0">
      <formula>AND(COUNT(C33:F33)=4,D33=6)</formula>
    </cfRule>
    <cfRule type="expression" priority="161" dxfId="1">
      <formula>AND(COUNT(C33:F33)=4,D33&lt;6*0.4)</formula>
    </cfRule>
    <cfRule type="expression" priority="162" dxfId="2">
      <formula>AND(COUNT(C33:F33)=4,D33&gt;=6*0.4,D33&lt;6)</formula>
    </cfRule>
  </conditionalFormatting>
  <conditionalFormatting sqref="D34">
    <cfRule type="expression" priority="163" dxfId="0">
      <formula>AND(COUNT(C34:F34)=4,D34=6)</formula>
    </cfRule>
    <cfRule type="expression" priority="164" dxfId="1">
      <formula>AND(COUNT(C34:F34)=4,D34&lt;6*0.4)</formula>
    </cfRule>
    <cfRule type="expression" priority="165" dxfId="2">
      <formula>AND(COUNT(C34:F34)=4,D34&gt;=6*0.4,D34&lt;6)</formula>
    </cfRule>
  </conditionalFormatting>
  <conditionalFormatting sqref="D35">
    <cfRule type="expression" priority="166" dxfId="0">
      <formula>AND(COUNT(C35:F35)=4,D35=6)</formula>
    </cfRule>
    <cfRule type="expression" priority="167" dxfId="1">
      <formula>AND(COUNT(C35:F35)=4,D35&lt;6*0.4)</formula>
    </cfRule>
    <cfRule type="expression" priority="168" dxfId="2">
      <formula>AND(COUNT(C35:F35)=4,D35&gt;=6*0.4,D35&lt;6)</formula>
    </cfRule>
  </conditionalFormatting>
  <conditionalFormatting sqref="D36">
    <cfRule type="expression" priority="169" dxfId="0">
      <formula>AND(COUNT(C36:F36)=4,D36=6)</formula>
    </cfRule>
    <cfRule type="expression" priority="170" dxfId="1">
      <formula>AND(COUNT(C36:F36)=4,D36&lt;6*0.4)</formula>
    </cfRule>
    <cfRule type="expression" priority="171" dxfId="2">
      <formula>AND(COUNT(C36:F36)=4,D36&gt;=6*0.4,D36&lt;6)</formula>
    </cfRule>
  </conditionalFormatting>
  <conditionalFormatting sqref="D37">
    <cfRule type="expression" priority="172" dxfId="0">
      <formula>AND(COUNT(C37:F37)=4,D37=6)</formula>
    </cfRule>
    <cfRule type="expression" priority="173" dxfId="1">
      <formula>AND(COUNT(C37:F37)=4,D37&lt;6*0.4)</formula>
    </cfRule>
    <cfRule type="expression" priority="174" dxfId="2">
      <formula>AND(COUNT(C37:F37)=4,D37&gt;=6*0.4,D37&lt;6)</formula>
    </cfRule>
  </conditionalFormatting>
  <conditionalFormatting sqref="D38">
    <cfRule type="expression" priority="175" dxfId="0">
      <formula>AND(COUNT(C38:F38)=4,D38=6)</formula>
    </cfRule>
    <cfRule type="expression" priority="176" dxfId="1">
      <formula>AND(COUNT(C38:F38)=4,D38&lt;6*0.4)</formula>
    </cfRule>
    <cfRule type="expression" priority="177" dxfId="2">
      <formula>AND(COUNT(C38:F38)=4,D38&gt;=6*0.4,D38&lt;6)</formula>
    </cfRule>
  </conditionalFormatting>
  <conditionalFormatting sqref="D39">
    <cfRule type="expression" priority="178" dxfId="0">
      <formula>AND(COUNT(C39:F39)=4,D39=6)</formula>
    </cfRule>
    <cfRule type="expression" priority="179" dxfId="1">
      <formula>AND(COUNT(C39:F39)=4,D39&lt;6*0.4)</formula>
    </cfRule>
    <cfRule type="expression" priority="180" dxfId="2">
      <formula>AND(COUNT(C39:F39)=4,D39&gt;=6*0.4,D39&lt;6)</formula>
    </cfRule>
  </conditionalFormatting>
  <conditionalFormatting sqref="D40">
    <cfRule type="expression" priority="181" dxfId="0">
      <formula>AND(COUNT(C40:F40)=4,D40=6)</formula>
    </cfRule>
    <cfRule type="expression" priority="182" dxfId="1">
      <formula>AND(COUNT(C40:F40)=4,D40&lt;6*0.4)</formula>
    </cfRule>
    <cfRule type="expression" priority="183" dxfId="2">
      <formula>AND(COUNT(C40:F40)=4,D40&gt;=6*0.4,D40&lt;6)</formula>
    </cfRule>
  </conditionalFormatting>
  <conditionalFormatting sqref="D41">
    <cfRule type="expression" priority="184" dxfId="0">
      <formula>AND(COUNT(C41:F41)=4,D41=6)</formula>
    </cfRule>
    <cfRule type="expression" priority="185" dxfId="1">
      <formula>AND(COUNT(C41:F41)=4,D41&lt;6*0.4)</formula>
    </cfRule>
    <cfRule type="expression" priority="186" dxfId="2">
      <formula>AND(COUNT(C41:F41)=4,D41&gt;=6*0.4,D41&lt;6)</formula>
    </cfRule>
  </conditionalFormatting>
  <conditionalFormatting sqref="E11">
    <cfRule type="expression" priority="187" dxfId="0">
      <formula>AND(COUNT(C11:F11)=4,E11=7)</formula>
    </cfRule>
    <cfRule type="expression" priority="188" dxfId="1">
      <formula>AND(COUNT(C11:F11)=4,E11&lt;7*0.4)</formula>
    </cfRule>
    <cfRule type="expression" priority="189" dxfId="2">
      <formula>AND(COUNT(C11:F11)=4,E11&gt;=7*0.4,E11&lt;7)</formula>
    </cfRule>
  </conditionalFormatting>
  <conditionalFormatting sqref="E12">
    <cfRule type="expression" priority="190" dxfId="0">
      <formula>AND(COUNT(C12:F12)=4,E12=7)</formula>
    </cfRule>
    <cfRule type="expression" priority="191" dxfId="1">
      <formula>AND(COUNT(C12:F12)=4,E12&lt;7*0.4)</formula>
    </cfRule>
    <cfRule type="expression" priority="192" dxfId="2">
      <formula>AND(COUNT(C12:F12)=4,E12&gt;=7*0.4,E12&lt;7)</formula>
    </cfRule>
  </conditionalFormatting>
  <conditionalFormatting sqref="E13">
    <cfRule type="expression" priority="193" dxfId="0">
      <formula>AND(COUNT(C13:F13)=4,E13=7)</formula>
    </cfRule>
    <cfRule type="expression" priority="194" dxfId="1">
      <formula>AND(COUNT(C13:F13)=4,E13&lt;7*0.4)</formula>
    </cfRule>
    <cfRule type="expression" priority="195" dxfId="2">
      <formula>AND(COUNT(C13:F13)=4,E13&gt;=7*0.4,E13&lt;7)</formula>
    </cfRule>
  </conditionalFormatting>
  <conditionalFormatting sqref="E14">
    <cfRule type="expression" priority="196" dxfId="0">
      <formula>AND(COUNT(C14:F14)=4,E14=7)</formula>
    </cfRule>
    <cfRule type="expression" priority="197" dxfId="1">
      <formula>AND(COUNT(C14:F14)=4,E14&lt;7*0.4)</formula>
    </cfRule>
    <cfRule type="expression" priority="198" dxfId="2">
      <formula>AND(COUNT(C14:F14)=4,E14&gt;=7*0.4,E14&lt;7)</formula>
    </cfRule>
  </conditionalFormatting>
  <conditionalFormatting sqref="E15">
    <cfRule type="expression" priority="199" dxfId="0">
      <formula>AND(COUNT(C15:F15)=4,E15=7)</formula>
    </cfRule>
    <cfRule type="expression" priority="200" dxfId="1">
      <formula>AND(COUNT(C15:F15)=4,E15&lt;7*0.4)</formula>
    </cfRule>
    <cfRule type="expression" priority="201" dxfId="2">
      <formula>AND(COUNT(C15:F15)=4,E15&gt;=7*0.4,E15&lt;7)</formula>
    </cfRule>
  </conditionalFormatting>
  <conditionalFormatting sqref="E16">
    <cfRule type="expression" priority="202" dxfId="0">
      <formula>AND(COUNT(C16:F16)=4,E16=7)</formula>
    </cfRule>
    <cfRule type="expression" priority="203" dxfId="1">
      <formula>AND(COUNT(C16:F16)=4,E16&lt;7*0.4)</formula>
    </cfRule>
    <cfRule type="expression" priority="204" dxfId="2">
      <formula>AND(COUNT(C16:F16)=4,E16&gt;=7*0.4,E16&lt;7)</formula>
    </cfRule>
  </conditionalFormatting>
  <conditionalFormatting sqref="E17">
    <cfRule type="expression" priority="205" dxfId="0">
      <formula>AND(COUNT(C17:F17)=4,E17=7)</formula>
    </cfRule>
    <cfRule type="expression" priority="206" dxfId="1">
      <formula>AND(COUNT(C17:F17)=4,E17&lt;7*0.4)</formula>
    </cfRule>
    <cfRule type="expression" priority="207" dxfId="2">
      <formula>AND(COUNT(C17:F17)=4,E17&gt;=7*0.4,E17&lt;7)</formula>
    </cfRule>
  </conditionalFormatting>
  <conditionalFormatting sqref="E18">
    <cfRule type="expression" priority="208" dxfId="0">
      <formula>AND(COUNT(C18:F18)=4,E18=7)</formula>
    </cfRule>
    <cfRule type="expression" priority="209" dxfId="1">
      <formula>AND(COUNT(C18:F18)=4,E18&lt;7*0.4)</formula>
    </cfRule>
    <cfRule type="expression" priority="210" dxfId="2">
      <formula>AND(COUNT(C18:F18)=4,E18&gt;=7*0.4,E18&lt;7)</formula>
    </cfRule>
  </conditionalFormatting>
  <conditionalFormatting sqref="E19">
    <cfRule type="expression" priority="211" dxfId="0">
      <formula>AND(COUNT(C19:F19)=4,E19=7)</formula>
    </cfRule>
    <cfRule type="expression" priority="212" dxfId="1">
      <formula>AND(COUNT(C19:F19)=4,E19&lt;7*0.4)</formula>
    </cfRule>
    <cfRule type="expression" priority="213" dxfId="2">
      <formula>AND(COUNT(C19:F19)=4,E19&gt;=7*0.4,E19&lt;7)</formula>
    </cfRule>
  </conditionalFormatting>
  <conditionalFormatting sqref="E20">
    <cfRule type="expression" priority="214" dxfId="0">
      <formula>AND(COUNT(C20:F20)=4,E20=7)</formula>
    </cfRule>
    <cfRule type="expression" priority="215" dxfId="1">
      <formula>AND(COUNT(C20:F20)=4,E20&lt;7*0.4)</formula>
    </cfRule>
    <cfRule type="expression" priority="216" dxfId="2">
      <formula>AND(COUNT(C20:F20)=4,E20&gt;=7*0.4,E20&lt;7)</formula>
    </cfRule>
  </conditionalFormatting>
  <conditionalFormatting sqref="E21">
    <cfRule type="expression" priority="217" dxfId="0">
      <formula>AND(COUNT(C21:F21)=4,E21=7)</formula>
    </cfRule>
    <cfRule type="expression" priority="218" dxfId="1">
      <formula>AND(COUNT(C21:F21)=4,E21&lt;7*0.4)</formula>
    </cfRule>
    <cfRule type="expression" priority="219" dxfId="2">
      <formula>AND(COUNT(C21:F21)=4,E21&gt;=7*0.4,E21&lt;7)</formula>
    </cfRule>
  </conditionalFormatting>
  <conditionalFormatting sqref="E22">
    <cfRule type="expression" priority="220" dxfId="0">
      <formula>AND(COUNT(C22:F22)=4,E22=7)</formula>
    </cfRule>
    <cfRule type="expression" priority="221" dxfId="1">
      <formula>AND(COUNT(C22:F22)=4,E22&lt;7*0.4)</formula>
    </cfRule>
    <cfRule type="expression" priority="222" dxfId="2">
      <formula>AND(COUNT(C22:F22)=4,E22&gt;=7*0.4,E22&lt;7)</formula>
    </cfRule>
  </conditionalFormatting>
  <conditionalFormatting sqref="E23">
    <cfRule type="expression" priority="223" dxfId="0">
      <formula>AND(COUNT(C23:F23)=4,E23=7)</formula>
    </cfRule>
    <cfRule type="expression" priority="224" dxfId="1">
      <formula>AND(COUNT(C23:F23)=4,E23&lt;7*0.4)</formula>
    </cfRule>
    <cfRule type="expression" priority="225" dxfId="2">
      <formula>AND(COUNT(C23:F23)=4,E23&gt;=7*0.4,E23&lt;7)</formula>
    </cfRule>
  </conditionalFormatting>
  <conditionalFormatting sqref="E24">
    <cfRule type="expression" priority="226" dxfId="0">
      <formula>AND(COUNT(C24:F24)=4,E24=7)</formula>
    </cfRule>
    <cfRule type="expression" priority="227" dxfId="1">
      <formula>AND(COUNT(C24:F24)=4,E24&lt;7*0.4)</formula>
    </cfRule>
    <cfRule type="expression" priority="228" dxfId="2">
      <formula>AND(COUNT(C24:F24)=4,E24&gt;=7*0.4,E24&lt;7)</formula>
    </cfRule>
  </conditionalFormatting>
  <conditionalFormatting sqref="E25">
    <cfRule type="expression" priority="229" dxfId="0">
      <formula>AND(COUNT(C25:F25)=4,E25=7)</formula>
    </cfRule>
    <cfRule type="expression" priority="230" dxfId="1">
      <formula>AND(COUNT(C25:F25)=4,E25&lt;7*0.4)</formula>
    </cfRule>
    <cfRule type="expression" priority="231" dxfId="2">
      <formula>AND(COUNT(C25:F25)=4,E25&gt;=7*0.4,E25&lt;7)</formula>
    </cfRule>
  </conditionalFormatting>
  <conditionalFormatting sqref="E26">
    <cfRule type="expression" priority="232" dxfId="0">
      <formula>AND(COUNT(C26:F26)=4,E26=7)</formula>
    </cfRule>
    <cfRule type="expression" priority="233" dxfId="1">
      <formula>AND(COUNT(C26:F26)=4,E26&lt;7*0.4)</formula>
    </cfRule>
    <cfRule type="expression" priority="234" dxfId="2">
      <formula>AND(COUNT(C26:F26)=4,E26&gt;=7*0.4,E26&lt;7)</formula>
    </cfRule>
  </conditionalFormatting>
  <conditionalFormatting sqref="E27">
    <cfRule type="expression" priority="235" dxfId="0">
      <formula>AND(COUNT(C27:F27)=4,E27=7)</formula>
    </cfRule>
    <cfRule type="expression" priority="236" dxfId="1">
      <formula>AND(COUNT(C27:F27)=4,E27&lt;7*0.4)</formula>
    </cfRule>
    <cfRule type="expression" priority="237" dxfId="2">
      <formula>AND(COUNT(C27:F27)=4,E27&gt;=7*0.4,E27&lt;7)</formula>
    </cfRule>
  </conditionalFormatting>
  <conditionalFormatting sqref="E28">
    <cfRule type="expression" priority="238" dxfId="0">
      <formula>AND(COUNT(C28:F28)=4,E28=7)</formula>
    </cfRule>
    <cfRule type="expression" priority="239" dxfId="1">
      <formula>AND(COUNT(C28:F28)=4,E28&lt;7*0.4)</formula>
    </cfRule>
    <cfRule type="expression" priority="240" dxfId="2">
      <formula>AND(COUNT(C28:F28)=4,E28&gt;=7*0.4,E28&lt;7)</formula>
    </cfRule>
  </conditionalFormatting>
  <conditionalFormatting sqref="E29">
    <cfRule type="expression" priority="241" dxfId="0">
      <formula>AND(COUNT(C29:F29)=4,E29=7)</formula>
    </cfRule>
    <cfRule type="expression" priority="242" dxfId="1">
      <formula>AND(COUNT(C29:F29)=4,E29&lt;7*0.4)</formula>
    </cfRule>
    <cfRule type="expression" priority="243" dxfId="2">
      <formula>AND(COUNT(C29:F29)=4,E29&gt;=7*0.4,E29&lt;7)</formula>
    </cfRule>
  </conditionalFormatting>
  <conditionalFormatting sqref="E30">
    <cfRule type="expression" priority="244" dxfId="0">
      <formula>AND(COUNT(C30:F30)=4,E30=7)</formula>
    </cfRule>
    <cfRule type="expression" priority="245" dxfId="1">
      <formula>AND(COUNT(C30:F30)=4,E30&lt;7*0.4)</formula>
    </cfRule>
    <cfRule type="expression" priority="246" dxfId="2">
      <formula>AND(COUNT(C30:F30)=4,E30&gt;=7*0.4,E30&lt;7)</formula>
    </cfRule>
  </conditionalFormatting>
  <conditionalFormatting sqref="E31">
    <cfRule type="expression" priority="247" dxfId="0">
      <formula>AND(COUNT(C31:F31)=4,E31=7)</formula>
    </cfRule>
    <cfRule type="expression" priority="248" dxfId="1">
      <formula>AND(COUNT(C31:F31)=4,E31&lt;7*0.4)</formula>
    </cfRule>
    <cfRule type="expression" priority="249" dxfId="2">
      <formula>AND(COUNT(C31:F31)=4,E31&gt;=7*0.4,E31&lt;7)</formula>
    </cfRule>
  </conditionalFormatting>
  <conditionalFormatting sqref="E32">
    <cfRule type="expression" priority="250" dxfId="0">
      <formula>AND(COUNT(C32:F32)=4,E32=7)</formula>
    </cfRule>
    <cfRule type="expression" priority="251" dxfId="1">
      <formula>AND(COUNT(C32:F32)=4,E32&lt;7*0.4)</formula>
    </cfRule>
    <cfRule type="expression" priority="252" dxfId="2">
      <formula>AND(COUNT(C32:F32)=4,E32&gt;=7*0.4,E32&lt;7)</formula>
    </cfRule>
  </conditionalFormatting>
  <conditionalFormatting sqref="E33">
    <cfRule type="expression" priority="253" dxfId="0">
      <formula>AND(COUNT(C33:F33)=4,E33=7)</formula>
    </cfRule>
    <cfRule type="expression" priority="254" dxfId="1">
      <formula>AND(COUNT(C33:F33)=4,E33&lt;7*0.4)</formula>
    </cfRule>
    <cfRule type="expression" priority="255" dxfId="2">
      <formula>AND(COUNT(C33:F33)=4,E33&gt;=7*0.4,E33&lt;7)</formula>
    </cfRule>
  </conditionalFormatting>
  <conditionalFormatting sqref="E34">
    <cfRule type="expression" priority="256" dxfId="0">
      <formula>AND(COUNT(C34:F34)=4,E34=7)</formula>
    </cfRule>
    <cfRule type="expression" priority="257" dxfId="1">
      <formula>AND(COUNT(C34:F34)=4,E34&lt;7*0.4)</formula>
    </cfRule>
    <cfRule type="expression" priority="258" dxfId="2">
      <formula>AND(COUNT(C34:F34)=4,E34&gt;=7*0.4,E34&lt;7)</formula>
    </cfRule>
  </conditionalFormatting>
  <conditionalFormatting sqref="E35">
    <cfRule type="expression" priority="259" dxfId="0">
      <formula>AND(COUNT(C35:F35)=4,E35=7)</formula>
    </cfRule>
    <cfRule type="expression" priority="260" dxfId="1">
      <formula>AND(COUNT(C35:F35)=4,E35&lt;7*0.4)</formula>
    </cfRule>
    <cfRule type="expression" priority="261" dxfId="2">
      <formula>AND(COUNT(C35:F35)=4,E35&gt;=7*0.4,E35&lt;7)</formula>
    </cfRule>
  </conditionalFormatting>
  <conditionalFormatting sqref="E36">
    <cfRule type="expression" priority="262" dxfId="0">
      <formula>AND(COUNT(C36:F36)=4,E36=7)</formula>
    </cfRule>
    <cfRule type="expression" priority="263" dxfId="1">
      <formula>AND(COUNT(C36:F36)=4,E36&lt;7*0.4)</formula>
    </cfRule>
    <cfRule type="expression" priority="264" dxfId="2">
      <formula>AND(COUNT(C36:F36)=4,E36&gt;=7*0.4,E36&lt;7)</formula>
    </cfRule>
  </conditionalFormatting>
  <conditionalFormatting sqref="E37">
    <cfRule type="expression" priority="265" dxfId="0">
      <formula>AND(COUNT(C37:F37)=4,E37=7)</formula>
    </cfRule>
    <cfRule type="expression" priority="266" dxfId="1">
      <formula>AND(COUNT(C37:F37)=4,E37&lt;7*0.4)</formula>
    </cfRule>
    <cfRule type="expression" priority="267" dxfId="2">
      <formula>AND(COUNT(C37:F37)=4,E37&gt;=7*0.4,E37&lt;7)</formula>
    </cfRule>
  </conditionalFormatting>
  <conditionalFormatting sqref="E38">
    <cfRule type="expression" priority="268" dxfId="0">
      <formula>AND(COUNT(C38:F38)=4,E38=7)</formula>
    </cfRule>
    <cfRule type="expression" priority="269" dxfId="1">
      <formula>AND(COUNT(C38:F38)=4,E38&lt;7*0.4)</formula>
    </cfRule>
    <cfRule type="expression" priority="270" dxfId="2">
      <formula>AND(COUNT(C38:F38)=4,E38&gt;=7*0.4,E38&lt;7)</formula>
    </cfRule>
  </conditionalFormatting>
  <conditionalFormatting sqref="E39">
    <cfRule type="expression" priority="271" dxfId="0">
      <formula>AND(COUNT(C39:F39)=4,E39=7)</formula>
    </cfRule>
    <cfRule type="expression" priority="272" dxfId="1">
      <formula>AND(COUNT(C39:F39)=4,E39&lt;7*0.4)</formula>
    </cfRule>
    <cfRule type="expression" priority="273" dxfId="2">
      <formula>AND(COUNT(C39:F39)=4,E39&gt;=7*0.4,E39&lt;7)</formula>
    </cfRule>
  </conditionalFormatting>
  <conditionalFormatting sqref="E40">
    <cfRule type="expression" priority="274" dxfId="0">
      <formula>AND(COUNT(C40:F40)=4,E40=7)</formula>
    </cfRule>
    <cfRule type="expression" priority="275" dxfId="1">
      <formula>AND(COUNT(C40:F40)=4,E40&lt;7*0.4)</formula>
    </cfRule>
    <cfRule type="expression" priority="276" dxfId="2">
      <formula>AND(COUNT(C40:F40)=4,E40&gt;=7*0.4,E40&lt;7)</formula>
    </cfRule>
  </conditionalFormatting>
  <conditionalFormatting sqref="E41">
    <cfRule type="expression" priority="277" dxfId="0">
      <formula>AND(COUNT(C41:F41)=4,E41=7)</formula>
    </cfRule>
    <cfRule type="expression" priority="278" dxfId="1">
      <formula>AND(COUNT(C41:F41)=4,E41&lt;7*0.4)</formula>
    </cfRule>
    <cfRule type="expression" priority="279" dxfId="2">
      <formula>AND(COUNT(C41:F41)=4,E41&gt;=7*0.4,E41&lt;7)</formula>
    </cfRule>
  </conditionalFormatting>
  <conditionalFormatting sqref="F11">
    <cfRule type="expression" priority="280" dxfId="0">
      <formula>AND(COUNT(C11:F11)=4,F11=6)</formula>
    </cfRule>
    <cfRule type="expression" priority="281" dxfId="1">
      <formula>AND(COUNT(C11:F11)=4,F11&lt;6*0.4)</formula>
    </cfRule>
    <cfRule type="expression" priority="282" dxfId="2">
      <formula>AND(COUNT(C11:F11)=4,F11&gt;=6*0.4,F11&lt;6)</formula>
    </cfRule>
  </conditionalFormatting>
  <conditionalFormatting sqref="F12">
    <cfRule type="expression" priority="283" dxfId="0">
      <formula>AND(COUNT(C12:F12)=4,F12=6)</formula>
    </cfRule>
    <cfRule type="expression" priority="284" dxfId="1">
      <formula>AND(COUNT(C12:F12)=4,F12&lt;6*0.4)</formula>
    </cfRule>
    <cfRule type="expression" priority="285" dxfId="2">
      <formula>AND(COUNT(C12:F12)=4,F12&gt;=6*0.4,F12&lt;6)</formula>
    </cfRule>
  </conditionalFormatting>
  <conditionalFormatting sqref="F13">
    <cfRule type="expression" priority="286" dxfId="0">
      <formula>AND(COUNT(C13:F13)=4,F13=6)</formula>
    </cfRule>
    <cfRule type="expression" priority="287" dxfId="1">
      <formula>AND(COUNT(C13:F13)=4,F13&lt;6*0.4)</formula>
    </cfRule>
    <cfRule type="expression" priority="288" dxfId="2">
      <formula>AND(COUNT(C13:F13)=4,F13&gt;=6*0.4,F13&lt;6)</formula>
    </cfRule>
  </conditionalFormatting>
  <conditionalFormatting sqref="F14">
    <cfRule type="expression" priority="289" dxfId="0">
      <formula>AND(COUNT(C14:F14)=4,F14=6)</formula>
    </cfRule>
    <cfRule type="expression" priority="290" dxfId="1">
      <formula>AND(COUNT(C14:F14)=4,F14&lt;6*0.4)</formula>
    </cfRule>
    <cfRule type="expression" priority="291" dxfId="2">
      <formula>AND(COUNT(C14:F14)=4,F14&gt;=6*0.4,F14&lt;6)</formula>
    </cfRule>
  </conditionalFormatting>
  <conditionalFormatting sqref="F15">
    <cfRule type="expression" priority="292" dxfId="0">
      <formula>AND(COUNT(C15:F15)=4,F15=6)</formula>
    </cfRule>
    <cfRule type="expression" priority="293" dxfId="1">
      <formula>AND(COUNT(C15:F15)=4,F15&lt;6*0.4)</formula>
    </cfRule>
    <cfRule type="expression" priority="294" dxfId="2">
      <formula>AND(COUNT(C15:F15)=4,F15&gt;=6*0.4,F15&lt;6)</formula>
    </cfRule>
  </conditionalFormatting>
  <conditionalFormatting sqref="F16">
    <cfRule type="expression" priority="295" dxfId="0">
      <formula>AND(COUNT(C16:F16)=4,F16=6)</formula>
    </cfRule>
    <cfRule type="expression" priority="296" dxfId="1">
      <formula>AND(COUNT(C16:F16)=4,F16&lt;6*0.4)</formula>
    </cfRule>
    <cfRule type="expression" priority="297" dxfId="2">
      <formula>AND(COUNT(C16:F16)=4,F16&gt;=6*0.4,F16&lt;6)</formula>
    </cfRule>
  </conditionalFormatting>
  <conditionalFormatting sqref="F17">
    <cfRule type="expression" priority="298" dxfId="0">
      <formula>AND(COUNT(C17:F17)=4,F17=6)</formula>
    </cfRule>
    <cfRule type="expression" priority="299" dxfId="1">
      <formula>AND(COUNT(C17:F17)=4,F17&lt;6*0.4)</formula>
    </cfRule>
    <cfRule type="expression" priority="300" dxfId="2">
      <formula>AND(COUNT(C17:F17)=4,F17&gt;=6*0.4,F17&lt;6)</formula>
    </cfRule>
  </conditionalFormatting>
  <conditionalFormatting sqref="F18">
    <cfRule type="expression" priority="301" dxfId="0">
      <formula>AND(COUNT(C18:F18)=4,F18=6)</formula>
    </cfRule>
    <cfRule type="expression" priority="302" dxfId="1">
      <formula>AND(COUNT(C18:F18)=4,F18&lt;6*0.4)</formula>
    </cfRule>
    <cfRule type="expression" priority="303" dxfId="2">
      <formula>AND(COUNT(C18:F18)=4,F18&gt;=6*0.4,F18&lt;6)</formula>
    </cfRule>
  </conditionalFormatting>
  <conditionalFormatting sqref="F19">
    <cfRule type="expression" priority="304" dxfId="0">
      <formula>AND(COUNT(C19:F19)=4,F19=6)</formula>
    </cfRule>
    <cfRule type="expression" priority="305" dxfId="1">
      <formula>AND(COUNT(C19:F19)=4,F19&lt;6*0.4)</formula>
    </cfRule>
    <cfRule type="expression" priority="306" dxfId="2">
      <formula>AND(COUNT(C19:F19)=4,F19&gt;=6*0.4,F19&lt;6)</formula>
    </cfRule>
  </conditionalFormatting>
  <conditionalFormatting sqref="F20">
    <cfRule type="expression" priority="307" dxfId="0">
      <formula>AND(COUNT(C20:F20)=4,F20=6)</formula>
    </cfRule>
    <cfRule type="expression" priority="308" dxfId="1">
      <formula>AND(COUNT(C20:F20)=4,F20&lt;6*0.4)</formula>
    </cfRule>
    <cfRule type="expression" priority="309" dxfId="2">
      <formula>AND(COUNT(C20:F20)=4,F20&gt;=6*0.4,F20&lt;6)</formula>
    </cfRule>
  </conditionalFormatting>
  <conditionalFormatting sqref="F21">
    <cfRule type="expression" priority="310" dxfId="0">
      <formula>AND(COUNT(C21:F21)=4,F21=6)</formula>
    </cfRule>
    <cfRule type="expression" priority="311" dxfId="1">
      <formula>AND(COUNT(C21:F21)=4,F21&lt;6*0.4)</formula>
    </cfRule>
    <cfRule type="expression" priority="312" dxfId="2">
      <formula>AND(COUNT(C21:F21)=4,F21&gt;=6*0.4,F21&lt;6)</formula>
    </cfRule>
  </conditionalFormatting>
  <conditionalFormatting sqref="F22">
    <cfRule type="expression" priority="313" dxfId="0">
      <formula>AND(COUNT(C22:F22)=4,F22=6)</formula>
    </cfRule>
    <cfRule type="expression" priority="314" dxfId="1">
      <formula>AND(COUNT(C22:F22)=4,F22&lt;6*0.4)</formula>
    </cfRule>
    <cfRule type="expression" priority="315" dxfId="2">
      <formula>AND(COUNT(C22:F22)=4,F22&gt;=6*0.4,F22&lt;6)</formula>
    </cfRule>
  </conditionalFormatting>
  <conditionalFormatting sqref="F23">
    <cfRule type="expression" priority="316" dxfId="0">
      <formula>AND(COUNT(C23:F23)=4,F23=6)</formula>
    </cfRule>
    <cfRule type="expression" priority="317" dxfId="1">
      <formula>AND(COUNT(C23:F23)=4,F23&lt;6*0.4)</formula>
    </cfRule>
    <cfRule type="expression" priority="318" dxfId="2">
      <formula>AND(COUNT(C23:F23)=4,F23&gt;=6*0.4,F23&lt;6)</formula>
    </cfRule>
  </conditionalFormatting>
  <conditionalFormatting sqref="F24">
    <cfRule type="expression" priority="319" dxfId="0">
      <formula>AND(COUNT(C24:F24)=4,F24=6)</formula>
    </cfRule>
    <cfRule type="expression" priority="320" dxfId="1">
      <formula>AND(COUNT(C24:F24)=4,F24&lt;6*0.4)</formula>
    </cfRule>
    <cfRule type="expression" priority="321" dxfId="2">
      <formula>AND(COUNT(C24:F24)=4,F24&gt;=6*0.4,F24&lt;6)</formula>
    </cfRule>
  </conditionalFormatting>
  <conditionalFormatting sqref="F25">
    <cfRule type="expression" priority="322" dxfId="0">
      <formula>AND(COUNT(C25:F25)=4,F25=6)</formula>
    </cfRule>
    <cfRule type="expression" priority="323" dxfId="1">
      <formula>AND(COUNT(C25:F25)=4,F25&lt;6*0.4)</formula>
    </cfRule>
    <cfRule type="expression" priority="324" dxfId="2">
      <formula>AND(COUNT(C25:F25)=4,F25&gt;=6*0.4,F25&lt;6)</formula>
    </cfRule>
  </conditionalFormatting>
  <conditionalFormatting sqref="F26">
    <cfRule type="expression" priority="325" dxfId="0">
      <formula>AND(COUNT(C26:F26)=4,F26=6)</formula>
    </cfRule>
    <cfRule type="expression" priority="326" dxfId="1">
      <formula>AND(COUNT(C26:F26)=4,F26&lt;6*0.4)</formula>
    </cfRule>
    <cfRule type="expression" priority="327" dxfId="2">
      <formula>AND(COUNT(C26:F26)=4,F26&gt;=6*0.4,F26&lt;6)</formula>
    </cfRule>
  </conditionalFormatting>
  <conditionalFormatting sqref="F27">
    <cfRule type="expression" priority="328" dxfId="0">
      <formula>AND(COUNT(C27:F27)=4,F27=6)</formula>
    </cfRule>
    <cfRule type="expression" priority="329" dxfId="1">
      <formula>AND(COUNT(C27:F27)=4,F27&lt;6*0.4)</formula>
    </cfRule>
    <cfRule type="expression" priority="330" dxfId="2">
      <formula>AND(COUNT(C27:F27)=4,F27&gt;=6*0.4,F27&lt;6)</formula>
    </cfRule>
  </conditionalFormatting>
  <conditionalFormatting sqref="F28">
    <cfRule type="expression" priority="331" dxfId="0">
      <formula>AND(COUNT(C28:F28)=4,F28=6)</formula>
    </cfRule>
    <cfRule type="expression" priority="332" dxfId="1">
      <formula>AND(COUNT(C28:F28)=4,F28&lt;6*0.4)</formula>
    </cfRule>
    <cfRule type="expression" priority="333" dxfId="2">
      <formula>AND(COUNT(C28:F28)=4,F28&gt;=6*0.4,F28&lt;6)</formula>
    </cfRule>
  </conditionalFormatting>
  <conditionalFormatting sqref="F29">
    <cfRule type="expression" priority="334" dxfId="0">
      <formula>AND(COUNT(C29:F29)=4,F29=6)</formula>
    </cfRule>
    <cfRule type="expression" priority="335" dxfId="1">
      <formula>AND(COUNT(C29:F29)=4,F29&lt;6*0.4)</formula>
    </cfRule>
    <cfRule type="expression" priority="336" dxfId="2">
      <formula>AND(COUNT(C29:F29)=4,F29&gt;=6*0.4,F29&lt;6)</formula>
    </cfRule>
  </conditionalFormatting>
  <conditionalFormatting sqref="F30">
    <cfRule type="expression" priority="337" dxfId="0">
      <formula>AND(COUNT(C30:F30)=4,F30=6)</formula>
    </cfRule>
    <cfRule type="expression" priority="338" dxfId="1">
      <formula>AND(COUNT(C30:F30)=4,F30&lt;6*0.4)</formula>
    </cfRule>
    <cfRule type="expression" priority="339" dxfId="2">
      <formula>AND(COUNT(C30:F30)=4,F30&gt;=6*0.4,F30&lt;6)</formula>
    </cfRule>
  </conditionalFormatting>
  <conditionalFormatting sqref="F31">
    <cfRule type="expression" priority="340" dxfId="0">
      <formula>AND(COUNT(C31:F31)=4,F31=6)</formula>
    </cfRule>
    <cfRule type="expression" priority="341" dxfId="1">
      <formula>AND(COUNT(C31:F31)=4,F31&lt;6*0.4)</formula>
    </cfRule>
    <cfRule type="expression" priority="342" dxfId="2">
      <formula>AND(COUNT(C31:F31)=4,F31&gt;=6*0.4,F31&lt;6)</formula>
    </cfRule>
  </conditionalFormatting>
  <conditionalFormatting sqref="F32">
    <cfRule type="expression" priority="343" dxfId="0">
      <formula>AND(COUNT(C32:F32)=4,F32=6)</formula>
    </cfRule>
    <cfRule type="expression" priority="344" dxfId="1">
      <formula>AND(COUNT(C32:F32)=4,F32&lt;6*0.4)</formula>
    </cfRule>
    <cfRule type="expression" priority="345" dxfId="2">
      <formula>AND(COUNT(C32:F32)=4,F32&gt;=6*0.4,F32&lt;6)</formula>
    </cfRule>
  </conditionalFormatting>
  <conditionalFormatting sqref="F33">
    <cfRule type="expression" priority="346" dxfId="0">
      <formula>AND(COUNT(C33:F33)=4,F33=6)</formula>
    </cfRule>
    <cfRule type="expression" priority="347" dxfId="1">
      <formula>AND(COUNT(C33:F33)=4,F33&lt;6*0.4)</formula>
    </cfRule>
    <cfRule type="expression" priority="348" dxfId="2">
      <formula>AND(COUNT(C33:F33)=4,F33&gt;=6*0.4,F33&lt;6)</formula>
    </cfRule>
  </conditionalFormatting>
  <conditionalFormatting sqref="F34">
    <cfRule type="expression" priority="349" dxfId="0">
      <formula>AND(COUNT(C34:F34)=4,F34=6)</formula>
    </cfRule>
    <cfRule type="expression" priority="350" dxfId="1">
      <formula>AND(COUNT(C34:F34)=4,F34&lt;6*0.4)</formula>
    </cfRule>
    <cfRule type="expression" priority="351" dxfId="2">
      <formula>AND(COUNT(C34:F34)=4,F34&gt;=6*0.4,F34&lt;6)</formula>
    </cfRule>
  </conditionalFormatting>
  <conditionalFormatting sqref="F35">
    <cfRule type="expression" priority="352" dxfId="0">
      <formula>AND(COUNT(C35:F35)=4,F35=6)</formula>
    </cfRule>
    <cfRule type="expression" priority="353" dxfId="1">
      <formula>AND(COUNT(C35:F35)=4,F35&lt;6*0.4)</formula>
    </cfRule>
    <cfRule type="expression" priority="354" dxfId="2">
      <formula>AND(COUNT(C35:F35)=4,F35&gt;=6*0.4,F35&lt;6)</formula>
    </cfRule>
  </conditionalFormatting>
  <conditionalFormatting sqref="F36">
    <cfRule type="expression" priority="355" dxfId="0">
      <formula>AND(COUNT(C36:F36)=4,F36=6)</formula>
    </cfRule>
    <cfRule type="expression" priority="356" dxfId="1">
      <formula>AND(COUNT(C36:F36)=4,F36&lt;6*0.4)</formula>
    </cfRule>
    <cfRule type="expression" priority="357" dxfId="2">
      <formula>AND(COUNT(C36:F36)=4,F36&gt;=6*0.4,F36&lt;6)</formula>
    </cfRule>
  </conditionalFormatting>
  <conditionalFormatting sqref="F37">
    <cfRule type="expression" priority="358" dxfId="0">
      <formula>AND(COUNT(C37:F37)=4,F37=6)</formula>
    </cfRule>
    <cfRule type="expression" priority="359" dxfId="1">
      <formula>AND(COUNT(C37:F37)=4,F37&lt;6*0.4)</formula>
    </cfRule>
    <cfRule type="expression" priority="360" dxfId="2">
      <formula>AND(COUNT(C37:F37)=4,F37&gt;=6*0.4,F37&lt;6)</formula>
    </cfRule>
  </conditionalFormatting>
  <conditionalFormatting sqref="F38">
    <cfRule type="expression" priority="361" dxfId="0">
      <formula>AND(COUNT(C38:F38)=4,F38=6)</formula>
    </cfRule>
    <cfRule type="expression" priority="362" dxfId="1">
      <formula>AND(COUNT(C38:F38)=4,F38&lt;6*0.4)</formula>
    </cfRule>
    <cfRule type="expression" priority="363" dxfId="2">
      <formula>AND(COUNT(C38:F38)=4,F38&gt;=6*0.4,F38&lt;6)</formula>
    </cfRule>
  </conditionalFormatting>
  <conditionalFormatting sqref="F39">
    <cfRule type="expression" priority="364" dxfId="0">
      <formula>AND(COUNT(C39:F39)=4,F39=6)</formula>
    </cfRule>
    <cfRule type="expression" priority="365" dxfId="1">
      <formula>AND(COUNT(C39:F39)=4,F39&lt;6*0.4)</formula>
    </cfRule>
    <cfRule type="expression" priority="366" dxfId="2">
      <formula>AND(COUNT(C39:F39)=4,F39&gt;=6*0.4,F39&lt;6)</formula>
    </cfRule>
  </conditionalFormatting>
  <conditionalFormatting sqref="F40">
    <cfRule type="expression" priority="367" dxfId="0">
      <formula>AND(COUNT(C40:F40)=4,F40=6)</formula>
    </cfRule>
    <cfRule type="expression" priority="368" dxfId="1">
      <formula>AND(COUNT(C40:F40)=4,F40&lt;6*0.4)</formula>
    </cfRule>
    <cfRule type="expression" priority="369" dxfId="2">
      <formula>AND(COUNT(C40:F40)=4,F40&gt;=6*0.4,F40&lt;6)</formula>
    </cfRule>
  </conditionalFormatting>
  <conditionalFormatting sqref="F41">
    <cfRule type="expression" priority="370" dxfId="0">
      <formula>AND(COUNT(C41:F41)=4,F41=6)</formula>
    </cfRule>
    <cfRule type="expression" priority="371" dxfId="1">
      <formula>AND(COUNT(C41:F41)=4,F41&lt;6*0.4)</formula>
    </cfRule>
    <cfRule type="expression" priority="372" dxfId="2">
      <formula>AND(COUNT(C41:F41)=4,F41&gt;=6*0.4,F41&lt;6)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Mini Test 2.2 — Personal finance</t>
        </is>
      </c>
    </row>
    <row r="2">
      <c r="A2" s="2" t="inlineStr">
        <is>
          <t>Every block below pulls live from 'MT 2.2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SUMPRODUCT(--ISNUMBER('MT 2.2 Results'!I12:I41))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IF('MT 2.2 Results'!I12="","","Mini Test 2.2 — Personal finance")</f>
        <v/>
      </c>
      <c r="K5">
        <f>IF('MT 2.2 Results'!I13="","","Mini Test 2.2 — Personal finance")</f>
        <v/>
      </c>
    </row>
    <row r="6">
      <c r="A6">
        <f>IF('MT 2.2 Results'!I12="","","Name: "&amp;'MT 2.2 Results'!B12&amp;"   Class: "&amp;'MT 2.2 Results'!$B$3&amp;"   Date: "&amp;TEXT('MT 2.2 Results'!$B$5,"DD/MM/YY"))</f>
        <v/>
      </c>
      <c r="K6">
        <f>IF('MT 2.2 Results'!I13="","","Name: "&amp;'MT 2.2 Results'!B13&amp;"   Class: "&amp;'MT 2.2 Results'!$B$3&amp;"   Date: "&amp;TEXT('MT 2.2 Results'!$B$5,"DD/MM/YY"))</f>
        <v/>
      </c>
    </row>
    <row r="7">
      <c r="A7">
        <f>IF('MT 2.2 Results'!I12="","","Total: "&amp;'MT 2.2 Results'!G12&amp;"/26 ("&amp;TEXT('MT 2.2 Results'!H12,"0%")&amp;")   Overall: "&amp;'MT 2.2 Results'!I12)</f>
        <v/>
      </c>
      <c r="K7">
        <f>IF('MT 2.2 Results'!I13="","","Total: "&amp;'MT 2.2 Results'!G13&amp;"/26 ("&amp;TEXT('MT 2.2 Results'!H13,"0%")&amp;")   Overall: "&amp;'MT 2.2 Results'!I13)</f>
        <v/>
      </c>
    </row>
    <row r="8">
      <c r="A8">
        <f>IF('MT 2.2 Results'!I12="","",IF('MT 2.2 Results'!I12="Green",Parameters!$C$108,IF('MT 2.2 Results'!I12="Yellow",Parameters!$C$107,Parameters!$C$106)))</f>
        <v/>
      </c>
      <c r="K8">
        <f>IF('MT 2.2 Results'!I13="","",IF('MT 2.2 Results'!I13="Green",Parameters!$C$108,IF('MT 2.2 Results'!I13="Yellow",Parameters!$C$107,Parameters!$C$106)))</f>
        <v/>
      </c>
    </row>
    <row r="10">
      <c r="A10">
        <f>IF('MT 2.2 Results'!I12="","","Breakdown:")</f>
        <v/>
      </c>
      <c r="K10">
        <f>IF('MT 2.2 Results'!I13="","","Breakdown:")</f>
        <v/>
      </c>
    </row>
    <row r="11">
      <c r="A11">
        <f>IF('MT 2.2 Results'!I12="","","Q1 Comparing loans: "&amp;'MT 2.2 Results'!C12&amp;"/7")</f>
        <v/>
      </c>
      <c r="K11">
        <f>IF('MT 2.2 Results'!I13="","","Q1 Comparing loans: "&amp;'MT 2.2 Results'!C13&amp;"/7")</f>
        <v/>
      </c>
    </row>
    <row r="12">
      <c r="A12">
        <f>IF('MT 2.2 Results'!I12="","","Q2 Exchange rates: "&amp;'MT 2.2 Results'!D12&amp;"/6")</f>
        <v/>
      </c>
      <c r="K12">
        <f>IF('MT 2.2 Results'!I13="","","Q2 Exchange rates: "&amp;'MT 2.2 Results'!D13&amp;"/6")</f>
        <v/>
      </c>
    </row>
    <row r="13">
      <c r="A13">
        <f>IF('MT 2.2 Results'!I12="","","Q3 Depreciation: "&amp;'MT 2.2 Results'!E12&amp;"/7")</f>
        <v/>
      </c>
      <c r="K13">
        <f>IF('MT 2.2 Results'!I13="","","Q3 Depreciation: "&amp;'MT 2.2 Results'!E13&amp;"/7")</f>
        <v/>
      </c>
    </row>
    <row r="14">
      <c r="A14">
        <f>IF('MT 2.2 Results'!I12="","","Q4 Price indices &amp; inflation: "&amp;'MT 2.2 Results'!F12&amp;"/6")</f>
        <v/>
      </c>
      <c r="K14">
        <f>IF('MT 2.2 Results'!I13="","","Q4 Price indices &amp; inflation: "&amp;'MT 2.2 Results'!F13&amp;"/6")</f>
        <v/>
      </c>
    </row>
    <row r="15">
      <c r="A15">
        <f>IF(OR('MT 2.2 Results'!I12="",'MT 2.2 Results'!J12=""),"",'MT 2.2 Results'!J12)</f>
        <v/>
      </c>
      <c r="K15">
        <f>IF(OR('MT 2.2 Results'!I13="",'MT 2.2 Results'!J13=""),"",'MT 2.2 Results'!J13)</f>
        <v/>
      </c>
    </row>
    <row r="17">
      <c r="A17">
        <f>IF('MT 2.2 Results'!I12="","","Comments:")</f>
        <v/>
      </c>
      <c r="K17">
        <f>IF('MT 2.2 Results'!I13="","","Comments:")</f>
        <v/>
      </c>
    </row>
    <row r="21">
      <c r="A21">
        <f>IF('MT 2.2 Results'!I14="","","Mini Test 2.2 — Personal finance")</f>
        <v/>
      </c>
      <c r="K21">
        <f>IF('MT 2.2 Results'!I15="","","Mini Test 2.2 — Personal finance")</f>
        <v/>
      </c>
    </row>
    <row r="22">
      <c r="A22">
        <f>IF('MT 2.2 Results'!I14="","","Name: "&amp;'MT 2.2 Results'!B14&amp;"   Class: "&amp;'MT 2.2 Results'!$B$3&amp;"   Date: "&amp;TEXT('MT 2.2 Results'!$B$5,"DD/MM/YY"))</f>
        <v/>
      </c>
      <c r="K22">
        <f>IF('MT 2.2 Results'!I15="","","Name: "&amp;'MT 2.2 Results'!B15&amp;"   Class: "&amp;'MT 2.2 Results'!$B$3&amp;"   Date: "&amp;TEXT('MT 2.2 Results'!$B$5,"DD/MM/YY"))</f>
        <v/>
      </c>
    </row>
    <row r="23">
      <c r="A23">
        <f>IF('MT 2.2 Results'!I14="","","Total: "&amp;'MT 2.2 Results'!G14&amp;"/26 ("&amp;TEXT('MT 2.2 Results'!H14,"0%")&amp;")   Overall: "&amp;'MT 2.2 Results'!I14)</f>
        <v/>
      </c>
      <c r="K23">
        <f>IF('MT 2.2 Results'!I15="","","Total: "&amp;'MT 2.2 Results'!G15&amp;"/26 ("&amp;TEXT('MT 2.2 Results'!H15,"0%")&amp;")   Overall: "&amp;'MT 2.2 Results'!I15)</f>
        <v/>
      </c>
    </row>
    <row r="24">
      <c r="A24">
        <f>IF('MT 2.2 Results'!I14="","",IF('MT 2.2 Results'!I14="Green",Parameters!$C$108,IF('MT 2.2 Results'!I14="Yellow",Parameters!$C$107,Parameters!$C$106)))</f>
        <v/>
      </c>
      <c r="K24">
        <f>IF('MT 2.2 Results'!I15="","",IF('MT 2.2 Results'!I15="Green",Parameters!$C$108,IF('MT 2.2 Results'!I15="Yellow",Parameters!$C$107,Parameters!$C$106)))</f>
        <v/>
      </c>
    </row>
    <row r="26">
      <c r="A26">
        <f>IF('MT 2.2 Results'!I14="","","Breakdown:")</f>
        <v/>
      </c>
      <c r="K26">
        <f>IF('MT 2.2 Results'!I15="","","Breakdown:")</f>
        <v/>
      </c>
    </row>
    <row r="27">
      <c r="A27">
        <f>IF('MT 2.2 Results'!I14="","","Q1 Comparing loans: "&amp;'MT 2.2 Results'!C14&amp;"/7")</f>
        <v/>
      </c>
      <c r="K27">
        <f>IF('MT 2.2 Results'!I15="","","Q1 Comparing loans: "&amp;'MT 2.2 Results'!C15&amp;"/7")</f>
        <v/>
      </c>
    </row>
    <row r="28">
      <c r="A28">
        <f>IF('MT 2.2 Results'!I14="","","Q2 Exchange rates: "&amp;'MT 2.2 Results'!D14&amp;"/6")</f>
        <v/>
      </c>
      <c r="K28">
        <f>IF('MT 2.2 Results'!I15="","","Q2 Exchange rates: "&amp;'MT 2.2 Results'!D15&amp;"/6")</f>
        <v/>
      </c>
    </row>
    <row r="29">
      <c r="A29">
        <f>IF('MT 2.2 Results'!I14="","","Q3 Depreciation: "&amp;'MT 2.2 Results'!E14&amp;"/7")</f>
        <v/>
      </c>
      <c r="K29">
        <f>IF('MT 2.2 Results'!I15="","","Q3 Depreciation: "&amp;'MT 2.2 Results'!E15&amp;"/7")</f>
        <v/>
      </c>
    </row>
    <row r="30">
      <c r="A30">
        <f>IF('MT 2.2 Results'!I14="","","Q4 Price indices &amp; inflation: "&amp;'MT 2.2 Results'!F14&amp;"/6")</f>
        <v/>
      </c>
      <c r="K30">
        <f>IF('MT 2.2 Results'!I15="","","Q4 Price indices &amp; inflation: "&amp;'MT 2.2 Results'!F15&amp;"/6")</f>
        <v/>
      </c>
    </row>
    <row r="31">
      <c r="A31">
        <f>IF(OR('MT 2.2 Results'!I14="",'MT 2.2 Results'!J14=""),"",'MT 2.2 Results'!J14)</f>
        <v/>
      </c>
      <c r="K31">
        <f>IF(OR('MT 2.2 Results'!I15="",'MT 2.2 Results'!J15=""),"",'MT 2.2 Results'!J15)</f>
        <v/>
      </c>
    </row>
    <row r="33">
      <c r="A33">
        <f>IF('MT 2.2 Results'!I14="","","Comments:")</f>
        <v/>
      </c>
      <c r="K33">
        <f>IF('MT 2.2 Results'!I15="","","Comments:")</f>
        <v/>
      </c>
    </row>
    <row r="37">
      <c r="A37">
        <f>IF('MT 2.2 Results'!I16="","","Mini Test 2.2 — Personal finance")</f>
        <v/>
      </c>
      <c r="K37">
        <f>IF('MT 2.2 Results'!I17="","","Mini Test 2.2 — Personal finance")</f>
        <v/>
      </c>
    </row>
    <row r="38">
      <c r="A38">
        <f>IF('MT 2.2 Results'!I16="","","Name: "&amp;'MT 2.2 Results'!B16&amp;"   Class: "&amp;'MT 2.2 Results'!$B$3&amp;"   Date: "&amp;TEXT('MT 2.2 Results'!$B$5,"DD/MM/YY"))</f>
        <v/>
      </c>
      <c r="K38">
        <f>IF('MT 2.2 Results'!I17="","","Name: "&amp;'MT 2.2 Results'!B17&amp;"   Class: "&amp;'MT 2.2 Results'!$B$3&amp;"   Date: "&amp;TEXT('MT 2.2 Results'!$B$5,"DD/MM/YY"))</f>
        <v/>
      </c>
    </row>
    <row r="39">
      <c r="A39">
        <f>IF('MT 2.2 Results'!I16="","","Total: "&amp;'MT 2.2 Results'!G16&amp;"/26 ("&amp;TEXT('MT 2.2 Results'!H16,"0%")&amp;")   Overall: "&amp;'MT 2.2 Results'!I16)</f>
        <v/>
      </c>
      <c r="K39">
        <f>IF('MT 2.2 Results'!I17="","","Total: "&amp;'MT 2.2 Results'!G17&amp;"/26 ("&amp;TEXT('MT 2.2 Results'!H17,"0%")&amp;")   Overall: "&amp;'MT 2.2 Results'!I17)</f>
        <v/>
      </c>
    </row>
    <row r="40">
      <c r="A40">
        <f>IF('MT 2.2 Results'!I16="","",IF('MT 2.2 Results'!I16="Green",Parameters!$C$108,IF('MT 2.2 Results'!I16="Yellow",Parameters!$C$107,Parameters!$C$106)))</f>
        <v/>
      </c>
      <c r="K40">
        <f>IF('MT 2.2 Results'!I17="","",IF('MT 2.2 Results'!I17="Green",Parameters!$C$108,IF('MT 2.2 Results'!I17="Yellow",Parameters!$C$107,Parameters!$C$106)))</f>
        <v/>
      </c>
    </row>
    <row r="42">
      <c r="A42">
        <f>IF('MT 2.2 Results'!I16="","","Breakdown:")</f>
        <v/>
      </c>
      <c r="K42">
        <f>IF('MT 2.2 Results'!I17="","","Breakdown:")</f>
        <v/>
      </c>
    </row>
    <row r="43">
      <c r="A43">
        <f>IF('MT 2.2 Results'!I16="","","Q1 Comparing loans: "&amp;'MT 2.2 Results'!C16&amp;"/7")</f>
        <v/>
      </c>
      <c r="K43">
        <f>IF('MT 2.2 Results'!I17="","","Q1 Comparing loans: "&amp;'MT 2.2 Results'!C17&amp;"/7")</f>
        <v/>
      </c>
    </row>
    <row r="44">
      <c r="A44">
        <f>IF('MT 2.2 Results'!I16="","","Q2 Exchange rates: "&amp;'MT 2.2 Results'!D16&amp;"/6")</f>
        <v/>
      </c>
      <c r="K44">
        <f>IF('MT 2.2 Results'!I17="","","Q2 Exchange rates: "&amp;'MT 2.2 Results'!D17&amp;"/6")</f>
        <v/>
      </c>
    </row>
    <row r="45">
      <c r="A45">
        <f>IF('MT 2.2 Results'!I16="","","Q3 Depreciation: "&amp;'MT 2.2 Results'!E16&amp;"/7")</f>
        <v/>
      </c>
      <c r="K45">
        <f>IF('MT 2.2 Results'!I17="","","Q3 Depreciation: "&amp;'MT 2.2 Results'!E17&amp;"/7")</f>
        <v/>
      </c>
    </row>
    <row r="46">
      <c r="A46">
        <f>IF('MT 2.2 Results'!I16="","","Q4 Price indices &amp; inflation: "&amp;'MT 2.2 Results'!F16&amp;"/6")</f>
        <v/>
      </c>
      <c r="K46">
        <f>IF('MT 2.2 Results'!I17="","","Q4 Price indices &amp; inflation: "&amp;'MT 2.2 Results'!F17&amp;"/6")</f>
        <v/>
      </c>
    </row>
    <row r="47">
      <c r="A47">
        <f>IF(OR('MT 2.2 Results'!I16="",'MT 2.2 Results'!J16=""),"",'MT 2.2 Results'!J16)</f>
        <v/>
      </c>
      <c r="K47">
        <f>IF(OR('MT 2.2 Results'!I17="",'MT 2.2 Results'!J17=""),"",'MT 2.2 Results'!J17)</f>
        <v/>
      </c>
    </row>
    <row r="49">
      <c r="A49">
        <f>IF('MT 2.2 Results'!I16="","","Comments:")</f>
        <v/>
      </c>
      <c r="K49">
        <f>IF('MT 2.2 Results'!I17="","","Comments:")</f>
        <v/>
      </c>
    </row>
    <row r="53">
      <c r="A53">
        <f>IF('MT 2.2 Results'!I18="","","Mini Test 2.2 — Personal finance")</f>
        <v/>
      </c>
      <c r="K53">
        <f>IF('MT 2.2 Results'!I19="","","Mini Test 2.2 — Personal finance")</f>
        <v/>
      </c>
    </row>
    <row r="54">
      <c r="A54">
        <f>IF('MT 2.2 Results'!I18="","","Name: "&amp;'MT 2.2 Results'!B18&amp;"   Class: "&amp;'MT 2.2 Results'!$B$3&amp;"   Date: "&amp;TEXT('MT 2.2 Results'!$B$5,"DD/MM/YY"))</f>
        <v/>
      </c>
      <c r="K54">
        <f>IF('MT 2.2 Results'!I19="","","Name: "&amp;'MT 2.2 Results'!B19&amp;"   Class: "&amp;'MT 2.2 Results'!$B$3&amp;"   Date: "&amp;TEXT('MT 2.2 Results'!$B$5,"DD/MM/YY"))</f>
        <v/>
      </c>
    </row>
    <row r="55">
      <c r="A55">
        <f>IF('MT 2.2 Results'!I18="","","Total: "&amp;'MT 2.2 Results'!G18&amp;"/26 ("&amp;TEXT('MT 2.2 Results'!H18,"0%")&amp;")   Overall: "&amp;'MT 2.2 Results'!I18)</f>
        <v/>
      </c>
      <c r="K55">
        <f>IF('MT 2.2 Results'!I19="","","Total: "&amp;'MT 2.2 Results'!G19&amp;"/26 ("&amp;TEXT('MT 2.2 Results'!H19,"0%")&amp;")   Overall: "&amp;'MT 2.2 Results'!I19)</f>
        <v/>
      </c>
    </row>
    <row r="56">
      <c r="A56">
        <f>IF('MT 2.2 Results'!I18="","",IF('MT 2.2 Results'!I18="Green",Parameters!$C$108,IF('MT 2.2 Results'!I18="Yellow",Parameters!$C$107,Parameters!$C$106)))</f>
        <v/>
      </c>
      <c r="K56">
        <f>IF('MT 2.2 Results'!I19="","",IF('MT 2.2 Results'!I19="Green",Parameters!$C$108,IF('MT 2.2 Results'!I19="Yellow",Parameters!$C$107,Parameters!$C$106)))</f>
        <v/>
      </c>
    </row>
    <row r="58">
      <c r="A58">
        <f>IF('MT 2.2 Results'!I18="","","Breakdown:")</f>
        <v/>
      </c>
      <c r="K58">
        <f>IF('MT 2.2 Results'!I19="","","Breakdown:")</f>
        <v/>
      </c>
    </row>
    <row r="59">
      <c r="A59">
        <f>IF('MT 2.2 Results'!I18="","","Q1 Comparing loans: "&amp;'MT 2.2 Results'!C18&amp;"/7")</f>
        <v/>
      </c>
      <c r="K59">
        <f>IF('MT 2.2 Results'!I19="","","Q1 Comparing loans: "&amp;'MT 2.2 Results'!C19&amp;"/7")</f>
        <v/>
      </c>
    </row>
    <row r="60">
      <c r="A60">
        <f>IF('MT 2.2 Results'!I18="","","Q2 Exchange rates: "&amp;'MT 2.2 Results'!D18&amp;"/6")</f>
        <v/>
      </c>
      <c r="K60">
        <f>IF('MT 2.2 Results'!I19="","","Q2 Exchange rates: "&amp;'MT 2.2 Results'!D19&amp;"/6")</f>
        <v/>
      </c>
    </row>
    <row r="61">
      <c r="A61">
        <f>IF('MT 2.2 Results'!I18="","","Q3 Depreciation: "&amp;'MT 2.2 Results'!E18&amp;"/7")</f>
        <v/>
      </c>
      <c r="K61">
        <f>IF('MT 2.2 Results'!I19="","","Q3 Depreciation: "&amp;'MT 2.2 Results'!E19&amp;"/7")</f>
        <v/>
      </c>
    </row>
    <row r="62">
      <c r="A62">
        <f>IF('MT 2.2 Results'!I18="","","Q4 Price indices &amp; inflation: "&amp;'MT 2.2 Results'!F18&amp;"/6")</f>
        <v/>
      </c>
      <c r="K62">
        <f>IF('MT 2.2 Results'!I19="","","Q4 Price indices &amp; inflation: "&amp;'MT 2.2 Results'!F19&amp;"/6")</f>
        <v/>
      </c>
    </row>
    <row r="63">
      <c r="A63">
        <f>IF(OR('MT 2.2 Results'!I18="",'MT 2.2 Results'!J18=""),"",'MT 2.2 Results'!J18)</f>
        <v/>
      </c>
      <c r="K63">
        <f>IF(OR('MT 2.2 Results'!I19="",'MT 2.2 Results'!J19=""),"",'MT 2.2 Results'!J19)</f>
        <v/>
      </c>
    </row>
    <row r="65">
      <c r="A65">
        <f>IF('MT 2.2 Results'!I18="","","Comments:")</f>
        <v/>
      </c>
      <c r="K65">
        <f>IF('MT 2.2 Results'!I19="","","Comments:")</f>
        <v/>
      </c>
    </row>
    <row r="69">
      <c r="A69">
        <f>IF('MT 2.2 Results'!I20="","","Mini Test 2.2 — Personal finance")</f>
        <v/>
      </c>
      <c r="K69">
        <f>IF('MT 2.2 Results'!I21="","","Mini Test 2.2 — Personal finance")</f>
        <v/>
      </c>
    </row>
    <row r="70">
      <c r="A70">
        <f>IF('MT 2.2 Results'!I20="","","Name: "&amp;'MT 2.2 Results'!B20&amp;"   Class: "&amp;'MT 2.2 Results'!$B$3&amp;"   Date: "&amp;TEXT('MT 2.2 Results'!$B$5,"DD/MM/YY"))</f>
        <v/>
      </c>
      <c r="K70">
        <f>IF('MT 2.2 Results'!I21="","","Name: "&amp;'MT 2.2 Results'!B21&amp;"   Class: "&amp;'MT 2.2 Results'!$B$3&amp;"   Date: "&amp;TEXT('MT 2.2 Results'!$B$5,"DD/MM/YY"))</f>
        <v/>
      </c>
    </row>
    <row r="71">
      <c r="A71">
        <f>IF('MT 2.2 Results'!I20="","","Total: "&amp;'MT 2.2 Results'!G20&amp;"/26 ("&amp;TEXT('MT 2.2 Results'!H20,"0%")&amp;")   Overall: "&amp;'MT 2.2 Results'!I20)</f>
        <v/>
      </c>
      <c r="K71">
        <f>IF('MT 2.2 Results'!I21="","","Total: "&amp;'MT 2.2 Results'!G21&amp;"/26 ("&amp;TEXT('MT 2.2 Results'!H21,"0%")&amp;")   Overall: "&amp;'MT 2.2 Results'!I21)</f>
        <v/>
      </c>
    </row>
    <row r="72">
      <c r="A72">
        <f>IF('MT 2.2 Results'!I20="","",IF('MT 2.2 Results'!I20="Green",Parameters!$C$108,IF('MT 2.2 Results'!I20="Yellow",Parameters!$C$107,Parameters!$C$106)))</f>
        <v/>
      </c>
      <c r="K72">
        <f>IF('MT 2.2 Results'!I21="","",IF('MT 2.2 Results'!I21="Green",Parameters!$C$108,IF('MT 2.2 Results'!I21="Yellow",Parameters!$C$107,Parameters!$C$106)))</f>
        <v/>
      </c>
    </row>
    <row r="74">
      <c r="A74">
        <f>IF('MT 2.2 Results'!I20="","","Breakdown:")</f>
        <v/>
      </c>
      <c r="K74">
        <f>IF('MT 2.2 Results'!I21="","","Breakdown:")</f>
        <v/>
      </c>
    </row>
    <row r="75">
      <c r="A75">
        <f>IF('MT 2.2 Results'!I20="","","Q1 Comparing loans: "&amp;'MT 2.2 Results'!C20&amp;"/7")</f>
        <v/>
      </c>
      <c r="K75">
        <f>IF('MT 2.2 Results'!I21="","","Q1 Comparing loans: "&amp;'MT 2.2 Results'!C21&amp;"/7")</f>
        <v/>
      </c>
    </row>
    <row r="76">
      <c r="A76">
        <f>IF('MT 2.2 Results'!I20="","","Q2 Exchange rates: "&amp;'MT 2.2 Results'!D20&amp;"/6")</f>
        <v/>
      </c>
      <c r="K76">
        <f>IF('MT 2.2 Results'!I21="","","Q2 Exchange rates: "&amp;'MT 2.2 Results'!D21&amp;"/6")</f>
        <v/>
      </c>
    </row>
    <row r="77">
      <c r="A77">
        <f>IF('MT 2.2 Results'!I20="","","Q3 Depreciation: "&amp;'MT 2.2 Results'!E20&amp;"/7")</f>
        <v/>
      </c>
      <c r="K77">
        <f>IF('MT 2.2 Results'!I21="","","Q3 Depreciation: "&amp;'MT 2.2 Results'!E21&amp;"/7")</f>
        <v/>
      </c>
    </row>
    <row r="78">
      <c r="A78">
        <f>IF('MT 2.2 Results'!I20="","","Q4 Price indices &amp; inflation: "&amp;'MT 2.2 Results'!F20&amp;"/6")</f>
        <v/>
      </c>
      <c r="K78">
        <f>IF('MT 2.2 Results'!I21="","","Q4 Price indices &amp; inflation: "&amp;'MT 2.2 Results'!F21&amp;"/6")</f>
        <v/>
      </c>
    </row>
    <row r="79">
      <c r="A79">
        <f>IF(OR('MT 2.2 Results'!I20="",'MT 2.2 Results'!J20=""),"",'MT 2.2 Results'!J20)</f>
        <v/>
      </c>
      <c r="K79">
        <f>IF(OR('MT 2.2 Results'!I21="",'MT 2.2 Results'!J21=""),"",'MT 2.2 Results'!J21)</f>
        <v/>
      </c>
    </row>
    <row r="81">
      <c r="A81">
        <f>IF('MT 2.2 Results'!I20="","","Comments:")</f>
        <v/>
      </c>
      <c r="K81">
        <f>IF('MT 2.2 Results'!I21="","","Comments:")</f>
        <v/>
      </c>
    </row>
    <row r="85">
      <c r="A85">
        <f>IF('MT 2.2 Results'!I22="","","Mini Test 2.2 — Personal finance")</f>
        <v/>
      </c>
      <c r="K85">
        <f>IF('MT 2.2 Results'!I23="","","Mini Test 2.2 — Personal finance")</f>
        <v/>
      </c>
    </row>
    <row r="86">
      <c r="A86">
        <f>IF('MT 2.2 Results'!I22="","","Name: "&amp;'MT 2.2 Results'!B22&amp;"   Class: "&amp;'MT 2.2 Results'!$B$3&amp;"   Date: "&amp;TEXT('MT 2.2 Results'!$B$5,"DD/MM/YY"))</f>
        <v/>
      </c>
      <c r="K86">
        <f>IF('MT 2.2 Results'!I23="","","Name: "&amp;'MT 2.2 Results'!B23&amp;"   Class: "&amp;'MT 2.2 Results'!$B$3&amp;"   Date: "&amp;TEXT('MT 2.2 Results'!$B$5,"DD/MM/YY"))</f>
        <v/>
      </c>
    </row>
    <row r="87">
      <c r="A87">
        <f>IF('MT 2.2 Results'!I22="","","Total: "&amp;'MT 2.2 Results'!G22&amp;"/26 ("&amp;TEXT('MT 2.2 Results'!H22,"0%")&amp;")   Overall: "&amp;'MT 2.2 Results'!I22)</f>
        <v/>
      </c>
      <c r="K87">
        <f>IF('MT 2.2 Results'!I23="","","Total: "&amp;'MT 2.2 Results'!G23&amp;"/26 ("&amp;TEXT('MT 2.2 Results'!H23,"0%")&amp;")   Overall: "&amp;'MT 2.2 Results'!I23)</f>
        <v/>
      </c>
    </row>
    <row r="88">
      <c r="A88">
        <f>IF('MT 2.2 Results'!I22="","",IF('MT 2.2 Results'!I22="Green",Parameters!$C$108,IF('MT 2.2 Results'!I22="Yellow",Parameters!$C$107,Parameters!$C$106)))</f>
        <v/>
      </c>
      <c r="K88">
        <f>IF('MT 2.2 Results'!I23="","",IF('MT 2.2 Results'!I23="Green",Parameters!$C$108,IF('MT 2.2 Results'!I23="Yellow",Parameters!$C$107,Parameters!$C$106)))</f>
        <v/>
      </c>
    </row>
    <row r="90">
      <c r="A90">
        <f>IF('MT 2.2 Results'!I22="","","Breakdown:")</f>
        <v/>
      </c>
      <c r="K90">
        <f>IF('MT 2.2 Results'!I23="","","Breakdown:")</f>
        <v/>
      </c>
    </row>
    <row r="91">
      <c r="A91">
        <f>IF('MT 2.2 Results'!I22="","","Q1 Comparing loans: "&amp;'MT 2.2 Results'!C22&amp;"/7")</f>
        <v/>
      </c>
      <c r="K91">
        <f>IF('MT 2.2 Results'!I23="","","Q1 Comparing loans: "&amp;'MT 2.2 Results'!C23&amp;"/7")</f>
        <v/>
      </c>
    </row>
    <row r="92">
      <c r="A92">
        <f>IF('MT 2.2 Results'!I22="","","Q2 Exchange rates: "&amp;'MT 2.2 Results'!D22&amp;"/6")</f>
        <v/>
      </c>
      <c r="K92">
        <f>IF('MT 2.2 Results'!I23="","","Q2 Exchange rates: "&amp;'MT 2.2 Results'!D23&amp;"/6")</f>
        <v/>
      </c>
    </row>
    <row r="93">
      <c r="A93">
        <f>IF('MT 2.2 Results'!I22="","","Q3 Depreciation: "&amp;'MT 2.2 Results'!E22&amp;"/7")</f>
        <v/>
      </c>
      <c r="K93">
        <f>IF('MT 2.2 Results'!I23="","","Q3 Depreciation: "&amp;'MT 2.2 Results'!E23&amp;"/7")</f>
        <v/>
      </c>
    </row>
    <row r="94">
      <c r="A94">
        <f>IF('MT 2.2 Results'!I22="","","Q4 Price indices &amp; inflation: "&amp;'MT 2.2 Results'!F22&amp;"/6")</f>
        <v/>
      </c>
      <c r="K94">
        <f>IF('MT 2.2 Results'!I23="","","Q4 Price indices &amp; inflation: "&amp;'MT 2.2 Results'!F23&amp;"/6")</f>
        <v/>
      </c>
    </row>
    <row r="95">
      <c r="A95">
        <f>IF(OR('MT 2.2 Results'!I22="",'MT 2.2 Results'!J22=""),"",'MT 2.2 Results'!J22)</f>
        <v/>
      </c>
      <c r="K95">
        <f>IF(OR('MT 2.2 Results'!I23="",'MT 2.2 Results'!J23=""),"",'MT 2.2 Results'!J23)</f>
        <v/>
      </c>
    </row>
    <row r="97">
      <c r="A97">
        <f>IF('MT 2.2 Results'!I22="","","Comments:")</f>
        <v/>
      </c>
      <c r="K97">
        <f>IF('MT 2.2 Results'!I23="","","Comments:")</f>
        <v/>
      </c>
    </row>
    <row r="101">
      <c r="A101">
        <f>IF('MT 2.2 Results'!I24="","","Mini Test 2.2 — Personal finance")</f>
        <v/>
      </c>
      <c r="K101">
        <f>IF('MT 2.2 Results'!I25="","","Mini Test 2.2 — Personal finance")</f>
        <v/>
      </c>
    </row>
    <row r="102">
      <c r="A102">
        <f>IF('MT 2.2 Results'!I24="","","Name: "&amp;'MT 2.2 Results'!B24&amp;"   Class: "&amp;'MT 2.2 Results'!$B$3&amp;"   Date: "&amp;TEXT('MT 2.2 Results'!$B$5,"DD/MM/YY"))</f>
        <v/>
      </c>
      <c r="K102">
        <f>IF('MT 2.2 Results'!I25="","","Name: "&amp;'MT 2.2 Results'!B25&amp;"   Class: "&amp;'MT 2.2 Results'!$B$3&amp;"   Date: "&amp;TEXT('MT 2.2 Results'!$B$5,"DD/MM/YY"))</f>
        <v/>
      </c>
    </row>
    <row r="103">
      <c r="A103">
        <f>IF('MT 2.2 Results'!I24="","","Total: "&amp;'MT 2.2 Results'!G24&amp;"/26 ("&amp;TEXT('MT 2.2 Results'!H24,"0%")&amp;")   Overall: "&amp;'MT 2.2 Results'!I24)</f>
        <v/>
      </c>
      <c r="K103">
        <f>IF('MT 2.2 Results'!I25="","","Total: "&amp;'MT 2.2 Results'!G25&amp;"/26 ("&amp;TEXT('MT 2.2 Results'!H25,"0%")&amp;")   Overall: "&amp;'MT 2.2 Results'!I25)</f>
        <v/>
      </c>
    </row>
    <row r="104">
      <c r="A104">
        <f>IF('MT 2.2 Results'!I24="","",IF('MT 2.2 Results'!I24="Green",Parameters!$C$108,IF('MT 2.2 Results'!I24="Yellow",Parameters!$C$107,Parameters!$C$106)))</f>
        <v/>
      </c>
      <c r="K104">
        <f>IF('MT 2.2 Results'!I25="","",IF('MT 2.2 Results'!I25="Green",Parameters!$C$108,IF('MT 2.2 Results'!I25="Yellow",Parameters!$C$107,Parameters!$C$106)))</f>
        <v/>
      </c>
    </row>
    <row r="106">
      <c r="A106">
        <f>IF('MT 2.2 Results'!I24="","","Breakdown:")</f>
        <v/>
      </c>
      <c r="K106">
        <f>IF('MT 2.2 Results'!I25="","","Breakdown:")</f>
        <v/>
      </c>
    </row>
    <row r="107">
      <c r="A107">
        <f>IF('MT 2.2 Results'!I24="","","Q1 Comparing loans: "&amp;'MT 2.2 Results'!C24&amp;"/7")</f>
        <v/>
      </c>
      <c r="K107">
        <f>IF('MT 2.2 Results'!I25="","","Q1 Comparing loans: "&amp;'MT 2.2 Results'!C25&amp;"/7")</f>
        <v/>
      </c>
    </row>
    <row r="108">
      <c r="A108">
        <f>IF('MT 2.2 Results'!I24="","","Q2 Exchange rates: "&amp;'MT 2.2 Results'!D24&amp;"/6")</f>
        <v/>
      </c>
      <c r="K108">
        <f>IF('MT 2.2 Results'!I25="","","Q2 Exchange rates: "&amp;'MT 2.2 Results'!D25&amp;"/6")</f>
        <v/>
      </c>
    </row>
    <row r="109">
      <c r="A109">
        <f>IF('MT 2.2 Results'!I24="","","Q3 Depreciation: "&amp;'MT 2.2 Results'!E24&amp;"/7")</f>
        <v/>
      </c>
      <c r="K109">
        <f>IF('MT 2.2 Results'!I25="","","Q3 Depreciation: "&amp;'MT 2.2 Results'!E25&amp;"/7")</f>
        <v/>
      </c>
    </row>
    <row r="110">
      <c r="A110">
        <f>IF('MT 2.2 Results'!I24="","","Q4 Price indices &amp; inflation: "&amp;'MT 2.2 Results'!F24&amp;"/6")</f>
        <v/>
      </c>
      <c r="K110">
        <f>IF('MT 2.2 Results'!I25="","","Q4 Price indices &amp; inflation: "&amp;'MT 2.2 Results'!F25&amp;"/6")</f>
        <v/>
      </c>
    </row>
    <row r="111">
      <c r="A111">
        <f>IF(OR('MT 2.2 Results'!I24="",'MT 2.2 Results'!J24=""),"",'MT 2.2 Results'!J24)</f>
        <v/>
      </c>
      <c r="K111">
        <f>IF(OR('MT 2.2 Results'!I25="",'MT 2.2 Results'!J25=""),"",'MT 2.2 Results'!J25)</f>
        <v/>
      </c>
    </row>
    <row r="113">
      <c r="A113">
        <f>IF('MT 2.2 Results'!I24="","","Comments:")</f>
        <v/>
      </c>
      <c r="K113">
        <f>IF('MT 2.2 Results'!I25="","","Comments:")</f>
        <v/>
      </c>
    </row>
    <row r="117">
      <c r="A117">
        <f>IF('MT 2.2 Results'!I26="","","Mini Test 2.2 — Personal finance")</f>
        <v/>
      </c>
      <c r="K117">
        <f>IF('MT 2.2 Results'!I27="","","Mini Test 2.2 — Personal finance")</f>
        <v/>
      </c>
    </row>
    <row r="118">
      <c r="A118">
        <f>IF('MT 2.2 Results'!I26="","","Name: "&amp;'MT 2.2 Results'!B26&amp;"   Class: "&amp;'MT 2.2 Results'!$B$3&amp;"   Date: "&amp;TEXT('MT 2.2 Results'!$B$5,"DD/MM/YY"))</f>
        <v/>
      </c>
      <c r="K118">
        <f>IF('MT 2.2 Results'!I27="","","Name: "&amp;'MT 2.2 Results'!B27&amp;"   Class: "&amp;'MT 2.2 Results'!$B$3&amp;"   Date: "&amp;TEXT('MT 2.2 Results'!$B$5,"DD/MM/YY"))</f>
        <v/>
      </c>
    </row>
    <row r="119">
      <c r="A119">
        <f>IF('MT 2.2 Results'!I26="","","Total: "&amp;'MT 2.2 Results'!G26&amp;"/26 ("&amp;TEXT('MT 2.2 Results'!H26,"0%")&amp;")   Overall: "&amp;'MT 2.2 Results'!I26)</f>
        <v/>
      </c>
      <c r="K119">
        <f>IF('MT 2.2 Results'!I27="","","Total: "&amp;'MT 2.2 Results'!G27&amp;"/26 ("&amp;TEXT('MT 2.2 Results'!H27,"0%")&amp;")   Overall: "&amp;'MT 2.2 Results'!I27)</f>
        <v/>
      </c>
    </row>
    <row r="120">
      <c r="A120">
        <f>IF('MT 2.2 Results'!I26="","",IF('MT 2.2 Results'!I26="Green",Parameters!$C$108,IF('MT 2.2 Results'!I26="Yellow",Parameters!$C$107,Parameters!$C$106)))</f>
        <v/>
      </c>
      <c r="K120">
        <f>IF('MT 2.2 Results'!I27="","",IF('MT 2.2 Results'!I27="Green",Parameters!$C$108,IF('MT 2.2 Results'!I27="Yellow",Parameters!$C$107,Parameters!$C$106)))</f>
        <v/>
      </c>
    </row>
    <row r="122">
      <c r="A122">
        <f>IF('MT 2.2 Results'!I26="","","Breakdown:")</f>
        <v/>
      </c>
      <c r="K122">
        <f>IF('MT 2.2 Results'!I27="","","Breakdown:")</f>
        <v/>
      </c>
    </row>
    <row r="123">
      <c r="A123">
        <f>IF('MT 2.2 Results'!I26="","","Q1 Comparing loans: "&amp;'MT 2.2 Results'!C26&amp;"/7")</f>
        <v/>
      </c>
      <c r="K123">
        <f>IF('MT 2.2 Results'!I27="","","Q1 Comparing loans: "&amp;'MT 2.2 Results'!C27&amp;"/7")</f>
        <v/>
      </c>
    </row>
    <row r="124">
      <c r="A124">
        <f>IF('MT 2.2 Results'!I26="","","Q2 Exchange rates: "&amp;'MT 2.2 Results'!D26&amp;"/6")</f>
        <v/>
      </c>
      <c r="K124">
        <f>IF('MT 2.2 Results'!I27="","","Q2 Exchange rates: "&amp;'MT 2.2 Results'!D27&amp;"/6")</f>
        <v/>
      </c>
    </row>
    <row r="125">
      <c r="A125">
        <f>IF('MT 2.2 Results'!I26="","","Q3 Depreciation: "&amp;'MT 2.2 Results'!E26&amp;"/7")</f>
        <v/>
      </c>
      <c r="K125">
        <f>IF('MT 2.2 Results'!I27="","","Q3 Depreciation: "&amp;'MT 2.2 Results'!E27&amp;"/7")</f>
        <v/>
      </c>
    </row>
    <row r="126">
      <c r="A126">
        <f>IF('MT 2.2 Results'!I26="","","Q4 Price indices &amp; inflation: "&amp;'MT 2.2 Results'!F26&amp;"/6")</f>
        <v/>
      </c>
      <c r="K126">
        <f>IF('MT 2.2 Results'!I27="","","Q4 Price indices &amp; inflation: "&amp;'MT 2.2 Results'!F27&amp;"/6")</f>
        <v/>
      </c>
    </row>
    <row r="127">
      <c r="A127">
        <f>IF(OR('MT 2.2 Results'!I26="",'MT 2.2 Results'!J26=""),"",'MT 2.2 Results'!J26)</f>
        <v/>
      </c>
      <c r="K127">
        <f>IF(OR('MT 2.2 Results'!I27="",'MT 2.2 Results'!J27=""),"",'MT 2.2 Results'!J27)</f>
        <v/>
      </c>
    </row>
    <row r="129">
      <c r="A129">
        <f>IF('MT 2.2 Results'!I26="","","Comments:")</f>
        <v/>
      </c>
      <c r="K129">
        <f>IF('MT 2.2 Results'!I27="","","Comments:")</f>
        <v/>
      </c>
    </row>
    <row r="133">
      <c r="A133">
        <f>IF('MT 2.2 Results'!I28="","","Mini Test 2.2 — Personal finance")</f>
        <v/>
      </c>
      <c r="K133">
        <f>IF('MT 2.2 Results'!I29="","","Mini Test 2.2 — Personal finance")</f>
        <v/>
      </c>
    </row>
    <row r="134">
      <c r="A134">
        <f>IF('MT 2.2 Results'!I28="","","Name: "&amp;'MT 2.2 Results'!B28&amp;"   Class: "&amp;'MT 2.2 Results'!$B$3&amp;"   Date: "&amp;TEXT('MT 2.2 Results'!$B$5,"DD/MM/YY"))</f>
        <v/>
      </c>
      <c r="K134">
        <f>IF('MT 2.2 Results'!I29="","","Name: "&amp;'MT 2.2 Results'!B29&amp;"   Class: "&amp;'MT 2.2 Results'!$B$3&amp;"   Date: "&amp;TEXT('MT 2.2 Results'!$B$5,"DD/MM/YY"))</f>
        <v/>
      </c>
    </row>
    <row r="135">
      <c r="A135">
        <f>IF('MT 2.2 Results'!I28="","","Total: "&amp;'MT 2.2 Results'!G28&amp;"/26 ("&amp;TEXT('MT 2.2 Results'!H28,"0%")&amp;")   Overall: "&amp;'MT 2.2 Results'!I28)</f>
        <v/>
      </c>
      <c r="K135">
        <f>IF('MT 2.2 Results'!I29="","","Total: "&amp;'MT 2.2 Results'!G29&amp;"/26 ("&amp;TEXT('MT 2.2 Results'!H29,"0%")&amp;")   Overall: "&amp;'MT 2.2 Results'!I29)</f>
        <v/>
      </c>
    </row>
    <row r="136">
      <c r="A136">
        <f>IF('MT 2.2 Results'!I28="","",IF('MT 2.2 Results'!I28="Green",Parameters!$C$108,IF('MT 2.2 Results'!I28="Yellow",Parameters!$C$107,Parameters!$C$106)))</f>
        <v/>
      </c>
      <c r="K136">
        <f>IF('MT 2.2 Results'!I29="","",IF('MT 2.2 Results'!I29="Green",Parameters!$C$108,IF('MT 2.2 Results'!I29="Yellow",Parameters!$C$107,Parameters!$C$106)))</f>
        <v/>
      </c>
    </row>
    <row r="138">
      <c r="A138">
        <f>IF('MT 2.2 Results'!I28="","","Breakdown:")</f>
        <v/>
      </c>
      <c r="K138">
        <f>IF('MT 2.2 Results'!I29="","","Breakdown:")</f>
        <v/>
      </c>
    </row>
    <row r="139">
      <c r="A139">
        <f>IF('MT 2.2 Results'!I28="","","Q1 Comparing loans: "&amp;'MT 2.2 Results'!C28&amp;"/7")</f>
        <v/>
      </c>
      <c r="K139">
        <f>IF('MT 2.2 Results'!I29="","","Q1 Comparing loans: "&amp;'MT 2.2 Results'!C29&amp;"/7")</f>
        <v/>
      </c>
    </row>
    <row r="140">
      <c r="A140">
        <f>IF('MT 2.2 Results'!I28="","","Q2 Exchange rates: "&amp;'MT 2.2 Results'!D28&amp;"/6")</f>
        <v/>
      </c>
      <c r="K140">
        <f>IF('MT 2.2 Results'!I29="","","Q2 Exchange rates: "&amp;'MT 2.2 Results'!D29&amp;"/6")</f>
        <v/>
      </c>
    </row>
    <row r="141">
      <c r="A141">
        <f>IF('MT 2.2 Results'!I28="","","Q3 Depreciation: "&amp;'MT 2.2 Results'!E28&amp;"/7")</f>
        <v/>
      </c>
      <c r="K141">
        <f>IF('MT 2.2 Results'!I29="","","Q3 Depreciation: "&amp;'MT 2.2 Results'!E29&amp;"/7")</f>
        <v/>
      </c>
    </row>
    <row r="142">
      <c r="A142">
        <f>IF('MT 2.2 Results'!I28="","","Q4 Price indices &amp; inflation: "&amp;'MT 2.2 Results'!F28&amp;"/6")</f>
        <v/>
      </c>
      <c r="K142">
        <f>IF('MT 2.2 Results'!I29="","","Q4 Price indices &amp; inflation: "&amp;'MT 2.2 Results'!F29&amp;"/6")</f>
        <v/>
      </c>
    </row>
    <row r="143">
      <c r="A143">
        <f>IF(OR('MT 2.2 Results'!I28="",'MT 2.2 Results'!J28=""),"",'MT 2.2 Results'!J28)</f>
        <v/>
      </c>
      <c r="K143">
        <f>IF(OR('MT 2.2 Results'!I29="",'MT 2.2 Results'!J29=""),"",'MT 2.2 Results'!J29)</f>
        <v/>
      </c>
    </row>
    <row r="145">
      <c r="A145">
        <f>IF('MT 2.2 Results'!I28="","","Comments:")</f>
        <v/>
      </c>
      <c r="K145">
        <f>IF('MT 2.2 Results'!I29="","","Comments:")</f>
        <v/>
      </c>
    </row>
    <row r="149">
      <c r="A149">
        <f>IF('MT 2.2 Results'!I30="","","Mini Test 2.2 — Personal finance")</f>
        <v/>
      </c>
      <c r="K149">
        <f>IF('MT 2.2 Results'!I31="","","Mini Test 2.2 — Personal finance")</f>
        <v/>
      </c>
    </row>
    <row r="150">
      <c r="A150">
        <f>IF('MT 2.2 Results'!I30="","","Name: "&amp;'MT 2.2 Results'!B30&amp;"   Class: "&amp;'MT 2.2 Results'!$B$3&amp;"   Date: "&amp;TEXT('MT 2.2 Results'!$B$5,"DD/MM/YY"))</f>
        <v/>
      </c>
      <c r="K150">
        <f>IF('MT 2.2 Results'!I31="","","Name: "&amp;'MT 2.2 Results'!B31&amp;"   Class: "&amp;'MT 2.2 Results'!$B$3&amp;"   Date: "&amp;TEXT('MT 2.2 Results'!$B$5,"DD/MM/YY"))</f>
        <v/>
      </c>
    </row>
    <row r="151">
      <c r="A151">
        <f>IF('MT 2.2 Results'!I30="","","Total: "&amp;'MT 2.2 Results'!G30&amp;"/26 ("&amp;TEXT('MT 2.2 Results'!H30,"0%")&amp;")   Overall: "&amp;'MT 2.2 Results'!I30)</f>
        <v/>
      </c>
      <c r="K151">
        <f>IF('MT 2.2 Results'!I31="","","Total: "&amp;'MT 2.2 Results'!G31&amp;"/26 ("&amp;TEXT('MT 2.2 Results'!H31,"0%")&amp;")   Overall: "&amp;'MT 2.2 Results'!I31)</f>
        <v/>
      </c>
    </row>
    <row r="152">
      <c r="A152">
        <f>IF('MT 2.2 Results'!I30="","",IF('MT 2.2 Results'!I30="Green",Parameters!$C$108,IF('MT 2.2 Results'!I30="Yellow",Parameters!$C$107,Parameters!$C$106)))</f>
        <v/>
      </c>
      <c r="K152">
        <f>IF('MT 2.2 Results'!I31="","",IF('MT 2.2 Results'!I31="Green",Parameters!$C$108,IF('MT 2.2 Results'!I31="Yellow",Parameters!$C$107,Parameters!$C$106)))</f>
        <v/>
      </c>
    </row>
    <row r="154">
      <c r="A154">
        <f>IF('MT 2.2 Results'!I30="","","Breakdown:")</f>
        <v/>
      </c>
      <c r="K154">
        <f>IF('MT 2.2 Results'!I31="","","Breakdown:")</f>
        <v/>
      </c>
    </row>
    <row r="155">
      <c r="A155">
        <f>IF('MT 2.2 Results'!I30="","","Q1 Comparing loans: "&amp;'MT 2.2 Results'!C30&amp;"/7")</f>
        <v/>
      </c>
      <c r="K155">
        <f>IF('MT 2.2 Results'!I31="","","Q1 Comparing loans: "&amp;'MT 2.2 Results'!C31&amp;"/7")</f>
        <v/>
      </c>
    </row>
    <row r="156">
      <c r="A156">
        <f>IF('MT 2.2 Results'!I30="","","Q2 Exchange rates: "&amp;'MT 2.2 Results'!D30&amp;"/6")</f>
        <v/>
      </c>
      <c r="K156">
        <f>IF('MT 2.2 Results'!I31="","","Q2 Exchange rates: "&amp;'MT 2.2 Results'!D31&amp;"/6")</f>
        <v/>
      </c>
    </row>
    <row r="157">
      <c r="A157">
        <f>IF('MT 2.2 Results'!I30="","","Q3 Depreciation: "&amp;'MT 2.2 Results'!E30&amp;"/7")</f>
        <v/>
      </c>
      <c r="K157">
        <f>IF('MT 2.2 Results'!I31="","","Q3 Depreciation: "&amp;'MT 2.2 Results'!E31&amp;"/7")</f>
        <v/>
      </c>
    </row>
    <row r="158">
      <c r="A158">
        <f>IF('MT 2.2 Results'!I30="","","Q4 Price indices &amp; inflation: "&amp;'MT 2.2 Results'!F30&amp;"/6")</f>
        <v/>
      </c>
      <c r="K158">
        <f>IF('MT 2.2 Results'!I31="","","Q4 Price indices &amp; inflation: "&amp;'MT 2.2 Results'!F31&amp;"/6")</f>
        <v/>
      </c>
    </row>
    <row r="159">
      <c r="A159">
        <f>IF(OR('MT 2.2 Results'!I30="",'MT 2.2 Results'!J30=""),"",'MT 2.2 Results'!J30)</f>
        <v/>
      </c>
      <c r="K159">
        <f>IF(OR('MT 2.2 Results'!I31="",'MT 2.2 Results'!J31=""),"",'MT 2.2 Results'!J31)</f>
        <v/>
      </c>
    </row>
    <row r="161">
      <c r="A161">
        <f>IF('MT 2.2 Results'!I30="","","Comments:")</f>
        <v/>
      </c>
      <c r="K161">
        <f>IF('MT 2.2 Results'!I31="","","Comments:")</f>
        <v/>
      </c>
    </row>
    <row r="165">
      <c r="A165">
        <f>IF('MT 2.2 Results'!I32="","","Mini Test 2.2 — Personal finance")</f>
        <v/>
      </c>
      <c r="K165">
        <f>IF('MT 2.2 Results'!I33="","","Mini Test 2.2 — Personal finance")</f>
        <v/>
      </c>
    </row>
    <row r="166">
      <c r="A166">
        <f>IF('MT 2.2 Results'!I32="","","Name: "&amp;'MT 2.2 Results'!B32&amp;"   Class: "&amp;'MT 2.2 Results'!$B$3&amp;"   Date: "&amp;TEXT('MT 2.2 Results'!$B$5,"DD/MM/YY"))</f>
        <v/>
      </c>
      <c r="K166">
        <f>IF('MT 2.2 Results'!I33="","","Name: "&amp;'MT 2.2 Results'!B33&amp;"   Class: "&amp;'MT 2.2 Results'!$B$3&amp;"   Date: "&amp;TEXT('MT 2.2 Results'!$B$5,"DD/MM/YY"))</f>
        <v/>
      </c>
    </row>
    <row r="167">
      <c r="A167">
        <f>IF('MT 2.2 Results'!I32="","","Total: "&amp;'MT 2.2 Results'!G32&amp;"/26 ("&amp;TEXT('MT 2.2 Results'!H32,"0%")&amp;")   Overall: "&amp;'MT 2.2 Results'!I32)</f>
        <v/>
      </c>
      <c r="K167">
        <f>IF('MT 2.2 Results'!I33="","","Total: "&amp;'MT 2.2 Results'!G33&amp;"/26 ("&amp;TEXT('MT 2.2 Results'!H33,"0%")&amp;")   Overall: "&amp;'MT 2.2 Results'!I33)</f>
        <v/>
      </c>
    </row>
    <row r="168">
      <c r="A168">
        <f>IF('MT 2.2 Results'!I32="","",IF('MT 2.2 Results'!I32="Green",Parameters!$C$108,IF('MT 2.2 Results'!I32="Yellow",Parameters!$C$107,Parameters!$C$106)))</f>
        <v/>
      </c>
      <c r="K168">
        <f>IF('MT 2.2 Results'!I33="","",IF('MT 2.2 Results'!I33="Green",Parameters!$C$108,IF('MT 2.2 Results'!I33="Yellow",Parameters!$C$107,Parameters!$C$106)))</f>
        <v/>
      </c>
    </row>
    <row r="170">
      <c r="A170">
        <f>IF('MT 2.2 Results'!I32="","","Breakdown:")</f>
        <v/>
      </c>
      <c r="K170">
        <f>IF('MT 2.2 Results'!I33="","","Breakdown:")</f>
        <v/>
      </c>
    </row>
    <row r="171">
      <c r="A171">
        <f>IF('MT 2.2 Results'!I32="","","Q1 Comparing loans: "&amp;'MT 2.2 Results'!C32&amp;"/7")</f>
        <v/>
      </c>
      <c r="K171">
        <f>IF('MT 2.2 Results'!I33="","","Q1 Comparing loans: "&amp;'MT 2.2 Results'!C33&amp;"/7")</f>
        <v/>
      </c>
    </row>
    <row r="172">
      <c r="A172">
        <f>IF('MT 2.2 Results'!I32="","","Q2 Exchange rates: "&amp;'MT 2.2 Results'!D32&amp;"/6")</f>
        <v/>
      </c>
      <c r="K172">
        <f>IF('MT 2.2 Results'!I33="","","Q2 Exchange rates: "&amp;'MT 2.2 Results'!D33&amp;"/6")</f>
        <v/>
      </c>
    </row>
    <row r="173">
      <c r="A173">
        <f>IF('MT 2.2 Results'!I32="","","Q3 Depreciation: "&amp;'MT 2.2 Results'!E32&amp;"/7")</f>
        <v/>
      </c>
      <c r="K173">
        <f>IF('MT 2.2 Results'!I33="","","Q3 Depreciation: "&amp;'MT 2.2 Results'!E33&amp;"/7")</f>
        <v/>
      </c>
    </row>
    <row r="174">
      <c r="A174">
        <f>IF('MT 2.2 Results'!I32="","","Q4 Price indices &amp; inflation: "&amp;'MT 2.2 Results'!F32&amp;"/6")</f>
        <v/>
      </c>
      <c r="K174">
        <f>IF('MT 2.2 Results'!I33="","","Q4 Price indices &amp; inflation: "&amp;'MT 2.2 Results'!F33&amp;"/6")</f>
        <v/>
      </c>
    </row>
    <row r="175">
      <c r="A175">
        <f>IF(OR('MT 2.2 Results'!I32="",'MT 2.2 Results'!J32=""),"",'MT 2.2 Results'!J32)</f>
        <v/>
      </c>
      <c r="K175">
        <f>IF(OR('MT 2.2 Results'!I33="",'MT 2.2 Results'!J33=""),"",'MT 2.2 Results'!J33)</f>
        <v/>
      </c>
    </row>
    <row r="177">
      <c r="A177">
        <f>IF('MT 2.2 Results'!I32="","","Comments:")</f>
        <v/>
      </c>
      <c r="K177">
        <f>IF('MT 2.2 Results'!I33="","","Comments:")</f>
        <v/>
      </c>
    </row>
    <row r="181">
      <c r="A181">
        <f>IF('MT 2.2 Results'!I34="","","Mini Test 2.2 — Personal finance")</f>
        <v/>
      </c>
      <c r="K181">
        <f>IF('MT 2.2 Results'!I35="","","Mini Test 2.2 — Personal finance")</f>
        <v/>
      </c>
    </row>
    <row r="182">
      <c r="A182">
        <f>IF('MT 2.2 Results'!I34="","","Name: "&amp;'MT 2.2 Results'!B34&amp;"   Class: "&amp;'MT 2.2 Results'!$B$3&amp;"   Date: "&amp;TEXT('MT 2.2 Results'!$B$5,"DD/MM/YY"))</f>
        <v/>
      </c>
      <c r="K182">
        <f>IF('MT 2.2 Results'!I35="","","Name: "&amp;'MT 2.2 Results'!B35&amp;"   Class: "&amp;'MT 2.2 Results'!$B$3&amp;"   Date: "&amp;TEXT('MT 2.2 Results'!$B$5,"DD/MM/YY"))</f>
        <v/>
      </c>
    </row>
    <row r="183">
      <c r="A183">
        <f>IF('MT 2.2 Results'!I34="","","Total: "&amp;'MT 2.2 Results'!G34&amp;"/26 ("&amp;TEXT('MT 2.2 Results'!H34,"0%")&amp;")   Overall: "&amp;'MT 2.2 Results'!I34)</f>
        <v/>
      </c>
      <c r="K183">
        <f>IF('MT 2.2 Results'!I35="","","Total: "&amp;'MT 2.2 Results'!G35&amp;"/26 ("&amp;TEXT('MT 2.2 Results'!H35,"0%")&amp;")   Overall: "&amp;'MT 2.2 Results'!I35)</f>
        <v/>
      </c>
    </row>
    <row r="184">
      <c r="A184">
        <f>IF('MT 2.2 Results'!I34="","",IF('MT 2.2 Results'!I34="Green",Parameters!$C$108,IF('MT 2.2 Results'!I34="Yellow",Parameters!$C$107,Parameters!$C$106)))</f>
        <v/>
      </c>
      <c r="K184">
        <f>IF('MT 2.2 Results'!I35="","",IF('MT 2.2 Results'!I35="Green",Parameters!$C$108,IF('MT 2.2 Results'!I35="Yellow",Parameters!$C$107,Parameters!$C$106)))</f>
        <v/>
      </c>
    </row>
    <row r="186">
      <c r="A186">
        <f>IF('MT 2.2 Results'!I34="","","Breakdown:")</f>
        <v/>
      </c>
      <c r="K186">
        <f>IF('MT 2.2 Results'!I35="","","Breakdown:")</f>
        <v/>
      </c>
    </row>
    <row r="187">
      <c r="A187">
        <f>IF('MT 2.2 Results'!I34="","","Q1 Comparing loans: "&amp;'MT 2.2 Results'!C34&amp;"/7")</f>
        <v/>
      </c>
      <c r="K187">
        <f>IF('MT 2.2 Results'!I35="","","Q1 Comparing loans: "&amp;'MT 2.2 Results'!C35&amp;"/7")</f>
        <v/>
      </c>
    </row>
    <row r="188">
      <c r="A188">
        <f>IF('MT 2.2 Results'!I34="","","Q2 Exchange rates: "&amp;'MT 2.2 Results'!D34&amp;"/6")</f>
        <v/>
      </c>
      <c r="K188">
        <f>IF('MT 2.2 Results'!I35="","","Q2 Exchange rates: "&amp;'MT 2.2 Results'!D35&amp;"/6")</f>
        <v/>
      </c>
    </row>
    <row r="189">
      <c r="A189">
        <f>IF('MT 2.2 Results'!I34="","","Q3 Depreciation: "&amp;'MT 2.2 Results'!E34&amp;"/7")</f>
        <v/>
      </c>
      <c r="K189">
        <f>IF('MT 2.2 Results'!I35="","","Q3 Depreciation: "&amp;'MT 2.2 Results'!E35&amp;"/7")</f>
        <v/>
      </c>
    </row>
    <row r="190">
      <c r="A190">
        <f>IF('MT 2.2 Results'!I34="","","Q4 Price indices &amp; inflation: "&amp;'MT 2.2 Results'!F34&amp;"/6")</f>
        <v/>
      </c>
      <c r="K190">
        <f>IF('MT 2.2 Results'!I35="","","Q4 Price indices &amp; inflation: "&amp;'MT 2.2 Results'!F35&amp;"/6")</f>
        <v/>
      </c>
    </row>
    <row r="191">
      <c r="A191">
        <f>IF(OR('MT 2.2 Results'!I34="",'MT 2.2 Results'!J34=""),"",'MT 2.2 Results'!J34)</f>
        <v/>
      </c>
      <c r="K191">
        <f>IF(OR('MT 2.2 Results'!I35="",'MT 2.2 Results'!J35=""),"",'MT 2.2 Results'!J35)</f>
        <v/>
      </c>
    </row>
    <row r="193">
      <c r="A193">
        <f>IF('MT 2.2 Results'!I34="","","Comments:")</f>
        <v/>
      </c>
      <c r="K193">
        <f>IF('MT 2.2 Results'!I35="","","Comments:")</f>
        <v/>
      </c>
    </row>
    <row r="197">
      <c r="A197">
        <f>IF('MT 2.2 Results'!I36="","","Mini Test 2.2 — Personal finance")</f>
        <v/>
      </c>
      <c r="K197">
        <f>IF('MT 2.2 Results'!I37="","","Mini Test 2.2 — Personal finance")</f>
        <v/>
      </c>
    </row>
    <row r="198">
      <c r="A198">
        <f>IF('MT 2.2 Results'!I36="","","Name: "&amp;'MT 2.2 Results'!B36&amp;"   Class: "&amp;'MT 2.2 Results'!$B$3&amp;"   Date: "&amp;TEXT('MT 2.2 Results'!$B$5,"DD/MM/YY"))</f>
        <v/>
      </c>
      <c r="K198">
        <f>IF('MT 2.2 Results'!I37="","","Name: "&amp;'MT 2.2 Results'!B37&amp;"   Class: "&amp;'MT 2.2 Results'!$B$3&amp;"   Date: "&amp;TEXT('MT 2.2 Results'!$B$5,"DD/MM/YY"))</f>
        <v/>
      </c>
    </row>
    <row r="199">
      <c r="A199">
        <f>IF('MT 2.2 Results'!I36="","","Total: "&amp;'MT 2.2 Results'!G36&amp;"/26 ("&amp;TEXT('MT 2.2 Results'!H36,"0%")&amp;")   Overall: "&amp;'MT 2.2 Results'!I36)</f>
        <v/>
      </c>
      <c r="K199">
        <f>IF('MT 2.2 Results'!I37="","","Total: "&amp;'MT 2.2 Results'!G37&amp;"/26 ("&amp;TEXT('MT 2.2 Results'!H37,"0%")&amp;")   Overall: "&amp;'MT 2.2 Results'!I37)</f>
        <v/>
      </c>
    </row>
    <row r="200">
      <c r="A200">
        <f>IF('MT 2.2 Results'!I36="","",IF('MT 2.2 Results'!I36="Green",Parameters!$C$108,IF('MT 2.2 Results'!I36="Yellow",Parameters!$C$107,Parameters!$C$106)))</f>
        <v/>
      </c>
      <c r="K200">
        <f>IF('MT 2.2 Results'!I37="","",IF('MT 2.2 Results'!I37="Green",Parameters!$C$108,IF('MT 2.2 Results'!I37="Yellow",Parameters!$C$107,Parameters!$C$106)))</f>
        <v/>
      </c>
    </row>
    <row r="202">
      <c r="A202">
        <f>IF('MT 2.2 Results'!I36="","","Breakdown:")</f>
        <v/>
      </c>
      <c r="K202">
        <f>IF('MT 2.2 Results'!I37="","","Breakdown:")</f>
        <v/>
      </c>
    </row>
    <row r="203">
      <c r="A203">
        <f>IF('MT 2.2 Results'!I36="","","Q1 Comparing loans: "&amp;'MT 2.2 Results'!C36&amp;"/7")</f>
        <v/>
      </c>
      <c r="K203">
        <f>IF('MT 2.2 Results'!I37="","","Q1 Comparing loans: "&amp;'MT 2.2 Results'!C37&amp;"/7")</f>
        <v/>
      </c>
    </row>
    <row r="204">
      <c r="A204">
        <f>IF('MT 2.2 Results'!I36="","","Q2 Exchange rates: "&amp;'MT 2.2 Results'!D36&amp;"/6")</f>
        <v/>
      </c>
      <c r="K204">
        <f>IF('MT 2.2 Results'!I37="","","Q2 Exchange rates: "&amp;'MT 2.2 Results'!D37&amp;"/6")</f>
        <v/>
      </c>
    </row>
    <row r="205">
      <c r="A205">
        <f>IF('MT 2.2 Results'!I36="","","Q3 Depreciation: "&amp;'MT 2.2 Results'!E36&amp;"/7")</f>
        <v/>
      </c>
      <c r="K205">
        <f>IF('MT 2.2 Results'!I37="","","Q3 Depreciation: "&amp;'MT 2.2 Results'!E37&amp;"/7")</f>
        <v/>
      </c>
    </row>
    <row r="206">
      <c r="A206">
        <f>IF('MT 2.2 Results'!I36="","","Q4 Price indices &amp; inflation: "&amp;'MT 2.2 Results'!F36&amp;"/6")</f>
        <v/>
      </c>
      <c r="K206">
        <f>IF('MT 2.2 Results'!I37="","","Q4 Price indices &amp; inflation: "&amp;'MT 2.2 Results'!F37&amp;"/6")</f>
        <v/>
      </c>
    </row>
    <row r="207">
      <c r="A207">
        <f>IF(OR('MT 2.2 Results'!I36="",'MT 2.2 Results'!J36=""),"",'MT 2.2 Results'!J36)</f>
        <v/>
      </c>
      <c r="K207">
        <f>IF(OR('MT 2.2 Results'!I37="",'MT 2.2 Results'!J37=""),"",'MT 2.2 Results'!J37)</f>
        <v/>
      </c>
    </row>
    <row r="209">
      <c r="A209">
        <f>IF('MT 2.2 Results'!I36="","","Comments:")</f>
        <v/>
      </c>
      <c r="K209">
        <f>IF('MT 2.2 Results'!I37="","","Comments:")</f>
        <v/>
      </c>
    </row>
    <row r="213">
      <c r="A213">
        <f>IF('MT 2.2 Results'!I38="","","Mini Test 2.2 — Personal finance")</f>
        <v/>
      </c>
      <c r="K213">
        <f>IF('MT 2.2 Results'!I39="","","Mini Test 2.2 — Personal finance")</f>
        <v/>
      </c>
    </row>
    <row r="214">
      <c r="A214">
        <f>IF('MT 2.2 Results'!I38="","","Name: "&amp;'MT 2.2 Results'!B38&amp;"   Class: "&amp;'MT 2.2 Results'!$B$3&amp;"   Date: "&amp;TEXT('MT 2.2 Results'!$B$5,"DD/MM/YY"))</f>
        <v/>
      </c>
      <c r="K214">
        <f>IF('MT 2.2 Results'!I39="","","Name: "&amp;'MT 2.2 Results'!B39&amp;"   Class: "&amp;'MT 2.2 Results'!$B$3&amp;"   Date: "&amp;TEXT('MT 2.2 Results'!$B$5,"DD/MM/YY"))</f>
        <v/>
      </c>
    </row>
    <row r="215">
      <c r="A215">
        <f>IF('MT 2.2 Results'!I38="","","Total: "&amp;'MT 2.2 Results'!G38&amp;"/26 ("&amp;TEXT('MT 2.2 Results'!H38,"0%")&amp;")   Overall: "&amp;'MT 2.2 Results'!I38)</f>
        <v/>
      </c>
      <c r="K215">
        <f>IF('MT 2.2 Results'!I39="","","Total: "&amp;'MT 2.2 Results'!G39&amp;"/26 ("&amp;TEXT('MT 2.2 Results'!H39,"0%")&amp;")   Overall: "&amp;'MT 2.2 Results'!I39)</f>
        <v/>
      </c>
    </row>
    <row r="216">
      <c r="A216">
        <f>IF('MT 2.2 Results'!I38="","",IF('MT 2.2 Results'!I38="Green",Parameters!$C$108,IF('MT 2.2 Results'!I38="Yellow",Parameters!$C$107,Parameters!$C$106)))</f>
        <v/>
      </c>
      <c r="K216">
        <f>IF('MT 2.2 Results'!I39="","",IF('MT 2.2 Results'!I39="Green",Parameters!$C$108,IF('MT 2.2 Results'!I39="Yellow",Parameters!$C$107,Parameters!$C$106)))</f>
        <v/>
      </c>
    </row>
    <row r="218">
      <c r="A218">
        <f>IF('MT 2.2 Results'!I38="","","Breakdown:")</f>
        <v/>
      </c>
      <c r="K218">
        <f>IF('MT 2.2 Results'!I39="","","Breakdown:")</f>
        <v/>
      </c>
    </row>
    <row r="219">
      <c r="A219">
        <f>IF('MT 2.2 Results'!I38="","","Q1 Comparing loans: "&amp;'MT 2.2 Results'!C38&amp;"/7")</f>
        <v/>
      </c>
      <c r="K219">
        <f>IF('MT 2.2 Results'!I39="","","Q1 Comparing loans: "&amp;'MT 2.2 Results'!C39&amp;"/7")</f>
        <v/>
      </c>
    </row>
    <row r="220">
      <c r="A220">
        <f>IF('MT 2.2 Results'!I38="","","Q2 Exchange rates: "&amp;'MT 2.2 Results'!D38&amp;"/6")</f>
        <v/>
      </c>
      <c r="K220">
        <f>IF('MT 2.2 Results'!I39="","","Q2 Exchange rates: "&amp;'MT 2.2 Results'!D39&amp;"/6")</f>
        <v/>
      </c>
    </row>
    <row r="221">
      <c r="A221">
        <f>IF('MT 2.2 Results'!I38="","","Q3 Depreciation: "&amp;'MT 2.2 Results'!E38&amp;"/7")</f>
        <v/>
      </c>
      <c r="K221">
        <f>IF('MT 2.2 Results'!I39="","","Q3 Depreciation: "&amp;'MT 2.2 Results'!E39&amp;"/7")</f>
        <v/>
      </c>
    </row>
    <row r="222">
      <c r="A222">
        <f>IF('MT 2.2 Results'!I38="","","Q4 Price indices &amp; inflation: "&amp;'MT 2.2 Results'!F38&amp;"/6")</f>
        <v/>
      </c>
      <c r="K222">
        <f>IF('MT 2.2 Results'!I39="","","Q4 Price indices &amp; inflation: "&amp;'MT 2.2 Results'!F39&amp;"/6")</f>
        <v/>
      </c>
    </row>
    <row r="223">
      <c r="A223">
        <f>IF(OR('MT 2.2 Results'!I38="",'MT 2.2 Results'!J38=""),"",'MT 2.2 Results'!J38)</f>
        <v/>
      </c>
      <c r="K223">
        <f>IF(OR('MT 2.2 Results'!I39="",'MT 2.2 Results'!J39=""),"",'MT 2.2 Results'!J39)</f>
        <v/>
      </c>
    </row>
    <row r="225">
      <c r="A225">
        <f>IF('MT 2.2 Results'!I38="","","Comments:")</f>
        <v/>
      </c>
      <c r="K225">
        <f>IF('MT 2.2 Results'!I39="","","Comments:")</f>
        <v/>
      </c>
    </row>
    <row r="229">
      <c r="A229">
        <f>IF('MT 2.2 Results'!I40="","","Mini Test 2.2 — Personal finance")</f>
        <v/>
      </c>
      <c r="K229">
        <f>IF('MT 2.2 Results'!I41="","","Mini Test 2.2 — Personal finance")</f>
        <v/>
      </c>
    </row>
    <row r="230">
      <c r="A230">
        <f>IF('MT 2.2 Results'!I40="","","Name: "&amp;'MT 2.2 Results'!B40&amp;"   Class: "&amp;'MT 2.2 Results'!$B$3&amp;"   Date: "&amp;TEXT('MT 2.2 Results'!$B$5,"DD/MM/YY"))</f>
        <v/>
      </c>
      <c r="K230">
        <f>IF('MT 2.2 Results'!I41="","","Name: "&amp;'MT 2.2 Results'!B41&amp;"   Class: "&amp;'MT 2.2 Results'!$B$3&amp;"   Date: "&amp;TEXT('MT 2.2 Results'!$B$5,"DD/MM/YY"))</f>
        <v/>
      </c>
    </row>
    <row r="231">
      <c r="A231">
        <f>IF('MT 2.2 Results'!I40="","","Total: "&amp;'MT 2.2 Results'!G40&amp;"/26 ("&amp;TEXT('MT 2.2 Results'!H40,"0%")&amp;")   Overall: "&amp;'MT 2.2 Results'!I40)</f>
        <v/>
      </c>
      <c r="K231">
        <f>IF('MT 2.2 Results'!I41="","","Total: "&amp;'MT 2.2 Results'!G41&amp;"/26 ("&amp;TEXT('MT 2.2 Results'!H41,"0%")&amp;")   Overall: "&amp;'MT 2.2 Results'!I41)</f>
        <v/>
      </c>
    </row>
    <row r="232">
      <c r="A232">
        <f>IF('MT 2.2 Results'!I40="","",IF('MT 2.2 Results'!I40="Green",Parameters!$C$108,IF('MT 2.2 Results'!I40="Yellow",Parameters!$C$107,Parameters!$C$106)))</f>
        <v/>
      </c>
      <c r="K232">
        <f>IF('MT 2.2 Results'!I41="","",IF('MT 2.2 Results'!I41="Green",Parameters!$C$108,IF('MT 2.2 Results'!I41="Yellow",Parameters!$C$107,Parameters!$C$106)))</f>
        <v/>
      </c>
    </row>
    <row r="234">
      <c r="A234">
        <f>IF('MT 2.2 Results'!I40="","","Breakdown:")</f>
        <v/>
      </c>
      <c r="K234">
        <f>IF('MT 2.2 Results'!I41="","","Breakdown:")</f>
        <v/>
      </c>
    </row>
    <row r="235">
      <c r="A235">
        <f>IF('MT 2.2 Results'!I40="","","Q1 Comparing loans: "&amp;'MT 2.2 Results'!C40&amp;"/7")</f>
        <v/>
      </c>
      <c r="K235">
        <f>IF('MT 2.2 Results'!I41="","","Q1 Comparing loans: "&amp;'MT 2.2 Results'!C41&amp;"/7")</f>
        <v/>
      </c>
    </row>
    <row r="236">
      <c r="A236">
        <f>IF('MT 2.2 Results'!I40="","","Q2 Exchange rates: "&amp;'MT 2.2 Results'!D40&amp;"/6")</f>
        <v/>
      </c>
      <c r="K236">
        <f>IF('MT 2.2 Results'!I41="","","Q2 Exchange rates: "&amp;'MT 2.2 Results'!D41&amp;"/6")</f>
        <v/>
      </c>
    </row>
    <row r="237">
      <c r="A237">
        <f>IF('MT 2.2 Results'!I40="","","Q3 Depreciation: "&amp;'MT 2.2 Results'!E40&amp;"/7")</f>
        <v/>
      </c>
      <c r="K237">
        <f>IF('MT 2.2 Results'!I41="","","Q3 Depreciation: "&amp;'MT 2.2 Results'!E41&amp;"/7")</f>
        <v/>
      </c>
    </row>
    <row r="238">
      <c r="A238">
        <f>IF('MT 2.2 Results'!I40="","","Q4 Price indices &amp; inflation: "&amp;'MT 2.2 Results'!F40&amp;"/6")</f>
        <v/>
      </c>
      <c r="K238">
        <f>IF('MT 2.2 Results'!I41="","","Q4 Price indices &amp; inflation: "&amp;'MT 2.2 Results'!F41&amp;"/6")</f>
        <v/>
      </c>
    </row>
    <row r="239">
      <c r="A239">
        <f>IF(OR('MT 2.2 Results'!I40="",'MT 2.2 Results'!J40=""),"",'MT 2.2 Results'!J40)</f>
        <v/>
      </c>
      <c r="K239">
        <f>IF(OR('MT 2.2 Results'!I41="",'MT 2.2 Results'!J41=""),"",'MT 2.2 Results'!J41)</f>
        <v/>
      </c>
    </row>
    <row r="241">
      <c r="A241">
        <f>IF('MT 2.2 Results'!I40="","","Comments:")</f>
        <v/>
      </c>
      <c r="K241">
        <f>IF('MT 2.2 Results'!I41="","","Comments:")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0" customWidth="1" min="11" max="11"/>
    <col width="8" customWidth="1" min="12" max="12"/>
    <col width="10" customWidth="1" min="13" max="13"/>
    <col width="45" customWidth="1" min="14" max="14"/>
  </cols>
  <sheetData>
    <row r="1">
      <c r="A1" s="11" t="inlineStr">
        <is>
          <t>Chapter 2 End of Topic Test — Personal finance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Budgeting &amp; accounts
(/8)</t>
        </is>
      </c>
      <c r="D9" s="12" t="inlineStr">
        <is>
          <t>Q2
Income tax bands
(/9)</t>
        </is>
      </c>
      <c r="E9" s="12" t="inlineStr">
        <is>
          <t>Q3
Payslips &amp; deductions
(/8)</t>
        </is>
      </c>
      <c r="F9" s="12" t="inlineStr">
        <is>
          <t>Q4
Loans &amp; APR
(/9)</t>
        </is>
      </c>
      <c r="G9" s="12" t="inlineStr">
        <is>
          <t>Q5
Savings &amp; AER
(/10)</t>
        </is>
      </c>
      <c r="H9" s="12" t="inlineStr">
        <is>
          <t>Q6
VAT &amp; multipliers
(/8)</t>
        </is>
      </c>
      <c r="I9" s="12" t="inlineStr">
        <is>
          <t>Q7
Inflation &amp; real value
(/9)</t>
        </is>
      </c>
      <c r="J9" s="12" t="inlineStr">
        <is>
          <t>Q8
Mortgages &amp; recurrence
(/10)</t>
        </is>
      </c>
      <c r="K9" s="12" t="inlineStr">
        <is>
          <t>Total
(/71)</t>
        </is>
      </c>
      <c r="L9" s="12" t="inlineStr">
        <is>
          <t>%</t>
        </is>
      </c>
      <c r="M9" s="12" t="inlineStr">
        <is>
          <t>Overall</t>
        </is>
      </c>
      <c r="N9" s="12" t="inlineStr">
        <is>
          <t>Focus for next steps</t>
        </is>
      </c>
      <c r="O9" s="12" t="inlineStr">
        <is>
          <t>Q1%</t>
        </is>
      </c>
      <c r="P9" s="12" t="inlineStr">
        <is>
          <t>Q2%</t>
        </is>
      </c>
      <c r="Q9" s="12" t="inlineStr">
        <is>
          <t>Q3%</t>
        </is>
      </c>
      <c r="R9" s="12" t="inlineStr">
        <is>
          <t>Q4%</t>
        </is>
      </c>
      <c r="S9" s="12" t="inlineStr">
        <is>
          <t>Q5%</t>
        </is>
      </c>
      <c r="T9" s="12" t="inlineStr">
        <is>
          <t>Q6%</t>
        </is>
      </c>
      <c r="U9" s="12" t="inlineStr">
        <is>
          <t>Q7%</t>
        </is>
      </c>
      <c r="V9" s="12" t="inlineStr">
        <is>
          <t>Q8%</t>
        </is>
      </c>
    </row>
    <row r="10">
      <c r="A10" s="3" t="n"/>
      <c r="B10" s="3" t="inlineStr">
        <is>
          <t>Max marks</t>
        </is>
      </c>
      <c r="C10" s="3" t="n">
        <v>8</v>
      </c>
      <c r="D10" s="3" t="n">
        <v>9</v>
      </c>
      <c r="E10" s="3" t="n">
        <v>8</v>
      </c>
      <c r="F10" s="3" t="n">
        <v>9</v>
      </c>
      <c r="G10" s="3" t="n">
        <v>10</v>
      </c>
      <c r="H10" s="3" t="n">
        <v>8</v>
      </c>
      <c r="I10" s="3" t="n">
        <v>9</v>
      </c>
      <c r="J10" s="3" t="n">
        <v>10</v>
      </c>
      <c r="K10" s="3" t="n">
        <v>71</v>
      </c>
      <c r="L10" s="3" t="inlineStr">
        <is>
          <t>100%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</row>
    <row r="11">
      <c r="A11" s="13" t="n">
        <v>1</v>
      </c>
      <c r="B11" s="13" t="inlineStr">
        <is>
          <t>Example pupil (edit me)</t>
        </is>
      </c>
      <c r="C11" s="13" t="n">
        <v>6</v>
      </c>
      <c r="D11" s="13" t="n">
        <v>7</v>
      </c>
      <c r="E11" s="13" t="n">
        <v>6</v>
      </c>
      <c r="F11" s="13" t="n">
        <v>7</v>
      </c>
      <c r="G11" s="13" t="n">
        <v>8</v>
      </c>
      <c r="H11" s="13" t="n">
        <v>6</v>
      </c>
      <c r="I11" s="13" t="n">
        <v>7</v>
      </c>
      <c r="J11" s="13" t="n">
        <v>8</v>
      </c>
      <c r="K11" s="13">
        <f>IF(COUNT(C11:J11)&lt;8,"",SUM(C11:J11))</f>
        <v/>
      </c>
      <c r="L11" s="13">
        <f>IF(COUNT(C11:J11)&lt;8,"",K11/71)</f>
        <v/>
      </c>
      <c r="M11" s="13">
        <f>IF(COUNT(C11:J11)&lt;8,"",IF(L11&gt;=0.8,"Green",IF(L11&gt;=0.5,"Yellow","Red")))</f>
        <v/>
      </c>
      <c r="N11" s="13">
        <f>IF(COUNT(C11:J11)&lt;8,"",IF(M11="Green","Well done! "&amp;Parameters!$C$127,"Revise: "&amp;_xlfn.TEXTJOIN(", ",TRUE(),IF(O11&lt;1,Parameters!$A$114,""),IF(P11&lt;1,Parameters!$A$115,""),IF(Q11&lt;1,Parameters!$A$116,""),IF(R11&lt;1,Parameters!$A$117,""),IF(S11&lt;1,Parameters!$A$118,""),IF(T11&lt;1,Parameters!$A$119,""),IF(U11&lt;1,Parameters!$A$120,""),IF(V11&lt;1,Parameters!$A$121,""))))</f>
        <v/>
      </c>
      <c r="O11" s="13">
        <f>IF(C11="","",C11/8)</f>
        <v/>
      </c>
      <c r="P11" s="13">
        <f>IF(D11="","",D11/9)</f>
        <v/>
      </c>
      <c r="Q11" s="13">
        <f>IF(E11="","",E11/8)</f>
        <v/>
      </c>
      <c r="R11" s="13">
        <f>IF(F11="","",F11/9)</f>
        <v/>
      </c>
      <c r="S11" s="13">
        <f>IF(G11="","",G11/10)</f>
        <v/>
      </c>
      <c r="T11" s="13">
        <f>IF(H11="","",H11/8)</f>
        <v/>
      </c>
      <c r="U11" s="13">
        <f>IF(I11="","",I11/9)</f>
        <v/>
      </c>
      <c r="V11" s="13">
        <f>IF(J11="","",J11/10)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K12" s="13">
        <f>IF(COUNT(C12:J12)&lt;8,"",SUM(C12:J12))</f>
        <v/>
      </c>
      <c r="L12" s="13">
        <f>IF(COUNT(C12:J12)&lt;8,"",K12/71)</f>
        <v/>
      </c>
      <c r="M12" s="13">
        <f>IF(COUNT(C12:J12)&lt;8,"",IF(L12&gt;=0.8,"Green",IF(L12&gt;=0.5,"Yellow","Red")))</f>
        <v/>
      </c>
      <c r="N12" s="13">
        <f>IF(COUNT(C12:J12)&lt;8,"",IF(M12="Green","Well done! "&amp;Parameters!$C$127,"Revise: "&amp;_xlfn.TEXTJOIN(", ",TRUE(),IF(O12&lt;1,Parameters!$A$114,""),IF(P12&lt;1,Parameters!$A$115,""),IF(Q12&lt;1,Parameters!$A$116,""),IF(R12&lt;1,Parameters!$A$117,""),IF(S12&lt;1,Parameters!$A$118,""),IF(T12&lt;1,Parameters!$A$119,""),IF(U12&lt;1,Parameters!$A$120,""),IF(V12&lt;1,Parameters!$A$121,""))))</f>
        <v/>
      </c>
      <c r="O12" s="13">
        <f>IF(C12="","",C12/8)</f>
        <v/>
      </c>
      <c r="P12" s="13">
        <f>IF(D12="","",D12/9)</f>
        <v/>
      </c>
      <c r="Q12" s="13">
        <f>IF(E12="","",E12/8)</f>
        <v/>
      </c>
      <c r="R12" s="13">
        <f>IF(F12="","",F12/9)</f>
        <v/>
      </c>
      <c r="S12" s="13">
        <f>IF(G12="","",G12/10)</f>
        <v/>
      </c>
      <c r="T12" s="13">
        <f>IF(H12="","",H12/8)</f>
        <v/>
      </c>
      <c r="U12" s="13">
        <f>IF(I12="","",I12/9)</f>
        <v/>
      </c>
      <c r="V12" s="13">
        <f>IF(J12="","",J12/10)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4" t="n"/>
      <c r="H13" s="14" t="n"/>
      <c r="I13" s="14" t="n"/>
      <c r="J13" s="14" t="n"/>
      <c r="K13" s="13">
        <f>IF(COUNT(C13:J13)&lt;8,"",SUM(C13:J13))</f>
        <v/>
      </c>
      <c r="L13" s="13">
        <f>IF(COUNT(C13:J13)&lt;8,"",K13/71)</f>
        <v/>
      </c>
      <c r="M13" s="13">
        <f>IF(COUNT(C13:J13)&lt;8,"",IF(L13&gt;=0.8,"Green",IF(L13&gt;=0.5,"Yellow","Red")))</f>
        <v/>
      </c>
      <c r="N13" s="13">
        <f>IF(COUNT(C13:J13)&lt;8,"",IF(M13="Green","Well done! "&amp;Parameters!$C$127,"Revise: "&amp;_xlfn.TEXTJOIN(", ",TRUE(),IF(O13&lt;1,Parameters!$A$114,""),IF(P13&lt;1,Parameters!$A$115,""),IF(Q13&lt;1,Parameters!$A$116,""),IF(R13&lt;1,Parameters!$A$117,""),IF(S13&lt;1,Parameters!$A$118,""),IF(T13&lt;1,Parameters!$A$119,""),IF(U13&lt;1,Parameters!$A$120,""),IF(V13&lt;1,Parameters!$A$121,""))))</f>
        <v/>
      </c>
      <c r="O13" s="13">
        <f>IF(C13="","",C13/8)</f>
        <v/>
      </c>
      <c r="P13" s="13">
        <f>IF(D13="","",D13/9)</f>
        <v/>
      </c>
      <c r="Q13" s="13">
        <f>IF(E13="","",E13/8)</f>
        <v/>
      </c>
      <c r="R13" s="13">
        <f>IF(F13="","",F13/9)</f>
        <v/>
      </c>
      <c r="S13" s="13">
        <f>IF(G13="","",G13/10)</f>
        <v/>
      </c>
      <c r="T13" s="13">
        <f>IF(H13="","",H13/8)</f>
        <v/>
      </c>
      <c r="U13" s="13">
        <f>IF(I13="","",I13/9)</f>
        <v/>
      </c>
      <c r="V13" s="13">
        <f>IF(J13="","",J13/10)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4" t="n"/>
      <c r="H14" s="14" t="n"/>
      <c r="I14" s="14" t="n"/>
      <c r="J14" s="14" t="n"/>
      <c r="K14" s="13">
        <f>IF(COUNT(C14:J14)&lt;8,"",SUM(C14:J14))</f>
        <v/>
      </c>
      <c r="L14" s="13">
        <f>IF(COUNT(C14:J14)&lt;8,"",K14/71)</f>
        <v/>
      </c>
      <c r="M14" s="13">
        <f>IF(COUNT(C14:J14)&lt;8,"",IF(L14&gt;=0.8,"Green",IF(L14&gt;=0.5,"Yellow","Red")))</f>
        <v/>
      </c>
      <c r="N14" s="13">
        <f>IF(COUNT(C14:J14)&lt;8,"",IF(M14="Green","Well done! "&amp;Parameters!$C$127,"Revise: "&amp;_xlfn.TEXTJOIN(", ",TRUE(),IF(O14&lt;1,Parameters!$A$114,""),IF(P14&lt;1,Parameters!$A$115,""),IF(Q14&lt;1,Parameters!$A$116,""),IF(R14&lt;1,Parameters!$A$117,""),IF(S14&lt;1,Parameters!$A$118,""),IF(T14&lt;1,Parameters!$A$119,""),IF(U14&lt;1,Parameters!$A$120,""),IF(V14&lt;1,Parameters!$A$121,""))))</f>
        <v/>
      </c>
      <c r="O14" s="13">
        <f>IF(C14="","",C14/8)</f>
        <v/>
      </c>
      <c r="P14" s="13">
        <f>IF(D14="","",D14/9)</f>
        <v/>
      </c>
      <c r="Q14" s="13">
        <f>IF(E14="","",E14/8)</f>
        <v/>
      </c>
      <c r="R14" s="13">
        <f>IF(F14="","",F14/9)</f>
        <v/>
      </c>
      <c r="S14" s="13">
        <f>IF(G14="","",G14/10)</f>
        <v/>
      </c>
      <c r="T14" s="13">
        <f>IF(H14="","",H14/8)</f>
        <v/>
      </c>
      <c r="U14" s="13">
        <f>IF(I14="","",I14/9)</f>
        <v/>
      </c>
      <c r="V14" s="13">
        <f>IF(J14="","",J14/10)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4" t="n"/>
      <c r="H15" s="14" t="n"/>
      <c r="I15" s="14" t="n"/>
      <c r="J15" s="14" t="n"/>
      <c r="K15" s="13">
        <f>IF(COUNT(C15:J15)&lt;8,"",SUM(C15:J15))</f>
        <v/>
      </c>
      <c r="L15" s="13">
        <f>IF(COUNT(C15:J15)&lt;8,"",K15/71)</f>
        <v/>
      </c>
      <c r="M15" s="13">
        <f>IF(COUNT(C15:J15)&lt;8,"",IF(L15&gt;=0.8,"Green",IF(L15&gt;=0.5,"Yellow","Red")))</f>
        <v/>
      </c>
      <c r="N15" s="13">
        <f>IF(COUNT(C15:J15)&lt;8,"",IF(M15="Green","Well done! "&amp;Parameters!$C$127,"Revise: "&amp;_xlfn.TEXTJOIN(", ",TRUE(),IF(O15&lt;1,Parameters!$A$114,""),IF(P15&lt;1,Parameters!$A$115,""),IF(Q15&lt;1,Parameters!$A$116,""),IF(R15&lt;1,Parameters!$A$117,""),IF(S15&lt;1,Parameters!$A$118,""),IF(T15&lt;1,Parameters!$A$119,""),IF(U15&lt;1,Parameters!$A$120,""),IF(V15&lt;1,Parameters!$A$121,""))))</f>
        <v/>
      </c>
      <c r="O15" s="13">
        <f>IF(C15="","",C15/8)</f>
        <v/>
      </c>
      <c r="P15" s="13">
        <f>IF(D15="","",D15/9)</f>
        <v/>
      </c>
      <c r="Q15" s="13">
        <f>IF(E15="","",E15/8)</f>
        <v/>
      </c>
      <c r="R15" s="13">
        <f>IF(F15="","",F15/9)</f>
        <v/>
      </c>
      <c r="S15" s="13">
        <f>IF(G15="","",G15/10)</f>
        <v/>
      </c>
      <c r="T15" s="13">
        <f>IF(H15="","",H15/8)</f>
        <v/>
      </c>
      <c r="U15" s="13">
        <f>IF(I15="","",I15/9)</f>
        <v/>
      </c>
      <c r="V15" s="13">
        <f>IF(J15="","",J15/10)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4" t="n"/>
      <c r="H16" s="14" t="n"/>
      <c r="I16" s="14" t="n"/>
      <c r="J16" s="14" t="n"/>
      <c r="K16" s="13">
        <f>IF(COUNT(C16:J16)&lt;8,"",SUM(C16:J16))</f>
        <v/>
      </c>
      <c r="L16" s="13">
        <f>IF(COUNT(C16:J16)&lt;8,"",K16/71)</f>
        <v/>
      </c>
      <c r="M16" s="13">
        <f>IF(COUNT(C16:J16)&lt;8,"",IF(L16&gt;=0.8,"Green",IF(L16&gt;=0.5,"Yellow","Red")))</f>
        <v/>
      </c>
      <c r="N16" s="13">
        <f>IF(COUNT(C16:J16)&lt;8,"",IF(M16="Green","Well done! "&amp;Parameters!$C$127,"Revise: "&amp;_xlfn.TEXTJOIN(", ",TRUE(),IF(O16&lt;1,Parameters!$A$114,""),IF(P16&lt;1,Parameters!$A$115,""),IF(Q16&lt;1,Parameters!$A$116,""),IF(R16&lt;1,Parameters!$A$117,""),IF(S16&lt;1,Parameters!$A$118,""),IF(T16&lt;1,Parameters!$A$119,""),IF(U16&lt;1,Parameters!$A$120,""),IF(V16&lt;1,Parameters!$A$121,""))))</f>
        <v/>
      </c>
      <c r="O16" s="13">
        <f>IF(C16="","",C16/8)</f>
        <v/>
      </c>
      <c r="P16" s="13">
        <f>IF(D16="","",D16/9)</f>
        <v/>
      </c>
      <c r="Q16" s="13">
        <f>IF(E16="","",E16/8)</f>
        <v/>
      </c>
      <c r="R16" s="13">
        <f>IF(F16="","",F16/9)</f>
        <v/>
      </c>
      <c r="S16" s="13">
        <f>IF(G16="","",G16/10)</f>
        <v/>
      </c>
      <c r="T16" s="13">
        <f>IF(H16="","",H16/8)</f>
        <v/>
      </c>
      <c r="U16" s="13">
        <f>IF(I16="","",I16/9)</f>
        <v/>
      </c>
      <c r="V16" s="13">
        <f>IF(J16="","",J16/10)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4" t="n"/>
      <c r="H17" s="14" t="n"/>
      <c r="I17" s="14" t="n"/>
      <c r="J17" s="14" t="n"/>
      <c r="K17" s="13">
        <f>IF(COUNT(C17:J17)&lt;8,"",SUM(C17:J17))</f>
        <v/>
      </c>
      <c r="L17" s="13">
        <f>IF(COUNT(C17:J17)&lt;8,"",K17/71)</f>
        <v/>
      </c>
      <c r="M17" s="13">
        <f>IF(COUNT(C17:J17)&lt;8,"",IF(L17&gt;=0.8,"Green",IF(L17&gt;=0.5,"Yellow","Red")))</f>
        <v/>
      </c>
      <c r="N17" s="13">
        <f>IF(COUNT(C17:J17)&lt;8,"",IF(M17="Green","Well done! "&amp;Parameters!$C$127,"Revise: "&amp;_xlfn.TEXTJOIN(", ",TRUE(),IF(O17&lt;1,Parameters!$A$114,""),IF(P17&lt;1,Parameters!$A$115,""),IF(Q17&lt;1,Parameters!$A$116,""),IF(R17&lt;1,Parameters!$A$117,""),IF(S17&lt;1,Parameters!$A$118,""),IF(T17&lt;1,Parameters!$A$119,""),IF(U17&lt;1,Parameters!$A$120,""),IF(V17&lt;1,Parameters!$A$121,""))))</f>
        <v/>
      </c>
      <c r="O17" s="13">
        <f>IF(C17="","",C17/8)</f>
        <v/>
      </c>
      <c r="P17" s="13">
        <f>IF(D17="","",D17/9)</f>
        <v/>
      </c>
      <c r="Q17" s="13">
        <f>IF(E17="","",E17/8)</f>
        <v/>
      </c>
      <c r="R17" s="13">
        <f>IF(F17="","",F17/9)</f>
        <v/>
      </c>
      <c r="S17" s="13">
        <f>IF(G17="","",G17/10)</f>
        <v/>
      </c>
      <c r="T17" s="13">
        <f>IF(H17="","",H17/8)</f>
        <v/>
      </c>
      <c r="U17" s="13">
        <f>IF(I17="","",I17/9)</f>
        <v/>
      </c>
      <c r="V17" s="13">
        <f>IF(J17="","",J17/10)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4" t="n"/>
      <c r="H18" s="14" t="n"/>
      <c r="I18" s="14" t="n"/>
      <c r="J18" s="14" t="n"/>
      <c r="K18" s="13">
        <f>IF(COUNT(C18:J18)&lt;8,"",SUM(C18:J18))</f>
        <v/>
      </c>
      <c r="L18" s="13">
        <f>IF(COUNT(C18:J18)&lt;8,"",K18/71)</f>
        <v/>
      </c>
      <c r="M18" s="13">
        <f>IF(COUNT(C18:J18)&lt;8,"",IF(L18&gt;=0.8,"Green",IF(L18&gt;=0.5,"Yellow","Red")))</f>
        <v/>
      </c>
      <c r="N18" s="13">
        <f>IF(COUNT(C18:J18)&lt;8,"",IF(M18="Green","Well done! "&amp;Parameters!$C$127,"Revise: "&amp;_xlfn.TEXTJOIN(", ",TRUE(),IF(O18&lt;1,Parameters!$A$114,""),IF(P18&lt;1,Parameters!$A$115,""),IF(Q18&lt;1,Parameters!$A$116,""),IF(R18&lt;1,Parameters!$A$117,""),IF(S18&lt;1,Parameters!$A$118,""),IF(T18&lt;1,Parameters!$A$119,""),IF(U18&lt;1,Parameters!$A$120,""),IF(V18&lt;1,Parameters!$A$121,""))))</f>
        <v/>
      </c>
      <c r="O18" s="13">
        <f>IF(C18="","",C18/8)</f>
        <v/>
      </c>
      <c r="P18" s="13">
        <f>IF(D18="","",D18/9)</f>
        <v/>
      </c>
      <c r="Q18" s="13">
        <f>IF(E18="","",E18/8)</f>
        <v/>
      </c>
      <c r="R18" s="13">
        <f>IF(F18="","",F18/9)</f>
        <v/>
      </c>
      <c r="S18" s="13">
        <f>IF(G18="","",G18/10)</f>
        <v/>
      </c>
      <c r="T18" s="13">
        <f>IF(H18="","",H18/8)</f>
        <v/>
      </c>
      <c r="U18" s="13">
        <f>IF(I18="","",I18/9)</f>
        <v/>
      </c>
      <c r="V18" s="13">
        <f>IF(J18="","",J18/10)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4" t="n"/>
      <c r="H19" s="14" t="n"/>
      <c r="I19" s="14" t="n"/>
      <c r="J19" s="14" t="n"/>
      <c r="K19" s="13">
        <f>IF(COUNT(C19:J19)&lt;8,"",SUM(C19:J19))</f>
        <v/>
      </c>
      <c r="L19" s="13">
        <f>IF(COUNT(C19:J19)&lt;8,"",K19/71)</f>
        <v/>
      </c>
      <c r="M19" s="13">
        <f>IF(COUNT(C19:J19)&lt;8,"",IF(L19&gt;=0.8,"Green",IF(L19&gt;=0.5,"Yellow","Red")))</f>
        <v/>
      </c>
      <c r="N19" s="13">
        <f>IF(COUNT(C19:J19)&lt;8,"",IF(M19="Green","Well done! "&amp;Parameters!$C$127,"Revise: "&amp;_xlfn.TEXTJOIN(", ",TRUE(),IF(O19&lt;1,Parameters!$A$114,""),IF(P19&lt;1,Parameters!$A$115,""),IF(Q19&lt;1,Parameters!$A$116,""),IF(R19&lt;1,Parameters!$A$117,""),IF(S19&lt;1,Parameters!$A$118,""),IF(T19&lt;1,Parameters!$A$119,""),IF(U19&lt;1,Parameters!$A$120,""),IF(V19&lt;1,Parameters!$A$121,""))))</f>
        <v/>
      </c>
      <c r="O19" s="13">
        <f>IF(C19="","",C19/8)</f>
        <v/>
      </c>
      <c r="P19" s="13">
        <f>IF(D19="","",D19/9)</f>
        <v/>
      </c>
      <c r="Q19" s="13">
        <f>IF(E19="","",E19/8)</f>
        <v/>
      </c>
      <c r="R19" s="13">
        <f>IF(F19="","",F19/9)</f>
        <v/>
      </c>
      <c r="S19" s="13">
        <f>IF(G19="","",G19/10)</f>
        <v/>
      </c>
      <c r="T19" s="13">
        <f>IF(H19="","",H19/8)</f>
        <v/>
      </c>
      <c r="U19" s="13">
        <f>IF(I19="","",I19/9)</f>
        <v/>
      </c>
      <c r="V19" s="13">
        <f>IF(J19="","",J19/10)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4" t="n"/>
      <c r="H20" s="14" t="n"/>
      <c r="I20" s="14" t="n"/>
      <c r="J20" s="14" t="n"/>
      <c r="K20" s="13">
        <f>IF(COUNT(C20:J20)&lt;8,"",SUM(C20:J20))</f>
        <v/>
      </c>
      <c r="L20" s="13">
        <f>IF(COUNT(C20:J20)&lt;8,"",K20/71)</f>
        <v/>
      </c>
      <c r="M20" s="13">
        <f>IF(COUNT(C20:J20)&lt;8,"",IF(L20&gt;=0.8,"Green",IF(L20&gt;=0.5,"Yellow","Red")))</f>
        <v/>
      </c>
      <c r="N20" s="13">
        <f>IF(COUNT(C20:J20)&lt;8,"",IF(M20="Green","Well done! "&amp;Parameters!$C$127,"Revise: "&amp;_xlfn.TEXTJOIN(", ",TRUE(),IF(O20&lt;1,Parameters!$A$114,""),IF(P20&lt;1,Parameters!$A$115,""),IF(Q20&lt;1,Parameters!$A$116,""),IF(R20&lt;1,Parameters!$A$117,""),IF(S20&lt;1,Parameters!$A$118,""),IF(T20&lt;1,Parameters!$A$119,""),IF(U20&lt;1,Parameters!$A$120,""),IF(V20&lt;1,Parameters!$A$121,""))))</f>
        <v/>
      </c>
      <c r="O20" s="13">
        <f>IF(C20="","",C20/8)</f>
        <v/>
      </c>
      <c r="P20" s="13">
        <f>IF(D20="","",D20/9)</f>
        <v/>
      </c>
      <c r="Q20" s="13">
        <f>IF(E20="","",E20/8)</f>
        <v/>
      </c>
      <c r="R20" s="13">
        <f>IF(F20="","",F20/9)</f>
        <v/>
      </c>
      <c r="S20" s="13">
        <f>IF(G20="","",G20/10)</f>
        <v/>
      </c>
      <c r="T20" s="13">
        <f>IF(H20="","",H20/8)</f>
        <v/>
      </c>
      <c r="U20" s="13">
        <f>IF(I20="","",I20/9)</f>
        <v/>
      </c>
      <c r="V20" s="13">
        <f>IF(J20="","",J20/10)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4" t="n"/>
      <c r="H21" s="14" t="n"/>
      <c r="I21" s="14" t="n"/>
      <c r="J21" s="14" t="n"/>
      <c r="K21" s="13">
        <f>IF(COUNT(C21:J21)&lt;8,"",SUM(C21:J21))</f>
        <v/>
      </c>
      <c r="L21" s="13">
        <f>IF(COUNT(C21:J21)&lt;8,"",K21/71)</f>
        <v/>
      </c>
      <c r="M21" s="13">
        <f>IF(COUNT(C21:J21)&lt;8,"",IF(L21&gt;=0.8,"Green",IF(L21&gt;=0.5,"Yellow","Red")))</f>
        <v/>
      </c>
      <c r="N21" s="13">
        <f>IF(COUNT(C21:J21)&lt;8,"",IF(M21="Green","Well done! "&amp;Parameters!$C$127,"Revise: "&amp;_xlfn.TEXTJOIN(", ",TRUE(),IF(O21&lt;1,Parameters!$A$114,""),IF(P21&lt;1,Parameters!$A$115,""),IF(Q21&lt;1,Parameters!$A$116,""),IF(R21&lt;1,Parameters!$A$117,""),IF(S21&lt;1,Parameters!$A$118,""),IF(T21&lt;1,Parameters!$A$119,""),IF(U21&lt;1,Parameters!$A$120,""),IF(V21&lt;1,Parameters!$A$121,""))))</f>
        <v/>
      </c>
      <c r="O21" s="13">
        <f>IF(C21="","",C21/8)</f>
        <v/>
      </c>
      <c r="P21" s="13">
        <f>IF(D21="","",D21/9)</f>
        <v/>
      </c>
      <c r="Q21" s="13">
        <f>IF(E21="","",E21/8)</f>
        <v/>
      </c>
      <c r="R21" s="13">
        <f>IF(F21="","",F21/9)</f>
        <v/>
      </c>
      <c r="S21" s="13">
        <f>IF(G21="","",G21/10)</f>
        <v/>
      </c>
      <c r="T21" s="13">
        <f>IF(H21="","",H21/8)</f>
        <v/>
      </c>
      <c r="U21" s="13">
        <f>IF(I21="","",I21/9)</f>
        <v/>
      </c>
      <c r="V21" s="13">
        <f>IF(J21="","",J21/10)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4" t="n"/>
      <c r="H22" s="14" t="n"/>
      <c r="I22" s="14" t="n"/>
      <c r="J22" s="14" t="n"/>
      <c r="K22" s="13">
        <f>IF(COUNT(C22:J22)&lt;8,"",SUM(C22:J22))</f>
        <v/>
      </c>
      <c r="L22" s="13">
        <f>IF(COUNT(C22:J22)&lt;8,"",K22/71)</f>
        <v/>
      </c>
      <c r="M22" s="13">
        <f>IF(COUNT(C22:J22)&lt;8,"",IF(L22&gt;=0.8,"Green",IF(L22&gt;=0.5,"Yellow","Red")))</f>
        <v/>
      </c>
      <c r="N22" s="13">
        <f>IF(COUNT(C22:J22)&lt;8,"",IF(M22="Green","Well done! "&amp;Parameters!$C$127,"Revise: "&amp;_xlfn.TEXTJOIN(", ",TRUE(),IF(O22&lt;1,Parameters!$A$114,""),IF(P22&lt;1,Parameters!$A$115,""),IF(Q22&lt;1,Parameters!$A$116,""),IF(R22&lt;1,Parameters!$A$117,""),IF(S22&lt;1,Parameters!$A$118,""),IF(T22&lt;1,Parameters!$A$119,""),IF(U22&lt;1,Parameters!$A$120,""),IF(V22&lt;1,Parameters!$A$121,""))))</f>
        <v/>
      </c>
      <c r="O22" s="13">
        <f>IF(C22="","",C22/8)</f>
        <v/>
      </c>
      <c r="P22" s="13">
        <f>IF(D22="","",D22/9)</f>
        <v/>
      </c>
      <c r="Q22" s="13">
        <f>IF(E22="","",E22/8)</f>
        <v/>
      </c>
      <c r="R22" s="13">
        <f>IF(F22="","",F22/9)</f>
        <v/>
      </c>
      <c r="S22" s="13">
        <f>IF(G22="","",G22/10)</f>
        <v/>
      </c>
      <c r="T22" s="13">
        <f>IF(H22="","",H22/8)</f>
        <v/>
      </c>
      <c r="U22" s="13">
        <f>IF(I22="","",I22/9)</f>
        <v/>
      </c>
      <c r="V22" s="13">
        <f>IF(J22="","",J22/10)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4" t="n"/>
      <c r="H23" s="14" t="n"/>
      <c r="I23" s="14" t="n"/>
      <c r="J23" s="14" t="n"/>
      <c r="K23" s="13">
        <f>IF(COUNT(C23:J23)&lt;8,"",SUM(C23:J23))</f>
        <v/>
      </c>
      <c r="L23" s="13">
        <f>IF(COUNT(C23:J23)&lt;8,"",K23/71)</f>
        <v/>
      </c>
      <c r="M23" s="13">
        <f>IF(COUNT(C23:J23)&lt;8,"",IF(L23&gt;=0.8,"Green",IF(L23&gt;=0.5,"Yellow","Red")))</f>
        <v/>
      </c>
      <c r="N23" s="13">
        <f>IF(COUNT(C23:J23)&lt;8,"",IF(M23="Green","Well done! "&amp;Parameters!$C$127,"Revise: "&amp;_xlfn.TEXTJOIN(", ",TRUE(),IF(O23&lt;1,Parameters!$A$114,""),IF(P23&lt;1,Parameters!$A$115,""),IF(Q23&lt;1,Parameters!$A$116,""),IF(R23&lt;1,Parameters!$A$117,""),IF(S23&lt;1,Parameters!$A$118,""),IF(T23&lt;1,Parameters!$A$119,""),IF(U23&lt;1,Parameters!$A$120,""),IF(V23&lt;1,Parameters!$A$121,""))))</f>
        <v/>
      </c>
      <c r="O23" s="13">
        <f>IF(C23="","",C23/8)</f>
        <v/>
      </c>
      <c r="P23" s="13">
        <f>IF(D23="","",D23/9)</f>
        <v/>
      </c>
      <c r="Q23" s="13">
        <f>IF(E23="","",E23/8)</f>
        <v/>
      </c>
      <c r="R23" s="13">
        <f>IF(F23="","",F23/9)</f>
        <v/>
      </c>
      <c r="S23" s="13">
        <f>IF(G23="","",G23/10)</f>
        <v/>
      </c>
      <c r="T23" s="13">
        <f>IF(H23="","",H23/8)</f>
        <v/>
      </c>
      <c r="U23" s="13">
        <f>IF(I23="","",I23/9)</f>
        <v/>
      </c>
      <c r="V23" s="13">
        <f>IF(J23="","",J23/10)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4" t="n"/>
      <c r="H24" s="14" t="n"/>
      <c r="I24" s="14" t="n"/>
      <c r="J24" s="14" t="n"/>
      <c r="K24" s="13">
        <f>IF(COUNT(C24:J24)&lt;8,"",SUM(C24:J24))</f>
        <v/>
      </c>
      <c r="L24" s="13">
        <f>IF(COUNT(C24:J24)&lt;8,"",K24/71)</f>
        <v/>
      </c>
      <c r="M24" s="13">
        <f>IF(COUNT(C24:J24)&lt;8,"",IF(L24&gt;=0.8,"Green",IF(L24&gt;=0.5,"Yellow","Red")))</f>
        <v/>
      </c>
      <c r="N24" s="13">
        <f>IF(COUNT(C24:J24)&lt;8,"",IF(M24="Green","Well done! "&amp;Parameters!$C$127,"Revise: "&amp;_xlfn.TEXTJOIN(", ",TRUE(),IF(O24&lt;1,Parameters!$A$114,""),IF(P24&lt;1,Parameters!$A$115,""),IF(Q24&lt;1,Parameters!$A$116,""),IF(R24&lt;1,Parameters!$A$117,""),IF(S24&lt;1,Parameters!$A$118,""),IF(T24&lt;1,Parameters!$A$119,""),IF(U24&lt;1,Parameters!$A$120,""),IF(V24&lt;1,Parameters!$A$121,""))))</f>
        <v/>
      </c>
      <c r="O24" s="13">
        <f>IF(C24="","",C24/8)</f>
        <v/>
      </c>
      <c r="P24" s="13">
        <f>IF(D24="","",D24/9)</f>
        <v/>
      </c>
      <c r="Q24" s="13">
        <f>IF(E24="","",E24/8)</f>
        <v/>
      </c>
      <c r="R24" s="13">
        <f>IF(F24="","",F24/9)</f>
        <v/>
      </c>
      <c r="S24" s="13">
        <f>IF(G24="","",G24/10)</f>
        <v/>
      </c>
      <c r="T24" s="13">
        <f>IF(H24="","",H24/8)</f>
        <v/>
      </c>
      <c r="U24" s="13">
        <f>IF(I24="","",I24/9)</f>
        <v/>
      </c>
      <c r="V24" s="13">
        <f>IF(J24="","",J24/10)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4" t="n"/>
      <c r="H25" s="14" t="n"/>
      <c r="I25" s="14" t="n"/>
      <c r="J25" s="14" t="n"/>
      <c r="K25" s="13">
        <f>IF(COUNT(C25:J25)&lt;8,"",SUM(C25:J25))</f>
        <v/>
      </c>
      <c r="L25" s="13">
        <f>IF(COUNT(C25:J25)&lt;8,"",K25/71)</f>
        <v/>
      </c>
      <c r="M25" s="13">
        <f>IF(COUNT(C25:J25)&lt;8,"",IF(L25&gt;=0.8,"Green",IF(L25&gt;=0.5,"Yellow","Red")))</f>
        <v/>
      </c>
      <c r="N25" s="13">
        <f>IF(COUNT(C25:J25)&lt;8,"",IF(M25="Green","Well done! "&amp;Parameters!$C$127,"Revise: "&amp;_xlfn.TEXTJOIN(", ",TRUE(),IF(O25&lt;1,Parameters!$A$114,""),IF(P25&lt;1,Parameters!$A$115,""),IF(Q25&lt;1,Parameters!$A$116,""),IF(R25&lt;1,Parameters!$A$117,""),IF(S25&lt;1,Parameters!$A$118,""),IF(T25&lt;1,Parameters!$A$119,""),IF(U25&lt;1,Parameters!$A$120,""),IF(V25&lt;1,Parameters!$A$121,""))))</f>
        <v/>
      </c>
      <c r="O25" s="13">
        <f>IF(C25="","",C25/8)</f>
        <v/>
      </c>
      <c r="P25" s="13">
        <f>IF(D25="","",D25/9)</f>
        <v/>
      </c>
      <c r="Q25" s="13">
        <f>IF(E25="","",E25/8)</f>
        <v/>
      </c>
      <c r="R25" s="13">
        <f>IF(F25="","",F25/9)</f>
        <v/>
      </c>
      <c r="S25" s="13">
        <f>IF(G25="","",G25/10)</f>
        <v/>
      </c>
      <c r="T25" s="13">
        <f>IF(H25="","",H25/8)</f>
        <v/>
      </c>
      <c r="U25" s="13">
        <f>IF(I25="","",I25/9)</f>
        <v/>
      </c>
      <c r="V25" s="13">
        <f>IF(J25="","",J25/10)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4" t="n"/>
      <c r="H26" s="14" t="n"/>
      <c r="I26" s="14" t="n"/>
      <c r="J26" s="14" t="n"/>
      <c r="K26" s="13">
        <f>IF(COUNT(C26:J26)&lt;8,"",SUM(C26:J26))</f>
        <v/>
      </c>
      <c r="L26" s="13">
        <f>IF(COUNT(C26:J26)&lt;8,"",K26/71)</f>
        <v/>
      </c>
      <c r="M26" s="13">
        <f>IF(COUNT(C26:J26)&lt;8,"",IF(L26&gt;=0.8,"Green",IF(L26&gt;=0.5,"Yellow","Red")))</f>
        <v/>
      </c>
      <c r="N26" s="13">
        <f>IF(COUNT(C26:J26)&lt;8,"",IF(M26="Green","Well done! "&amp;Parameters!$C$127,"Revise: "&amp;_xlfn.TEXTJOIN(", ",TRUE(),IF(O26&lt;1,Parameters!$A$114,""),IF(P26&lt;1,Parameters!$A$115,""),IF(Q26&lt;1,Parameters!$A$116,""),IF(R26&lt;1,Parameters!$A$117,""),IF(S26&lt;1,Parameters!$A$118,""),IF(T26&lt;1,Parameters!$A$119,""),IF(U26&lt;1,Parameters!$A$120,""),IF(V26&lt;1,Parameters!$A$121,""))))</f>
        <v/>
      </c>
      <c r="O26" s="13">
        <f>IF(C26="","",C26/8)</f>
        <v/>
      </c>
      <c r="P26" s="13">
        <f>IF(D26="","",D26/9)</f>
        <v/>
      </c>
      <c r="Q26" s="13">
        <f>IF(E26="","",E26/8)</f>
        <v/>
      </c>
      <c r="R26" s="13">
        <f>IF(F26="","",F26/9)</f>
        <v/>
      </c>
      <c r="S26" s="13">
        <f>IF(G26="","",G26/10)</f>
        <v/>
      </c>
      <c r="T26" s="13">
        <f>IF(H26="","",H26/8)</f>
        <v/>
      </c>
      <c r="U26" s="13">
        <f>IF(I26="","",I26/9)</f>
        <v/>
      </c>
      <c r="V26" s="13">
        <f>IF(J26="","",J26/10)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4" t="n"/>
      <c r="H27" s="14" t="n"/>
      <c r="I27" s="14" t="n"/>
      <c r="J27" s="14" t="n"/>
      <c r="K27" s="13">
        <f>IF(COUNT(C27:J27)&lt;8,"",SUM(C27:J27))</f>
        <v/>
      </c>
      <c r="L27" s="13">
        <f>IF(COUNT(C27:J27)&lt;8,"",K27/71)</f>
        <v/>
      </c>
      <c r="M27" s="13">
        <f>IF(COUNT(C27:J27)&lt;8,"",IF(L27&gt;=0.8,"Green",IF(L27&gt;=0.5,"Yellow","Red")))</f>
        <v/>
      </c>
      <c r="N27" s="13">
        <f>IF(COUNT(C27:J27)&lt;8,"",IF(M27="Green","Well done! "&amp;Parameters!$C$127,"Revise: "&amp;_xlfn.TEXTJOIN(", ",TRUE(),IF(O27&lt;1,Parameters!$A$114,""),IF(P27&lt;1,Parameters!$A$115,""),IF(Q27&lt;1,Parameters!$A$116,""),IF(R27&lt;1,Parameters!$A$117,""),IF(S27&lt;1,Parameters!$A$118,""),IF(T27&lt;1,Parameters!$A$119,""),IF(U27&lt;1,Parameters!$A$120,""),IF(V27&lt;1,Parameters!$A$121,""))))</f>
        <v/>
      </c>
      <c r="O27" s="13">
        <f>IF(C27="","",C27/8)</f>
        <v/>
      </c>
      <c r="P27" s="13">
        <f>IF(D27="","",D27/9)</f>
        <v/>
      </c>
      <c r="Q27" s="13">
        <f>IF(E27="","",E27/8)</f>
        <v/>
      </c>
      <c r="R27" s="13">
        <f>IF(F27="","",F27/9)</f>
        <v/>
      </c>
      <c r="S27" s="13">
        <f>IF(G27="","",G27/10)</f>
        <v/>
      </c>
      <c r="T27" s="13">
        <f>IF(H27="","",H27/8)</f>
        <v/>
      </c>
      <c r="U27" s="13">
        <f>IF(I27="","",I27/9)</f>
        <v/>
      </c>
      <c r="V27" s="13">
        <f>IF(J27="","",J27/10)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4" t="n"/>
      <c r="H28" s="14" t="n"/>
      <c r="I28" s="14" t="n"/>
      <c r="J28" s="14" t="n"/>
      <c r="K28" s="13">
        <f>IF(COUNT(C28:J28)&lt;8,"",SUM(C28:J28))</f>
        <v/>
      </c>
      <c r="L28" s="13">
        <f>IF(COUNT(C28:J28)&lt;8,"",K28/71)</f>
        <v/>
      </c>
      <c r="M28" s="13">
        <f>IF(COUNT(C28:J28)&lt;8,"",IF(L28&gt;=0.8,"Green",IF(L28&gt;=0.5,"Yellow","Red")))</f>
        <v/>
      </c>
      <c r="N28" s="13">
        <f>IF(COUNT(C28:J28)&lt;8,"",IF(M28="Green","Well done! "&amp;Parameters!$C$127,"Revise: "&amp;_xlfn.TEXTJOIN(", ",TRUE(),IF(O28&lt;1,Parameters!$A$114,""),IF(P28&lt;1,Parameters!$A$115,""),IF(Q28&lt;1,Parameters!$A$116,""),IF(R28&lt;1,Parameters!$A$117,""),IF(S28&lt;1,Parameters!$A$118,""),IF(T28&lt;1,Parameters!$A$119,""),IF(U28&lt;1,Parameters!$A$120,""),IF(V28&lt;1,Parameters!$A$121,""))))</f>
        <v/>
      </c>
      <c r="O28" s="13">
        <f>IF(C28="","",C28/8)</f>
        <v/>
      </c>
      <c r="P28" s="13">
        <f>IF(D28="","",D28/9)</f>
        <v/>
      </c>
      <c r="Q28" s="13">
        <f>IF(E28="","",E28/8)</f>
        <v/>
      </c>
      <c r="R28" s="13">
        <f>IF(F28="","",F28/9)</f>
        <v/>
      </c>
      <c r="S28" s="13">
        <f>IF(G28="","",G28/10)</f>
        <v/>
      </c>
      <c r="T28" s="13">
        <f>IF(H28="","",H28/8)</f>
        <v/>
      </c>
      <c r="U28" s="13">
        <f>IF(I28="","",I28/9)</f>
        <v/>
      </c>
      <c r="V28" s="13">
        <f>IF(J28="","",J28/10)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4" t="n"/>
      <c r="H29" s="14" t="n"/>
      <c r="I29" s="14" t="n"/>
      <c r="J29" s="14" t="n"/>
      <c r="K29" s="13">
        <f>IF(COUNT(C29:J29)&lt;8,"",SUM(C29:J29))</f>
        <v/>
      </c>
      <c r="L29" s="13">
        <f>IF(COUNT(C29:J29)&lt;8,"",K29/71)</f>
        <v/>
      </c>
      <c r="M29" s="13">
        <f>IF(COUNT(C29:J29)&lt;8,"",IF(L29&gt;=0.8,"Green",IF(L29&gt;=0.5,"Yellow","Red")))</f>
        <v/>
      </c>
      <c r="N29" s="13">
        <f>IF(COUNT(C29:J29)&lt;8,"",IF(M29="Green","Well done! "&amp;Parameters!$C$127,"Revise: "&amp;_xlfn.TEXTJOIN(", ",TRUE(),IF(O29&lt;1,Parameters!$A$114,""),IF(P29&lt;1,Parameters!$A$115,""),IF(Q29&lt;1,Parameters!$A$116,""),IF(R29&lt;1,Parameters!$A$117,""),IF(S29&lt;1,Parameters!$A$118,""),IF(T29&lt;1,Parameters!$A$119,""),IF(U29&lt;1,Parameters!$A$120,""),IF(V29&lt;1,Parameters!$A$121,""))))</f>
        <v/>
      </c>
      <c r="O29" s="13">
        <f>IF(C29="","",C29/8)</f>
        <v/>
      </c>
      <c r="P29" s="13">
        <f>IF(D29="","",D29/9)</f>
        <v/>
      </c>
      <c r="Q29" s="13">
        <f>IF(E29="","",E29/8)</f>
        <v/>
      </c>
      <c r="R29" s="13">
        <f>IF(F29="","",F29/9)</f>
        <v/>
      </c>
      <c r="S29" s="13">
        <f>IF(G29="","",G29/10)</f>
        <v/>
      </c>
      <c r="T29" s="13">
        <f>IF(H29="","",H29/8)</f>
        <v/>
      </c>
      <c r="U29" s="13">
        <f>IF(I29="","",I29/9)</f>
        <v/>
      </c>
      <c r="V29" s="13">
        <f>IF(J29="","",J29/10)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4" t="n"/>
      <c r="H30" s="14" t="n"/>
      <c r="I30" s="14" t="n"/>
      <c r="J30" s="14" t="n"/>
      <c r="K30" s="13">
        <f>IF(COUNT(C30:J30)&lt;8,"",SUM(C30:J30))</f>
        <v/>
      </c>
      <c r="L30" s="13">
        <f>IF(COUNT(C30:J30)&lt;8,"",K30/71)</f>
        <v/>
      </c>
      <c r="M30" s="13">
        <f>IF(COUNT(C30:J30)&lt;8,"",IF(L30&gt;=0.8,"Green",IF(L30&gt;=0.5,"Yellow","Red")))</f>
        <v/>
      </c>
      <c r="N30" s="13">
        <f>IF(COUNT(C30:J30)&lt;8,"",IF(M30="Green","Well done! "&amp;Parameters!$C$127,"Revise: "&amp;_xlfn.TEXTJOIN(", ",TRUE(),IF(O30&lt;1,Parameters!$A$114,""),IF(P30&lt;1,Parameters!$A$115,""),IF(Q30&lt;1,Parameters!$A$116,""),IF(R30&lt;1,Parameters!$A$117,""),IF(S30&lt;1,Parameters!$A$118,""),IF(T30&lt;1,Parameters!$A$119,""),IF(U30&lt;1,Parameters!$A$120,""),IF(V30&lt;1,Parameters!$A$121,""))))</f>
        <v/>
      </c>
      <c r="O30" s="13">
        <f>IF(C30="","",C30/8)</f>
        <v/>
      </c>
      <c r="P30" s="13">
        <f>IF(D30="","",D30/9)</f>
        <v/>
      </c>
      <c r="Q30" s="13">
        <f>IF(E30="","",E30/8)</f>
        <v/>
      </c>
      <c r="R30" s="13">
        <f>IF(F30="","",F30/9)</f>
        <v/>
      </c>
      <c r="S30" s="13">
        <f>IF(G30="","",G30/10)</f>
        <v/>
      </c>
      <c r="T30" s="13">
        <f>IF(H30="","",H30/8)</f>
        <v/>
      </c>
      <c r="U30" s="13">
        <f>IF(I30="","",I30/9)</f>
        <v/>
      </c>
      <c r="V30" s="13">
        <f>IF(J30="","",J30/10)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4" t="n"/>
      <c r="H31" s="14" t="n"/>
      <c r="I31" s="14" t="n"/>
      <c r="J31" s="14" t="n"/>
      <c r="K31" s="13">
        <f>IF(COUNT(C31:J31)&lt;8,"",SUM(C31:J31))</f>
        <v/>
      </c>
      <c r="L31" s="13">
        <f>IF(COUNT(C31:J31)&lt;8,"",K31/71)</f>
        <v/>
      </c>
      <c r="M31" s="13">
        <f>IF(COUNT(C31:J31)&lt;8,"",IF(L31&gt;=0.8,"Green",IF(L31&gt;=0.5,"Yellow","Red")))</f>
        <v/>
      </c>
      <c r="N31" s="13">
        <f>IF(COUNT(C31:J31)&lt;8,"",IF(M31="Green","Well done! "&amp;Parameters!$C$127,"Revise: "&amp;_xlfn.TEXTJOIN(", ",TRUE(),IF(O31&lt;1,Parameters!$A$114,""),IF(P31&lt;1,Parameters!$A$115,""),IF(Q31&lt;1,Parameters!$A$116,""),IF(R31&lt;1,Parameters!$A$117,""),IF(S31&lt;1,Parameters!$A$118,""),IF(T31&lt;1,Parameters!$A$119,""),IF(U31&lt;1,Parameters!$A$120,""),IF(V31&lt;1,Parameters!$A$121,""))))</f>
        <v/>
      </c>
      <c r="O31" s="13">
        <f>IF(C31="","",C31/8)</f>
        <v/>
      </c>
      <c r="P31" s="13">
        <f>IF(D31="","",D31/9)</f>
        <v/>
      </c>
      <c r="Q31" s="13">
        <f>IF(E31="","",E31/8)</f>
        <v/>
      </c>
      <c r="R31" s="13">
        <f>IF(F31="","",F31/9)</f>
        <v/>
      </c>
      <c r="S31" s="13">
        <f>IF(G31="","",G31/10)</f>
        <v/>
      </c>
      <c r="T31" s="13">
        <f>IF(H31="","",H31/8)</f>
        <v/>
      </c>
      <c r="U31" s="13">
        <f>IF(I31="","",I31/9)</f>
        <v/>
      </c>
      <c r="V31" s="13">
        <f>IF(J31="","",J31/10)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4" t="n"/>
      <c r="H32" s="14" t="n"/>
      <c r="I32" s="14" t="n"/>
      <c r="J32" s="14" t="n"/>
      <c r="K32" s="13">
        <f>IF(COUNT(C32:J32)&lt;8,"",SUM(C32:J32))</f>
        <v/>
      </c>
      <c r="L32" s="13">
        <f>IF(COUNT(C32:J32)&lt;8,"",K32/71)</f>
        <v/>
      </c>
      <c r="M32" s="13">
        <f>IF(COUNT(C32:J32)&lt;8,"",IF(L32&gt;=0.8,"Green",IF(L32&gt;=0.5,"Yellow","Red")))</f>
        <v/>
      </c>
      <c r="N32" s="13">
        <f>IF(COUNT(C32:J32)&lt;8,"",IF(M32="Green","Well done! "&amp;Parameters!$C$127,"Revise: "&amp;_xlfn.TEXTJOIN(", ",TRUE(),IF(O32&lt;1,Parameters!$A$114,""),IF(P32&lt;1,Parameters!$A$115,""),IF(Q32&lt;1,Parameters!$A$116,""),IF(R32&lt;1,Parameters!$A$117,""),IF(S32&lt;1,Parameters!$A$118,""),IF(T32&lt;1,Parameters!$A$119,""),IF(U32&lt;1,Parameters!$A$120,""),IF(V32&lt;1,Parameters!$A$121,""))))</f>
        <v/>
      </c>
      <c r="O32" s="13">
        <f>IF(C32="","",C32/8)</f>
        <v/>
      </c>
      <c r="P32" s="13">
        <f>IF(D32="","",D32/9)</f>
        <v/>
      </c>
      <c r="Q32" s="13">
        <f>IF(E32="","",E32/8)</f>
        <v/>
      </c>
      <c r="R32" s="13">
        <f>IF(F32="","",F32/9)</f>
        <v/>
      </c>
      <c r="S32" s="13">
        <f>IF(G32="","",G32/10)</f>
        <v/>
      </c>
      <c r="T32" s="13">
        <f>IF(H32="","",H32/8)</f>
        <v/>
      </c>
      <c r="U32" s="13">
        <f>IF(I32="","",I32/9)</f>
        <v/>
      </c>
      <c r="V32" s="13">
        <f>IF(J32="","",J32/10)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4" t="n"/>
      <c r="H33" s="14" t="n"/>
      <c r="I33" s="14" t="n"/>
      <c r="J33" s="14" t="n"/>
      <c r="K33" s="13">
        <f>IF(COUNT(C33:J33)&lt;8,"",SUM(C33:J33))</f>
        <v/>
      </c>
      <c r="L33" s="13">
        <f>IF(COUNT(C33:J33)&lt;8,"",K33/71)</f>
        <v/>
      </c>
      <c r="M33" s="13">
        <f>IF(COUNT(C33:J33)&lt;8,"",IF(L33&gt;=0.8,"Green",IF(L33&gt;=0.5,"Yellow","Red")))</f>
        <v/>
      </c>
      <c r="N33" s="13">
        <f>IF(COUNT(C33:J33)&lt;8,"",IF(M33="Green","Well done! "&amp;Parameters!$C$127,"Revise: "&amp;_xlfn.TEXTJOIN(", ",TRUE(),IF(O33&lt;1,Parameters!$A$114,""),IF(P33&lt;1,Parameters!$A$115,""),IF(Q33&lt;1,Parameters!$A$116,""),IF(R33&lt;1,Parameters!$A$117,""),IF(S33&lt;1,Parameters!$A$118,""),IF(T33&lt;1,Parameters!$A$119,""),IF(U33&lt;1,Parameters!$A$120,""),IF(V33&lt;1,Parameters!$A$121,""))))</f>
        <v/>
      </c>
      <c r="O33" s="13">
        <f>IF(C33="","",C33/8)</f>
        <v/>
      </c>
      <c r="P33" s="13">
        <f>IF(D33="","",D33/9)</f>
        <v/>
      </c>
      <c r="Q33" s="13">
        <f>IF(E33="","",E33/8)</f>
        <v/>
      </c>
      <c r="R33" s="13">
        <f>IF(F33="","",F33/9)</f>
        <v/>
      </c>
      <c r="S33" s="13">
        <f>IF(G33="","",G33/10)</f>
        <v/>
      </c>
      <c r="T33" s="13">
        <f>IF(H33="","",H33/8)</f>
        <v/>
      </c>
      <c r="U33" s="13">
        <f>IF(I33="","",I33/9)</f>
        <v/>
      </c>
      <c r="V33" s="13">
        <f>IF(J33="","",J33/10)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4" t="n"/>
      <c r="H34" s="14" t="n"/>
      <c r="I34" s="14" t="n"/>
      <c r="J34" s="14" t="n"/>
      <c r="K34" s="13">
        <f>IF(COUNT(C34:J34)&lt;8,"",SUM(C34:J34))</f>
        <v/>
      </c>
      <c r="L34" s="13">
        <f>IF(COUNT(C34:J34)&lt;8,"",K34/71)</f>
        <v/>
      </c>
      <c r="M34" s="13">
        <f>IF(COUNT(C34:J34)&lt;8,"",IF(L34&gt;=0.8,"Green",IF(L34&gt;=0.5,"Yellow","Red")))</f>
        <v/>
      </c>
      <c r="N34" s="13">
        <f>IF(COUNT(C34:J34)&lt;8,"",IF(M34="Green","Well done! "&amp;Parameters!$C$127,"Revise: "&amp;_xlfn.TEXTJOIN(", ",TRUE(),IF(O34&lt;1,Parameters!$A$114,""),IF(P34&lt;1,Parameters!$A$115,""),IF(Q34&lt;1,Parameters!$A$116,""),IF(R34&lt;1,Parameters!$A$117,""),IF(S34&lt;1,Parameters!$A$118,""),IF(T34&lt;1,Parameters!$A$119,""),IF(U34&lt;1,Parameters!$A$120,""),IF(V34&lt;1,Parameters!$A$121,""))))</f>
        <v/>
      </c>
      <c r="O34" s="13">
        <f>IF(C34="","",C34/8)</f>
        <v/>
      </c>
      <c r="P34" s="13">
        <f>IF(D34="","",D34/9)</f>
        <v/>
      </c>
      <c r="Q34" s="13">
        <f>IF(E34="","",E34/8)</f>
        <v/>
      </c>
      <c r="R34" s="13">
        <f>IF(F34="","",F34/9)</f>
        <v/>
      </c>
      <c r="S34" s="13">
        <f>IF(G34="","",G34/10)</f>
        <v/>
      </c>
      <c r="T34" s="13">
        <f>IF(H34="","",H34/8)</f>
        <v/>
      </c>
      <c r="U34" s="13">
        <f>IF(I34="","",I34/9)</f>
        <v/>
      </c>
      <c r="V34" s="13">
        <f>IF(J34="","",J34/10)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4" t="n"/>
      <c r="H35" s="14" t="n"/>
      <c r="I35" s="14" t="n"/>
      <c r="J35" s="14" t="n"/>
      <c r="K35" s="13">
        <f>IF(COUNT(C35:J35)&lt;8,"",SUM(C35:J35))</f>
        <v/>
      </c>
      <c r="L35" s="13">
        <f>IF(COUNT(C35:J35)&lt;8,"",K35/71)</f>
        <v/>
      </c>
      <c r="M35" s="13">
        <f>IF(COUNT(C35:J35)&lt;8,"",IF(L35&gt;=0.8,"Green",IF(L35&gt;=0.5,"Yellow","Red")))</f>
        <v/>
      </c>
      <c r="N35" s="13">
        <f>IF(COUNT(C35:J35)&lt;8,"",IF(M35="Green","Well done! "&amp;Parameters!$C$127,"Revise: "&amp;_xlfn.TEXTJOIN(", ",TRUE(),IF(O35&lt;1,Parameters!$A$114,""),IF(P35&lt;1,Parameters!$A$115,""),IF(Q35&lt;1,Parameters!$A$116,""),IF(R35&lt;1,Parameters!$A$117,""),IF(S35&lt;1,Parameters!$A$118,""),IF(T35&lt;1,Parameters!$A$119,""),IF(U35&lt;1,Parameters!$A$120,""),IF(V35&lt;1,Parameters!$A$121,""))))</f>
        <v/>
      </c>
      <c r="O35" s="13">
        <f>IF(C35="","",C35/8)</f>
        <v/>
      </c>
      <c r="P35" s="13">
        <f>IF(D35="","",D35/9)</f>
        <v/>
      </c>
      <c r="Q35" s="13">
        <f>IF(E35="","",E35/8)</f>
        <v/>
      </c>
      <c r="R35" s="13">
        <f>IF(F35="","",F35/9)</f>
        <v/>
      </c>
      <c r="S35" s="13">
        <f>IF(G35="","",G35/10)</f>
        <v/>
      </c>
      <c r="T35" s="13">
        <f>IF(H35="","",H35/8)</f>
        <v/>
      </c>
      <c r="U35" s="13">
        <f>IF(I35="","",I35/9)</f>
        <v/>
      </c>
      <c r="V35" s="13">
        <f>IF(J35="","",J35/10)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4" t="n"/>
      <c r="H36" s="14" t="n"/>
      <c r="I36" s="14" t="n"/>
      <c r="J36" s="14" t="n"/>
      <c r="K36" s="13">
        <f>IF(COUNT(C36:J36)&lt;8,"",SUM(C36:J36))</f>
        <v/>
      </c>
      <c r="L36" s="13">
        <f>IF(COUNT(C36:J36)&lt;8,"",K36/71)</f>
        <v/>
      </c>
      <c r="M36" s="13">
        <f>IF(COUNT(C36:J36)&lt;8,"",IF(L36&gt;=0.8,"Green",IF(L36&gt;=0.5,"Yellow","Red")))</f>
        <v/>
      </c>
      <c r="N36" s="13">
        <f>IF(COUNT(C36:J36)&lt;8,"",IF(M36="Green","Well done! "&amp;Parameters!$C$127,"Revise: "&amp;_xlfn.TEXTJOIN(", ",TRUE(),IF(O36&lt;1,Parameters!$A$114,""),IF(P36&lt;1,Parameters!$A$115,""),IF(Q36&lt;1,Parameters!$A$116,""),IF(R36&lt;1,Parameters!$A$117,""),IF(S36&lt;1,Parameters!$A$118,""),IF(T36&lt;1,Parameters!$A$119,""),IF(U36&lt;1,Parameters!$A$120,""),IF(V36&lt;1,Parameters!$A$121,""))))</f>
        <v/>
      </c>
      <c r="O36" s="13">
        <f>IF(C36="","",C36/8)</f>
        <v/>
      </c>
      <c r="P36" s="13">
        <f>IF(D36="","",D36/9)</f>
        <v/>
      </c>
      <c r="Q36" s="13">
        <f>IF(E36="","",E36/8)</f>
        <v/>
      </c>
      <c r="R36" s="13">
        <f>IF(F36="","",F36/9)</f>
        <v/>
      </c>
      <c r="S36" s="13">
        <f>IF(G36="","",G36/10)</f>
        <v/>
      </c>
      <c r="T36" s="13">
        <f>IF(H36="","",H36/8)</f>
        <v/>
      </c>
      <c r="U36" s="13">
        <f>IF(I36="","",I36/9)</f>
        <v/>
      </c>
      <c r="V36" s="13">
        <f>IF(J36="","",J36/10)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4" t="n"/>
      <c r="H37" s="14" t="n"/>
      <c r="I37" s="14" t="n"/>
      <c r="J37" s="14" t="n"/>
      <c r="K37" s="13">
        <f>IF(COUNT(C37:J37)&lt;8,"",SUM(C37:J37))</f>
        <v/>
      </c>
      <c r="L37" s="13">
        <f>IF(COUNT(C37:J37)&lt;8,"",K37/71)</f>
        <v/>
      </c>
      <c r="M37" s="13">
        <f>IF(COUNT(C37:J37)&lt;8,"",IF(L37&gt;=0.8,"Green",IF(L37&gt;=0.5,"Yellow","Red")))</f>
        <v/>
      </c>
      <c r="N37" s="13">
        <f>IF(COUNT(C37:J37)&lt;8,"",IF(M37="Green","Well done! "&amp;Parameters!$C$127,"Revise: "&amp;_xlfn.TEXTJOIN(", ",TRUE(),IF(O37&lt;1,Parameters!$A$114,""),IF(P37&lt;1,Parameters!$A$115,""),IF(Q37&lt;1,Parameters!$A$116,""),IF(R37&lt;1,Parameters!$A$117,""),IF(S37&lt;1,Parameters!$A$118,""),IF(T37&lt;1,Parameters!$A$119,""),IF(U37&lt;1,Parameters!$A$120,""),IF(V37&lt;1,Parameters!$A$121,""))))</f>
        <v/>
      </c>
      <c r="O37" s="13">
        <f>IF(C37="","",C37/8)</f>
        <v/>
      </c>
      <c r="P37" s="13">
        <f>IF(D37="","",D37/9)</f>
        <v/>
      </c>
      <c r="Q37" s="13">
        <f>IF(E37="","",E37/8)</f>
        <v/>
      </c>
      <c r="R37" s="13">
        <f>IF(F37="","",F37/9)</f>
        <v/>
      </c>
      <c r="S37" s="13">
        <f>IF(G37="","",G37/10)</f>
        <v/>
      </c>
      <c r="T37" s="13">
        <f>IF(H37="","",H37/8)</f>
        <v/>
      </c>
      <c r="U37" s="13">
        <f>IF(I37="","",I37/9)</f>
        <v/>
      </c>
      <c r="V37" s="13">
        <f>IF(J37="","",J37/10)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4" t="n"/>
      <c r="H38" s="14" t="n"/>
      <c r="I38" s="14" t="n"/>
      <c r="J38" s="14" t="n"/>
      <c r="K38" s="13">
        <f>IF(COUNT(C38:J38)&lt;8,"",SUM(C38:J38))</f>
        <v/>
      </c>
      <c r="L38" s="13">
        <f>IF(COUNT(C38:J38)&lt;8,"",K38/71)</f>
        <v/>
      </c>
      <c r="M38" s="13">
        <f>IF(COUNT(C38:J38)&lt;8,"",IF(L38&gt;=0.8,"Green",IF(L38&gt;=0.5,"Yellow","Red")))</f>
        <v/>
      </c>
      <c r="N38" s="13">
        <f>IF(COUNT(C38:J38)&lt;8,"",IF(M38="Green","Well done! "&amp;Parameters!$C$127,"Revise: "&amp;_xlfn.TEXTJOIN(", ",TRUE(),IF(O38&lt;1,Parameters!$A$114,""),IF(P38&lt;1,Parameters!$A$115,""),IF(Q38&lt;1,Parameters!$A$116,""),IF(R38&lt;1,Parameters!$A$117,""),IF(S38&lt;1,Parameters!$A$118,""),IF(T38&lt;1,Parameters!$A$119,""),IF(U38&lt;1,Parameters!$A$120,""),IF(V38&lt;1,Parameters!$A$121,""))))</f>
        <v/>
      </c>
      <c r="O38" s="13">
        <f>IF(C38="","",C38/8)</f>
        <v/>
      </c>
      <c r="P38" s="13">
        <f>IF(D38="","",D38/9)</f>
        <v/>
      </c>
      <c r="Q38" s="13">
        <f>IF(E38="","",E38/8)</f>
        <v/>
      </c>
      <c r="R38" s="13">
        <f>IF(F38="","",F38/9)</f>
        <v/>
      </c>
      <c r="S38" s="13">
        <f>IF(G38="","",G38/10)</f>
        <v/>
      </c>
      <c r="T38" s="13">
        <f>IF(H38="","",H38/8)</f>
        <v/>
      </c>
      <c r="U38" s="13">
        <f>IF(I38="","",I38/9)</f>
        <v/>
      </c>
      <c r="V38" s="13">
        <f>IF(J38="","",J38/10)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4" t="n"/>
      <c r="H39" s="14" t="n"/>
      <c r="I39" s="14" t="n"/>
      <c r="J39" s="14" t="n"/>
      <c r="K39" s="13">
        <f>IF(COUNT(C39:J39)&lt;8,"",SUM(C39:J39))</f>
        <v/>
      </c>
      <c r="L39" s="13">
        <f>IF(COUNT(C39:J39)&lt;8,"",K39/71)</f>
        <v/>
      </c>
      <c r="M39" s="13">
        <f>IF(COUNT(C39:J39)&lt;8,"",IF(L39&gt;=0.8,"Green",IF(L39&gt;=0.5,"Yellow","Red")))</f>
        <v/>
      </c>
      <c r="N39" s="13">
        <f>IF(COUNT(C39:J39)&lt;8,"",IF(M39="Green","Well done! "&amp;Parameters!$C$127,"Revise: "&amp;_xlfn.TEXTJOIN(", ",TRUE(),IF(O39&lt;1,Parameters!$A$114,""),IF(P39&lt;1,Parameters!$A$115,""),IF(Q39&lt;1,Parameters!$A$116,""),IF(R39&lt;1,Parameters!$A$117,""),IF(S39&lt;1,Parameters!$A$118,""),IF(T39&lt;1,Parameters!$A$119,""),IF(U39&lt;1,Parameters!$A$120,""),IF(V39&lt;1,Parameters!$A$121,""))))</f>
        <v/>
      </c>
      <c r="O39" s="13">
        <f>IF(C39="","",C39/8)</f>
        <v/>
      </c>
      <c r="P39" s="13">
        <f>IF(D39="","",D39/9)</f>
        <v/>
      </c>
      <c r="Q39" s="13">
        <f>IF(E39="","",E39/8)</f>
        <v/>
      </c>
      <c r="R39" s="13">
        <f>IF(F39="","",F39/9)</f>
        <v/>
      </c>
      <c r="S39" s="13">
        <f>IF(G39="","",G39/10)</f>
        <v/>
      </c>
      <c r="T39" s="13">
        <f>IF(H39="","",H39/8)</f>
        <v/>
      </c>
      <c r="U39" s="13">
        <f>IF(I39="","",I39/9)</f>
        <v/>
      </c>
      <c r="V39" s="13">
        <f>IF(J39="","",J39/10)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4" t="n"/>
      <c r="H40" s="14" t="n"/>
      <c r="I40" s="14" t="n"/>
      <c r="J40" s="14" t="n"/>
      <c r="K40" s="13">
        <f>IF(COUNT(C40:J40)&lt;8,"",SUM(C40:J40))</f>
        <v/>
      </c>
      <c r="L40" s="13">
        <f>IF(COUNT(C40:J40)&lt;8,"",K40/71)</f>
        <v/>
      </c>
      <c r="M40" s="13">
        <f>IF(COUNT(C40:J40)&lt;8,"",IF(L40&gt;=0.8,"Green",IF(L40&gt;=0.5,"Yellow","Red")))</f>
        <v/>
      </c>
      <c r="N40" s="13">
        <f>IF(COUNT(C40:J40)&lt;8,"",IF(M40="Green","Well done! "&amp;Parameters!$C$127,"Revise: "&amp;_xlfn.TEXTJOIN(", ",TRUE(),IF(O40&lt;1,Parameters!$A$114,""),IF(P40&lt;1,Parameters!$A$115,""),IF(Q40&lt;1,Parameters!$A$116,""),IF(R40&lt;1,Parameters!$A$117,""),IF(S40&lt;1,Parameters!$A$118,""),IF(T40&lt;1,Parameters!$A$119,""),IF(U40&lt;1,Parameters!$A$120,""),IF(V40&lt;1,Parameters!$A$121,""))))</f>
        <v/>
      </c>
      <c r="O40" s="13">
        <f>IF(C40="","",C40/8)</f>
        <v/>
      </c>
      <c r="P40" s="13">
        <f>IF(D40="","",D40/9)</f>
        <v/>
      </c>
      <c r="Q40" s="13">
        <f>IF(E40="","",E40/8)</f>
        <v/>
      </c>
      <c r="R40" s="13">
        <f>IF(F40="","",F40/9)</f>
        <v/>
      </c>
      <c r="S40" s="13">
        <f>IF(G40="","",G40/10)</f>
        <v/>
      </c>
      <c r="T40" s="13">
        <f>IF(H40="","",H40/8)</f>
        <v/>
      </c>
      <c r="U40" s="13">
        <f>IF(I40="","",I40/9)</f>
        <v/>
      </c>
      <c r="V40" s="13">
        <f>IF(J40="","",J40/10)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4" t="n"/>
      <c r="H41" s="14" t="n"/>
      <c r="I41" s="14" t="n"/>
      <c r="J41" s="14" t="n"/>
      <c r="K41" s="13">
        <f>IF(COUNT(C41:J41)&lt;8,"",SUM(C41:J41))</f>
        <v/>
      </c>
      <c r="L41" s="13">
        <f>IF(COUNT(C41:J41)&lt;8,"",K41/71)</f>
        <v/>
      </c>
      <c r="M41" s="13">
        <f>IF(COUNT(C41:J41)&lt;8,"",IF(L41&gt;=0.8,"Green",IF(L41&gt;=0.5,"Yellow","Red")))</f>
        <v/>
      </c>
      <c r="N41" s="13">
        <f>IF(COUNT(C41:J41)&lt;8,"",IF(M41="Green","Well done! "&amp;Parameters!$C$127,"Revise: "&amp;_xlfn.TEXTJOIN(", ",TRUE(),IF(O41&lt;1,Parameters!$A$114,""),IF(P41&lt;1,Parameters!$A$115,""),IF(Q41&lt;1,Parameters!$A$116,""),IF(R41&lt;1,Parameters!$A$117,""),IF(S41&lt;1,Parameters!$A$118,""),IF(T41&lt;1,Parameters!$A$119,""),IF(U41&lt;1,Parameters!$A$120,""),IF(V41&lt;1,Parameters!$A$121,""))))</f>
        <v/>
      </c>
      <c r="O41" s="13">
        <f>IF(C41="","",C41/8)</f>
        <v/>
      </c>
      <c r="P41" s="13">
        <f>IF(D41="","",D41/9)</f>
        <v/>
      </c>
      <c r="Q41" s="13">
        <f>IF(E41="","",E41/8)</f>
        <v/>
      </c>
      <c r="R41" s="13">
        <f>IF(F41="","",F41/9)</f>
        <v/>
      </c>
      <c r="S41" s="13">
        <f>IF(G41="","",G41/10)</f>
        <v/>
      </c>
      <c r="T41" s="13">
        <f>IF(H41="","",H41/8)</f>
        <v/>
      </c>
      <c r="U41" s="13">
        <f>IF(I41="","",I41/9)</f>
        <v/>
      </c>
      <c r="V41" s="13">
        <f>IF(J41="","",J41/10)</f>
        <v/>
      </c>
    </row>
  </sheetData>
  <conditionalFormatting sqref="C11">
    <cfRule type="expression" priority="1" dxfId="0">
      <formula>AND(COUNT(C11:J11)=8,C11=8)</formula>
    </cfRule>
    <cfRule type="expression" priority="2" dxfId="1">
      <formula>AND(COUNT(C11:J11)=8,C11&lt;8*0.4)</formula>
    </cfRule>
    <cfRule type="expression" priority="3" dxfId="2">
      <formula>AND(COUNT(C11:J11)=8,C11&gt;=8*0.4,C11&lt;8)</formula>
    </cfRule>
  </conditionalFormatting>
  <conditionalFormatting sqref="C12">
    <cfRule type="expression" priority="4" dxfId="0">
      <formula>AND(COUNT(C12:J12)=8,C12=8)</formula>
    </cfRule>
    <cfRule type="expression" priority="5" dxfId="1">
      <formula>AND(COUNT(C12:J12)=8,C12&lt;8*0.4)</formula>
    </cfRule>
    <cfRule type="expression" priority="6" dxfId="2">
      <formula>AND(COUNT(C12:J12)=8,C12&gt;=8*0.4,C12&lt;8)</formula>
    </cfRule>
  </conditionalFormatting>
  <conditionalFormatting sqref="C13">
    <cfRule type="expression" priority="7" dxfId="0">
      <formula>AND(COUNT(C13:J13)=8,C13=8)</formula>
    </cfRule>
    <cfRule type="expression" priority="8" dxfId="1">
      <formula>AND(COUNT(C13:J13)=8,C13&lt;8*0.4)</formula>
    </cfRule>
    <cfRule type="expression" priority="9" dxfId="2">
      <formula>AND(COUNT(C13:J13)=8,C13&gt;=8*0.4,C13&lt;8)</formula>
    </cfRule>
  </conditionalFormatting>
  <conditionalFormatting sqref="C14">
    <cfRule type="expression" priority="10" dxfId="0">
      <formula>AND(COUNT(C14:J14)=8,C14=8)</formula>
    </cfRule>
    <cfRule type="expression" priority="11" dxfId="1">
      <formula>AND(COUNT(C14:J14)=8,C14&lt;8*0.4)</formula>
    </cfRule>
    <cfRule type="expression" priority="12" dxfId="2">
      <formula>AND(COUNT(C14:J14)=8,C14&gt;=8*0.4,C14&lt;8)</formula>
    </cfRule>
  </conditionalFormatting>
  <conditionalFormatting sqref="C15">
    <cfRule type="expression" priority="13" dxfId="0">
      <formula>AND(COUNT(C15:J15)=8,C15=8)</formula>
    </cfRule>
    <cfRule type="expression" priority="14" dxfId="1">
      <formula>AND(COUNT(C15:J15)=8,C15&lt;8*0.4)</formula>
    </cfRule>
    <cfRule type="expression" priority="15" dxfId="2">
      <formula>AND(COUNT(C15:J15)=8,C15&gt;=8*0.4,C15&lt;8)</formula>
    </cfRule>
  </conditionalFormatting>
  <conditionalFormatting sqref="C16">
    <cfRule type="expression" priority="16" dxfId="0">
      <formula>AND(COUNT(C16:J16)=8,C16=8)</formula>
    </cfRule>
    <cfRule type="expression" priority="17" dxfId="1">
      <formula>AND(COUNT(C16:J16)=8,C16&lt;8*0.4)</formula>
    </cfRule>
    <cfRule type="expression" priority="18" dxfId="2">
      <formula>AND(COUNT(C16:J16)=8,C16&gt;=8*0.4,C16&lt;8)</formula>
    </cfRule>
  </conditionalFormatting>
  <conditionalFormatting sqref="C17">
    <cfRule type="expression" priority="19" dxfId="0">
      <formula>AND(COUNT(C17:J17)=8,C17=8)</formula>
    </cfRule>
    <cfRule type="expression" priority="20" dxfId="1">
      <formula>AND(COUNT(C17:J17)=8,C17&lt;8*0.4)</formula>
    </cfRule>
    <cfRule type="expression" priority="21" dxfId="2">
      <formula>AND(COUNT(C17:J17)=8,C17&gt;=8*0.4,C17&lt;8)</formula>
    </cfRule>
  </conditionalFormatting>
  <conditionalFormatting sqref="C18">
    <cfRule type="expression" priority="22" dxfId="0">
      <formula>AND(COUNT(C18:J18)=8,C18=8)</formula>
    </cfRule>
    <cfRule type="expression" priority="23" dxfId="1">
      <formula>AND(COUNT(C18:J18)=8,C18&lt;8*0.4)</formula>
    </cfRule>
    <cfRule type="expression" priority="24" dxfId="2">
      <formula>AND(COUNT(C18:J18)=8,C18&gt;=8*0.4,C18&lt;8)</formula>
    </cfRule>
  </conditionalFormatting>
  <conditionalFormatting sqref="C19">
    <cfRule type="expression" priority="25" dxfId="0">
      <formula>AND(COUNT(C19:J19)=8,C19=8)</formula>
    </cfRule>
    <cfRule type="expression" priority="26" dxfId="1">
      <formula>AND(COUNT(C19:J19)=8,C19&lt;8*0.4)</formula>
    </cfRule>
    <cfRule type="expression" priority="27" dxfId="2">
      <formula>AND(COUNT(C19:J19)=8,C19&gt;=8*0.4,C19&lt;8)</formula>
    </cfRule>
  </conditionalFormatting>
  <conditionalFormatting sqref="C20">
    <cfRule type="expression" priority="28" dxfId="0">
      <formula>AND(COUNT(C20:J20)=8,C20=8)</formula>
    </cfRule>
    <cfRule type="expression" priority="29" dxfId="1">
      <formula>AND(COUNT(C20:J20)=8,C20&lt;8*0.4)</formula>
    </cfRule>
    <cfRule type="expression" priority="30" dxfId="2">
      <formula>AND(COUNT(C20:J20)=8,C20&gt;=8*0.4,C20&lt;8)</formula>
    </cfRule>
  </conditionalFormatting>
  <conditionalFormatting sqref="C21">
    <cfRule type="expression" priority="31" dxfId="0">
      <formula>AND(COUNT(C21:J21)=8,C21=8)</formula>
    </cfRule>
    <cfRule type="expression" priority="32" dxfId="1">
      <formula>AND(COUNT(C21:J21)=8,C21&lt;8*0.4)</formula>
    </cfRule>
    <cfRule type="expression" priority="33" dxfId="2">
      <formula>AND(COUNT(C21:J21)=8,C21&gt;=8*0.4,C21&lt;8)</formula>
    </cfRule>
  </conditionalFormatting>
  <conditionalFormatting sqref="C22">
    <cfRule type="expression" priority="34" dxfId="0">
      <formula>AND(COUNT(C22:J22)=8,C22=8)</formula>
    </cfRule>
    <cfRule type="expression" priority="35" dxfId="1">
      <formula>AND(COUNT(C22:J22)=8,C22&lt;8*0.4)</formula>
    </cfRule>
    <cfRule type="expression" priority="36" dxfId="2">
      <formula>AND(COUNT(C22:J22)=8,C22&gt;=8*0.4,C22&lt;8)</formula>
    </cfRule>
  </conditionalFormatting>
  <conditionalFormatting sqref="C23">
    <cfRule type="expression" priority="37" dxfId="0">
      <formula>AND(COUNT(C23:J23)=8,C23=8)</formula>
    </cfRule>
    <cfRule type="expression" priority="38" dxfId="1">
      <formula>AND(COUNT(C23:J23)=8,C23&lt;8*0.4)</formula>
    </cfRule>
    <cfRule type="expression" priority="39" dxfId="2">
      <formula>AND(COUNT(C23:J23)=8,C23&gt;=8*0.4,C23&lt;8)</formula>
    </cfRule>
  </conditionalFormatting>
  <conditionalFormatting sqref="C24">
    <cfRule type="expression" priority="40" dxfId="0">
      <formula>AND(COUNT(C24:J24)=8,C24=8)</formula>
    </cfRule>
    <cfRule type="expression" priority="41" dxfId="1">
      <formula>AND(COUNT(C24:J24)=8,C24&lt;8*0.4)</formula>
    </cfRule>
    <cfRule type="expression" priority="42" dxfId="2">
      <formula>AND(COUNT(C24:J24)=8,C24&gt;=8*0.4,C24&lt;8)</formula>
    </cfRule>
  </conditionalFormatting>
  <conditionalFormatting sqref="C25">
    <cfRule type="expression" priority="43" dxfId="0">
      <formula>AND(COUNT(C25:J25)=8,C25=8)</formula>
    </cfRule>
    <cfRule type="expression" priority="44" dxfId="1">
      <formula>AND(COUNT(C25:J25)=8,C25&lt;8*0.4)</formula>
    </cfRule>
    <cfRule type="expression" priority="45" dxfId="2">
      <formula>AND(COUNT(C25:J25)=8,C25&gt;=8*0.4,C25&lt;8)</formula>
    </cfRule>
  </conditionalFormatting>
  <conditionalFormatting sqref="C26">
    <cfRule type="expression" priority="46" dxfId="0">
      <formula>AND(COUNT(C26:J26)=8,C26=8)</formula>
    </cfRule>
    <cfRule type="expression" priority="47" dxfId="1">
      <formula>AND(COUNT(C26:J26)=8,C26&lt;8*0.4)</formula>
    </cfRule>
    <cfRule type="expression" priority="48" dxfId="2">
      <formula>AND(COUNT(C26:J26)=8,C26&gt;=8*0.4,C26&lt;8)</formula>
    </cfRule>
  </conditionalFormatting>
  <conditionalFormatting sqref="C27">
    <cfRule type="expression" priority="49" dxfId="0">
      <formula>AND(COUNT(C27:J27)=8,C27=8)</formula>
    </cfRule>
    <cfRule type="expression" priority="50" dxfId="1">
      <formula>AND(COUNT(C27:J27)=8,C27&lt;8*0.4)</formula>
    </cfRule>
    <cfRule type="expression" priority="51" dxfId="2">
      <formula>AND(COUNT(C27:J27)=8,C27&gt;=8*0.4,C27&lt;8)</formula>
    </cfRule>
  </conditionalFormatting>
  <conditionalFormatting sqref="C28">
    <cfRule type="expression" priority="52" dxfId="0">
      <formula>AND(COUNT(C28:J28)=8,C28=8)</formula>
    </cfRule>
    <cfRule type="expression" priority="53" dxfId="1">
      <formula>AND(COUNT(C28:J28)=8,C28&lt;8*0.4)</formula>
    </cfRule>
    <cfRule type="expression" priority="54" dxfId="2">
      <formula>AND(COUNT(C28:J28)=8,C28&gt;=8*0.4,C28&lt;8)</formula>
    </cfRule>
  </conditionalFormatting>
  <conditionalFormatting sqref="C29">
    <cfRule type="expression" priority="55" dxfId="0">
      <formula>AND(COUNT(C29:J29)=8,C29=8)</formula>
    </cfRule>
    <cfRule type="expression" priority="56" dxfId="1">
      <formula>AND(COUNT(C29:J29)=8,C29&lt;8*0.4)</formula>
    </cfRule>
    <cfRule type="expression" priority="57" dxfId="2">
      <formula>AND(COUNT(C29:J29)=8,C29&gt;=8*0.4,C29&lt;8)</formula>
    </cfRule>
  </conditionalFormatting>
  <conditionalFormatting sqref="C30">
    <cfRule type="expression" priority="58" dxfId="0">
      <formula>AND(COUNT(C30:J30)=8,C30=8)</formula>
    </cfRule>
    <cfRule type="expression" priority="59" dxfId="1">
      <formula>AND(COUNT(C30:J30)=8,C30&lt;8*0.4)</formula>
    </cfRule>
    <cfRule type="expression" priority="60" dxfId="2">
      <formula>AND(COUNT(C30:J30)=8,C30&gt;=8*0.4,C30&lt;8)</formula>
    </cfRule>
  </conditionalFormatting>
  <conditionalFormatting sqref="C31">
    <cfRule type="expression" priority="61" dxfId="0">
      <formula>AND(COUNT(C31:J31)=8,C31=8)</formula>
    </cfRule>
    <cfRule type="expression" priority="62" dxfId="1">
      <formula>AND(COUNT(C31:J31)=8,C31&lt;8*0.4)</formula>
    </cfRule>
    <cfRule type="expression" priority="63" dxfId="2">
      <formula>AND(COUNT(C31:J31)=8,C31&gt;=8*0.4,C31&lt;8)</formula>
    </cfRule>
  </conditionalFormatting>
  <conditionalFormatting sqref="C32">
    <cfRule type="expression" priority="64" dxfId="0">
      <formula>AND(COUNT(C32:J32)=8,C32=8)</formula>
    </cfRule>
    <cfRule type="expression" priority="65" dxfId="1">
      <formula>AND(COUNT(C32:J32)=8,C32&lt;8*0.4)</formula>
    </cfRule>
    <cfRule type="expression" priority="66" dxfId="2">
      <formula>AND(COUNT(C32:J32)=8,C32&gt;=8*0.4,C32&lt;8)</formula>
    </cfRule>
  </conditionalFormatting>
  <conditionalFormatting sqref="C33">
    <cfRule type="expression" priority="67" dxfId="0">
      <formula>AND(COUNT(C33:J33)=8,C33=8)</formula>
    </cfRule>
    <cfRule type="expression" priority="68" dxfId="1">
      <formula>AND(COUNT(C33:J33)=8,C33&lt;8*0.4)</formula>
    </cfRule>
    <cfRule type="expression" priority="69" dxfId="2">
      <formula>AND(COUNT(C33:J33)=8,C33&gt;=8*0.4,C33&lt;8)</formula>
    </cfRule>
  </conditionalFormatting>
  <conditionalFormatting sqref="C34">
    <cfRule type="expression" priority="70" dxfId="0">
      <formula>AND(COUNT(C34:J34)=8,C34=8)</formula>
    </cfRule>
    <cfRule type="expression" priority="71" dxfId="1">
      <formula>AND(COUNT(C34:J34)=8,C34&lt;8*0.4)</formula>
    </cfRule>
    <cfRule type="expression" priority="72" dxfId="2">
      <formula>AND(COUNT(C34:J34)=8,C34&gt;=8*0.4,C34&lt;8)</formula>
    </cfRule>
  </conditionalFormatting>
  <conditionalFormatting sqref="C35">
    <cfRule type="expression" priority="73" dxfId="0">
      <formula>AND(COUNT(C35:J35)=8,C35=8)</formula>
    </cfRule>
    <cfRule type="expression" priority="74" dxfId="1">
      <formula>AND(COUNT(C35:J35)=8,C35&lt;8*0.4)</formula>
    </cfRule>
    <cfRule type="expression" priority="75" dxfId="2">
      <formula>AND(COUNT(C35:J35)=8,C35&gt;=8*0.4,C35&lt;8)</formula>
    </cfRule>
  </conditionalFormatting>
  <conditionalFormatting sqref="C36">
    <cfRule type="expression" priority="76" dxfId="0">
      <formula>AND(COUNT(C36:J36)=8,C36=8)</formula>
    </cfRule>
    <cfRule type="expression" priority="77" dxfId="1">
      <formula>AND(COUNT(C36:J36)=8,C36&lt;8*0.4)</formula>
    </cfRule>
    <cfRule type="expression" priority="78" dxfId="2">
      <formula>AND(COUNT(C36:J36)=8,C36&gt;=8*0.4,C36&lt;8)</formula>
    </cfRule>
  </conditionalFormatting>
  <conditionalFormatting sqref="C37">
    <cfRule type="expression" priority="79" dxfId="0">
      <formula>AND(COUNT(C37:J37)=8,C37=8)</formula>
    </cfRule>
    <cfRule type="expression" priority="80" dxfId="1">
      <formula>AND(COUNT(C37:J37)=8,C37&lt;8*0.4)</formula>
    </cfRule>
    <cfRule type="expression" priority="81" dxfId="2">
      <formula>AND(COUNT(C37:J37)=8,C37&gt;=8*0.4,C37&lt;8)</formula>
    </cfRule>
  </conditionalFormatting>
  <conditionalFormatting sqref="C38">
    <cfRule type="expression" priority="82" dxfId="0">
      <formula>AND(COUNT(C38:J38)=8,C38=8)</formula>
    </cfRule>
    <cfRule type="expression" priority="83" dxfId="1">
      <formula>AND(COUNT(C38:J38)=8,C38&lt;8*0.4)</formula>
    </cfRule>
    <cfRule type="expression" priority="84" dxfId="2">
      <formula>AND(COUNT(C38:J38)=8,C38&gt;=8*0.4,C38&lt;8)</formula>
    </cfRule>
  </conditionalFormatting>
  <conditionalFormatting sqref="C39">
    <cfRule type="expression" priority="85" dxfId="0">
      <formula>AND(COUNT(C39:J39)=8,C39=8)</formula>
    </cfRule>
    <cfRule type="expression" priority="86" dxfId="1">
      <formula>AND(COUNT(C39:J39)=8,C39&lt;8*0.4)</formula>
    </cfRule>
    <cfRule type="expression" priority="87" dxfId="2">
      <formula>AND(COUNT(C39:J39)=8,C39&gt;=8*0.4,C39&lt;8)</formula>
    </cfRule>
  </conditionalFormatting>
  <conditionalFormatting sqref="C40">
    <cfRule type="expression" priority="88" dxfId="0">
      <formula>AND(COUNT(C40:J40)=8,C40=8)</formula>
    </cfRule>
    <cfRule type="expression" priority="89" dxfId="1">
      <formula>AND(COUNT(C40:J40)=8,C40&lt;8*0.4)</formula>
    </cfRule>
    <cfRule type="expression" priority="90" dxfId="2">
      <formula>AND(COUNT(C40:J40)=8,C40&gt;=8*0.4,C40&lt;8)</formula>
    </cfRule>
  </conditionalFormatting>
  <conditionalFormatting sqref="C41">
    <cfRule type="expression" priority="91" dxfId="0">
      <formula>AND(COUNT(C41:J41)=8,C41=8)</formula>
    </cfRule>
    <cfRule type="expression" priority="92" dxfId="1">
      <formula>AND(COUNT(C41:J41)=8,C41&lt;8*0.4)</formula>
    </cfRule>
    <cfRule type="expression" priority="93" dxfId="2">
      <formula>AND(COUNT(C41:J41)=8,C41&gt;=8*0.4,C41&lt;8)</formula>
    </cfRule>
  </conditionalFormatting>
  <conditionalFormatting sqref="D11">
    <cfRule type="expression" priority="94" dxfId="0">
      <formula>AND(COUNT(C11:J11)=8,D11=9)</formula>
    </cfRule>
    <cfRule type="expression" priority="95" dxfId="1">
      <formula>AND(COUNT(C11:J11)=8,D11&lt;9*0.4)</formula>
    </cfRule>
    <cfRule type="expression" priority="96" dxfId="2">
      <formula>AND(COUNT(C11:J11)=8,D11&gt;=9*0.4,D11&lt;9)</formula>
    </cfRule>
  </conditionalFormatting>
  <conditionalFormatting sqref="D12">
    <cfRule type="expression" priority="97" dxfId="0">
      <formula>AND(COUNT(C12:J12)=8,D12=9)</formula>
    </cfRule>
    <cfRule type="expression" priority="98" dxfId="1">
      <formula>AND(COUNT(C12:J12)=8,D12&lt;9*0.4)</formula>
    </cfRule>
    <cfRule type="expression" priority="99" dxfId="2">
      <formula>AND(COUNT(C12:J12)=8,D12&gt;=9*0.4,D12&lt;9)</formula>
    </cfRule>
  </conditionalFormatting>
  <conditionalFormatting sqref="D13">
    <cfRule type="expression" priority="100" dxfId="0">
      <formula>AND(COUNT(C13:J13)=8,D13=9)</formula>
    </cfRule>
    <cfRule type="expression" priority="101" dxfId="1">
      <formula>AND(COUNT(C13:J13)=8,D13&lt;9*0.4)</formula>
    </cfRule>
    <cfRule type="expression" priority="102" dxfId="2">
      <formula>AND(COUNT(C13:J13)=8,D13&gt;=9*0.4,D13&lt;9)</formula>
    </cfRule>
  </conditionalFormatting>
  <conditionalFormatting sqref="D14">
    <cfRule type="expression" priority="103" dxfId="0">
      <formula>AND(COUNT(C14:J14)=8,D14=9)</formula>
    </cfRule>
    <cfRule type="expression" priority="104" dxfId="1">
      <formula>AND(COUNT(C14:J14)=8,D14&lt;9*0.4)</formula>
    </cfRule>
    <cfRule type="expression" priority="105" dxfId="2">
      <formula>AND(COUNT(C14:J14)=8,D14&gt;=9*0.4,D14&lt;9)</formula>
    </cfRule>
  </conditionalFormatting>
  <conditionalFormatting sqref="D15">
    <cfRule type="expression" priority="106" dxfId="0">
      <formula>AND(COUNT(C15:J15)=8,D15=9)</formula>
    </cfRule>
    <cfRule type="expression" priority="107" dxfId="1">
      <formula>AND(COUNT(C15:J15)=8,D15&lt;9*0.4)</formula>
    </cfRule>
    <cfRule type="expression" priority="108" dxfId="2">
      <formula>AND(COUNT(C15:J15)=8,D15&gt;=9*0.4,D15&lt;9)</formula>
    </cfRule>
  </conditionalFormatting>
  <conditionalFormatting sqref="D16">
    <cfRule type="expression" priority="109" dxfId="0">
      <formula>AND(COUNT(C16:J16)=8,D16=9)</formula>
    </cfRule>
    <cfRule type="expression" priority="110" dxfId="1">
      <formula>AND(COUNT(C16:J16)=8,D16&lt;9*0.4)</formula>
    </cfRule>
    <cfRule type="expression" priority="111" dxfId="2">
      <formula>AND(COUNT(C16:J16)=8,D16&gt;=9*0.4,D16&lt;9)</formula>
    </cfRule>
  </conditionalFormatting>
  <conditionalFormatting sqref="D17">
    <cfRule type="expression" priority="112" dxfId="0">
      <formula>AND(COUNT(C17:J17)=8,D17=9)</formula>
    </cfRule>
    <cfRule type="expression" priority="113" dxfId="1">
      <formula>AND(COUNT(C17:J17)=8,D17&lt;9*0.4)</formula>
    </cfRule>
    <cfRule type="expression" priority="114" dxfId="2">
      <formula>AND(COUNT(C17:J17)=8,D17&gt;=9*0.4,D17&lt;9)</formula>
    </cfRule>
  </conditionalFormatting>
  <conditionalFormatting sqref="D18">
    <cfRule type="expression" priority="115" dxfId="0">
      <formula>AND(COUNT(C18:J18)=8,D18=9)</formula>
    </cfRule>
    <cfRule type="expression" priority="116" dxfId="1">
      <formula>AND(COUNT(C18:J18)=8,D18&lt;9*0.4)</formula>
    </cfRule>
    <cfRule type="expression" priority="117" dxfId="2">
      <formula>AND(COUNT(C18:J18)=8,D18&gt;=9*0.4,D18&lt;9)</formula>
    </cfRule>
  </conditionalFormatting>
  <conditionalFormatting sqref="D19">
    <cfRule type="expression" priority="118" dxfId="0">
      <formula>AND(COUNT(C19:J19)=8,D19=9)</formula>
    </cfRule>
    <cfRule type="expression" priority="119" dxfId="1">
      <formula>AND(COUNT(C19:J19)=8,D19&lt;9*0.4)</formula>
    </cfRule>
    <cfRule type="expression" priority="120" dxfId="2">
      <formula>AND(COUNT(C19:J19)=8,D19&gt;=9*0.4,D19&lt;9)</formula>
    </cfRule>
  </conditionalFormatting>
  <conditionalFormatting sqref="D20">
    <cfRule type="expression" priority="121" dxfId="0">
      <formula>AND(COUNT(C20:J20)=8,D20=9)</formula>
    </cfRule>
    <cfRule type="expression" priority="122" dxfId="1">
      <formula>AND(COUNT(C20:J20)=8,D20&lt;9*0.4)</formula>
    </cfRule>
    <cfRule type="expression" priority="123" dxfId="2">
      <formula>AND(COUNT(C20:J20)=8,D20&gt;=9*0.4,D20&lt;9)</formula>
    </cfRule>
  </conditionalFormatting>
  <conditionalFormatting sqref="D21">
    <cfRule type="expression" priority="124" dxfId="0">
      <formula>AND(COUNT(C21:J21)=8,D21=9)</formula>
    </cfRule>
    <cfRule type="expression" priority="125" dxfId="1">
      <formula>AND(COUNT(C21:J21)=8,D21&lt;9*0.4)</formula>
    </cfRule>
    <cfRule type="expression" priority="126" dxfId="2">
      <formula>AND(COUNT(C21:J21)=8,D21&gt;=9*0.4,D21&lt;9)</formula>
    </cfRule>
  </conditionalFormatting>
  <conditionalFormatting sqref="D22">
    <cfRule type="expression" priority="127" dxfId="0">
      <formula>AND(COUNT(C22:J22)=8,D22=9)</formula>
    </cfRule>
    <cfRule type="expression" priority="128" dxfId="1">
      <formula>AND(COUNT(C22:J22)=8,D22&lt;9*0.4)</formula>
    </cfRule>
    <cfRule type="expression" priority="129" dxfId="2">
      <formula>AND(COUNT(C22:J22)=8,D22&gt;=9*0.4,D22&lt;9)</formula>
    </cfRule>
  </conditionalFormatting>
  <conditionalFormatting sqref="D23">
    <cfRule type="expression" priority="130" dxfId="0">
      <formula>AND(COUNT(C23:J23)=8,D23=9)</formula>
    </cfRule>
    <cfRule type="expression" priority="131" dxfId="1">
      <formula>AND(COUNT(C23:J23)=8,D23&lt;9*0.4)</formula>
    </cfRule>
    <cfRule type="expression" priority="132" dxfId="2">
      <formula>AND(COUNT(C23:J23)=8,D23&gt;=9*0.4,D23&lt;9)</formula>
    </cfRule>
  </conditionalFormatting>
  <conditionalFormatting sqref="D24">
    <cfRule type="expression" priority="133" dxfId="0">
      <formula>AND(COUNT(C24:J24)=8,D24=9)</formula>
    </cfRule>
    <cfRule type="expression" priority="134" dxfId="1">
      <formula>AND(COUNT(C24:J24)=8,D24&lt;9*0.4)</formula>
    </cfRule>
    <cfRule type="expression" priority="135" dxfId="2">
      <formula>AND(COUNT(C24:J24)=8,D24&gt;=9*0.4,D24&lt;9)</formula>
    </cfRule>
  </conditionalFormatting>
  <conditionalFormatting sqref="D25">
    <cfRule type="expression" priority="136" dxfId="0">
      <formula>AND(COUNT(C25:J25)=8,D25=9)</formula>
    </cfRule>
    <cfRule type="expression" priority="137" dxfId="1">
      <formula>AND(COUNT(C25:J25)=8,D25&lt;9*0.4)</formula>
    </cfRule>
    <cfRule type="expression" priority="138" dxfId="2">
      <formula>AND(COUNT(C25:J25)=8,D25&gt;=9*0.4,D25&lt;9)</formula>
    </cfRule>
  </conditionalFormatting>
  <conditionalFormatting sqref="D26">
    <cfRule type="expression" priority="139" dxfId="0">
      <formula>AND(COUNT(C26:J26)=8,D26=9)</formula>
    </cfRule>
    <cfRule type="expression" priority="140" dxfId="1">
      <formula>AND(COUNT(C26:J26)=8,D26&lt;9*0.4)</formula>
    </cfRule>
    <cfRule type="expression" priority="141" dxfId="2">
      <formula>AND(COUNT(C26:J26)=8,D26&gt;=9*0.4,D26&lt;9)</formula>
    </cfRule>
  </conditionalFormatting>
  <conditionalFormatting sqref="D27">
    <cfRule type="expression" priority="142" dxfId="0">
      <formula>AND(COUNT(C27:J27)=8,D27=9)</formula>
    </cfRule>
    <cfRule type="expression" priority="143" dxfId="1">
      <formula>AND(COUNT(C27:J27)=8,D27&lt;9*0.4)</formula>
    </cfRule>
    <cfRule type="expression" priority="144" dxfId="2">
      <formula>AND(COUNT(C27:J27)=8,D27&gt;=9*0.4,D27&lt;9)</formula>
    </cfRule>
  </conditionalFormatting>
  <conditionalFormatting sqref="D28">
    <cfRule type="expression" priority="145" dxfId="0">
      <formula>AND(COUNT(C28:J28)=8,D28=9)</formula>
    </cfRule>
    <cfRule type="expression" priority="146" dxfId="1">
      <formula>AND(COUNT(C28:J28)=8,D28&lt;9*0.4)</formula>
    </cfRule>
    <cfRule type="expression" priority="147" dxfId="2">
      <formula>AND(COUNT(C28:J28)=8,D28&gt;=9*0.4,D28&lt;9)</formula>
    </cfRule>
  </conditionalFormatting>
  <conditionalFormatting sqref="D29">
    <cfRule type="expression" priority="148" dxfId="0">
      <formula>AND(COUNT(C29:J29)=8,D29=9)</formula>
    </cfRule>
    <cfRule type="expression" priority="149" dxfId="1">
      <formula>AND(COUNT(C29:J29)=8,D29&lt;9*0.4)</formula>
    </cfRule>
    <cfRule type="expression" priority="150" dxfId="2">
      <formula>AND(COUNT(C29:J29)=8,D29&gt;=9*0.4,D29&lt;9)</formula>
    </cfRule>
  </conditionalFormatting>
  <conditionalFormatting sqref="D30">
    <cfRule type="expression" priority="151" dxfId="0">
      <formula>AND(COUNT(C30:J30)=8,D30=9)</formula>
    </cfRule>
    <cfRule type="expression" priority="152" dxfId="1">
      <formula>AND(COUNT(C30:J30)=8,D30&lt;9*0.4)</formula>
    </cfRule>
    <cfRule type="expression" priority="153" dxfId="2">
      <formula>AND(COUNT(C30:J30)=8,D30&gt;=9*0.4,D30&lt;9)</formula>
    </cfRule>
  </conditionalFormatting>
  <conditionalFormatting sqref="D31">
    <cfRule type="expression" priority="154" dxfId="0">
      <formula>AND(COUNT(C31:J31)=8,D31=9)</formula>
    </cfRule>
    <cfRule type="expression" priority="155" dxfId="1">
      <formula>AND(COUNT(C31:J31)=8,D31&lt;9*0.4)</formula>
    </cfRule>
    <cfRule type="expression" priority="156" dxfId="2">
      <formula>AND(COUNT(C31:J31)=8,D31&gt;=9*0.4,D31&lt;9)</formula>
    </cfRule>
  </conditionalFormatting>
  <conditionalFormatting sqref="D32">
    <cfRule type="expression" priority="157" dxfId="0">
      <formula>AND(COUNT(C32:J32)=8,D32=9)</formula>
    </cfRule>
    <cfRule type="expression" priority="158" dxfId="1">
      <formula>AND(COUNT(C32:J32)=8,D32&lt;9*0.4)</formula>
    </cfRule>
    <cfRule type="expression" priority="159" dxfId="2">
      <formula>AND(COUNT(C32:J32)=8,D32&gt;=9*0.4,D32&lt;9)</formula>
    </cfRule>
  </conditionalFormatting>
  <conditionalFormatting sqref="D33">
    <cfRule type="expression" priority="160" dxfId="0">
      <formula>AND(COUNT(C33:J33)=8,D33=9)</formula>
    </cfRule>
    <cfRule type="expression" priority="161" dxfId="1">
      <formula>AND(COUNT(C33:J33)=8,D33&lt;9*0.4)</formula>
    </cfRule>
    <cfRule type="expression" priority="162" dxfId="2">
      <formula>AND(COUNT(C33:J33)=8,D33&gt;=9*0.4,D33&lt;9)</formula>
    </cfRule>
  </conditionalFormatting>
  <conditionalFormatting sqref="D34">
    <cfRule type="expression" priority="163" dxfId="0">
      <formula>AND(COUNT(C34:J34)=8,D34=9)</formula>
    </cfRule>
    <cfRule type="expression" priority="164" dxfId="1">
      <formula>AND(COUNT(C34:J34)=8,D34&lt;9*0.4)</formula>
    </cfRule>
    <cfRule type="expression" priority="165" dxfId="2">
      <formula>AND(COUNT(C34:J34)=8,D34&gt;=9*0.4,D34&lt;9)</formula>
    </cfRule>
  </conditionalFormatting>
  <conditionalFormatting sqref="D35">
    <cfRule type="expression" priority="166" dxfId="0">
      <formula>AND(COUNT(C35:J35)=8,D35=9)</formula>
    </cfRule>
    <cfRule type="expression" priority="167" dxfId="1">
      <formula>AND(COUNT(C35:J35)=8,D35&lt;9*0.4)</formula>
    </cfRule>
    <cfRule type="expression" priority="168" dxfId="2">
      <formula>AND(COUNT(C35:J35)=8,D35&gt;=9*0.4,D35&lt;9)</formula>
    </cfRule>
  </conditionalFormatting>
  <conditionalFormatting sqref="D36">
    <cfRule type="expression" priority="169" dxfId="0">
      <formula>AND(COUNT(C36:J36)=8,D36=9)</formula>
    </cfRule>
    <cfRule type="expression" priority="170" dxfId="1">
      <formula>AND(COUNT(C36:J36)=8,D36&lt;9*0.4)</formula>
    </cfRule>
    <cfRule type="expression" priority="171" dxfId="2">
      <formula>AND(COUNT(C36:J36)=8,D36&gt;=9*0.4,D36&lt;9)</formula>
    </cfRule>
  </conditionalFormatting>
  <conditionalFormatting sqref="D37">
    <cfRule type="expression" priority="172" dxfId="0">
      <formula>AND(COUNT(C37:J37)=8,D37=9)</formula>
    </cfRule>
    <cfRule type="expression" priority="173" dxfId="1">
      <formula>AND(COUNT(C37:J37)=8,D37&lt;9*0.4)</formula>
    </cfRule>
    <cfRule type="expression" priority="174" dxfId="2">
      <formula>AND(COUNT(C37:J37)=8,D37&gt;=9*0.4,D37&lt;9)</formula>
    </cfRule>
  </conditionalFormatting>
  <conditionalFormatting sqref="D38">
    <cfRule type="expression" priority="175" dxfId="0">
      <formula>AND(COUNT(C38:J38)=8,D38=9)</formula>
    </cfRule>
    <cfRule type="expression" priority="176" dxfId="1">
      <formula>AND(COUNT(C38:J38)=8,D38&lt;9*0.4)</formula>
    </cfRule>
    <cfRule type="expression" priority="177" dxfId="2">
      <formula>AND(COUNT(C38:J38)=8,D38&gt;=9*0.4,D38&lt;9)</formula>
    </cfRule>
  </conditionalFormatting>
  <conditionalFormatting sqref="D39">
    <cfRule type="expression" priority="178" dxfId="0">
      <formula>AND(COUNT(C39:J39)=8,D39=9)</formula>
    </cfRule>
    <cfRule type="expression" priority="179" dxfId="1">
      <formula>AND(COUNT(C39:J39)=8,D39&lt;9*0.4)</formula>
    </cfRule>
    <cfRule type="expression" priority="180" dxfId="2">
      <formula>AND(COUNT(C39:J39)=8,D39&gt;=9*0.4,D39&lt;9)</formula>
    </cfRule>
  </conditionalFormatting>
  <conditionalFormatting sqref="D40">
    <cfRule type="expression" priority="181" dxfId="0">
      <formula>AND(COUNT(C40:J40)=8,D40=9)</formula>
    </cfRule>
    <cfRule type="expression" priority="182" dxfId="1">
      <formula>AND(COUNT(C40:J40)=8,D40&lt;9*0.4)</formula>
    </cfRule>
    <cfRule type="expression" priority="183" dxfId="2">
      <formula>AND(COUNT(C40:J40)=8,D40&gt;=9*0.4,D40&lt;9)</formula>
    </cfRule>
  </conditionalFormatting>
  <conditionalFormatting sqref="D41">
    <cfRule type="expression" priority="184" dxfId="0">
      <formula>AND(COUNT(C41:J41)=8,D41=9)</formula>
    </cfRule>
    <cfRule type="expression" priority="185" dxfId="1">
      <formula>AND(COUNT(C41:J41)=8,D41&lt;9*0.4)</formula>
    </cfRule>
    <cfRule type="expression" priority="186" dxfId="2">
      <formula>AND(COUNT(C41:J41)=8,D41&gt;=9*0.4,D41&lt;9)</formula>
    </cfRule>
  </conditionalFormatting>
  <conditionalFormatting sqref="E11">
    <cfRule type="expression" priority="187" dxfId="0">
      <formula>AND(COUNT(C11:J11)=8,E11=8)</formula>
    </cfRule>
    <cfRule type="expression" priority="188" dxfId="1">
      <formula>AND(COUNT(C11:J11)=8,E11&lt;8*0.4)</formula>
    </cfRule>
    <cfRule type="expression" priority="189" dxfId="2">
      <formula>AND(COUNT(C11:J11)=8,E11&gt;=8*0.4,E11&lt;8)</formula>
    </cfRule>
  </conditionalFormatting>
  <conditionalFormatting sqref="E12">
    <cfRule type="expression" priority="190" dxfId="0">
      <formula>AND(COUNT(C12:J12)=8,E12=8)</formula>
    </cfRule>
    <cfRule type="expression" priority="191" dxfId="1">
      <formula>AND(COUNT(C12:J12)=8,E12&lt;8*0.4)</formula>
    </cfRule>
    <cfRule type="expression" priority="192" dxfId="2">
      <formula>AND(COUNT(C12:J12)=8,E12&gt;=8*0.4,E12&lt;8)</formula>
    </cfRule>
  </conditionalFormatting>
  <conditionalFormatting sqref="E13">
    <cfRule type="expression" priority="193" dxfId="0">
      <formula>AND(COUNT(C13:J13)=8,E13=8)</formula>
    </cfRule>
    <cfRule type="expression" priority="194" dxfId="1">
      <formula>AND(COUNT(C13:J13)=8,E13&lt;8*0.4)</formula>
    </cfRule>
    <cfRule type="expression" priority="195" dxfId="2">
      <formula>AND(COUNT(C13:J13)=8,E13&gt;=8*0.4,E13&lt;8)</formula>
    </cfRule>
  </conditionalFormatting>
  <conditionalFormatting sqref="E14">
    <cfRule type="expression" priority="196" dxfId="0">
      <formula>AND(COUNT(C14:J14)=8,E14=8)</formula>
    </cfRule>
    <cfRule type="expression" priority="197" dxfId="1">
      <formula>AND(COUNT(C14:J14)=8,E14&lt;8*0.4)</formula>
    </cfRule>
    <cfRule type="expression" priority="198" dxfId="2">
      <formula>AND(COUNT(C14:J14)=8,E14&gt;=8*0.4,E14&lt;8)</formula>
    </cfRule>
  </conditionalFormatting>
  <conditionalFormatting sqref="E15">
    <cfRule type="expression" priority="199" dxfId="0">
      <formula>AND(COUNT(C15:J15)=8,E15=8)</formula>
    </cfRule>
    <cfRule type="expression" priority="200" dxfId="1">
      <formula>AND(COUNT(C15:J15)=8,E15&lt;8*0.4)</formula>
    </cfRule>
    <cfRule type="expression" priority="201" dxfId="2">
      <formula>AND(COUNT(C15:J15)=8,E15&gt;=8*0.4,E15&lt;8)</formula>
    </cfRule>
  </conditionalFormatting>
  <conditionalFormatting sqref="E16">
    <cfRule type="expression" priority="202" dxfId="0">
      <formula>AND(COUNT(C16:J16)=8,E16=8)</formula>
    </cfRule>
    <cfRule type="expression" priority="203" dxfId="1">
      <formula>AND(COUNT(C16:J16)=8,E16&lt;8*0.4)</formula>
    </cfRule>
    <cfRule type="expression" priority="204" dxfId="2">
      <formula>AND(COUNT(C16:J16)=8,E16&gt;=8*0.4,E16&lt;8)</formula>
    </cfRule>
  </conditionalFormatting>
  <conditionalFormatting sqref="E17">
    <cfRule type="expression" priority="205" dxfId="0">
      <formula>AND(COUNT(C17:J17)=8,E17=8)</formula>
    </cfRule>
    <cfRule type="expression" priority="206" dxfId="1">
      <formula>AND(COUNT(C17:J17)=8,E17&lt;8*0.4)</formula>
    </cfRule>
    <cfRule type="expression" priority="207" dxfId="2">
      <formula>AND(COUNT(C17:J17)=8,E17&gt;=8*0.4,E17&lt;8)</formula>
    </cfRule>
  </conditionalFormatting>
  <conditionalFormatting sqref="E18">
    <cfRule type="expression" priority="208" dxfId="0">
      <formula>AND(COUNT(C18:J18)=8,E18=8)</formula>
    </cfRule>
    <cfRule type="expression" priority="209" dxfId="1">
      <formula>AND(COUNT(C18:J18)=8,E18&lt;8*0.4)</formula>
    </cfRule>
    <cfRule type="expression" priority="210" dxfId="2">
      <formula>AND(COUNT(C18:J18)=8,E18&gt;=8*0.4,E18&lt;8)</formula>
    </cfRule>
  </conditionalFormatting>
  <conditionalFormatting sqref="E19">
    <cfRule type="expression" priority="211" dxfId="0">
      <formula>AND(COUNT(C19:J19)=8,E19=8)</formula>
    </cfRule>
    <cfRule type="expression" priority="212" dxfId="1">
      <formula>AND(COUNT(C19:J19)=8,E19&lt;8*0.4)</formula>
    </cfRule>
    <cfRule type="expression" priority="213" dxfId="2">
      <formula>AND(COUNT(C19:J19)=8,E19&gt;=8*0.4,E19&lt;8)</formula>
    </cfRule>
  </conditionalFormatting>
  <conditionalFormatting sqref="E20">
    <cfRule type="expression" priority="214" dxfId="0">
      <formula>AND(COUNT(C20:J20)=8,E20=8)</formula>
    </cfRule>
    <cfRule type="expression" priority="215" dxfId="1">
      <formula>AND(COUNT(C20:J20)=8,E20&lt;8*0.4)</formula>
    </cfRule>
    <cfRule type="expression" priority="216" dxfId="2">
      <formula>AND(COUNT(C20:J20)=8,E20&gt;=8*0.4,E20&lt;8)</formula>
    </cfRule>
  </conditionalFormatting>
  <conditionalFormatting sqref="E21">
    <cfRule type="expression" priority="217" dxfId="0">
      <formula>AND(COUNT(C21:J21)=8,E21=8)</formula>
    </cfRule>
    <cfRule type="expression" priority="218" dxfId="1">
      <formula>AND(COUNT(C21:J21)=8,E21&lt;8*0.4)</formula>
    </cfRule>
    <cfRule type="expression" priority="219" dxfId="2">
      <formula>AND(COUNT(C21:J21)=8,E21&gt;=8*0.4,E21&lt;8)</formula>
    </cfRule>
  </conditionalFormatting>
  <conditionalFormatting sqref="E22">
    <cfRule type="expression" priority="220" dxfId="0">
      <formula>AND(COUNT(C22:J22)=8,E22=8)</formula>
    </cfRule>
    <cfRule type="expression" priority="221" dxfId="1">
      <formula>AND(COUNT(C22:J22)=8,E22&lt;8*0.4)</formula>
    </cfRule>
    <cfRule type="expression" priority="222" dxfId="2">
      <formula>AND(COUNT(C22:J22)=8,E22&gt;=8*0.4,E22&lt;8)</formula>
    </cfRule>
  </conditionalFormatting>
  <conditionalFormatting sqref="E23">
    <cfRule type="expression" priority="223" dxfId="0">
      <formula>AND(COUNT(C23:J23)=8,E23=8)</formula>
    </cfRule>
    <cfRule type="expression" priority="224" dxfId="1">
      <formula>AND(COUNT(C23:J23)=8,E23&lt;8*0.4)</formula>
    </cfRule>
    <cfRule type="expression" priority="225" dxfId="2">
      <formula>AND(COUNT(C23:J23)=8,E23&gt;=8*0.4,E23&lt;8)</formula>
    </cfRule>
  </conditionalFormatting>
  <conditionalFormatting sqref="E24">
    <cfRule type="expression" priority="226" dxfId="0">
      <formula>AND(COUNT(C24:J24)=8,E24=8)</formula>
    </cfRule>
    <cfRule type="expression" priority="227" dxfId="1">
      <formula>AND(COUNT(C24:J24)=8,E24&lt;8*0.4)</formula>
    </cfRule>
    <cfRule type="expression" priority="228" dxfId="2">
      <formula>AND(COUNT(C24:J24)=8,E24&gt;=8*0.4,E24&lt;8)</formula>
    </cfRule>
  </conditionalFormatting>
  <conditionalFormatting sqref="E25">
    <cfRule type="expression" priority="229" dxfId="0">
      <formula>AND(COUNT(C25:J25)=8,E25=8)</formula>
    </cfRule>
    <cfRule type="expression" priority="230" dxfId="1">
      <formula>AND(COUNT(C25:J25)=8,E25&lt;8*0.4)</formula>
    </cfRule>
    <cfRule type="expression" priority="231" dxfId="2">
      <formula>AND(COUNT(C25:J25)=8,E25&gt;=8*0.4,E25&lt;8)</formula>
    </cfRule>
  </conditionalFormatting>
  <conditionalFormatting sqref="E26">
    <cfRule type="expression" priority="232" dxfId="0">
      <formula>AND(COUNT(C26:J26)=8,E26=8)</formula>
    </cfRule>
    <cfRule type="expression" priority="233" dxfId="1">
      <formula>AND(COUNT(C26:J26)=8,E26&lt;8*0.4)</formula>
    </cfRule>
    <cfRule type="expression" priority="234" dxfId="2">
      <formula>AND(COUNT(C26:J26)=8,E26&gt;=8*0.4,E26&lt;8)</formula>
    </cfRule>
  </conditionalFormatting>
  <conditionalFormatting sqref="E27">
    <cfRule type="expression" priority="235" dxfId="0">
      <formula>AND(COUNT(C27:J27)=8,E27=8)</formula>
    </cfRule>
    <cfRule type="expression" priority="236" dxfId="1">
      <formula>AND(COUNT(C27:J27)=8,E27&lt;8*0.4)</formula>
    </cfRule>
    <cfRule type="expression" priority="237" dxfId="2">
      <formula>AND(COUNT(C27:J27)=8,E27&gt;=8*0.4,E27&lt;8)</formula>
    </cfRule>
  </conditionalFormatting>
  <conditionalFormatting sqref="E28">
    <cfRule type="expression" priority="238" dxfId="0">
      <formula>AND(COUNT(C28:J28)=8,E28=8)</formula>
    </cfRule>
    <cfRule type="expression" priority="239" dxfId="1">
      <formula>AND(COUNT(C28:J28)=8,E28&lt;8*0.4)</formula>
    </cfRule>
    <cfRule type="expression" priority="240" dxfId="2">
      <formula>AND(COUNT(C28:J28)=8,E28&gt;=8*0.4,E28&lt;8)</formula>
    </cfRule>
  </conditionalFormatting>
  <conditionalFormatting sqref="E29">
    <cfRule type="expression" priority="241" dxfId="0">
      <formula>AND(COUNT(C29:J29)=8,E29=8)</formula>
    </cfRule>
    <cfRule type="expression" priority="242" dxfId="1">
      <formula>AND(COUNT(C29:J29)=8,E29&lt;8*0.4)</formula>
    </cfRule>
    <cfRule type="expression" priority="243" dxfId="2">
      <formula>AND(COUNT(C29:J29)=8,E29&gt;=8*0.4,E29&lt;8)</formula>
    </cfRule>
  </conditionalFormatting>
  <conditionalFormatting sqref="E30">
    <cfRule type="expression" priority="244" dxfId="0">
      <formula>AND(COUNT(C30:J30)=8,E30=8)</formula>
    </cfRule>
    <cfRule type="expression" priority="245" dxfId="1">
      <formula>AND(COUNT(C30:J30)=8,E30&lt;8*0.4)</formula>
    </cfRule>
    <cfRule type="expression" priority="246" dxfId="2">
      <formula>AND(COUNT(C30:J30)=8,E30&gt;=8*0.4,E30&lt;8)</formula>
    </cfRule>
  </conditionalFormatting>
  <conditionalFormatting sqref="E31">
    <cfRule type="expression" priority="247" dxfId="0">
      <formula>AND(COUNT(C31:J31)=8,E31=8)</formula>
    </cfRule>
    <cfRule type="expression" priority="248" dxfId="1">
      <formula>AND(COUNT(C31:J31)=8,E31&lt;8*0.4)</formula>
    </cfRule>
    <cfRule type="expression" priority="249" dxfId="2">
      <formula>AND(COUNT(C31:J31)=8,E31&gt;=8*0.4,E31&lt;8)</formula>
    </cfRule>
  </conditionalFormatting>
  <conditionalFormatting sqref="E32">
    <cfRule type="expression" priority="250" dxfId="0">
      <formula>AND(COUNT(C32:J32)=8,E32=8)</formula>
    </cfRule>
    <cfRule type="expression" priority="251" dxfId="1">
      <formula>AND(COUNT(C32:J32)=8,E32&lt;8*0.4)</formula>
    </cfRule>
    <cfRule type="expression" priority="252" dxfId="2">
      <formula>AND(COUNT(C32:J32)=8,E32&gt;=8*0.4,E32&lt;8)</formula>
    </cfRule>
  </conditionalFormatting>
  <conditionalFormatting sqref="E33">
    <cfRule type="expression" priority="253" dxfId="0">
      <formula>AND(COUNT(C33:J33)=8,E33=8)</formula>
    </cfRule>
    <cfRule type="expression" priority="254" dxfId="1">
      <formula>AND(COUNT(C33:J33)=8,E33&lt;8*0.4)</formula>
    </cfRule>
    <cfRule type="expression" priority="255" dxfId="2">
      <formula>AND(COUNT(C33:J33)=8,E33&gt;=8*0.4,E33&lt;8)</formula>
    </cfRule>
  </conditionalFormatting>
  <conditionalFormatting sqref="E34">
    <cfRule type="expression" priority="256" dxfId="0">
      <formula>AND(COUNT(C34:J34)=8,E34=8)</formula>
    </cfRule>
    <cfRule type="expression" priority="257" dxfId="1">
      <formula>AND(COUNT(C34:J34)=8,E34&lt;8*0.4)</formula>
    </cfRule>
    <cfRule type="expression" priority="258" dxfId="2">
      <formula>AND(COUNT(C34:J34)=8,E34&gt;=8*0.4,E34&lt;8)</formula>
    </cfRule>
  </conditionalFormatting>
  <conditionalFormatting sqref="E35">
    <cfRule type="expression" priority="259" dxfId="0">
      <formula>AND(COUNT(C35:J35)=8,E35=8)</formula>
    </cfRule>
    <cfRule type="expression" priority="260" dxfId="1">
      <formula>AND(COUNT(C35:J35)=8,E35&lt;8*0.4)</formula>
    </cfRule>
    <cfRule type="expression" priority="261" dxfId="2">
      <formula>AND(COUNT(C35:J35)=8,E35&gt;=8*0.4,E35&lt;8)</formula>
    </cfRule>
  </conditionalFormatting>
  <conditionalFormatting sqref="E36">
    <cfRule type="expression" priority="262" dxfId="0">
      <formula>AND(COUNT(C36:J36)=8,E36=8)</formula>
    </cfRule>
    <cfRule type="expression" priority="263" dxfId="1">
      <formula>AND(COUNT(C36:J36)=8,E36&lt;8*0.4)</formula>
    </cfRule>
    <cfRule type="expression" priority="264" dxfId="2">
      <formula>AND(COUNT(C36:J36)=8,E36&gt;=8*0.4,E36&lt;8)</formula>
    </cfRule>
  </conditionalFormatting>
  <conditionalFormatting sqref="E37">
    <cfRule type="expression" priority="265" dxfId="0">
      <formula>AND(COUNT(C37:J37)=8,E37=8)</formula>
    </cfRule>
    <cfRule type="expression" priority="266" dxfId="1">
      <formula>AND(COUNT(C37:J37)=8,E37&lt;8*0.4)</formula>
    </cfRule>
    <cfRule type="expression" priority="267" dxfId="2">
      <formula>AND(COUNT(C37:J37)=8,E37&gt;=8*0.4,E37&lt;8)</formula>
    </cfRule>
  </conditionalFormatting>
  <conditionalFormatting sqref="E38">
    <cfRule type="expression" priority="268" dxfId="0">
      <formula>AND(COUNT(C38:J38)=8,E38=8)</formula>
    </cfRule>
    <cfRule type="expression" priority="269" dxfId="1">
      <formula>AND(COUNT(C38:J38)=8,E38&lt;8*0.4)</formula>
    </cfRule>
    <cfRule type="expression" priority="270" dxfId="2">
      <formula>AND(COUNT(C38:J38)=8,E38&gt;=8*0.4,E38&lt;8)</formula>
    </cfRule>
  </conditionalFormatting>
  <conditionalFormatting sqref="E39">
    <cfRule type="expression" priority="271" dxfId="0">
      <formula>AND(COUNT(C39:J39)=8,E39=8)</formula>
    </cfRule>
    <cfRule type="expression" priority="272" dxfId="1">
      <formula>AND(COUNT(C39:J39)=8,E39&lt;8*0.4)</formula>
    </cfRule>
    <cfRule type="expression" priority="273" dxfId="2">
      <formula>AND(COUNT(C39:J39)=8,E39&gt;=8*0.4,E39&lt;8)</formula>
    </cfRule>
  </conditionalFormatting>
  <conditionalFormatting sqref="E40">
    <cfRule type="expression" priority="274" dxfId="0">
      <formula>AND(COUNT(C40:J40)=8,E40=8)</formula>
    </cfRule>
    <cfRule type="expression" priority="275" dxfId="1">
      <formula>AND(COUNT(C40:J40)=8,E40&lt;8*0.4)</formula>
    </cfRule>
    <cfRule type="expression" priority="276" dxfId="2">
      <formula>AND(COUNT(C40:J40)=8,E40&gt;=8*0.4,E40&lt;8)</formula>
    </cfRule>
  </conditionalFormatting>
  <conditionalFormatting sqref="E41">
    <cfRule type="expression" priority="277" dxfId="0">
      <formula>AND(COUNT(C41:J41)=8,E41=8)</formula>
    </cfRule>
    <cfRule type="expression" priority="278" dxfId="1">
      <formula>AND(COUNT(C41:J41)=8,E41&lt;8*0.4)</formula>
    </cfRule>
    <cfRule type="expression" priority="279" dxfId="2">
      <formula>AND(COUNT(C41:J41)=8,E41&gt;=8*0.4,E41&lt;8)</formula>
    </cfRule>
  </conditionalFormatting>
  <conditionalFormatting sqref="F11">
    <cfRule type="expression" priority="280" dxfId="0">
      <formula>AND(COUNT(C11:J11)=8,F11=9)</formula>
    </cfRule>
    <cfRule type="expression" priority="281" dxfId="1">
      <formula>AND(COUNT(C11:J11)=8,F11&lt;9*0.4)</formula>
    </cfRule>
    <cfRule type="expression" priority="282" dxfId="2">
      <formula>AND(COUNT(C11:J11)=8,F11&gt;=9*0.4,F11&lt;9)</formula>
    </cfRule>
  </conditionalFormatting>
  <conditionalFormatting sqref="F12">
    <cfRule type="expression" priority="283" dxfId="0">
      <formula>AND(COUNT(C12:J12)=8,F12=9)</formula>
    </cfRule>
    <cfRule type="expression" priority="284" dxfId="1">
      <formula>AND(COUNT(C12:J12)=8,F12&lt;9*0.4)</formula>
    </cfRule>
    <cfRule type="expression" priority="285" dxfId="2">
      <formula>AND(COUNT(C12:J12)=8,F12&gt;=9*0.4,F12&lt;9)</formula>
    </cfRule>
  </conditionalFormatting>
  <conditionalFormatting sqref="F13">
    <cfRule type="expression" priority="286" dxfId="0">
      <formula>AND(COUNT(C13:J13)=8,F13=9)</formula>
    </cfRule>
    <cfRule type="expression" priority="287" dxfId="1">
      <formula>AND(COUNT(C13:J13)=8,F13&lt;9*0.4)</formula>
    </cfRule>
    <cfRule type="expression" priority="288" dxfId="2">
      <formula>AND(COUNT(C13:J13)=8,F13&gt;=9*0.4,F13&lt;9)</formula>
    </cfRule>
  </conditionalFormatting>
  <conditionalFormatting sqref="F14">
    <cfRule type="expression" priority="289" dxfId="0">
      <formula>AND(COUNT(C14:J14)=8,F14=9)</formula>
    </cfRule>
    <cfRule type="expression" priority="290" dxfId="1">
      <formula>AND(COUNT(C14:J14)=8,F14&lt;9*0.4)</formula>
    </cfRule>
    <cfRule type="expression" priority="291" dxfId="2">
      <formula>AND(COUNT(C14:J14)=8,F14&gt;=9*0.4,F14&lt;9)</formula>
    </cfRule>
  </conditionalFormatting>
  <conditionalFormatting sqref="F15">
    <cfRule type="expression" priority="292" dxfId="0">
      <formula>AND(COUNT(C15:J15)=8,F15=9)</formula>
    </cfRule>
    <cfRule type="expression" priority="293" dxfId="1">
      <formula>AND(COUNT(C15:J15)=8,F15&lt;9*0.4)</formula>
    </cfRule>
    <cfRule type="expression" priority="294" dxfId="2">
      <formula>AND(COUNT(C15:J15)=8,F15&gt;=9*0.4,F15&lt;9)</formula>
    </cfRule>
  </conditionalFormatting>
  <conditionalFormatting sqref="F16">
    <cfRule type="expression" priority="295" dxfId="0">
      <formula>AND(COUNT(C16:J16)=8,F16=9)</formula>
    </cfRule>
    <cfRule type="expression" priority="296" dxfId="1">
      <formula>AND(COUNT(C16:J16)=8,F16&lt;9*0.4)</formula>
    </cfRule>
    <cfRule type="expression" priority="297" dxfId="2">
      <formula>AND(COUNT(C16:J16)=8,F16&gt;=9*0.4,F16&lt;9)</formula>
    </cfRule>
  </conditionalFormatting>
  <conditionalFormatting sqref="F17">
    <cfRule type="expression" priority="298" dxfId="0">
      <formula>AND(COUNT(C17:J17)=8,F17=9)</formula>
    </cfRule>
    <cfRule type="expression" priority="299" dxfId="1">
      <formula>AND(COUNT(C17:J17)=8,F17&lt;9*0.4)</formula>
    </cfRule>
    <cfRule type="expression" priority="300" dxfId="2">
      <formula>AND(COUNT(C17:J17)=8,F17&gt;=9*0.4,F17&lt;9)</formula>
    </cfRule>
  </conditionalFormatting>
  <conditionalFormatting sqref="F18">
    <cfRule type="expression" priority="301" dxfId="0">
      <formula>AND(COUNT(C18:J18)=8,F18=9)</formula>
    </cfRule>
    <cfRule type="expression" priority="302" dxfId="1">
      <formula>AND(COUNT(C18:J18)=8,F18&lt;9*0.4)</formula>
    </cfRule>
    <cfRule type="expression" priority="303" dxfId="2">
      <formula>AND(COUNT(C18:J18)=8,F18&gt;=9*0.4,F18&lt;9)</formula>
    </cfRule>
  </conditionalFormatting>
  <conditionalFormatting sqref="F19">
    <cfRule type="expression" priority="304" dxfId="0">
      <formula>AND(COUNT(C19:J19)=8,F19=9)</formula>
    </cfRule>
    <cfRule type="expression" priority="305" dxfId="1">
      <formula>AND(COUNT(C19:J19)=8,F19&lt;9*0.4)</formula>
    </cfRule>
    <cfRule type="expression" priority="306" dxfId="2">
      <formula>AND(COUNT(C19:J19)=8,F19&gt;=9*0.4,F19&lt;9)</formula>
    </cfRule>
  </conditionalFormatting>
  <conditionalFormatting sqref="F20">
    <cfRule type="expression" priority="307" dxfId="0">
      <formula>AND(COUNT(C20:J20)=8,F20=9)</formula>
    </cfRule>
    <cfRule type="expression" priority="308" dxfId="1">
      <formula>AND(COUNT(C20:J20)=8,F20&lt;9*0.4)</formula>
    </cfRule>
    <cfRule type="expression" priority="309" dxfId="2">
      <formula>AND(COUNT(C20:J20)=8,F20&gt;=9*0.4,F20&lt;9)</formula>
    </cfRule>
  </conditionalFormatting>
  <conditionalFormatting sqref="F21">
    <cfRule type="expression" priority="310" dxfId="0">
      <formula>AND(COUNT(C21:J21)=8,F21=9)</formula>
    </cfRule>
    <cfRule type="expression" priority="311" dxfId="1">
      <formula>AND(COUNT(C21:J21)=8,F21&lt;9*0.4)</formula>
    </cfRule>
    <cfRule type="expression" priority="312" dxfId="2">
      <formula>AND(COUNT(C21:J21)=8,F21&gt;=9*0.4,F21&lt;9)</formula>
    </cfRule>
  </conditionalFormatting>
  <conditionalFormatting sqref="F22">
    <cfRule type="expression" priority="313" dxfId="0">
      <formula>AND(COUNT(C22:J22)=8,F22=9)</formula>
    </cfRule>
    <cfRule type="expression" priority="314" dxfId="1">
      <formula>AND(COUNT(C22:J22)=8,F22&lt;9*0.4)</formula>
    </cfRule>
    <cfRule type="expression" priority="315" dxfId="2">
      <formula>AND(COUNT(C22:J22)=8,F22&gt;=9*0.4,F22&lt;9)</formula>
    </cfRule>
  </conditionalFormatting>
  <conditionalFormatting sqref="F23">
    <cfRule type="expression" priority="316" dxfId="0">
      <formula>AND(COUNT(C23:J23)=8,F23=9)</formula>
    </cfRule>
    <cfRule type="expression" priority="317" dxfId="1">
      <formula>AND(COUNT(C23:J23)=8,F23&lt;9*0.4)</formula>
    </cfRule>
    <cfRule type="expression" priority="318" dxfId="2">
      <formula>AND(COUNT(C23:J23)=8,F23&gt;=9*0.4,F23&lt;9)</formula>
    </cfRule>
  </conditionalFormatting>
  <conditionalFormatting sqref="F24">
    <cfRule type="expression" priority="319" dxfId="0">
      <formula>AND(COUNT(C24:J24)=8,F24=9)</formula>
    </cfRule>
    <cfRule type="expression" priority="320" dxfId="1">
      <formula>AND(COUNT(C24:J24)=8,F24&lt;9*0.4)</formula>
    </cfRule>
    <cfRule type="expression" priority="321" dxfId="2">
      <formula>AND(COUNT(C24:J24)=8,F24&gt;=9*0.4,F24&lt;9)</formula>
    </cfRule>
  </conditionalFormatting>
  <conditionalFormatting sqref="F25">
    <cfRule type="expression" priority="322" dxfId="0">
      <formula>AND(COUNT(C25:J25)=8,F25=9)</formula>
    </cfRule>
    <cfRule type="expression" priority="323" dxfId="1">
      <formula>AND(COUNT(C25:J25)=8,F25&lt;9*0.4)</formula>
    </cfRule>
    <cfRule type="expression" priority="324" dxfId="2">
      <formula>AND(COUNT(C25:J25)=8,F25&gt;=9*0.4,F25&lt;9)</formula>
    </cfRule>
  </conditionalFormatting>
  <conditionalFormatting sqref="F26">
    <cfRule type="expression" priority="325" dxfId="0">
      <formula>AND(COUNT(C26:J26)=8,F26=9)</formula>
    </cfRule>
    <cfRule type="expression" priority="326" dxfId="1">
      <formula>AND(COUNT(C26:J26)=8,F26&lt;9*0.4)</formula>
    </cfRule>
    <cfRule type="expression" priority="327" dxfId="2">
      <formula>AND(COUNT(C26:J26)=8,F26&gt;=9*0.4,F26&lt;9)</formula>
    </cfRule>
  </conditionalFormatting>
  <conditionalFormatting sqref="F27">
    <cfRule type="expression" priority="328" dxfId="0">
      <formula>AND(COUNT(C27:J27)=8,F27=9)</formula>
    </cfRule>
    <cfRule type="expression" priority="329" dxfId="1">
      <formula>AND(COUNT(C27:J27)=8,F27&lt;9*0.4)</formula>
    </cfRule>
    <cfRule type="expression" priority="330" dxfId="2">
      <formula>AND(COUNT(C27:J27)=8,F27&gt;=9*0.4,F27&lt;9)</formula>
    </cfRule>
  </conditionalFormatting>
  <conditionalFormatting sqref="F28">
    <cfRule type="expression" priority="331" dxfId="0">
      <formula>AND(COUNT(C28:J28)=8,F28=9)</formula>
    </cfRule>
    <cfRule type="expression" priority="332" dxfId="1">
      <formula>AND(COUNT(C28:J28)=8,F28&lt;9*0.4)</formula>
    </cfRule>
    <cfRule type="expression" priority="333" dxfId="2">
      <formula>AND(COUNT(C28:J28)=8,F28&gt;=9*0.4,F28&lt;9)</formula>
    </cfRule>
  </conditionalFormatting>
  <conditionalFormatting sqref="F29">
    <cfRule type="expression" priority="334" dxfId="0">
      <formula>AND(COUNT(C29:J29)=8,F29=9)</formula>
    </cfRule>
    <cfRule type="expression" priority="335" dxfId="1">
      <formula>AND(COUNT(C29:J29)=8,F29&lt;9*0.4)</formula>
    </cfRule>
    <cfRule type="expression" priority="336" dxfId="2">
      <formula>AND(COUNT(C29:J29)=8,F29&gt;=9*0.4,F29&lt;9)</formula>
    </cfRule>
  </conditionalFormatting>
  <conditionalFormatting sqref="F30">
    <cfRule type="expression" priority="337" dxfId="0">
      <formula>AND(COUNT(C30:J30)=8,F30=9)</formula>
    </cfRule>
    <cfRule type="expression" priority="338" dxfId="1">
      <formula>AND(COUNT(C30:J30)=8,F30&lt;9*0.4)</formula>
    </cfRule>
    <cfRule type="expression" priority="339" dxfId="2">
      <formula>AND(COUNT(C30:J30)=8,F30&gt;=9*0.4,F30&lt;9)</formula>
    </cfRule>
  </conditionalFormatting>
  <conditionalFormatting sqref="F31">
    <cfRule type="expression" priority="340" dxfId="0">
      <formula>AND(COUNT(C31:J31)=8,F31=9)</formula>
    </cfRule>
    <cfRule type="expression" priority="341" dxfId="1">
      <formula>AND(COUNT(C31:J31)=8,F31&lt;9*0.4)</formula>
    </cfRule>
    <cfRule type="expression" priority="342" dxfId="2">
      <formula>AND(COUNT(C31:J31)=8,F31&gt;=9*0.4,F31&lt;9)</formula>
    </cfRule>
  </conditionalFormatting>
  <conditionalFormatting sqref="F32">
    <cfRule type="expression" priority="343" dxfId="0">
      <formula>AND(COUNT(C32:J32)=8,F32=9)</formula>
    </cfRule>
    <cfRule type="expression" priority="344" dxfId="1">
      <formula>AND(COUNT(C32:J32)=8,F32&lt;9*0.4)</formula>
    </cfRule>
    <cfRule type="expression" priority="345" dxfId="2">
      <formula>AND(COUNT(C32:J32)=8,F32&gt;=9*0.4,F32&lt;9)</formula>
    </cfRule>
  </conditionalFormatting>
  <conditionalFormatting sqref="F33">
    <cfRule type="expression" priority="346" dxfId="0">
      <formula>AND(COUNT(C33:J33)=8,F33=9)</formula>
    </cfRule>
    <cfRule type="expression" priority="347" dxfId="1">
      <formula>AND(COUNT(C33:J33)=8,F33&lt;9*0.4)</formula>
    </cfRule>
    <cfRule type="expression" priority="348" dxfId="2">
      <formula>AND(COUNT(C33:J33)=8,F33&gt;=9*0.4,F33&lt;9)</formula>
    </cfRule>
  </conditionalFormatting>
  <conditionalFormatting sqref="F34">
    <cfRule type="expression" priority="349" dxfId="0">
      <formula>AND(COUNT(C34:J34)=8,F34=9)</formula>
    </cfRule>
    <cfRule type="expression" priority="350" dxfId="1">
      <formula>AND(COUNT(C34:J34)=8,F34&lt;9*0.4)</formula>
    </cfRule>
    <cfRule type="expression" priority="351" dxfId="2">
      <formula>AND(COUNT(C34:J34)=8,F34&gt;=9*0.4,F34&lt;9)</formula>
    </cfRule>
  </conditionalFormatting>
  <conditionalFormatting sqref="F35">
    <cfRule type="expression" priority="352" dxfId="0">
      <formula>AND(COUNT(C35:J35)=8,F35=9)</formula>
    </cfRule>
    <cfRule type="expression" priority="353" dxfId="1">
      <formula>AND(COUNT(C35:J35)=8,F35&lt;9*0.4)</formula>
    </cfRule>
    <cfRule type="expression" priority="354" dxfId="2">
      <formula>AND(COUNT(C35:J35)=8,F35&gt;=9*0.4,F35&lt;9)</formula>
    </cfRule>
  </conditionalFormatting>
  <conditionalFormatting sqref="F36">
    <cfRule type="expression" priority="355" dxfId="0">
      <formula>AND(COUNT(C36:J36)=8,F36=9)</formula>
    </cfRule>
    <cfRule type="expression" priority="356" dxfId="1">
      <formula>AND(COUNT(C36:J36)=8,F36&lt;9*0.4)</formula>
    </cfRule>
    <cfRule type="expression" priority="357" dxfId="2">
      <formula>AND(COUNT(C36:J36)=8,F36&gt;=9*0.4,F36&lt;9)</formula>
    </cfRule>
  </conditionalFormatting>
  <conditionalFormatting sqref="F37">
    <cfRule type="expression" priority="358" dxfId="0">
      <formula>AND(COUNT(C37:J37)=8,F37=9)</formula>
    </cfRule>
    <cfRule type="expression" priority="359" dxfId="1">
      <formula>AND(COUNT(C37:J37)=8,F37&lt;9*0.4)</formula>
    </cfRule>
    <cfRule type="expression" priority="360" dxfId="2">
      <formula>AND(COUNT(C37:J37)=8,F37&gt;=9*0.4,F37&lt;9)</formula>
    </cfRule>
  </conditionalFormatting>
  <conditionalFormatting sqref="F38">
    <cfRule type="expression" priority="361" dxfId="0">
      <formula>AND(COUNT(C38:J38)=8,F38=9)</formula>
    </cfRule>
    <cfRule type="expression" priority="362" dxfId="1">
      <formula>AND(COUNT(C38:J38)=8,F38&lt;9*0.4)</formula>
    </cfRule>
    <cfRule type="expression" priority="363" dxfId="2">
      <formula>AND(COUNT(C38:J38)=8,F38&gt;=9*0.4,F38&lt;9)</formula>
    </cfRule>
  </conditionalFormatting>
  <conditionalFormatting sqref="F39">
    <cfRule type="expression" priority="364" dxfId="0">
      <formula>AND(COUNT(C39:J39)=8,F39=9)</formula>
    </cfRule>
    <cfRule type="expression" priority="365" dxfId="1">
      <formula>AND(COUNT(C39:J39)=8,F39&lt;9*0.4)</formula>
    </cfRule>
    <cfRule type="expression" priority="366" dxfId="2">
      <formula>AND(COUNT(C39:J39)=8,F39&gt;=9*0.4,F39&lt;9)</formula>
    </cfRule>
  </conditionalFormatting>
  <conditionalFormatting sqref="F40">
    <cfRule type="expression" priority="367" dxfId="0">
      <formula>AND(COUNT(C40:J40)=8,F40=9)</formula>
    </cfRule>
    <cfRule type="expression" priority="368" dxfId="1">
      <formula>AND(COUNT(C40:J40)=8,F40&lt;9*0.4)</formula>
    </cfRule>
    <cfRule type="expression" priority="369" dxfId="2">
      <formula>AND(COUNT(C40:J40)=8,F40&gt;=9*0.4,F40&lt;9)</formula>
    </cfRule>
  </conditionalFormatting>
  <conditionalFormatting sqref="F41">
    <cfRule type="expression" priority="370" dxfId="0">
      <formula>AND(COUNT(C41:J41)=8,F41=9)</formula>
    </cfRule>
    <cfRule type="expression" priority="371" dxfId="1">
      <formula>AND(COUNT(C41:J41)=8,F41&lt;9*0.4)</formula>
    </cfRule>
    <cfRule type="expression" priority="372" dxfId="2">
      <formula>AND(COUNT(C41:J41)=8,F41&gt;=9*0.4,F41&lt;9)</formula>
    </cfRule>
  </conditionalFormatting>
  <conditionalFormatting sqref="G11">
    <cfRule type="expression" priority="373" dxfId="0">
      <formula>AND(COUNT(C11:J11)=8,G11=10)</formula>
    </cfRule>
    <cfRule type="expression" priority="374" dxfId="1">
      <formula>AND(COUNT(C11:J11)=8,G11&lt;10*0.4)</formula>
    </cfRule>
    <cfRule type="expression" priority="375" dxfId="2">
      <formula>AND(COUNT(C11:J11)=8,G11&gt;=10*0.4,G11&lt;10)</formula>
    </cfRule>
  </conditionalFormatting>
  <conditionalFormatting sqref="G12">
    <cfRule type="expression" priority="376" dxfId="0">
      <formula>AND(COUNT(C12:J12)=8,G12=10)</formula>
    </cfRule>
    <cfRule type="expression" priority="377" dxfId="1">
      <formula>AND(COUNT(C12:J12)=8,G12&lt;10*0.4)</formula>
    </cfRule>
    <cfRule type="expression" priority="378" dxfId="2">
      <formula>AND(COUNT(C12:J12)=8,G12&gt;=10*0.4,G12&lt;10)</formula>
    </cfRule>
  </conditionalFormatting>
  <conditionalFormatting sqref="G13">
    <cfRule type="expression" priority="379" dxfId="0">
      <formula>AND(COUNT(C13:J13)=8,G13=10)</formula>
    </cfRule>
    <cfRule type="expression" priority="380" dxfId="1">
      <formula>AND(COUNT(C13:J13)=8,G13&lt;10*0.4)</formula>
    </cfRule>
    <cfRule type="expression" priority="381" dxfId="2">
      <formula>AND(COUNT(C13:J13)=8,G13&gt;=10*0.4,G13&lt;10)</formula>
    </cfRule>
  </conditionalFormatting>
  <conditionalFormatting sqref="G14">
    <cfRule type="expression" priority="382" dxfId="0">
      <formula>AND(COUNT(C14:J14)=8,G14=10)</formula>
    </cfRule>
    <cfRule type="expression" priority="383" dxfId="1">
      <formula>AND(COUNT(C14:J14)=8,G14&lt;10*0.4)</formula>
    </cfRule>
    <cfRule type="expression" priority="384" dxfId="2">
      <formula>AND(COUNT(C14:J14)=8,G14&gt;=10*0.4,G14&lt;10)</formula>
    </cfRule>
  </conditionalFormatting>
  <conditionalFormatting sqref="G15">
    <cfRule type="expression" priority="385" dxfId="0">
      <formula>AND(COUNT(C15:J15)=8,G15=10)</formula>
    </cfRule>
    <cfRule type="expression" priority="386" dxfId="1">
      <formula>AND(COUNT(C15:J15)=8,G15&lt;10*0.4)</formula>
    </cfRule>
    <cfRule type="expression" priority="387" dxfId="2">
      <formula>AND(COUNT(C15:J15)=8,G15&gt;=10*0.4,G15&lt;10)</formula>
    </cfRule>
  </conditionalFormatting>
  <conditionalFormatting sqref="G16">
    <cfRule type="expression" priority="388" dxfId="0">
      <formula>AND(COUNT(C16:J16)=8,G16=10)</formula>
    </cfRule>
    <cfRule type="expression" priority="389" dxfId="1">
      <formula>AND(COUNT(C16:J16)=8,G16&lt;10*0.4)</formula>
    </cfRule>
    <cfRule type="expression" priority="390" dxfId="2">
      <formula>AND(COUNT(C16:J16)=8,G16&gt;=10*0.4,G16&lt;10)</formula>
    </cfRule>
  </conditionalFormatting>
  <conditionalFormatting sqref="G17">
    <cfRule type="expression" priority="391" dxfId="0">
      <formula>AND(COUNT(C17:J17)=8,G17=10)</formula>
    </cfRule>
    <cfRule type="expression" priority="392" dxfId="1">
      <formula>AND(COUNT(C17:J17)=8,G17&lt;10*0.4)</formula>
    </cfRule>
    <cfRule type="expression" priority="393" dxfId="2">
      <formula>AND(COUNT(C17:J17)=8,G17&gt;=10*0.4,G17&lt;10)</formula>
    </cfRule>
  </conditionalFormatting>
  <conditionalFormatting sqref="G18">
    <cfRule type="expression" priority="394" dxfId="0">
      <formula>AND(COUNT(C18:J18)=8,G18=10)</formula>
    </cfRule>
    <cfRule type="expression" priority="395" dxfId="1">
      <formula>AND(COUNT(C18:J18)=8,G18&lt;10*0.4)</formula>
    </cfRule>
    <cfRule type="expression" priority="396" dxfId="2">
      <formula>AND(COUNT(C18:J18)=8,G18&gt;=10*0.4,G18&lt;10)</formula>
    </cfRule>
  </conditionalFormatting>
  <conditionalFormatting sqref="G19">
    <cfRule type="expression" priority="397" dxfId="0">
      <formula>AND(COUNT(C19:J19)=8,G19=10)</formula>
    </cfRule>
    <cfRule type="expression" priority="398" dxfId="1">
      <formula>AND(COUNT(C19:J19)=8,G19&lt;10*0.4)</formula>
    </cfRule>
    <cfRule type="expression" priority="399" dxfId="2">
      <formula>AND(COUNT(C19:J19)=8,G19&gt;=10*0.4,G19&lt;10)</formula>
    </cfRule>
  </conditionalFormatting>
  <conditionalFormatting sqref="G20">
    <cfRule type="expression" priority="400" dxfId="0">
      <formula>AND(COUNT(C20:J20)=8,G20=10)</formula>
    </cfRule>
    <cfRule type="expression" priority="401" dxfId="1">
      <formula>AND(COUNT(C20:J20)=8,G20&lt;10*0.4)</formula>
    </cfRule>
    <cfRule type="expression" priority="402" dxfId="2">
      <formula>AND(COUNT(C20:J20)=8,G20&gt;=10*0.4,G20&lt;10)</formula>
    </cfRule>
  </conditionalFormatting>
  <conditionalFormatting sqref="G21">
    <cfRule type="expression" priority="403" dxfId="0">
      <formula>AND(COUNT(C21:J21)=8,G21=10)</formula>
    </cfRule>
    <cfRule type="expression" priority="404" dxfId="1">
      <formula>AND(COUNT(C21:J21)=8,G21&lt;10*0.4)</formula>
    </cfRule>
    <cfRule type="expression" priority="405" dxfId="2">
      <formula>AND(COUNT(C21:J21)=8,G21&gt;=10*0.4,G21&lt;10)</formula>
    </cfRule>
  </conditionalFormatting>
  <conditionalFormatting sqref="G22">
    <cfRule type="expression" priority="406" dxfId="0">
      <formula>AND(COUNT(C22:J22)=8,G22=10)</formula>
    </cfRule>
    <cfRule type="expression" priority="407" dxfId="1">
      <formula>AND(COUNT(C22:J22)=8,G22&lt;10*0.4)</formula>
    </cfRule>
    <cfRule type="expression" priority="408" dxfId="2">
      <formula>AND(COUNT(C22:J22)=8,G22&gt;=10*0.4,G22&lt;10)</formula>
    </cfRule>
  </conditionalFormatting>
  <conditionalFormatting sqref="G23">
    <cfRule type="expression" priority="409" dxfId="0">
      <formula>AND(COUNT(C23:J23)=8,G23=10)</formula>
    </cfRule>
    <cfRule type="expression" priority="410" dxfId="1">
      <formula>AND(COUNT(C23:J23)=8,G23&lt;10*0.4)</formula>
    </cfRule>
    <cfRule type="expression" priority="411" dxfId="2">
      <formula>AND(COUNT(C23:J23)=8,G23&gt;=10*0.4,G23&lt;10)</formula>
    </cfRule>
  </conditionalFormatting>
  <conditionalFormatting sqref="G24">
    <cfRule type="expression" priority="412" dxfId="0">
      <formula>AND(COUNT(C24:J24)=8,G24=10)</formula>
    </cfRule>
    <cfRule type="expression" priority="413" dxfId="1">
      <formula>AND(COUNT(C24:J24)=8,G24&lt;10*0.4)</formula>
    </cfRule>
    <cfRule type="expression" priority="414" dxfId="2">
      <formula>AND(COUNT(C24:J24)=8,G24&gt;=10*0.4,G24&lt;10)</formula>
    </cfRule>
  </conditionalFormatting>
  <conditionalFormatting sqref="G25">
    <cfRule type="expression" priority="415" dxfId="0">
      <formula>AND(COUNT(C25:J25)=8,G25=10)</formula>
    </cfRule>
    <cfRule type="expression" priority="416" dxfId="1">
      <formula>AND(COUNT(C25:J25)=8,G25&lt;10*0.4)</formula>
    </cfRule>
    <cfRule type="expression" priority="417" dxfId="2">
      <formula>AND(COUNT(C25:J25)=8,G25&gt;=10*0.4,G25&lt;10)</formula>
    </cfRule>
  </conditionalFormatting>
  <conditionalFormatting sqref="G26">
    <cfRule type="expression" priority="418" dxfId="0">
      <formula>AND(COUNT(C26:J26)=8,G26=10)</formula>
    </cfRule>
    <cfRule type="expression" priority="419" dxfId="1">
      <formula>AND(COUNT(C26:J26)=8,G26&lt;10*0.4)</formula>
    </cfRule>
    <cfRule type="expression" priority="420" dxfId="2">
      <formula>AND(COUNT(C26:J26)=8,G26&gt;=10*0.4,G26&lt;10)</formula>
    </cfRule>
  </conditionalFormatting>
  <conditionalFormatting sqref="G27">
    <cfRule type="expression" priority="421" dxfId="0">
      <formula>AND(COUNT(C27:J27)=8,G27=10)</formula>
    </cfRule>
    <cfRule type="expression" priority="422" dxfId="1">
      <formula>AND(COUNT(C27:J27)=8,G27&lt;10*0.4)</formula>
    </cfRule>
    <cfRule type="expression" priority="423" dxfId="2">
      <formula>AND(COUNT(C27:J27)=8,G27&gt;=10*0.4,G27&lt;10)</formula>
    </cfRule>
  </conditionalFormatting>
  <conditionalFormatting sqref="G28">
    <cfRule type="expression" priority="424" dxfId="0">
      <formula>AND(COUNT(C28:J28)=8,G28=10)</formula>
    </cfRule>
    <cfRule type="expression" priority="425" dxfId="1">
      <formula>AND(COUNT(C28:J28)=8,G28&lt;10*0.4)</formula>
    </cfRule>
    <cfRule type="expression" priority="426" dxfId="2">
      <formula>AND(COUNT(C28:J28)=8,G28&gt;=10*0.4,G28&lt;10)</formula>
    </cfRule>
  </conditionalFormatting>
  <conditionalFormatting sqref="G29">
    <cfRule type="expression" priority="427" dxfId="0">
      <formula>AND(COUNT(C29:J29)=8,G29=10)</formula>
    </cfRule>
    <cfRule type="expression" priority="428" dxfId="1">
      <formula>AND(COUNT(C29:J29)=8,G29&lt;10*0.4)</formula>
    </cfRule>
    <cfRule type="expression" priority="429" dxfId="2">
      <formula>AND(COUNT(C29:J29)=8,G29&gt;=10*0.4,G29&lt;10)</formula>
    </cfRule>
  </conditionalFormatting>
  <conditionalFormatting sqref="G30">
    <cfRule type="expression" priority="430" dxfId="0">
      <formula>AND(COUNT(C30:J30)=8,G30=10)</formula>
    </cfRule>
    <cfRule type="expression" priority="431" dxfId="1">
      <formula>AND(COUNT(C30:J30)=8,G30&lt;10*0.4)</formula>
    </cfRule>
    <cfRule type="expression" priority="432" dxfId="2">
      <formula>AND(COUNT(C30:J30)=8,G30&gt;=10*0.4,G30&lt;10)</formula>
    </cfRule>
  </conditionalFormatting>
  <conditionalFormatting sqref="G31">
    <cfRule type="expression" priority="433" dxfId="0">
      <formula>AND(COUNT(C31:J31)=8,G31=10)</formula>
    </cfRule>
    <cfRule type="expression" priority="434" dxfId="1">
      <formula>AND(COUNT(C31:J31)=8,G31&lt;10*0.4)</formula>
    </cfRule>
    <cfRule type="expression" priority="435" dxfId="2">
      <formula>AND(COUNT(C31:J31)=8,G31&gt;=10*0.4,G31&lt;10)</formula>
    </cfRule>
  </conditionalFormatting>
  <conditionalFormatting sqref="G32">
    <cfRule type="expression" priority="436" dxfId="0">
      <formula>AND(COUNT(C32:J32)=8,G32=10)</formula>
    </cfRule>
    <cfRule type="expression" priority="437" dxfId="1">
      <formula>AND(COUNT(C32:J32)=8,G32&lt;10*0.4)</formula>
    </cfRule>
    <cfRule type="expression" priority="438" dxfId="2">
      <formula>AND(COUNT(C32:J32)=8,G32&gt;=10*0.4,G32&lt;10)</formula>
    </cfRule>
  </conditionalFormatting>
  <conditionalFormatting sqref="G33">
    <cfRule type="expression" priority="439" dxfId="0">
      <formula>AND(COUNT(C33:J33)=8,G33=10)</formula>
    </cfRule>
    <cfRule type="expression" priority="440" dxfId="1">
      <formula>AND(COUNT(C33:J33)=8,G33&lt;10*0.4)</formula>
    </cfRule>
    <cfRule type="expression" priority="441" dxfId="2">
      <formula>AND(COUNT(C33:J33)=8,G33&gt;=10*0.4,G33&lt;10)</formula>
    </cfRule>
  </conditionalFormatting>
  <conditionalFormatting sqref="G34">
    <cfRule type="expression" priority="442" dxfId="0">
      <formula>AND(COUNT(C34:J34)=8,G34=10)</formula>
    </cfRule>
    <cfRule type="expression" priority="443" dxfId="1">
      <formula>AND(COUNT(C34:J34)=8,G34&lt;10*0.4)</formula>
    </cfRule>
    <cfRule type="expression" priority="444" dxfId="2">
      <formula>AND(COUNT(C34:J34)=8,G34&gt;=10*0.4,G34&lt;10)</formula>
    </cfRule>
  </conditionalFormatting>
  <conditionalFormatting sqref="G35">
    <cfRule type="expression" priority="445" dxfId="0">
      <formula>AND(COUNT(C35:J35)=8,G35=10)</formula>
    </cfRule>
    <cfRule type="expression" priority="446" dxfId="1">
      <formula>AND(COUNT(C35:J35)=8,G35&lt;10*0.4)</formula>
    </cfRule>
    <cfRule type="expression" priority="447" dxfId="2">
      <formula>AND(COUNT(C35:J35)=8,G35&gt;=10*0.4,G35&lt;10)</formula>
    </cfRule>
  </conditionalFormatting>
  <conditionalFormatting sqref="G36">
    <cfRule type="expression" priority="448" dxfId="0">
      <formula>AND(COUNT(C36:J36)=8,G36=10)</formula>
    </cfRule>
    <cfRule type="expression" priority="449" dxfId="1">
      <formula>AND(COUNT(C36:J36)=8,G36&lt;10*0.4)</formula>
    </cfRule>
    <cfRule type="expression" priority="450" dxfId="2">
      <formula>AND(COUNT(C36:J36)=8,G36&gt;=10*0.4,G36&lt;10)</formula>
    </cfRule>
  </conditionalFormatting>
  <conditionalFormatting sqref="G37">
    <cfRule type="expression" priority="451" dxfId="0">
      <formula>AND(COUNT(C37:J37)=8,G37=10)</formula>
    </cfRule>
    <cfRule type="expression" priority="452" dxfId="1">
      <formula>AND(COUNT(C37:J37)=8,G37&lt;10*0.4)</formula>
    </cfRule>
    <cfRule type="expression" priority="453" dxfId="2">
      <formula>AND(COUNT(C37:J37)=8,G37&gt;=10*0.4,G37&lt;10)</formula>
    </cfRule>
  </conditionalFormatting>
  <conditionalFormatting sqref="G38">
    <cfRule type="expression" priority="454" dxfId="0">
      <formula>AND(COUNT(C38:J38)=8,G38=10)</formula>
    </cfRule>
    <cfRule type="expression" priority="455" dxfId="1">
      <formula>AND(COUNT(C38:J38)=8,G38&lt;10*0.4)</formula>
    </cfRule>
    <cfRule type="expression" priority="456" dxfId="2">
      <formula>AND(COUNT(C38:J38)=8,G38&gt;=10*0.4,G38&lt;10)</formula>
    </cfRule>
  </conditionalFormatting>
  <conditionalFormatting sqref="G39">
    <cfRule type="expression" priority="457" dxfId="0">
      <formula>AND(COUNT(C39:J39)=8,G39=10)</formula>
    </cfRule>
    <cfRule type="expression" priority="458" dxfId="1">
      <formula>AND(COUNT(C39:J39)=8,G39&lt;10*0.4)</formula>
    </cfRule>
    <cfRule type="expression" priority="459" dxfId="2">
      <formula>AND(COUNT(C39:J39)=8,G39&gt;=10*0.4,G39&lt;10)</formula>
    </cfRule>
  </conditionalFormatting>
  <conditionalFormatting sqref="G40">
    <cfRule type="expression" priority="460" dxfId="0">
      <formula>AND(COUNT(C40:J40)=8,G40=10)</formula>
    </cfRule>
    <cfRule type="expression" priority="461" dxfId="1">
      <formula>AND(COUNT(C40:J40)=8,G40&lt;10*0.4)</formula>
    </cfRule>
    <cfRule type="expression" priority="462" dxfId="2">
      <formula>AND(COUNT(C40:J40)=8,G40&gt;=10*0.4,G40&lt;10)</formula>
    </cfRule>
  </conditionalFormatting>
  <conditionalFormatting sqref="G41">
    <cfRule type="expression" priority="463" dxfId="0">
      <formula>AND(COUNT(C41:J41)=8,G41=10)</formula>
    </cfRule>
    <cfRule type="expression" priority="464" dxfId="1">
      <formula>AND(COUNT(C41:J41)=8,G41&lt;10*0.4)</formula>
    </cfRule>
    <cfRule type="expression" priority="465" dxfId="2">
      <formula>AND(COUNT(C41:J41)=8,G41&gt;=10*0.4,G41&lt;10)</formula>
    </cfRule>
  </conditionalFormatting>
  <conditionalFormatting sqref="H11">
    <cfRule type="expression" priority="466" dxfId="0">
      <formula>AND(COUNT(C11:J11)=8,H11=8)</formula>
    </cfRule>
    <cfRule type="expression" priority="467" dxfId="1">
      <formula>AND(COUNT(C11:J11)=8,H11&lt;8*0.4)</formula>
    </cfRule>
    <cfRule type="expression" priority="468" dxfId="2">
      <formula>AND(COUNT(C11:J11)=8,H11&gt;=8*0.4,H11&lt;8)</formula>
    </cfRule>
  </conditionalFormatting>
  <conditionalFormatting sqref="H12">
    <cfRule type="expression" priority="469" dxfId="0">
      <formula>AND(COUNT(C12:J12)=8,H12=8)</formula>
    </cfRule>
    <cfRule type="expression" priority="470" dxfId="1">
      <formula>AND(COUNT(C12:J12)=8,H12&lt;8*0.4)</formula>
    </cfRule>
    <cfRule type="expression" priority="471" dxfId="2">
      <formula>AND(COUNT(C12:J12)=8,H12&gt;=8*0.4,H12&lt;8)</formula>
    </cfRule>
  </conditionalFormatting>
  <conditionalFormatting sqref="H13">
    <cfRule type="expression" priority="472" dxfId="0">
      <formula>AND(COUNT(C13:J13)=8,H13=8)</formula>
    </cfRule>
    <cfRule type="expression" priority="473" dxfId="1">
      <formula>AND(COUNT(C13:J13)=8,H13&lt;8*0.4)</formula>
    </cfRule>
    <cfRule type="expression" priority="474" dxfId="2">
      <formula>AND(COUNT(C13:J13)=8,H13&gt;=8*0.4,H13&lt;8)</formula>
    </cfRule>
  </conditionalFormatting>
  <conditionalFormatting sqref="H14">
    <cfRule type="expression" priority="475" dxfId="0">
      <formula>AND(COUNT(C14:J14)=8,H14=8)</formula>
    </cfRule>
    <cfRule type="expression" priority="476" dxfId="1">
      <formula>AND(COUNT(C14:J14)=8,H14&lt;8*0.4)</formula>
    </cfRule>
    <cfRule type="expression" priority="477" dxfId="2">
      <formula>AND(COUNT(C14:J14)=8,H14&gt;=8*0.4,H14&lt;8)</formula>
    </cfRule>
  </conditionalFormatting>
  <conditionalFormatting sqref="H15">
    <cfRule type="expression" priority="478" dxfId="0">
      <formula>AND(COUNT(C15:J15)=8,H15=8)</formula>
    </cfRule>
    <cfRule type="expression" priority="479" dxfId="1">
      <formula>AND(COUNT(C15:J15)=8,H15&lt;8*0.4)</formula>
    </cfRule>
    <cfRule type="expression" priority="480" dxfId="2">
      <formula>AND(COUNT(C15:J15)=8,H15&gt;=8*0.4,H15&lt;8)</formula>
    </cfRule>
  </conditionalFormatting>
  <conditionalFormatting sqref="H16">
    <cfRule type="expression" priority="481" dxfId="0">
      <formula>AND(COUNT(C16:J16)=8,H16=8)</formula>
    </cfRule>
    <cfRule type="expression" priority="482" dxfId="1">
      <formula>AND(COUNT(C16:J16)=8,H16&lt;8*0.4)</formula>
    </cfRule>
    <cfRule type="expression" priority="483" dxfId="2">
      <formula>AND(COUNT(C16:J16)=8,H16&gt;=8*0.4,H16&lt;8)</formula>
    </cfRule>
  </conditionalFormatting>
  <conditionalFormatting sqref="H17">
    <cfRule type="expression" priority="484" dxfId="0">
      <formula>AND(COUNT(C17:J17)=8,H17=8)</formula>
    </cfRule>
    <cfRule type="expression" priority="485" dxfId="1">
      <formula>AND(COUNT(C17:J17)=8,H17&lt;8*0.4)</formula>
    </cfRule>
    <cfRule type="expression" priority="486" dxfId="2">
      <formula>AND(COUNT(C17:J17)=8,H17&gt;=8*0.4,H17&lt;8)</formula>
    </cfRule>
  </conditionalFormatting>
  <conditionalFormatting sqref="H18">
    <cfRule type="expression" priority="487" dxfId="0">
      <formula>AND(COUNT(C18:J18)=8,H18=8)</formula>
    </cfRule>
    <cfRule type="expression" priority="488" dxfId="1">
      <formula>AND(COUNT(C18:J18)=8,H18&lt;8*0.4)</formula>
    </cfRule>
    <cfRule type="expression" priority="489" dxfId="2">
      <formula>AND(COUNT(C18:J18)=8,H18&gt;=8*0.4,H18&lt;8)</formula>
    </cfRule>
  </conditionalFormatting>
  <conditionalFormatting sqref="H19">
    <cfRule type="expression" priority="490" dxfId="0">
      <formula>AND(COUNT(C19:J19)=8,H19=8)</formula>
    </cfRule>
    <cfRule type="expression" priority="491" dxfId="1">
      <formula>AND(COUNT(C19:J19)=8,H19&lt;8*0.4)</formula>
    </cfRule>
    <cfRule type="expression" priority="492" dxfId="2">
      <formula>AND(COUNT(C19:J19)=8,H19&gt;=8*0.4,H19&lt;8)</formula>
    </cfRule>
  </conditionalFormatting>
  <conditionalFormatting sqref="H20">
    <cfRule type="expression" priority="493" dxfId="0">
      <formula>AND(COUNT(C20:J20)=8,H20=8)</formula>
    </cfRule>
    <cfRule type="expression" priority="494" dxfId="1">
      <formula>AND(COUNT(C20:J20)=8,H20&lt;8*0.4)</formula>
    </cfRule>
    <cfRule type="expression" priority="495" dxfId="2">
      <formula>AND(COUNT(C20:J20)=8,H20&gt;=8*0.4,H20&lt;8)</formula>
    </cfRule>
  </conditionalFormatting>
  <conditionalFormatting sqref="H21">
    <cfRule type="expression" priority="496" dxfId="0">
      <formula>AND(COUNT(C21:J21)=8,H21=8)</formula>
    </cfRule>
    <cfRule type="expression" priority="497" dxfId="1">
      <formula>AND(COUNT(C21:J21)=8,H21&lt;8*0.4)</formula>
    </cfRule>
    <cfRule type="expression" priority="498" dxfId="2">
      <formula>AND(COUNT(C21:J21)=8,H21&gt;=8*0.4,H21&lt;8)</formula>
    </cfRule>
  </conditionalFormatting>
  <conditionalFormatting sqref="H22">
    <cfRule type="expression" priority="499" dxfId="0">
      <formula>AND(COUNT(C22:J22)=8,H22=8)</formula>
    </cfRule>
    <cfRule type="expression" priority="500" dxfId="1">
      <formula>AND(COUNT(C22:J22)=8,H22&lt;8*0.4)</formula>
    </cfRule>
    <cfRule type="expression" priority="501" dxfId="2">
      <formula>AND(COUNT(C22:J22)=8,H22&gt;=8*0.4,H22&lt;8)</formula>
    </cfRule>
  </conditionalFormatting>
  <conditionalFormatting sqref="H23">
    <cfRule type="expression" priority="502" dxfId="0">
      <formula>AND(COUNT(C23:J23)=8,H23=8)</formula>
    </cfRule>
    <cfRule type="expression" priority="503" dxfId="1">
      <formula>AND(COUNT(C23:J23)=8,H23&lt;8*0.4)</formula>
    </cfRule>
    <cfRule type="expression" priority="504" dxfId="2">
      <formula>AND(COUNT(C23:J23)=8,H23&gt;=8*0.4,H23&lt;8)</formula>
    </cfRule>
  </conditionalFormatting>
  <conditionalFormatting sqref="H24">
    <cfRule type="expression" priority="505" dxfId="0">
      <formula>AND(COUNT(C24:J24)=8,H24=8)</formula>
    </cfRule>
    <cfRule type="expression" priority="506" dxfId="1">
      <formula>AND(COUNT(C24:J24)=8,H24&lt;8*0.4)</formula>
    </cfRule>
    <cfRule type="expression" priority="507" dxfId="2">
      <formula>AND(COUNT(C24:J24)=8,H24&gt;=8*0.4,H24&lt;8)</formula>
    </cfRule>
  </conditionalFormatting>
  <conditionalFormatting sqref="H25">
    <cfRule type="expression" priority="508" dxfId="0">
      <formula>AND(COUNT(C25:J25)=8,H25=8)</formula>
    </cfRule>
    <cfRule type="expression" priority="509" dxfId="1">
      <formula>AND(COUNT(C25:J25)=8,H25&lt;8*0.4)</formula>
    </cfRule>
    <cfRule type="expression" priority="510" dxfId="2">
      <formula>AND(COUNT(C25:J25)=8,H25&gt;=8*0.4,H25&lt;8)</formula>
    </cfRule>
  </conditionalFormatting>
  <conditionalFormatting sqref="H26">
    <cfRule type="expression" priority="511" dxfId="0">
      <formula>AND(COUNT(C26:J26)=8,H26=8)</formula>
    </cfRule>
    <cfRule type="expression" priority="512" dxfId="1">
      <formula>AND(COUNT(C26:J26)=8,H26&lt;8*0.4)</formula>
    </cfRule>
    <cfRule type="expression" priority="513" dxfId="2">
      <formula>AND(COUNT(C26:J26)=8,H26&gt;=8*0.4,H26&lt;8)</formula>
    </cfRule>
  </conditionalFormatting>
  <conditionalFormatting sqref="H27">
    <cfRule type="expression" priority="514" dxfId="0">
      <formula>AND(COUNT(C27:J27)=8,H27=8)</formula>
    </cfRule>
    <cfRule type="expression" priority="515" dxfId="1">
      <formula>AND(COUNT(C27:J27)=8,H27&lt;8*0.4)</formula>
    </cfRule>
    <cfRule type="expression" priority="516" dxfId="2">
      <formula>AND(COUNT(C27:J27)=8,H27&gt;=8*0.4,H27&lt;8)</formula>
    </cfRule>
  </conditionalFormatting>
  <conditionalFormatting sqref="H28">
    <cfRule type="expression" priority="517" dxfId="0">
      <formula>AND(COUNT(C28:J28)=8,H28=8)</formula>
    </cfRule>
    <cfRule type="expression" priority="518" dxfId="1">
      <formula>AND(COUNT(C28:J28)=8,H28&lt;8*0.4)</formula>
    </cfRule>
    <cfRule type="expression" priority="519" dxfId="2">
      <formula>AND(COUNT(C28:J28)=8,H28&gt;=8*0.4,H28&lt;8)</formula>
    </cfRule>
  </conditionalFormatting>
  <conditionalFormatting sqref="H29">
    <cfRule type="expression" priority="520" dxfId="0">
      <formula>AND(COUNT(C29:J29)=8,H29=8)</formula>
    </cfRule>
    <cfRule type="expression" priority="521" dxfId="1">
      <formula>AND(COUNT(C29:J29)=8,H29&lt;8*0.4)</formula>
    </cfRule>
    <cfRule type="expression" priority="522" dxfId="2">
      <formula>AND(COUNT(C29:J29)=8,H29&gt;=8*0.4,H29&lt;8)</formula>
    </cfRule>
  </conditionalFormatting>
  <conditionalFormatting sqref="H30">
    <cfRule type="expression" priority="523" dxfId="0">
      <formula>AND(COUNT(C30:J30)=8,H30=8)</formula>
    </cfRule>
    <cfRule type="expression" priority="524" dxfId="1">
      <formula>AND(COUNT(C30:J30)=8,H30&lt;8*0.4)</formula>
    </cfRule>
    <cfRule type="expression" priority="525" dxfId="2">
      <formula>AND(COUNT(C30:J30)=8,H30&gt;=8*0.4,H30&lt;8)</formula>
    </cfRule>
  </conditionalFormatting>
  <conditionalFormatting sqref="H31">
    <cfRule type="expression" priority="526" dxfId="0">
      <formula>AND(COUNT(C31:J31)=8,H31=8)</formula>
    </cfRule>
    <cfRule type="expression" priority="527" dxfId="1">
      <formula>AND(COUNT(C31:J31)=8,H31&lt;8*0.4)</formula>
    </cfRule>
    <cfRule type="expression" priority="528" dxfId="2">
      <formula>AND(COUNT(C31:J31)=8,H31&gt;=8*0.4,H31&lt;8)</formula>
    </cfRule>
  </conditionalFormatting>
  <conditionalFormatting sqref="H32">
    <cfRule type="expression" priority="529" dxfId="0">
      <formula>AND(COUNT(C32:J32)=8,H32=8)</formula>
    </cfRule>
    <cfRule type="expression" priority="530" dxfId="1">
      <formula>AND(COUNT(C32:J32)=8,H32&lt;8*0.4)</formula>
    </cfRule>
    <cfRule type="expression" priority="531" dxfId="2">
      <formula>AND(COUNT(C32:J32)=8,H32&gt;=8*0.4,H32&lt;8)</formula>
    </cfRule>
  </conditionalFormatting>
  <conditionalFormatting sqref="H33">
    <cfRule type="expression" priority="532" dxfId="0">
      <formula>AND(COUNT(C33:J33)=8,H33=8)</formula>
    </cfRule>
    <cfRule type="expression" priority="533" dxfId="1">
      <formula>AND(COUNT(C33:J33)=8,H33&lt;8*0.4)</formula>
    </cfRule>
    <cfRule type="expression" priority="534" dxfId="2">
      <formula>AND(COUNT(C33:J33)=8,H33&gt;=8*0.4,H33&lt;8)</formula>
    </cfRule>
  </conditionalFormatting>
  <conditionalFormatting sqref="H34">
    <cfRule type="expression" priority="535" dxfId="0">
      <formula>AND(COUNT(C34:J34)=8,H34=8)</formula>
    </cfRule>
    <cfRule type="expression" priority="536" dxfId="1">
      <formula>AND(COUNT(C34:J34)=8,H34&lt;8*0.4)</formula>
    </cfRule>
    <cfRule type="expression" priority="537" dxfId="2">
      <formula>AND(COUNT(C34:J34)=8,H34&gt;=8*0.4,H34&lt;8)</formula>
    </cfRule>
  </conditionalFormatting>
  <conditionalFormatting sqref="H35">
    <cfRule type="expression" priority="538" dxfId="0">
      <formula>AND(COUNT(C35:J35)=8,H35=8)</formula>
    </cfRule>
    <cfRule type="expression" priority="539" dxfId="1">
      <formula>AND(COUNT(C35:J35)=8,H35&lt;8*0.4)</formula>
    </cfRule>
    <cfRule type="expression" priority="540" dxfId="2">
      <formula>AND(COUNT(C35:J35)=8,H35&gt;=8*0.4,H35&lt;8)</formula>
    </cfRule>
  </conditionalFormatting>
  <conditionalFormatting sqref="H36">
    <cfRule type="expression" priority="541" dxfId="0">
      <formula>AND(COUNT(C36:J36)=8,H36=8)</formula>
    </cfRule>
    <cfRule type="expression" priority="542" dxfId="1">
      <formula>AND(COUNT(C36:J36)=8,H36&lt;8*0.4)</formula>
    </cfRule>
    <cfRule type="expression" priority="543" dxfId="2">
      <formula>AND(COUNT(C36:J36)=8,H36&gt;=8*0.4,H36&lt;8)</formula>
    </cfRule>
  </conditionalFormatting>
  <conditionalFormatting sqref="H37">
    <cfRule type="expression" priority="544" dxfId="0">
      <formula>AND(COUNT(C37:J37)=8,H37=8)</formula>
    </cfRule>
    <cfRule type="expression" priority="545" dxfId="1">
      <formula>AND(COUNT(C37:J37)=8,H37&lt;8*0.4)</formula>
    </cfRule>
    <cfRule type="expression" priority="546" dxfId="2">
      <formula>AND(COUNT(C37:J37)=8,H37&gt;=8*0.4,H37&lt;8)</formula>
    </cfRule>
  </conditionalFormatting>
  <conditionalFormatting sqref="H38">
    <cfRule type="expression" priority="547" dxfId="0">
      <formula>AND(COUNT(C38:J38)=8,H38=8)</formula>
    </cfRule>
    <cfRule type="expression" priority="548" dxfId="1">
      <formula>AND(COUNT(C38:J38)=8,H38&lt;8*0.4)</formula>
    </cfRule>
    <cfRule type="expression" priority="549" dxfId="2">
      <formula>AND(COUNT(C38:J38)=8,H38&gt;=8*0.4,H38&lt;8)</formula>
    </cfRule>
  </conditionalFormatting>
  <conditionalFormatting sqref="H39">
    <cfRule type="expression" priority="550" dxfId="0">
      <formula>AND(COUNT(C39:J39)=8,H39=8)</formula>
    </cfRule>
    <cfRule type="expression" priority="551" dxfId="1">
      <formula>AND(COUNT(C39:J39)=8,H39&lt;8*0.4)</formula>
    </cfRule>
    <cfRule type="expression" priority="552" dxfId="2">
      <formula>AND(COUNT(C39:J39)=8,H39&gt;=8*0.4,H39&lt;8)</formula>
    </cfRule>
  </conditionalFormatting>
  <conditionalFormatting sqref="H40">
    <cfRule type="expression" priority="553" dxfId="0">
      <formula>AND(COUNT(C40:J40)=8,H40=8)</formula>
    </cfRule>
    <cfRule type="expression" priority="554" dxfId="1">
      <formula>AND(COUNT(C40:J40)=8,H40&lt;8*0.4)</formula>
    </cfRule>
    <cfRule type="expression" priority="555" dxfId="2">
      <formula>AND(COUNT(C40:J40)=8,H40&gt;=8*0.4,H40&lt;8)</formula>
    </cfRule>
  </conditionalFormatting>
  <conditionalFormatting sqref="H41">
    <cfRule type="expression" priority="556" dxfId="0">
      <formula>AND(COUNT(C41:J41)=8,H41=8)</formula>
    </cfRule>
    <cfRule type="expression" priority="557" dxfId="1">
      <formula>AND(COUNT(C41:J41)=8,H41&lt;8*0.4)</formula>
    </cfRule>
    <cfRule type="expression" priority="558" dxfId="2">
      <formula>AND(COUNT(C41:J41)=8,H41&gt;=8*0.4,H41&lt;8)</formula>
    </cfRule>
  </conditionalFormatting>
  <conditionalFormatting sqref="I11">
    <cfRule type="expression" priority="559" dxfId="0">
      <formula>AND(COUNT(C11:J11)=8,I11=9)</formula>
    </cfRule>
    <cfRule type="expression" priority="560" dxfId="1">
      <formula>AND(COUNT(C11:J11)=8,I11&lt;9*0.4)</formula>
    </cfRule>
    <cfRule type="expression" priority="561" dxfId="2">
      <formula>AND(COUNT(C11:J11)=8,I11&gt;=9*0.4,I11&lt;9)</formula>
    </cfRule>
  </conditionalFormatting>
  <conditionalFormatting sqref="I12">
    <cfRule type="expression" priority="562" dxfId="0">
      <formula>AND(COUNT(C12:J12)=8,I12=9)</formula>
    </cfRule>
    <cfRule type="expression" priority="563" dxfId="1">
      <formula>AND(COUNT(C12:J12)=8,I12&lt;9*0.4)</formula>
    </cfRule>
    <cfRule type="expression" priority="564" dxfId="2">
      <formula>AND(COUNT(C12:J12)=8,I12&gt;=9*0.4,I12&lt;9)</formula>
    </cfRule>
  </conditionalFormatting>
  <conditionalFormatting sqref="I13">
    <cfRule type="expression" priority="565" dxfId="0">
      <formula>AND(COUNT(C13:J13)=8,I13=9)</formula>
    </cfRule>
    <cfRule type="expression" priority="566" dxfId="1">
      <formula>AND(COUNT(C13:J13)=8,I13&lt;9*0.4)</formula>
    </cfRule>
    <cfRule type="expression" priority="567" dxfId="2">
      <formula>AND(COUNT(C13:J13)=8,I13&gt;=9*0.4,I13&lt;9)</formula>
    </cfRule>
  </conditionalFormatting>
  <conditionalFormatting sqref="I14">
    <cfRule type="expression" priority="568" dxfId="0">
      <formula>AND(COUNT(C14:J14)=8,I14=9)</formula>
    </cfRule>
    <cfRule type="expression" priority="569" dxfId="1">
      <formula>AND(COUNT(C14:J14)=8,I14&lt;9*0.4)</formula>
    </cfRule>
    <cfRule type="expression" priority="570" dxfId="2">
      <formula>AND(COUNT(C14:J14)=8,I14&gt;=9*0.4,I14&lt;9)</formula>
    </cfRule>
  </conditionalFormatting>
  <conditionalFormatting sqref="I15">
    <cfRule type="expression" priority="571" dxfId="0">
      <formula>AND(COUNT(C15:J15)=8,I15=9)</formula>
    </cfRule>
    <cfRule type="expression" priority="572" dxfId="1">
      <formula>AND(COUNT(C15:J15)=8,I15&lt;9*0.4)</formula>
    </cfRule>
    <cfRule type="expression" priority="573" dxfId="2">
      <formula>AND(COUNT(C15:J15)=8,I15&gt;=9*0.4,I15&lt;9)</formula>
    </cfRule>
  </conditionalFormatting>
  <conditionalFormatting sqref="I16">
    <cfRule type="expression" priority="574" dxfId="0">
      <formula>AND(COUNT(C16:J16)=8,I16=9)</formula>
    </cfRule>
    <cfRule type="expression" priority="575" dxfId="1">
      <formula>AND(COUNT(C16:J16)=8,I16&lt;9*0.4)</formula>
    </cfRule>
    <cfRule type="expression" priority="576" dxfId="2">
      <formula>AND(COUNT(C16:J16)=8,I16&gt;=9*0.4,I16&lt;9)</formula>
    </cfRule>
  </conditionalFormatting>
  <conditionalFormatting sqref="I17">
    <cfRule type="expression" priority="577" dxfId="0">
      <formula>AND(COUNT(C17:J17)=8,I17=9)</formula>
    </cfRule>
    <cfRule type="expression" priority="578" dxfId="1">
      <formula>AND(COUNT(C17:J17)=8,I17&lt;9*0.4)</formula>
    </cfRule>
    <cfRule type="expression" priority="579" dxfId="2">
      <formula>AND(COUNT(C17:J17)=8,I17&gt;=9*0.4,I17&lt;9)</formula>
    </cfRule>
  </conditionalFormatting>
  <conditionalFormatting sqref="I18">
    <cfRule type="expression" priority="580" dxfId="0">
      <formula>AND(COUNT(C18:J18)=8,I18=9)</formula>
    </cfRule>
    <cfRule type="expression" priority="581" dxfId="1">
      <formula>AND(COUNT(C18:J18)=8,I18&lt;9*0.4)</formula>
    </cfRule>
    <cfRule type="expression" priority="582" dxfId="2">
      <formula>AND(COUNT(C18:J18)=8,I18&gt;=9*0.4,I18&lt;9)</formula>
    </cfRule>
  </conditionalFormatting>
  <conditionalFormatting sqref="I19">
    <cfRule type="expression" priority="583" dxfId="0">
      <formula>AND(COUNT(C19:J19)=8,I19=9)</formula>
    </cfRule>
    <cfRule type="expression" priority="584" dxfId="1">
      <formula>AND(COUNT(C19:J19)=8,I19&lt;9*0.4)</formula>
    </cfRule>
    <cfRule type="expression" priority="585" dxfId="2">
      <formula>AND(COUNT(C19:J19)=8,I19&gt;=9*0.4,I19&lt;9)</formula>
    </cfRule>
  </conditionalFormatting>
  <conditionalFormatting sqref="I20">
    <cfRule type="expression" priority="586" dxfId="0">
      <formula>AND(COUNT(C20:J20)=8,I20=9)</formula>
    </cfRule>
    <cfRule type="expression" priority="587" dxfId="1">
      <formula>AND(COUNT(C20:J20)=8,I20&lt;9*0.4)</formula>
    </cfRule>
    <cfRule type="expression" priority="588" dxfId="2">
      <formula>AND(COUNT(C20:J20)=8,I20&gt;=9*0.4,I20&lt;9)</formula>
    </cfRule>
  </conditionalFormatting>
  <conditionalFormatting sqref="I21">
    <cfRule type="expression" priority="589" dxfId="0">
      <formula>AND(COUNT(C21:J21)=8,I21=9)</formula>
    </cfRule>
    <cfRule type="expression" priority="590" dxfId="1">
      <formula>AND(COUNT(C21:J21)=8,I21&lt;9*0.4)</formula>
    </cfRule>
    <cfRule type="expression" priority="591" dxfId="2">
      <formula>AND(COUNT(C21:J21)=8,I21&gt;=9*0.4,I21&lt;9)</formula>
    </cfRule>
  </conditionalFormatting>
  <conditionalFormatting sqref="I22">
    <cfRule type="expression" priority="592" dxfId="0">
      <formula>AND(COUNT(C22:J22)=8,I22=9)</formula>
    </cfRule>
    <cfRule type="expression" priority="593" dxfId="1">
      <formula>AND(COUNT(C22:J22)=8,I22&lt;9*0.4)</formula>
    </cfRule>
    <cfRule type="expression" priority="594" dxfId="2">
      <formula>AND(COUNT(C22:J22)=8,I22&gt;=9*0.4,I22&lt;9)</formula>
    </cfRule>
  </conditionalFormatting>
  <conditionalFormatting sqref="I23">
    <cfRule type="expression" priority="595" dxfId="0">
      <formula>AND(COUNT(C23:J23)=8,I23=9)</formula>
    </cfRule>
    <cfRule type="expression" priority="596" dxfId="1">
      <formula>AND(COUNT(C23:J23)=8,I23&lt;9*0.4)</formula>
    </cfRule>
    <cfRule type="expression" priority="597" dxfId="2">
      <formula>AND(COUNT(C23:J23)=8,I23&gt;=9*0.4,I23&lt;9)</formula>
    </cfRule>
  </conditionalFormatting>
  <conditionalFormatting sqref="I24">
    <cfRule type="expression" priority="598" dxfId="0">
      <formula>AND(COUNT(C24:J24)=8,I24=9)</formula>
    </cfRule>
    <cfRule type="expression" priority="599" dxfId="1">
      <formula>AND(COUNT(C24:J24)=8,I24&lt;9*0.4)</formula>
    </cfRule>
    <cfRule type="expression" priority="600" dxfId="2">
      <formula>AND(COUNT(C24:J24)=8,I24&gt;=9*0.4,I24&lt;9)</formula>
    </cfRule>
  </conditionalFormatting>
  <conditionalFormatting sqref="I25">
    <cfRule type="expression" priority="601" dxfId="0">
      <formula>AND(COUNT(C25:J25)=8,I25=9)</formula>
    </cfRule>
    <cfRule type="expression" priority="602" dxfId="1">
      <formula>AND(COUNT(C25:J25)=8,I25&lt;9*0.4)</formula>
    </cfRule>
    <cfRule type="expression" priority="603" dxfId="2">
      <formula>AND(COUNT(C25:J25)=8,I25&gt;=9*0.4,I25&lt;9)</formula>
    </cfRule>
  </conditionalFormatting>
  <conditionalFormatting sqref="I26">
    <cfRule type="expression" priority="604" dxfId="0">
      <formula>AND(COUNT(C26:J26)=8,I26=9)</formula>
    </cfRule>
    <cfRule type="expression" priority="605" dxfId="1">
      <formula>AND(COUNT(C26:J26)=8,I26&lt;9*0.4)</formula>
    </cfRule>
    <cfRule type="expression" priority="606" dxfId="2">
      <formula>AND(COUNT(C26:J26)=8,I26&gt;=9*0.4,I26&lt;9)</formula>
    </cfRule>
  </conditionalFormatting>
  <conditionalFormatting sqref="I27">
    <cfRule type="expression" priority="607" dxfId="0">
      <formula>AND(COUNT(C27:J27)=8,I27=9)</formula>
    </cfRule>
    <cfRule type="expression" priority="608" dxfId="1">
      <formula>AND(COUNT(C27:J27)=8,I27&lt;9*0.4)</formula>
    </cfRule>
    <cfRule type="expression" priority="609" dxfId="2">
      <formula>AND(COUNT(C27:J27)=8,I27&gt;=9*0.4,I27&lt;9)</formula>
    </cfRule>
  </conditionalFormatting>
  <conditionalFormatting sqref="I28">
    <cfRule type="expression" priority="610" dxfId="0">
      <formula>AND(COUNT(C28:J28)=8,I28=9)</formula>
    </cfRule>
    <cfRule type="expression" priority="611" dxfId="1">
      <formula>AND(COUNT(C28:J28)=8,I28&lt;9*0.4)</formula>
    </cfRule>
    <cfRule type="expression" priority="612" dxfId="2">
      <formula>AND(COUNT(C28:J28)=8,I28&gt;=9*0.4,I28&lt;9)</formula>
    </cfRule>
  </conditionalFormatting>
  <conditionalFormatting sqref="I29">
    <cfRule type="expression" priority="613" dxfId="0">
      <formula>AND(COUNT(C29:J29)=8,I29=9)</formula>
    </cfRule>
    <cfRule type="expression" priority="614" dxfId="1">
      <formula>AND(COUNT(C29:J29)=8,I29&lt;9*0.4)</formula>
    </cfRule>
    <cfRule type="expression" priority="615" dxfId="2">
      <formula>AND(COUNT(C29:J29)=8,I29&gt;=9*0.4,I29&lt;9)</formula>
    </cfRule>
  </conditionalFormatting>
  <conditionalFormatting sqref="I30">
    <cfRule type="expression" priority="616" dxfId="0">
      <formula>AND(COUNT(C30:J30)=8,I30=9)</formula>
    </cfRule>
    <cfRule type="expression" priority="617" dxfId="1">
      <formula>AND(COUNT(C30:J30)=8,I30&lt;9*0.4)</formula>
    </cfRule>
    <cfRule type="expression" priority="618" dxfId="2">
      <formula>AND(COUNT(C30:J30)=8,I30&gt;=9*0.4,I30&lt;9)</formula>
    </cfRule>
  </conditionalFormatting>
  <conditionalFormatting sqref="I31">
    <cfRule type="expression" priority="619" dxfId="0">
      <formula>AND(COUNT(C31:J31)=8,I31=9)</formula>
    </cfRule>
    <cfRule type="expression" priority="620" dxfId="1">
      <formula>AND(COUNT(C31:J31)=8,I31&lt;9*0.4)</formula>
    </cfRule>
    <cfRule type="expression" priority="621" dxfId="2">
      <formula>AND(COUNT(C31:J31)=8,I31&gt;=9*0.4,I31&lt;9)</formula>
    </cfRule>
  </conditionalFormatting>
  <conditionalFormatting sqref="I32">
    <cfRule type="expression" priority="622" dxfId="0">
      <formula>AND(COUNT(C32:J32)=8,I32=9)</formula>
    </cfRule>
    <cfRule type="expression" priority="623" dxfId="1">
      <formula>AND(COUNT(C32:J32)=8,I32&lt;9*0.4)</formula>
    </cfRule>
    <cfRule type="expression" priority="624" dxfId="2">
      <formula>AND(COUNT(C32:J32)=8,I32&gt;=9*0.4,I32&lt;9)</formula>
    </cfRule>
  </conditionalFormatting>
  <conditionalFormatting sqref="I33">
    <cfRule type="expression" priority="625" dxfId="0">
      <formula>AND(COUNT(C33:J33)=8,I33=9)</formula>
    </cfRule>
    <cfRule type="expression" priority="626" dxfId="1">
      <formula>AND(COUNT(C33:J33)=8,I33&lt;9*0.4)</formula>
    </cfRule>
    <cfRule type="expression" priority="627" dxfId="2">
      <formula>AND(COUNT(C33:J33)=8,I33&gt;=9*0.4,I33&lt;9)</formula>
    </cfRule>
  </conditionalFormatting>
  <conditionalFormatting sqref="I34">
    <cfRule type="expression" priority="628" dxfId="0">
      <formula>AND(COUNT(C34:J34)=8,I34=9)</formula>
    </cfRule>
    <cfRule type="expression" priority="629" dxfId="1">
      <formula>AND(COUNT(C34:J34)=8,I34&lt;9*0.4)</formula>
    </cfRule>
    <cfRule type="expression" priority="630" dxfId="2">
      <formula>AND(COUNT(C34:J34)=8,I34&gt;=9*0.4,I34&lt;9)</formula>
    </cfRule>
  </conditionalFormatting>
  <conditionalFormatting sqref="I35">
    <cfRule type="expression" priority="631" dxfId="0">
      <formula>AND(COUNT(C35:J35)=8,I35=9)</formula>
    </cfRule>
    <cfRule type="expression" priority="632" dxfId="1">
      <formula>AND(COUNT(C35:J35)=8,I35&lt;9*0.4)</formula>
    </cfRule>
    <cfRule type="expression" priority="633" dxfId="2">
      <formula>AND(COUNT(C35:J35)=8,I35&gt;=9*0.4,I35&lt;9)</formula>
    </cfRule>
  </conditionalFormatting>
  <conditionalFormatting sqref="I36">
    <cfRule type="expression" priority="634" dxfId="0">
      <formula>AND(COUNT(C36:J36)=8,I36=9)</formula>
    </cfRule>
    <cfRule type="expression" priority="635" dxfId="1">
      <formula>AND(COUNT(C36:J36)=8,I36&lt;9*0.4)</formula>
    </cfRule>
    <cfRule type="expression" priority="636" dxfId="2">
      <formula>AND(COUNT(C36:J36)=8,I36&gt;=9*0.4,I36&lt;9)</formula>
    </cfRule>
  </conditionalFormatting>
  <conditionalFormatting sqref="I37">
    <cfRule type="expression" priority="637" dxfId="0">
      <formula>AND(COUNT(C37:J37)=8,I37=9)</formula>
    </cfRule>
    <cfRule type="expression" priority="638" dxfId="1">
      <formula>AND(COUNT(C37:J37)=8,I37&lt;9*0.4)</formula>
    </cfRule>
    <cfRule type="expression" priority="639" dxfId="2">
      <formula>AND(COUNT(C37:J37)=8,I37&gt;=9*0.4,I37&lt;9)</formula>
    </cfRule>
  </conditionalFormatting>
  <conditionalFormatting sqref="I38">
    <cfRule type="expression" priority="640" dxfId="0">
      <formula>AND(COUNT(C38:J38)=8,I38=9)</formula>
    </cfRule>
    <cfRule type="expression" priority="641" dxfId="1">
      <formula>AND(COUNT(C38:J38)=8,I38&lt;9*0.4)</formula>
    </cfRule>
    <cfRule type="expression" priority="642" dxfId="2">
      <formula>AND(COUNT(C38:J38)=8,I38&gt;=9*0.4,I38&lt;9)</formula>
    </cfRule>
  </conditionalFormatting>
  <conditionalFormatting sqref="I39">
    <cfRule type="expression" priority="643" dxfId="0">
      <formula>AND(COUNT(C39:J39)=8,I39=9)</formula>
    </cfRule>
    <cfRule type="expression" priority="644" dxfId="1">
      <formula>AND(COUNT(C39:J39)=8,I39&lt;9*0.4)</formula>
    </cfRule>
    <cfRule type="expression" priority="645" dxfId="2">
      <formula>AND(COUNT(C39:J39)=8,I39&gt;=9*0.4,I39&lt;9)</formula>
    </cfRule>
  </conditionalFormatting>
  <conditionalFormatting sqref="I40">
    <cfRule type="expression" priority="646" dxfId="0">
      <formula>AND(COUNT(C40:J40)=8,I40=9)</formula>
    </cfRule>
    <cfRule type="expression" priority="647" dxfId="1">
      <formula>AND(COUNT(C40:J40)=8,I40&lt;9*0.4)</formula>
    </cfRule>
    <cfRule type="expression" priority="648" dxfId="2">
      <formula>AND(COUNT(C40:J40)=8,I40&gt;=9*0.4,I40&lt;9)</formula>
    </cfRule>
  </conditionalFormatting>
  <conditionalFormatting sqref="I41">
    <cfRule type="expression" priority="649" dxfId="0">
      <formula>AND(COUNT(C41:J41)=8,I41=9)</formula>
    </cfRule>
    <cfRule type="expression" priority="650" dxfId="1">
      <formula>AND(COUNT(C41:J41)=8,I41&lt;9*0.4)</formula>
    </cfRule>
    <cfRule type="expression" priority="651" dxfId="2">
      <formula>AND(COUNT(C41:J41)=8,I41&gt;=9*0.4,I41&lt;9)</formula>
    </cfRule>
  </conditionalFormatting>
  <conditionalFormatting sqref="J11">
    <cfRule type="expression" priority="652" dxfId="0">
      <formula>AND(COUNT(C11:J11)=8,J11=10)</formula>
    </cfRule>
    <cfRule type="expression" priority="653" dxfId="1">
      <formula>AND(COUNT(C11:J11)=8,J11&lt;10*0.4)</formula>
    </cfRule>
    <cfRule type="expression" priority="654" dxfId="2">
      <formula>AND(COUNT(C11:J11)=8,J11&gt;=10*0.4,J11&lt;10)</formula>
    </cfRule>
  </conditionalFormatting>
  <conditionalFormatting sqref="J12">
    <cfRule type="expression" priority="655" dxfId="0">
      <formula>AND(COUNT(C12:J12)=8,J12=10)</formula>
    </cfRule>
    <cfRule type="expression" priority="656" dxfId="1">
      <formula>AND(COUNT(C12:J12)=8,J12&lt;10*0.4)</formula>
    </cfRule>
    <cfRule type="expression" priority="657" dxfId="2">
      <formula>AND(COUNT(C12:J12)=8,J12&gt;=10*0.4,J12&lt;10)</formula>
    </cfRule>
  </conditionalFormatting>
  <conditionalFormatting sqref="J13">
    <cfRule type="expression" priority="658" dxfId="0">
      <formula>AND(COUNT(C13:J13)=8,J13=10)</formula>
    </cfRule>
    <cfRule type="expression" priority="659" dxfId="1">
      <formula>AND(COUNT(C13:J13)=8,J13&lt;10*0.4)</formula>
    </cfRule>
    <cfRule type="expression" priority="660" dxfId="2">
      <formula>AND(COUNT(C13:J13)=8,J13&gt;=10*0.4,J13&lt;10)</formula>
    </cfRule>
  </conditionalFormatting>
  <conditionalFormatting sqref="J14">
    <cfRule type="expression" priority="661" dxfId="0">
      <formula>AND(COUNT(C14:J14)=8,J14=10)</formula>
    </cfRule>
    <cfRule type="expression" priority="662" dxfId="1">
      <formula>AND(COUNT(C14:J14)=8,J14&lt;10*0.4)</formula>
    </cfRule>
    <cfRule type="expression" priority="663" dxfId="2">
      <formula>AND(COUNT(C14:J14)=8,J14&gt;=10*0.4,J14&lt;10)</formula>
    </cfRule>
  </conditionalFormatting>
  <conditionalFormatting sqref="J15">
    <cfRule type="expression" priority="664" dxfId="0">
      <formula>AND(COUNT(C15:J15)=8,J15=10)</formula>
    </cfRule>
    <cfRule type="expression" priority="665" dxfId="1">
      <formula>AND(COUNT(C15:J15)=8,J15&lt;10*0.4)</formula>
    </cfRule>
    <cfRule type="expression" priority="666" dxfId="2">
      <formula>AND(COUNT(C15:J15)=8,J15&gt;=10*0.4,J15&lt;10)</formula>
    </cfRule>
  </conditionalFormatting>
  <conditionalFormatting sqref="J16">
    <cfRule type="expression" priority="667" dxfId="0">
      <formula>AND(COUNT(C16:J16)=8,J16=10)</formula>
    </cfRule>
    <cfRule type="expression" priority="668" dxfId="1">
      <formula>AND(COUNT(C16:J16)=8,J16&lt;10*0.4)</formula>
    </cfRule>
    <cfRule type="expression" priority="669" dxfId="2">
      <formula>AND(COUNT(C16:J16)=8,J16&gt;=10*0.4,J16&lt;10)</formula>
    </cfRule>
  </conditionalFormatting>
  <conditionalFormatting sqref="J17">
    <cfRule type="expression" priority="670" dxfId="0">
      <formula>AND(COUNT(C17:J17)=8,J17=10)</formula>
    </cfRule>
    <cfRule type="expression" priority="671" dxfId="1">
      <formula>AND(COUNT(C17:J17)=8,J17&lt;10*0.4)</formula>
    </cfRule>
    <cfRule type="expression" priority="672" dxfId="2">
      <formula>AND(COUNT(C17:J17)=8,J17&gt;=10*0.4,J17&lt;10)</formula>
    </cfRule>
  </conditionalFormatting>
  <conditionalFormatting sqref="J18">
    <cfRule type="expression" priority="673" dxfId="0">
      <formula>AND(COUNT(C18:J18)=8,J18=10)</formula>
    </cfRule>
    <cfRule type="expression" priority="674" dxfId="1">
      <formula>AND(COUNT(C18:J18)=8,J18&lt;10*0.4)</formula>
    </cfRule>
    <cfRule type="expression" priority="675" dxfId="2">
      <formula>AND(COUNT(C18:J18)=8,J18&gt;=10*0.4,J18&lt;10)</formula>
    </cfRule>
  </conditionalFormatting>
  <conditionalFormatting sqref="J19">
    <cfRule type="expression" priority="676" dxfId="0">
      <formula>AND(COUNT(C19:J19)=8,J19=10)</formula>
    </cfRule>
    <cfRule type="expression" priority="677" dxfId="1">
      <formula>AND(COUNT(C19:J19)=8,J19&lt;10*0.4)</formula>
    </cfRule>
    <cfRule type="expression" priority="678" dxfId="2">
      <formula>AND(COUNT(C19:J19)=8,J19&gt;=10*0.4,J19&lt;10)</formula>
    </cfRule>
  </conditionalFormatting>
  <conditionalFormatting sqref="J20">
    <cfRule type="expression" priority="679" dxfId="0">
      <formula>AND(COUNT(C20:J20)=8,J20=10)</formula>
    </cfRule>
    <cfRule type="expression" priority="680" dxfId="1">
      <formula>AND(COUNT(C20:J20)=8,J20&lt;10*0.4)</formula>
    </cfRule>
    <cfRule type="expression" priority="681" dxfId="2">
      <formula>AND(COUNT(C20:J20)=8,J20&gt;=10*0.4,J20&lt;10)</formula>
    </cfRule>
  </conditionalFormatting>
  <conditionalFormatting sqref="J21">
    <cfRule type="expression" priority="682" dxfId="0">
      <formula>AND(COUNT(C21:J21)=8,J21=10)</formula>
    </cfRule>
    <cfRule type="expression" priority="683" dxfId="1">
      <formula>AND(COUNT(C21:J21)=8,J21&lt;10*0.4)</formula>
    </cfRule>
    <cfRule type="expression" priority="684" dxfId="2">
      <formula>AND(COUNT(C21:J21)=8,J21&gt;=10*0.4,J21&lt;10)</formula>
    </cfRule>
  </conditionalFormatting>
  <conditionalFormatting sqref="J22">
    <cfRule type="expression" priority="685" dxfId="0">
      <formula>AND(COUNT(C22:J22)=8,J22=10)</formula>
    </cfRule>
    <cfRule type="expression" priority="686" dxfId="1">
      <formula>AND(COUNT(C22:J22)=8,J22&lt;10*0.4)</formula>
    </cfRule>
    <cfRule type="expression" priority="687" dxfId="2">
      <formula>AND(COUNT(C22:J22)=8,J22&gt;=10*0.4,J22&lt;10)</formula>
    </cfRule>
  </conditionalFormatting>
  <conditionalFormatting sqref="J23">
    <cfRule type="expression" priority="688" dxfId="0">
      <formula>AND(COUNT(C23:J23)=8,J23=10)</formula>
    </cfRule>
    <cfRule type="expression" priority="689" dxfId="1">
      <formula>AND(COUNT(C23:J23)=8,J23&lt;10*0.4)</formula>
    </cfRule>
    <cfRule type="expression" priority="690" dxfId="2">
      <formula>AND(COUNT(C23:J23)=8,J23&gt;=10*0.4,J23&lt;10)</formula>
    </cfRule>
  </conditionalFormatting>
  <conditionalFormatting sqref="J24">
    <cfRule type="expression" priority="691" dxfId="0">
      <formula>AND(COUNT(C24:J24)=8,J24=10)</formula>
    </cfRule>
    <cfRule type="expression" priority="692" dxfId="1">
      <formula>AND(COUNT(C24:J24)=8,J24&lt;10*0.4)</formula>
    </cfRule>
    <cfRule type="expression" priority="693" dxfId="2">
      <formula>AND(COUNT(C24:J24)=8,J24&gt;=10*0.4,J24&lt;10)</formula>
    </cfRule>
  </conditionalFormatting>
  <conditionalFormatting sqref="J25">
    <cfRule type="expression" priority="694" dxfId="0">
      <formula>AND(COUNT(C25:J25)=8,J25=10)</formula>
    </cfRule>
    <cfRule type="expression" priority="695" dxfId="1">
      <formula>AND(COUNT(C25:J25)=8,J25&lt;10*0.4)</formula>
    </cfRule>
    <cfRule type="expression" priority="696" dxfId="2">
      <formula>AND(COUNT(C25:J25)=8,J25&gt;=10*0.4,J25&lt;10)</formula>
    </cfRule>
  </conditionalFormatting>
  <conditionalFormatting sqref="J26">
    <cfRule type="expression" priority="697" dxfId="0">
      <formula>AND(COUNT(C26:J26)=8,J26=10)</formula>
    </cfRule>
    <cfRule type="expression" priority="698" dxfId="1">
      <formula>AND(COUNT(C26:J26)=8,J26&lt;10*0.4)</formula>
    </cfRule>
    <cfRule type="expression" priority="699" dxfId="2">
      <formula>AND(COUNT(C26:J26)=8,J26&gt;=10*0.4,J26&lt;10)</formula>
    </cfRule>
  </conditionalFormatting>
  <conditionalFormatting sqref="J27">
    <cfRule type="expression" priority="700" dxfId="0">
      <formula>AND(COUNT(C27:J27)=8,J27=10)</formula>
    </cfRule>
    <cfRule type="expression" priority="701" dxfId="1">
      <formula>AND(COUNT(C27:J27)=8,J27&lt;10*0.4)</formula>
    </cfRule>
    <cfRule type="expression" priority="702" dxfId="2">
      <formula>AND(COUNT(C27:J27)=8,J27&gt;=10*0.4,J27&lt;10)</formula>
    </cfRule>
  </conditionalFormatting>
  <conditionalFormatting sqref="J28">
    <cfRule type="expression" priority="703" dxfId="0">
      <formula>AND(COUNT(C28:J28)=8,J28=10)</formula>
    </cfRule>
    <cfRule type="expression" priority="704" dxfId="1">
      <formula>AND(COUNT(C28:J28)=8,J28&lt;10*0.4)</formula>
    </cfRule>
    <cfRule type="expression" priority="705" dxfId="2">
      <formula>AND(COUNT(C28:J28)=8,J28&gt;=10*0.4,J28&lt;10)</formula>
    </cfRule>
  </conditionalFormatting>
  <conditionalFormatting sqref="J29">
    <cfRule type="expression" priority="706" dxfId="0">
      <formula>AND(COUNT(C29:J29)=8,J29=10)</formula>
    </cfRule>
    <cfRule type="expression" priority="707" dxfId="1">
      <formula>AND(COUNT(C29:J29)=8,J29&lt;10*0.4)</formula>
    </cfRule>
    <cfRule type="expression" priority="708" dxfId="2">
      <formula>AND(COUNT(C29:J29)=8,J29&gt;=10*0.4,J29&lt;10)</formula>
    </cfRule>
  </conditionalFormatting>
  <conditionalFormatting sqref="J30">
    <cfRule type="expression" priority="709" dxfId="0">
      <formula>AND(COUNT(C30:J30)=8,J30=10)</formula>
    </cfRule>
    <cfRule type="expression" priority="710" dxfId="1">
      <formula>AND(COUNT(C30:J30)=8,J30&lt;10*0.4)</formula>
    </cfRule>
    <cfRule type="expression" priority="711" dxfId="2">
      <formula>AND(COUNT(C30:J30)=8,J30&gt;=10*0.4,J30&lt;10)</formula>
    </cfRule>
  </conditionalFormatting>
  <conditionalFormatting sqref="J31">
    <cfRule type="expression" priority="712" dxfId="0">
      <formula>AND(COUNT(C31:J31)=8,J31=10)</formula>
    </cfRule>
    <cfRule type="expression" priority="713" dxfId="1">
      <formula>AND(COUNT(C31:J31)=8,J31&lt;10*0.4)</formula>
    </cfRule>
    <cfRule type="expression" priority="714" dxfId="2">
      <formula>AND(COUNT(C31:J31)=8,J31&gt;=10*0.4,J31&lt;10)</formula>
    </cfRule>
  </conditionalFormatting>
  <conditionalFormatting sqref="J32">
    <cfRule type="expression" priority="715" dxfId="0">
      <formula>AND(COUNT(C32:J32)=8,J32=10)</formula>
    </cfRule>
    <cfRule type="expression" priority="716" dxfId="1">
      <formula>AND(COUNT(C32:J32)=8,J32&lt;10*0.4)</formula>
    </cfRule>
    <cfRule type="expression" priority="717" dxfId="2">
      <formula>AND(COUNT(C32:J32)=8,J32&gt;=10*0.4,J32&lt;10)</formula>
    </cfRule>
  </conditionalFormatting>
  <conditionalFormatting sqref="J33">
    <cfRule type="expression" priority="718" dxfId="0">
      <formula>AND(COUNT(C33:J33)=8,J33=10)</formula>
    </cfRule>
    <cfRule type="expression" priority="719" dxfId="1">
      <formula>AND(COUNT(C33:J33)=8,J33&lt;10*0.4)</formula>
    </cfRule>
    <cfRule type="expression" priority="720" dxfId="2">
      <formula>AND(COUNT(C33:J33)=8,J33&gt;=10*0.4,J33&lt;10)</formula>
    </cfRule>
  </conditionalFormatting>
  <conditionalFormatting sqref="J34">
    <cfRule type="expression" priority="721" dxfId="0">
      <formula>AND(COUNT(C34:J34)=8,J34=10)</formula>
    </cfRule>
    <cfRule type="expression" priority="722" dxfId="1">
      <formula>AND(COUNT(C34:J34)=8,J34&lt;10*0.4)</formula>
    </cfRule>
    <cfRule type="expression" priority="723" dxfId="2">
      <formula>AND(COUNT(C34:J34)=8,J34&gt;=10*0.4,J34&lt;10)</formula>
    </cfRule>
  </conditionalFormatting>
  <conditionalFormatting sqref="J35">
    <cfRule type="expression" priority="724" dxfId="0">
      <formula>AND(COUNT(C35:J35)=8,J35=10)</formula>
    </cfRule>
    <cfRule type="expression" priority="725" dxfId="1">
      <formula>AND(COUNT(C35:J35)=8,J35&lt;10*0.4)</formula>
    </cfRule>
    <cfRule type="expression" priority="726" dxfId="2">
      <formula>AND(COUNT(C35:J35)=8,J35&gt;=10*0.4,J35&lt;10)</formula>
    </cfRule>
  </conditionalFormatting>
  <conditionalFormatting sqref="J36">
    <cfRule type="expression" priority="727" dxfId="0">
      <formula>AND(COUNT(C36:J36)=8,J36=10)</formula>
    </cfRule>
    <cfRule type="expression" priority="728" dxfId="1">
      <formula>AND(COUNT(C36:J36)=8,J36&lt;10*0.4)</formula>
    </cfRule>
    <cfRule type="expression" priority="729" dxfId="2">
      <formula>AND(COUNT(C36:J36)=8,J36&gt;=10*0.4,J36&lt;10)</formula>
    </cfRule>
  </conditionalFormatting>
  <conditionalFormatting sqref="J37">
    <cfRule type="expression" priority="730" dxfId="0">
      <formula>AND(COUNT(C37:J37)=8,J37=10)</formula>
    </cfRule>
    <cfRule type="expression" priority="731" dxfId="1">
      <formula>AND(COUNT(C37:J37)=8,J37&lt;10*0.4)</formula>
    </cfRule>
    <cfRule type="expression" priority="732" dxfId="2">
      <formula>AND(COUNT(C37:J37)=8,J37&gt;=10*0.4,J37&lt;10)</formula>
    </cfRule>
  </conditionalFormatting>
  <conditionalFormatting sqref="J38">
    <cfRule type="expression" priority="733" dxfId="0">
      <formula>AND(COUNT(C38:J38)=8,J38=10)</formula>
    </cfRule>
    <cfRule type="expression" priority="734" dxfId="1">
      <formula>AND(COUNT(C38:J38)=8,J38&lt;10*0.4)</formula>
    </cfRule>
    <cfRule type="expression" priority="735" dxfId="2">
      <formula>AND(COUNT(C38:J38)=8,J38&gt;=10*0.4,J38&lt;10)</formula>
    </cfRule>
  </conditionalFormatting>
  <conditionalFormatting sqref="J39">
    <cfRule type="expression" priority="736" dxfId="0">
      <formula>AND(COUNT(C39:J39)=8,J39=10)</formula>
    </cfRule>
    <cfRule type="expression" priority="737" dxfId="1">
      <formula>AND(COUNT(C39:J39)=8,J39&lt;10*0.4)</formula>
    </cfRule>
    <cfRule type="expression" priority="738" dxfId="2">
      <formula>AND(COUNT(C39:J39)=8,J39&gt;=10*0.4,J39&lt;10)</formula>
    </cfRule>
  </conditionalFormatting>
  <conditionalFormatting sqref="J40">
    <cfRule type="expression" priority="739" dxfId="0">
      <formula>AND(COUNT(C40:J40)=8,J40=10)</formula>
    </cfRule>
    <cfRule type="expression" priority="740" dxfId="1">
      <formula>AND(COUNT(C40:J40)=8,J40&lt;10*0.4)</formula>
    </cfRule>
    <cfRule type="expression" priority="741" dxfId="2">
      <formula>AND(COUNT(C40:J40)=8,J40&gt;=10*0.4,J40&lt;10)</formula>
    </cfRule>
  </conditionalFormatting>
  <conditionalFormatting sqref="J41">
    <cfRule type="expression" priority="742" dxfId="0">
      <formula>AND(COUNT(C41:J41)=8,J41=10)</formula>
    </cfRule>
    <cfRule type="expression" priority="743" dxfId="1">
      <formula>AND(COUNT(C41:J41)=8,J41&lt;10*0.4)</formula>
    </cfRule>
    <cfRule type="expression" priority="744" dxfId="2">
      <formula>AND(COUNT(C41:J41)=8,J41&gt;=10*0.4,J41&lt;10)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45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Chapter 2 End of Topic Test — Personal finance</t>
        </is>
      </c>
    </row>
    <row r="2">
      <c r="A2" s="2" t="inlineStr">
        <is>
          <t>Every block below pulls live from 'Ch2 EOT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SUMPRODUCT(--ISNUMBER('Ch2 EOT Results'!M12:M41))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IF('Ch2 EOT Results'!M12="","","Chapter 2 End of Topic Test — Personal finance")</f>
        <v/>
      </c>
      <c r="K5">
        <f>IF('Ch2 EOT Results'!M13="","","Chapter 2 End of Topic Test — Personal finance")</f>
        <v/>
      </c>
    </row>
    <row r="6">
      <c r="A6">
        <f>IF('Ch2 EOT Results'!M12="","","Name: "&amp;'Ch2 EOT Results'!B12&amp;"   Class: "&amp;'Ch2 EOT Results'!$B$3&amp;"   Date: "&amp;TEXT('Ch2 EOT Results'!$B$5,"DD/MM/YY"))</f>
        <v/>
      </c>
      <c r="K6">
        <f>IF('Ch2 EOT Results'!M13="","","Name: "&amp;'Ch2 EOT Results'!B13&amp;"   Class: "&amp;'Ch2 EOT Results'!$B$3&amp;"   Date: "&amp;TEXT('Ch2 EOT Results'!$B$5,"DD/MM/YY"))</f>
        <v/>
      </c>
    </row>
    <row r="7">
      <c r="A7">
        <f>IF('Ch2 EOT Results'!M12="","","Total: "&amp;'Ch2 EOT Results'!K12&amp;"/71 ("&amp;TEXT('Ch2 EOT Results'!L12,"0%")&amp;")   Overall: "&amp;'Ch2 EOT Results'!M12)</f>
        <v/>
      </c>
      <c r="K7">
        <f>IF('Ch2 EOT Results'!M13="","","Total: "&amp;'Ch2 EOT Results'!K13&amp;"/71 ("&amp;TEXT('Ch2 EOT Results'!L13,"0%")&amp;")   Overall: "&amp;'Ch2 EOT Results'!M13)</f>
        <v/>
      </c>
    </row>
    <row r="8">
      <c r="A8">
        <f>IF('Ch2 EOT Results'!M12="","",IF('Ch2 EOT Results'!M12="Green",Parameters!$C$127,IF('Ch2 EOT Results'!M12="Yellow",Parameters!$C$126,Parameters!$C$125)))</f>
        <v/>
      </c>
      <c r="K8">
        <f>IF('Ch2 EOT Results'!M13="","",IF('Ch2 EOT Results'!M13="Green",Parameters!$C$127,IF('Ch2 EOT Results'!M13="Yellow",Parameters!$C$126,Parameters!$C$125)))</f>
        <v/>
      </c>
    </row>
    <row r="10">
      <c r="A10">
        <f>IF('Ch2 EOT Results'!M12="","","Breakdown:")</f>
        <v/>
      </c>
      <c r="K10">
        <f>IF('Ch2 EOT Results'!M13="","","Breakdown:")</f>
        <v/>
      </c>
    </row>
    <row r="11">
      <c r="A11">
        <f>IF('Ch2 EOT Results'!M12="","","Q1 Budgeting &amp; current accounts: "&amp;'Ch2 EOT Results'!C12&amp;"/8")</f>
        <v/>
      </c>
      <c r="K11">
        <f>IF('Ch2 EOT Results'!M13="","","Q1 Budgeting &amp; current accounts: "&amp;'Ch2 EOT Results'!C13&amp;"/8")</f>
        <v/>
      </c>
    </row>
    <row r="12">
      <c r="A12">
        <f>IF('Ch2 EOT Results'!M12="","","Q2 Income tax bands: "&amp;'Ch2 EOT Results'!D12&amp;"/9")</f>
        <v/>
      </c>
      <c r="K12">
        <f>IF('Ch2 EOT Results'!M13="","","Q2 Income tax bands: "&amp;'Ch2 EOT Results'!D13&amp;"/9")</f>
        <v/>
      </c>
    </row>
    <row r="13">
      <c r="A13">
        <f>IF('Ch2 EOT Results'!M12="","","Q3 Payslips &amp; deductions: "&amp;'Ch2 EOT Results'!E12&amp;"/8")</f>
        <v/>
      </c>
      <c r="K13">
        <f>IF('Ch2 EOT Results'!M13="","","Q3 Payslips &amp; deductions: "&amp;'Ch2 EOT Results'!E13&amp;"/8")</f>
        <v/>
      </c>
    </row>
    <row r="14">
      <c r="A14">
        <f>IF('Ch2 EOT Results'!M12="","","Q4 Loans &amp; APR: "&amp;'Ch2 EOT Results'!F12&amp;"/9")</f>
        <v/>
      </c>
      <c r="K14">
        <f>IF('Ch2 EOT Results'!M13="","","Q4 Loans &amp; APR: "&amp;'Ch2 EOT Results'!F13&amp;"/9")</f>
        <v/>
      </c>
    </row>
    <row r="15">
      <c r="A15">
        <f>IF('Ch2 EOT Results'!M12="","","Q5 Savings &amp; AER: "&amp;'Ch2 EOT Results'!G12&amp;"/10")</f>
        <v/>
      </c>
      <c r="K15">
        <f>IF('Ch2 EOT Results'!M13="","","Q5 Savings &amp; AER: "&amp;'Ch2 EOT Results'!G13&amp;"/10")</f>
        <v/>
      </c>
    </row>
    <row r="16">
      <c r="A16">
        <f>IF('Ch2 EOT Results'!M12="","","Q6 VAT &amp; multipliers: "&amp;'Ch2 EOT Results'!H12&amp;"/8")</f>
        <v/>
      </c>
      <c r="K16">
        <f>IF('Ch2 EOT Results'!M13="","","Q6 VAT &amp; multipliers: "&amp;'Ch2 EOT Results'!H13&amp;"/8")</f>
        <v/>
      </c>
    </row>
    <row r="17">
      <c r="A17">
        <f>IF('Ch2 EOT Results'!M12="","","Q7 Inflation &amp; real value: "&amp;'Ch2 EOT Results'!I12&amp;"/9")</f>
        <v/>
      </c>
      <c r="K17">
        <f>IF('Ch2 EOT Results'!M13="","","Q7 Inflation &amp; real value: "&amp;'Ch2 EOT Results'!I13&amp;"/9")</f>
        <v/>
      </c>
    </row>
    <row r="18">
      <c r="A18">
        <f>IF('Ch2 EOT Results'!M12="","","Q8 Mortgages &amp; recurrence: "&amp;'Ch2 EOT Results'!J12&amp;"/10")</f>
        <v/>
      </c>
      <c r="K18">
        <f>IF('Ch2 EOT Results'!M13="","","Q8 Mortgages &amp; recurrence: "&amp;'Ch2 EOT Results'!J13&amp;"/10")</f>
        <v/>
      </c>
    </row>
    <row r="19">
      <c r="A19">
        <f>IF(OR('Ch2 EOT Results'!M12="",'Ch2 EOT Results'!N12=""),"",'Ch2 EOT Results'!N12)</f>
        <v/>
      </c>
      <c r="K19">
        <f>IF(OR('Ch2 EOT Results'!M13="",'Ch2 EOT Results'!N13=""),"",'Ch2 EOT Results'!N13)</f>
        <v/>
      </c>
    </row>
    <row r="21">
      <c r="A21">
        <f>IF('Ch2 EOT Results'!M14="","","Chapter 2 End of Topic Test — Personal finance")</f>
        <v/>
      </c>
      <c r="K21">
        <f>IF('Ch2 EOT Results'!M15="","","Chapter 2 End of Topic Test — Personal finance")</f>
        <v/>
      </c>
    </row>
    <row r="22">
      <c r="A22">
        <f>IF('Ch2 EOT Results'!M14="","","Name: "&amp;'Ch2 EOT Results'!B14&amp;"   Class: "&amp;'Ch2 EOT Results'!$B$3&amp;"   Date: "&amp;TEXT('Ch2 EOT Results'!$B$5,"DD/MM/YY"))</f>
        <v/>
      </c>
      <c r="K22">
        <f>IF('Ch2 EOT Results'!M15="","","Name: "&amp;'Ch2 EOT Results'!B15&amp;"   Class: "&amp;'Ch2 EOT Results'!$B$3&amp;"   Date: "&amp;TEXT('Ch2 EOT Results'!$B$5,"DD/MM/YY"))</f>
        <v/>
      </c>
    </row>
    <row r="23">
      <c r="A23">
        <f>IF('Ch2 EOT Results'!M14="","","Total: "&amp;'Ch2 EOT Results'!K14&amp;"/71 ("&amp;TEXT('Ch2 EOT Results'!L14,"0%")&amp;")   Overall: "&amp;'Ch2 EOT Results'!M14)</f>
        <v/>
      </c>
      <c r="K23">
        <f>IF('Ch2 EOT Results'!M15="","","Total: "&amp;'Ch2 EOT Results'!K15&amp;"/71 ("&amp;TEXT('Ch2 EOT Results'!L15,"0%")&amp;")   Overall: "&amp;'Ch2 EOT Results'!M15)</f>
        <v/>
      </c>
    </row>
    <row r="24">
      <c r="A24">
        <f>IF('Ch2 EOT Results'!M14="","",IF('Ch2 EOT Results'!M14="Green",Parameters!$C$127,IF('Ch2 EOT Results'!M14="Yellow",Parameters!$C$126,Parameters!$C$125)))</f>
        <v/>
      </c>
      <c r="K24">
        <f>IF('Ch2 EOT Results'!M15="","",IF('Ch2 EOT Results'!M15="Green",Parameters!$C$127,IF('Ch2 EOT Results'!M15="Yellow",Parameters!$C$126,Parameters!$C$125)))</f>
        <v/>
      </c>
    </row>
    <row r="26">
      <c r="A26">
        <f>IF('Ch2 EOT Results'!M14="","","Breakdown:")</f>
        <v/>
      </c>
      <c r="K26">
        <f>IF('Ch2 EOT Results'!M15="","","Breakdown:")</f>
        <v/>
      </c>
    </row>
    <row r="27">
      <c r="A27">
        <f>IF('Ch2 EOT Results'!M14="","","Q1 Budgeting &amp; current accounts: "&amp;'Ch2 EOT Results'!C14&amp;"/8")</f>
        <v/>
      </c>
      <c r="K27">
        <f>IF('Ch2 EOT Results'!M15="","","Q1 Budgeting &amp; current accounts: "&amp;'Ch2 EOT Results'!C15&amp;"/8")</f>
        <v/>
      </c>
    </row>
    <row r="28">
      <c r="A28">
        <f>IF('Ch2 EOT Results'!M14="","","Q2 Income tax bands: "&amp;'Ch2 EOT Results'!D14&amp;"/9")</f>
        <v/>
      </c>
      <c r="K28">
        <f>IF('Ch2 EOT Results'!M15="","","Q2 Income tax bands: "&amp;'Ch2 EOT Results'!D15&amp;"/9")</f>
        <v/>
      </c>
    </row>
    <row r="29">
      <c r="A29">
        <f>IF('Ch2 EOT Results'!M14="","","Q3 Payslips &amp; deductions: "&amp;'Ch2 EOT Results'!E14&amp;"/8")</f>
        <v/>
      </c>
      <c r="K29">
        <f>IF('Ch2 EOT Results'!M15="","","Q3 Payslips &amp; deductions: "&amp;'Ch2 EOT Results'!E15&amp;"/8")</f>
        <v/>
      </c>
    </row>
    <row r="30">
      <c r="A30">
        <f>IF('Ch2 EOT Results'!M14="","","Q4 Loans &amp; APR: "&amp;'Ch2 EOT Results'!F14&amp;"/9")</f>
        <v/>
      </c>
      <c r="K30">
        <f>IF('Ch2 EOT Results'!M15="","","Q4 Loans &amp; APR: "&amp;'Ch2 EOT Results'!F15&amp;"/9")</f>
        <v/>
      </c>
    </row>
    <row r="31">
      <c r="A31">
        <f>IF('Ch2 EOT Results'!M14="","","Q5 Savings &amp; AER: "&amp;'Ch2 EOT Results'!G14&amp;"/10")</f>
        <v/>
      </c>
      <c r="K31">
        <f>IF('Ch2 EOT Results'!M15="","","Q5 Savings &amp; AER: "&amp;'Ch2 EOT Results'!G15&amp;"/10")</f>
        <v/>
      </c>
    </row>
    <row r="32">
      <c r="A32">
        <f>IF('Ch2 EOT Results'!M14="","","Q6 VAT &amp; multipliers: "&amp;'Ch2 EOT Results'!H14&amp;"/8")</f>
        <v/>
      </c>
      <c r="K32">
        <f>IF('Ch2 EOT Results'!M15="","","Q6 VAT &amp; multipliers: "&amp;'Ch2 EOT Results'!H15&amp;"/8")</f>
        <v/>
      </c>
    </row>
    <row r="33">
      <c r="A33">
        <f>IF('Ch2 EOT Results'!M14="","","Q7 Inflation &amp; real value: "&amp;'Ch2 EOT Results'!I14&amp;"/9")</f>
        <v/>
      </c>
      <c r="K33">
        <f>IF('Ch2 EOT Results'!M15="","","Q7 Inflation &amp; real value: "&amp;'Ch2 EOT Results'!I15&amp;"/9")</f>
        <v/>
      </c>
    </row>
    <row r="34">
      <c r="A34">
        <f>IF('Ch2 EOT Results'!M14="","","Q8 Mortgages &amp; recurrence: "&amp;'Ch2 EOT Results'!J14&amp;"/10")</f>
        <v/>
      </c>
      <c r="K34">
        <f>IF('Ch2 EOT Results'!M15="","","Q8 Mortgages &amp; recurrence: "&amp;'Ch2 EOT Results'!J15&amp;"/10")</f>
        <v/>
      </c>
    </row>
    <row r="35">
      <c r="A35">
        <f>IF(OR('Ch2 EOT Results'!M14="",'Ch2 EOT Results'!N14=""),"",'Ch2 EOT Results'!N14)</f>
        <v/>
      </c>
      <c r="K35">
        <f>IF(OR('Ch2 EOT Results'!M15="",'Ch2 EOT Results'!N15=""),"",'Ch2 EOT Results'!N15)</f>
        <v/>
      </c>
    </row>
    <row r="37">
      <c r="A37">
        <f>IF('Ch2 EOT Results'!M16="","","Chapter 2 End of Topic Test — Personal finance")</f>
        <v/>
      </c>
      <c r="K37">
        <f>IF('Ch2 EOT Results'!M17="","","Chapter 2 End of Topic Test — Personal finance")</f>
        <v/>
      </c>
    </row>
    <row r="38">
      <c r="A38">
        <f>IF('Ch2 EOT Results'!M16="","","Name: "&amp;'Ch2 EOT Results'!B16&amp;"   Class: "&amp;'Ch2 EOT Results'!$B$3&amp;"   Date: "&amp;TEXT('Ch2 EOT Results'!$B$5,"DD/MM/YY"))</f>
        <v/>
      </c>
      <c r="K38">
        <f>IF('Ch2 EOT Results'!M17="","","Name: "&amp;'Ch2 EOT Results'!B17&amp;"   Class: "&amp;'Ch2 EOT Results'!$B$3&amp;"   Date: "&amp;TEXT('Ch2 EOT Results'!$B$5,"DD/MM/YY"))</f>
        <v/>
      </c>
    </row>
    <row r="39">
      <c r="A39">
        <f>IF('Ch2 EOT Results'!M16="","","Total: "&amp;'Ch2 EOT Results'!K16&amp;"/71 ("&amp;TEXT('Ch2 EOT Results'!L16,"0%")&amp;")   Overall: "&amp;'Ch2 EOT Results'!M16)</f>
        <v/>
      </c>
      <c r="K39">
        <f>IF('Ch2 EOT Results'!M17="","","Total: "&amp;'Ch2 EOT Results'!K17&amp;"/71 ("&amp;TEXT('Ch2 EOT Results'!L17,"0%")&amp;")   Overall: "&amp;'Ch2 EOT Results'!M17)</f>
        <v/>
      </c>
    </row>
    <row r="40">
      <c r="A40">
        <f>IF('Ch2 EOT Results'!M16="","",IF('Ch2 EOT Results'!M16="Green",Parameters!$C$127,IF('Ch2 EOT Results'!M16="Yellow",Parameters!$C$126,Parameters!$C$125)))</f>
        <v/>
      </c>
      <c r="K40">
        <f>IF('Ch2 EOT Results'!M17="","",IF('Ch2 EOT Results'!M17="Green",Parameters!$C$127,IF('Ch2 EOT Results'!M17="Yellow",Parameters!$C$126,Parameters!$C$125)))</f>
        <v/>
      </c>
    </row>
    <row r="42">
      <c r="A42">
        <f>IF('Ch2 EOT Results'!M16="","","Breakdown:")</f>
        <v/>
      </c>
      <c r="K42">
        <f>IF('Ch2 EOT Results'!M17="","","Breakdown:")</f>
        <v/>
      </c>
    </row>
    <row r="43">
      <c r="A43">
        <f>IF('Ch2 EOT Results'!M16="","","Q1 Budgeting &amp; current accounts: "&amp;'Ch2 EOT Results'!C16&amp;"/8")</f>
        <v/>
      </c>
      <c r="K43">
        <f>IF('Ch2 EOT Results'!M17="","","Q1 Budgeting &amp; current accounts: "&amp;'Ch2 EOT Results'!C17&amp;"/8")</f>
        <v/>
      </c>
    </row>
    <row r="44">
      <c r="A44">
        <f>IF('Ch2 EOT Results'!M16="","","Q2 Income tax bands: "&amp;'Ch2 EOT Results'!D16&amp;"/9")</f>
        <v/>
      </c>
      <c r="K44">
        <f>IF('Ch2 EOT Results'!M17="","","Q2 Income tax bands: "&amp;'Ch2 EOT Results'!D17&amp;"/9")</f>
        <v/>
      </c>
    </row>
    <row r="45">
      <c r="A45">
        <f>IF('Ch2 EOT Results'!M16="","","Q3 Payslips &amp; deductions: "&amp;'Ch2 EOT Results'!E16&amp;"/8")</f>
        <v/>
      </c>
      <c r="K45">
        <f>IF('Ch2 EOT Results'!M17="","","Q3 Payslips &amp; deductions: "&amp;'Ch2 EOT Results'!E17&amp;"/8")</f>
        <v/>
      </c>
    </row>
    <row r="46">
      <c r="A46">
        <f>IF('Ch2 EOT Results'!M16="","","Q4 Loans &amp; APR: "&amp;'Ch2 EOT Results'!F16&amp;"/9")</f>
        <v/>
      </c>
      <c r="K46">
        <f>IF('Ch2 EOT Results'!M17="","","Q4 Loans &amp; APR: "&amp;'Ch2 EOT Results'!F17&amp;"/9")</f>
        <v/>
      </c>
    </row>
    <row r="47">
      <c r="A47">
        <f>IF('Ch2 EOT Results'!M16="","","Q5 Savings &amp; AER: "&amp;'Ch2 EOT Results'!G16&amp;"/10")</f>
        <v/>
      </c>
      <c r="K47">
        <f>IF('Ch2 EOT Results'!M17="","","Q5 Savings &amp; AER: "&amp;'Ch2 EOT Results'!G17&amp;"/10")</f>
        <v/>
      </c>
    </row>
    <row r="48">
      <c r="A48">
        <f>IF('Ch2 EOT Results'!M16="","","Q6 VAT &amp; multipliers: "&amp;'Ch2 EOT Results'!H16&amp;"/8")</f>
        <v/>
      </c>
      <c r="K48">
        <f>IF('Ch2 EOT Results'!M17="","","Q6 VAT &amp; multipliers: "&amp;'Ch2 EOT Results'!H17&amp;"/8")</f>
        <v/>
      </c>
    </row>
    <row r="49">
      <c r="A49">
        <f>IF('Ch2 EOT Results'!M16="","","Q7 Inflation &amp; real value: "&amp;'Ch2 EOT Results'!I16&amp;"/9")</f>
        <v/>
      </c>
      <c r="K49">
        <f>IF('Ch2 EOT Results'!M17="","","Q7 Inflation &amp; real value: "&amp;'Ch2 EOT Results'!I17&amp;"/9")</f>
        <v/>
      </c>
    </row>
    <row r="50">
      <c r="A50">
        <f>IF('Ch2 EOT Results'!M16="","","Q8 Mortgages &amp; recurrence: "&amp;'Ch2 EOT Results'!J16&amp;"/10")</f>
        <v/>
      </c>
      <c r="K50">
        <f>IF('Ch2 EOT Results'!M17="","","Q8 Mortgages &amp; recurrence: "&amp;'Ch2 EOT Results'!J17&amp;"/10")</f>
        <v/>
      </c>
    </row>
    <row r="51">
      <c r="A51">
        <f>IF(OR('Ch2 EOT Results'!M16="",'Ch2 EOT Results'!N16=""),"",'Ch2 EOT Results'!N16)</f>
        <v/>
      </c>
      <c r="K51">
        <f>IF(OR('Ch2 EOT Results'!M17="",'Ch2 EOT Results'!N17=""),"",'Ch2 EOT Results'!N17)</f>
        <v/>
      </c>
    </row>
    <row r="53">
      <c r="A53">
        <f>IF('Ch2 EOT Results'!M18="","","Chapter 2 End of Topic Test — Personal finance")</f>
        <v/>
      </c>
      <c r="K53">
        <f>IF('Ch2 EOT Results'!M19="","","Chapter 2 End of Topic Test — Personal finance")</f>
        <v/>
      </c>
    </row>
    <row r="54">
      <c r="A54">
        <f>IF('Ch2 EOT Results'!M18="","","Name: "&amp;'Ch2 EOT Results'!B18&amp;"   Class: "&amp;'Ch2 EOT Results'!$B$3&amp;"   Date: "&amp;TEXT('Ch2 EOT Results'!$B$5,"DD/MM/YY"))</f>
        <v/>
      </c>
      <c r="K54">
        <f>IF('Ch2 EOT Results'!M19="","","Name: "&amp;'Ch2 EOT Results'!B19&amp;"   Class: "&amp;'Ch2 EOT Results'!$B$3&amp;"   Date: "&amp;TEXT('Ch2 EOT Results'!$B$5,"DD/MM/YY"))</f>
        <v/>
      </c>
    </row>
    <row r="55">
      <c r="A55">
        <f>IF('Ch2 EOT Results'!M18="","","Total: "&amp;'Ch2 EOT Results'!K18&amp;"/71 ("&amp;TEXT('Ch2 EOT Results'!L18,"0%")&amp;")   Overall: "&amp;'Ch2 EOT Results'!M18)</f>
        <v/>
      </c>
      <c r="K55">
        <f>IF('Ch2 EOT Results'!M19="","","Total: "&amp;'Ch2 EOT Results'!K19&amp;"/71 ("&amp;TEXT('Ch2 EOT Results'!L19,"0%")&amp;")   Overall: "&amp;'Ch2 EOT Results'!M19)</f>
        <v/>
      </c>
    </row>
    <row r="56">
      <c r="A56">
        <f>IF('Ch2 EOT Results'!M18="","",IF('Ch2 EOT Results'!M18="Green",Parameters!$C$127,IF('Ch2 EOT Results'!M18="Yellow",Parameters!$C$126,Parameters!$C$125)))</f>
        <v/>
      </c>
      <c r="K56">
        <f>IF('Ch2 EOT Results'!M19="","",IF('Ch2 EOT Results'!M19="Green",Parameters!$C$127,IF('Ch2 EOT Results'!M19="Yellow",Parameters!$C$126,Parameters!$C$125)))</f>
        <v/>
      </c>
    </row>
    <row r="58">
      <c r="A58">
        <f>IF('Ch2 EOT Results'!M18="","","Breakdown:")</f>
        <v/>
      </c>
      <c r="K58">
        <f>IF('Ch2 EOT Results'!M19="","","Breakdown:")</f>
        <v/>
      </c>
    </row>
    <row r="59">
      <c r="A59">
        <f>IF('Ch2 EOT Results'!M18="","","Q1 Budgeting &amp; current accounts: "&amp;'Ch2 EOT Results'!C18&amp;"/8")</f>
        <v/>
      </c>
      <c r="K59">
        <f>IF('Ch2 EOT Results'!M19="","","Q1 Budgeting &amp; current accounts: "&amp;'Ch2 EOT Results'!C19&amp;"/8")</f>
        <v/>
      </c>
    </row>
    <row r="60">
      <c r="A60">
        <f>IF('Ch2 EOT Results'!M18="","","Q2 Income tax bands: "&amp;'Ch2 EOT Results'!D18&amp;"/9")</f>
        <v/>
      </c>
      <c r="K60">
        <f>IF('Ch2 EOT Results'!M19="","","Q2 Income tax bands: "&amp;'Ch2 EOT Results'!D19&amp;"/9")</f>
        <v/>
      </c>
    </row>
    <row r="61">
      <c r="A61">
        <f>IF('Ch2 EOT Results'!M18="","","Q3 Payslips &amp; deductions: "&amp;'Ch2 EOT Results'!E18&amp;"/8")</f>
        <v/>
      </c>
      <c r="K61">
        <f>IF('Ch2 EOT Results'!M19="","","Q3 Payslips &amp; deductions: "&amp;'Ch2 EOT Results'!E19&amp;"/8")</f>
        <v/>
      </c>
    </row>
    <row r="62">
      <c r="A62">
        <f>IF('Ch2 EOT Results'!M18="","","Q4 Loans &amp; APR: "&amp;'Ch2 EOT Results'!F18&amp;"/9")</f>
        <v/>
      </c>
      <c r="K62">
        <f>IF('Ch2 EOT Results'!M19="","","Q4 Loans &amp; APR: "&amp;'Ch2 EOT Results'!F19&amp;"/9")</f>
        <v/>
      </c>
    </row>
    <row r="63">
      <c r="A63">
        <f>IF('Ch2 EOT Results'!M18="","","Q5 Savings &amp; AER: "&amp;'Ch2 EOT Results'!G18&amp;"/10")</f>
        <v/>
      </c>
      <c r="K63">
        <f>IF('Ch2 EOT Results'!M19="","","Q5 Savings &amp; AER: "&amp;'Ch2 EOT Results'!G19&amp;"/10")</f>
        <v/>
      </c>
    </row>
    <row r="64">
      <c r="A64">
        <f>IF('Ch2 EOT Results'!M18="","","Q6 VAT &amp; multipliers: "&amp;'Ch2 EOT Results'!H18&amp;"/8")</f>
        <v/>
      </c>
      <c r="K64">
        <f>IF('Ch2 EOT Results'!M19="","","Q6 VAT &amp; multipliers: "&amp;'Ch2 EOT Results'!H19&amp;"/8")</f>
        <v/>
      </c>
    </row>
    <row r="65">
      <c r="A65">
        <f>IF('Ch2 EOT Results'!M18="","","Q7 Inflation &amp; real value: "&amp;'Ch2 EOT Results'!I18&amp;"/9")</f>
        <v/>
      </c>
      <c r="K65">
        <f>IF('Ch2 EOT Results'!M19="","","Q7 Inflation &amp; real value: "&amp;'Ch2 EOT Results'!I19&amp;"/9")</f>
        <v/>
      </c>
    </row>
    <row r="66">
      <c r="A66">
        <f>IF('Ch2 EOT Results'!M18="","","Q8 Mortgages &amp; recurrence: "&amp;'Ch2 EOT Results'!J18&amp;"/10")</f>
        <v/>
      </c>
      <c r="K66">
        <f>IF('Ch2 EOT Results'!M19="","","Q8 Mortgages &amp; recurrence: "&amp;'Ch2 EOT Results'!J19&amp;"/10")</f>
        <v/>
      </c>
    </row>
    <row r="67">
      <c r="A67">
        <f>IF(OR('Ch2 EOT Results'!M18="",'Ch2 EOT Results'!N18=""),"",'Ch2 EOT Results'!N18)</f>
        <v/>
      </c>
      <c r="K67">
        <f>IF(OR('Ch2 EOT Results'!M19="",'Ch2 EOT Results'!N19=""),"",'Ch2 EOT Results'!N19)</f>
        <v/>
      </c>
    </row>
    <row r="69">
      <c r="A69">
        <f>IF('Ch2 EOT Results'!M20="","","Chapter 2 End of Topic Test — Personal finance")</f>
        <v/>
      </c>
      <c r="K69">
        <f>IF('Ch2 EOT Results'!M21="","","Chapter 2 End of Topic Test — Personal finance")</f>
        <v/>
      </c>
    </row>
    <row r="70">
      <c r="A70">
        <f>IF('Ch2 EOT Results'!M20="","","Name: "&amp;'Ch2 EOT Results'!B20&amp;"   Class: "&amp;'Ch2 EOT Results'!$B$3&amp;"   Date: "&amp;TEXT('Ch2 EOT Results'!$B$5,"DD/MM/YY"))</f>
        <v/>
      </c>
      <c r="K70">
        <f>IF('Ch2 EOT Results'!M21="","","Name: "&amp;'Ch2 EOT Results'!B21&amp;"   Class: "&amp;'Ch2 EOT Results'!$B$3&amp;"   Date: "&amp;TEXT('Ch2 EOT Results'!$B$5,"DD/MM/YY"))</f>
        <v/>
      </c>
    </row>
    <row r="71">
      <c r="A71">
        <f>IF('Ch2 EOT Results'!M20="","","Total: "&amp;'Ch2 EOT Results'!K20&amp;"/71 ("&amp;TEXT('Ch2 EOT Results'!L20,"0%")&amp;")   Overall: "&amp;'Ch2 EOT Results'!M20)</f>
        <v/>
      </c>
      <c r="K71">
        <f>IF('Ch2 EOT Results'!M21="","","Total: "&amp;'Ch2 EOT Results'!K21&amp;"/71 ("&amp;TEXT('Ch2 EOT Results'!L21,"0%")&amp;")   Overall: "&amp;'Ch2 EOT Results'!M21)</f>
        <v/>
      </c>
    </row>
    <row r="72">
      <c r="A72">
        <f>IF('Ch2 EOT Results'!M20="","",IF('Ch2 EOT Results'!M20="Green",Parameters!$C$127,IF('Ch2 EOT Results'!M20="Yellow",Parameters!$C$126,Parameters!$C$125)))</f>
        <v/>
      </c>
      <c r="K72">
        <f>IF('Ch2 EOT Results'!M21="","",IF('Ch2 EOT Results'!M21="Green",Parameters!$C$127,IF('Ch2 EOT Results'!M21="Yellow",Parameters!$C$126,Parameters!$C$125)))</f>
        <v/>
      </c>
    </row>
    <row r="74">
      <c r="A74">
        <f>IF('Ch2 EOT Results'!M20="","","Breakdown:")</f>
        <v/>
      </c>
      <c r="K74">
        <f>IF('Ch2 EOT Results'!M21="","","Breakdown:")</f>
        <v/>
      </c>
    </row>
    <row r="75">
      <c r="A75">
        <f>IF('Ch2 EOT Results'!M20="","","Q1 Budgeting &amp; current accounts: "&amp;'Ch2 EOT Results'!C20&amp;"/8")</f>
        <v/>
      </c>
      <c r="K75">
        <f>IF('Ch2 EOT Results'!M21="","","Q1 Budgeting &amp; current accounts: "&amp;'Ch2 EOT Results'!C21&amp;"/8")</f>
        <v/>
      </c>
    </row>
    <row r="76">
      <c r="A76">
        <f>IF('Ch2 EOT Results'!M20="","","Q2 Income tax bands: "&amp;'Ch2 EOT Results'!D20&amp;"/9")</f>
        <v/>
      </c>
      <c r="K76">
        <f>IF('Ch2 EOT Results'!M21="","","Q2 Income tax bands: "&amp;'Ch2 EOT Results'!D21&amp;"/9")</f>
        <v/>
      </c>
    </row>
    <row r="77">
      <c r="A77">
        <f>IF('Ch2 EOT Results'!M20="","","Q3 Payslips &amp; deductions: "&amp;'Ch2 EOT Results'!E20&amp;"/8")</f>
        <v/>
      </c>
      <c r="K77">
        <f>IF('Ch2 EOT Results'!M21="","","Q3 Payslips &amp; deductions: "&amp;'Ch2 EOT Results'!E21&amp;"/8")</f>
        <v/>
      </c>
    </row>
    <row r="78">
      <c r="A78">
        <f>IF('Ch2 EOT Results'!M20="","","Q4 Loans &amp; APR: "&amp;'Ch2 EOT Results'!F20&amp;"/9")</f>
        <v/>
      </c>
      <c r="K78">
        <f>IF('Ch2 EOT Results'!M21="","","Q4 Loans &amp; APR: "&amp;'Ch2 EOT Results'!F21&amp;"/9")</f>
        <v/>
      </c>
    </row>
    <row r="79">
      <c r="A79">
        <f>IF('Ch2 EOT Results'!M20="","","Q5 Savings &amp; AER: "&amp;'Ch2 EOT Results'!G20&amp;"/10")</f>
        <v/>
      </c>
      <c r="K79">
        <f>IF('Ch2 EOT Results'!M21="","","Q5 Savings &amp; AER: "&amp;'Ch2 EOT Results'!G21&amp;"/10")</f>
        <v/>
      </c>
    </row>
    <row r="80">
      <c r="A80">
        <f>IF('Ch2 EOT Results'!M20="","","Q6 VAT &amp; multipliers: "&amp;'Ch2 EOT Results'!H20&amp;"/8")</f>
        <v/>
      </c>
      <c r="K80">
        <f>IF('Ch2 EOT Results'!M21="","","Q6 VAT &amp; multipliers: "&amp;'Ch2 EOT Results'!H21&amp;"/8")</f>
        <v/>
      </c>
    </row>
    <row r="81">
      <c r="A81">
        <f>IF('Ch2 EOT Results'!M20="","","Q7 Inflation &amp; real value: "&amp;'Ch2 EOT Results'!I20&amp;"/9")</f>
        <v/>
      </c>
      <c r="K81">
        <f>IF('Ch2 EOT Results'!M21="","","Q7 Inflation &amp; real value: "&amp;'Ch2 EOT Results'!I21&amp;"/9")</f>
        <v/>
      </c>
    </row>
    <row r="82">
      <c r="A82">
        <f>IF('Ch2 EOT Results'!M20="","","Q8 Mortgages &amp; recurrence: "&amp;'Ch2 EOT Results'!J20&amp;"/10")</f>
        <v/>
      </c>
      <c r="K82">
        <f>IF('Ch2 EOT Results'!M21="","","Q8 Mortgages &amp; recurrence: "&amp;'Ch2 EOT Results'!J21&amp;"/10")</f>
        <v/>
      </c>
    </row>
    <row r="83">
      <c r="A83">
        <f>IF(OR('Ch2 EOT Results'!M20="",'Ch2 EOT Results'!N20=""),"",'Ch2 EOT Results'!N20)</f>
        <v/>
      </c>
      <c r="K83">
        <f>IF(OR('Ch2 EOT Results'!M21="",'Ch2 EOT Results'!N21=""),"",'Ch2 EOT Results'!N21)</f>
        <v/>
      </c>
    </row>
    <row r="85">
      <c r="A85">
        <f>IF('Ch2 EOT Results'!M22="","","Chapter 2 End of Topic Test — Personal finance")</f>
        <v/>
      </c>
      <c r="K85">
        <f>IF('Ch2 EOT Results'!M23="","","Chapter 2 End of Topic Test — Personal finance")</f>
        <v/>
      </c>
    </row>
    <row r="86">
      <c r="A86">
        <f>IF('Ch2 EOT Results'!M22="","","Name: "&amp;'Ch2 EOT Results'!B22&amp;"   Class: "&amp;'Ch2 EOT Results'!$B$3&amp;"   Date: "&amp;TEXT('Ch2 EOT Results'!$B$5,"DD/MM/YY"))</f>
        <v/>
      </c>
      <c r="K86">
        <f>IF('Ch2 EOT Results'!M23="","","Name: "&amp;'Ch2 EOT Results'!B23&amp;"   Class: "&amp;'Ch2 EOT Results'!$B$3&amp;"   Date: "&amp;TEXT('Ch2 EOT Results'!$B$5,"DD/MM/YY"))</f>
        <v/>
      </c>
    </row>
    <row r="87">
      <c r="A87">
        <f>IF('Ch2 EOT Results'!M22="","","Total: "&amp;'Ch2 EOT Results'!K22&amp;"/71 ("&amp;TEXT('Ch2 EOT Results'!L22,"0%")&amp;")   Overall: "&amp;'Ch2 EOT Results'!M22)</f>
        <v/>
      </c>
      <c r="K87">
        <f>IF('Ch2 EOT Results'!M23="","","Total: "&amp;'Ch2 EOT Results'!K23&amp;"/71 ("&amp;TEXT('Ch2 EOT Results'!L23,"0%")&amp;")   Overall: "&amp;'Ch2 EOT Results'!M23)</f>
        <v/>
      </c>
    </row>
    <row r="88">
      <c r="A88">
        <f>IF('Ch2 EOT Results'!M22="","",IF('Ch2 EOT Results'!M22="Green",Parameters!$C$127,IF('Ch2 EOT Results'!M22="Yellow",Parameters!$C$126,Parameters!$C$125)))</f>
        <v/>
      </c>
      <c r="K88">
        <f>IF('Ch2 EOT Results'!M23="","",IF('Ch2 EOT Results'!M23="Green",Parameters!$C$127,IF('Ch2 EOT Results'!M23="Yellow",Parameters!$C$126,Parameters!$C$125)))</f>
        <v/>
      </c>
    </row>
    <row r="90">
      <c r="A90">
        <f>IF('Ch2 EOT Results'!M22="","","Breakdown:")</f>
        <v/>
      </c>
      <c r="K90">
        <f>IF('Ch2 EOT Results'!M23="","","Breakdown:")</f>
        <v/>
      </c>
    </row>
    <row r="91">
      <c r="A91">
        <f>IF('Ch2 EOT Results'!M22="","","Q1 Budgeting &amp; current accounts: "&amp;'Ch2 EOT Results'!C22&amp;"/8")</f>
        <v/>
      </c>
      <c r="K91">
        <f>IF('Ch2 EOT Results'!M23="","","Q1 Budgeting &amp; current accounts: "&amp;'Ch2 EOT Results'!C23&amp;"/8")</f>
        <v/>
      </c>
    </row>
    <row r="92">
      <c r="A92">
        <f>IF('Ch2 EOT Results'!M22="","","Q2 Income tax bands: "&amp;'Ch2 EOT Results'!D22&amp;"/9")</f>
        <v/>
      </c>
      <c r="K92">
        <f>IF('Ch2 EOT Results'!M23="","","Q2 Income tax bands: "&amp;'Ch2 EOT Results'!D23&amp;"/9")</f>
        <v/>
      </c>
    </row>
    <row r="93">
      <c r="A93">
        <f>IF('Ch2 EOT Results'!M22="","","Q3 Payslips &amp; deductions: "&amp;'Ch2 EOT Results'!E22&amp;"/8")</f>
        <v/>
      </c>
      <c r="K93">
        <f>IF('Ch2 EOT Results'!M23="","","Q3 Payslips &amp; deductions: "&amp;'Ch2 EOT Results'!E23&amp;"/8")</f>
        <v/>
      </c>
    </row>
    <row r="94">
      <c r="A94">
        <f>IF('Ch2 EOT Results'!M22="","","Q4 Loans &amp; APR: "&amp;'Ch2 EOT Results'!F22&amp;"/9")</f>
        <v/>
      </c>
      <c r="K94">
        <f>IF('Ch2 EOT Results'!M23="","","Q4 Loans &amp; APR: "&amp;'Ch2 EOT Results'!F23&amp;"/9")</f>
        <v/>
      </c>
    </row>
    <row r="95">
      <c r="A95">
        <f>IF('Ch2 EOT Results'!M22="","","Q5 Savings &amp; AER: "&amp;'Ch2 EOT Results'!G22&amp;"/10")</f>
        <v/>
      </c>
      <c r="K95">
        <f>IF('Ch2 EOT Results'!M23="","","Q5 Savings &amp; AER: "&amp;'Ch2 EOT Results'!G23&amp;"/10")</f>
        <v/>
      </c>
    </row>
    <row r="96">
      <c r="A96">
        <f>IF('Ch2 EOT Results'!M22="","","Q6 VAT &amp; multipliers: "&amp;'Ch2 EOT Results'!H22&amp;"/8")</f>
        <v/>
      </c>
      <c r="K96">
        <f>IF('Ch2 EOT Results'!M23="","","Q6 VAT &amp; multipliers: "&amp;'Ch2 EOT Results'!H23&amp;"/8")</f>
        <v/>
      </c>
    </row>
    <row r="97">
      <c r="A97">
        <f>IF('Ch2 EOT Results'!M22="","","Q7 Inflation &amp; real value: "&amp;'Ch2 EOT Results'!I22&amp;"/9")</f>
        <v/>
      </c>
      <c r="K97">
        <f>IF('Ch2 EOT Results'!M23="","","Q7 Inflation &amp; real value: "&amp;'Ch2 EOT Results'!I23&amp;"/9")</f>
        <v/>
      </c>
    </row>
    <row r="98">
      <c r="A98">
        <f>IF('Ch2 EOT Results'!M22="","","Q8 Mortgages &amp; recurrence: "&amp;'Ch2 EOT Results'!J22&amp;"/10")</f>
        <v/>
      </c>
      <c r="K98">
        <f>IF('Ch2 EOT Results'!M23="","","Q8 Mortgages &amp; recurrence: "&amp;'Ch2 EOT Results'!J23&amp;"/10")</f>
        <v/>
      </c>
    </row>
    <row r="99">
      <c r="A99">
        <f>IF(OR('Ch2 EOT Results'!M22="",'Ch2 EOT Results'!N22=""),"",'Ch2 EOT Results'!N22)</f>
        <v/>
      </c>
      <c r="K99">
        <f>IF(OR('Ch2 EOT Results'!M23="",'Ch2 EOT Results'!N23=""),"",'Ch2 EOT Results'!N23)</f>
        <v/>
      </c>
    </row>
    <row r="101">
      <c r="A101">
        <f>IF('Ch2 EOT Results'!M24="","","Chapter 2 End of Topic Test — Personal finance")</f>
        <v/>
      </c>
      <c r="K101">
        <f>IF('Ch2 EOT Results'!M25="","","Chapter 2 End of Topic Test — Personal finance")</f>
        <v/>
      </c>
    </row>
    <row r="102">
      <c r="A102">
        <f>IF('Ch2 EOT Results'!M24="","","Name: "&amp;'Ch2 EOT Results'!B24&amp;"   Class: "&amp;'Ch2 EOT Results'!$B$3&amp;"   Date: "&amp;TEXT('Ch2 EOT Results'!$B$5,"DD/MM/YY"))</f>
        <v/>
      </c>
      <c r="K102">
        <f>IF('Ch2 EOT Results'!M25="","","Name: "&amp;'Ch2 EOT Results'!B25&amp;"   Class: "&amp;'Ch2 EOT Results'!$B$3&amp;"   Date: "&amp;TEXT('Ch2 EOT Results'!$B$5,"DD/MM/YY"))</f>
        <v/>
      </c>
    </row>
    <row r="103">
      <c r="A103">
        <f>IF('Ch2 EOT Results'!M24="","","Total: "&amp;'Ch2 EOT Results'!K24&amp;"/71 ("&amp;TEXT('Ch2 EOT Results'!L24,"0%")&amp;")   Overall: "&amp;'Ch2 EOT Results'!M24)</f>
        <v/>
      </c>
      <c r="K103">
        <f>IF('Ch2 EOT Results'!M25="","","Total: "&amp;'Ch2 EOT Results'!K25&amp;"/71 ("&amp;TEXT('Ch2 EOT Results'!L25,"0%")&amp;")   Overall: "&amp;'Ch2 EOT Results'!M25)</f>
        <v/>
      </c>
    </row>
    <row r="104">
      <c r="A104">
        <f>IF('Ch2 EOT Results'!M24="","",IF('Ch2 EOT Results'!M24="Green",Parameters!$C$127,IF('Ch2 EOT Results'!M24="Yellow",Parameters!$C$126,Parameters!$C$125)))</f>
        <v/>
      </c>
      <c r="K104">
        <f>IF('Ch2 EOT Results'!M25="","",IF('Ch2 EOT Results'!M25="Green",Parameters!$C$127,IF('Ch2 EOT Results'!M25="Yellow",Parameters!$C$126,Parameters!$C$125)))</f>
        <v/>
      </c>
    </row>
    <row r="106">
      <c r="A106">
        <f>IF('Ch2 EOT Results'!M24="","","Breakdown:")</f>
        <v/>
      </c>
      <c r="K106">
        <f>IF('Ch2 EOT Results'!M25="","","Breakdown:")</f>
        <v/>
      </c>
    </row>
    <row r="107">
      <c r="A107">
        <f>IF('Ch2 EOT Results'!M24="","","Q1 Budgeting &amp; current accounts: "&amp;'Ch2 EOT Results'!C24&amp;"/8")</f>
        <v/>
      </c>
      <c r="K107">
        <f>IF('Ch2 EOT Results'!M25="","","Q1 Budgeting &amp; current accounts: "&amp;'Ch2 EOT Results'!C25&amp;"/8")</f>
        <v/>
      </c>
    </row>
    <row r="108">
      <c r="A108">
        <f>IF('Ch2 EOT Results'!M24="","","Q2 Income tax bands: "&amp;'Ch2 EOT Results'!D24&amp;"/9")</f>
        <v/>
      </c>
      <c r="K108">
        <f>IF('Ch2 EOT Results'!M25="","","Q2 Income tax bands: "&amp;'Ch2 EOT Results'!D25&amp;"/9")</f>
        <v/>
      </c>
    </row>
    <row r="109">
      <c r="A109">
        <f>IF('Ch2 EOT Results'!M24="","","Q3 Payslips &amp; deductions: "&amp;'Ch2 EOT Results'!E24&amp;"/8")</f>
        <v/>
      </c>
      <c r="K109">
        <f>IF('Ch2 EOT Results'!M25="","","Q3 Payslips &amp; deductions: "&amp;'Ch2 EOT Results'!E25&amp;"/8")</f>
        <v/>
      </c>
    </row>
    <row r="110">
      <c r="A110">
        <f>IF('Ch2 EOT Results'!M24="","","Q4 Loans &amp; APR: "&amp;'Ch2 EOT Results'!F24&amp;"/9")</f>
        <v/>
      </c>
      <c r="K110">
        <f>IF('Ch2 EOT Results'!M25="","","Q4 Loans &amp; APR: "&amp;'Ch2 EOT Results'!F25&amp;"/9")</f>
        <v/>
      </c>
    </row>
    <row r="111">
      <c r="A111">
        <f>IF('Ch2 EOT Results'!M24="","","Q5 Savings &amp; AER: "&amp;'Ch2 EOT Results'!G24&amp;"/10")</f>
        <v/>
      </c>
      <c r="K111">
        <f>IF('Ch2 EOT Results'!M25="","","Q5 Savings &amp; AER: "&amp;'Ch2 EOT Results'!G25&amp;"/10")</f>
        <v/>
      </c>
    </row>
    <row r="112">
      <c r="A112">
        <f>IF('Ch2 EOT Results'!M24="","","Q6 VAT &amp; multipliers: "&amp;'Ch2 EOT Results'!H24&amp;"/8")</f>
        <v/>
      </c>
      <c r="K112">
        <f>IF('Ch2 EOT Results'!M25="","","Q6 VAT &amp; multipliers: "&amp;'Ch2 EOT Results'!H25&amp;"/8")</f>
        <v/>
      </c>
    </row>
    <row r="113">
      <c r="A113">
        <f>IF('Ch2 EOT Results'!M24="","","Q7 Inflation &amp; real value: "&amp;'Ch2 EOT Results'!I24&amp;"/9")</f>
        <v/>
      </c>
      <c r="K113">
        <f>IF('Ch2 EOT Results'!M25="","","Q7 Inflation &amp; real value: "&amp;'Ch2 EOT Results'!I25&amp;"/9")</f>
        <v/>
      </c>
    </row>
    <row r="114">
      <c r="A114">
        <f>IF('Ch2 EOT Results'!M24="","","Q8 Mortgages &amp; recurrence: "&amp;'Ch2 EOT Results'!J24&amp;"/10")</f>
        <v/>
      </c>
      <c r="K114">
        <f>IF('Ch2 EOT Results'!M25="","","Q8 Mortgages &amp; recurrence: "&amp;'Ch2 EOT Results'!J25&amp;"/10")</f>
        <v/>
      </c>
    </row>
    <row r="115">
      <c r="A115">
        <f>IF(OR('Ch2 EOT Results'!M24="",'Ch2 EOT Results'!N24=""),"",'Ch2 EOT Results'!N24)</f>
        <v/>
      </c>
      <c r="K115">
        <f>IF(OR('Ch2 EOT Results'!M25="",'Ch2 EOT Results'!N25=""),"",'Ch2 EOT Results'!N25)</f>
        <v/>
      </c>
    </row>
    <row r="117">
      <c r="A117">
        <f>IF('Ch2 EOT Results'!M26="","","Chapter 2 End of Topic Test — Personal finance")</f>
        <v/>
      </c>
      <c r="K117">
        <f>IF('Ch2 EOT Results'!M27="","","Chapter 2 End of Topic Test — Personal finance")</f>
        <v/>
      </c>
    </row>
    <row r="118">
      <c r="A118">
        <f>IF('Ch2 EOT Results'!M26="","","Name: "&amp;'Ch2 EOT Results'!B26&amp;"   Class: "&amp;'Ch2 EOT Results'!$B$3&amp;"   Date: "&amp;TEXT('Ch2 EOT Results'!$B$5,"DD/MM/YY"))</f>
        <v/>
      </c>
      <c r="K118">
        <f>IF('Ch2 EOT Results'!M27="","","Name: "&amp;'Ch2 EOT Results'!B27&amp;"   Class: "&amp;'Ch2 EOT Results'!$B$3&amp;"   Date: "&amp;TEXT('Ch2 EOT Results'!$B$5,"DD/MM/YY"))</f>
        <v/>
      </c>
    </row>
    <row r="119">
      <c r="A119">
        <f>IF('Ch2 EOT Results'!M26="","","Total: "&amp;'Ch2 EOT Results'!K26&amp;"/71 ("&amp;TEXT('Ch2 EOT Results'!L26,"0%")&amp;")   Overall: "&amp;'Ch2 EOT Results'!M26)</f>
        <v/>
      </c>
      <c r="K119">
        <f>IF('Ch2 EOT Results'!M27="","","Total: "&amp;'Ch2 EOT Results'!K27&amp;"/71 ("&amp;TEXT('Ch2 EOT Results'!L27,"0%")&amp;")   Overall: "&amp;'Ch2 EOT Results'!M27)</f>
        <v/>
      </c>
    </row>
    <row r="120">
      <c r="A120">
        <f>IF('Ch2 EOT Results'!M26="","",IF('Ch2 EOT Results'!M26="Green",Parameters!$C$127,IF('Ch2 EOT Results'!M26="Yellow",Parameters!$C$126,Parameters!$C$125)))</f>
        <v/>
      </c>
      <c r="K120">
        <f>IF('Ch2 EOT Results'!M27="","",IF('Ch2 EOT Results'!M27="Green",Parameters!$C$127,IF('Ch2 EOT Results'!M27="Yellow",Parameters!$C$126,Parameters!$C$125)))</f>
        <v/>
      </c>
    </row>
    <row r="122">
      <c r="A122">
        <f>IF('Ch2 EOT Results'!M26="","","Breakdown:")</f>
        <v/>
      </c>
      <c r="K122">
        <f>IF('Ch2 EOT Results'!M27="","","Breakdown:")</f>
        <v/>
      </c>
    </row>
    <row r="123">
      <c r="A123">
        <f>IF('Ch2 EOT Results'!M26="","","Q1 Budgeting &amp; current accounts: "&amp;'Ch2 EOT Results'!C26&amp;"/8")</f>
        <v/>
      </c>
      <c r="K123">
        <f>IF('Ch2 EOT Results'!M27="","","Q1 Budgeting &amp; current accounts: "&amp;'Ch2 EOT Results'!C27&amp;"/8")</f>
        <v/>
      </c>
    </row>
    <row r="124">
      <c r="A124">
        <f>IF('Ch2 EOT Results'!M26="","","Q2 Income tax bands: "&amp;'Ch2 EOT Results'!D26&amp;"/9")</f>
        <v/>
      </c>
      <c r="K124">
        <f>IF('Ch2 EOT Results'!M27="","","Q2 Income tax bands: "&amp;'Ch2 EOT Results'!D27&amp;"/9")</f>
        <v/>
      </c>
    </row>
    <row r="125">
      <c r="A125">
        <f>IF('Ch2 EOT Results'!M26="","","Q3 Payslips &amp; deductions: "&amp;'Ch2 EOT Results'!E26&amp;"/8")</f>
        <v/>
      </c>
      <c r="K125">
        <f>IF('Ch2 EOT Results'!M27="","","Q3 Payslips &amp; deductions: "&amp;'Ch2 EOT Results'!E27&amp;"/8")</f>
        <v/>
      </c>
    </row>
    <row r="126">
      <c r="A126">
        <f>IF('Ch2 EOT Results'!M26="","","Q4 Loans &amp; APR: "&amp;'Ch2 EOT Results'!F26&amp;"/9")</f>
        <v/>
      </c>
      <c r="K126">
        <f>IF('Ch2 EOT Results'!M27="","","Q4 Loans &amp; APR: "&amp;'Ch2 EOT Results'!F27&amp;"/9")</f>
        <v/>
      </c>
    </row>
    <row r="127">
      <c r="A127">
        <f>IF('Ch2 EOT Results'!M26="","","Q5 Savings &amp; AER: "&amp;'Ch2 EOT Results'!G26&amp;"/10")</f>
        <v/>
      </c>
      <c r="K127">
        <f>IF('Ch2 EOT Results'!M27="","","Q5 Savings &amp; AER: "&amp;'Ch2 EOT Results'!G27&amp;"/10")</f>
        <v/>
      </c>
    </row>
    <row r="128">
      <c r="A128">
        <f>IF('Ch2 EOT Results'!M26="","","Q6 VAT &amp; multipliers: "&amp;'Ch2 EOT Results'!H26&amp;"/8")</f>
        <v/>
      </c>
      <c r="K128">
        <f>IF('Ch2 EOT Results'!M27="","","Q6 VAT &amp; multipliers: "&amp;'Ch2 EOT Results'!H27&amp;"/8")</f>
        <v/>
      </c>
    </row>
    <row r="129">
      <c r="A129">
        <f>IF('Ch2 EOT Results'!M26="","","Q7 Inflation &amp; real value: "&amp;'Ch2 EOT Results'!I26&amp;"/9")</f>
        <v/>
      </c>
      <c r="K129">
        <f>IF('Ch2 EOT Results'!M27="","","Q7 Inflation &amp; real value: "&amp;'Ch2 EOT Results'!I27&amp;"/9")</f>
        <v/>
      </c>
    </row>
    <row r="130">
      <c r="A130">
        <f>IF('Ch2 EOT Results'!M26="","","Q8 Mortgages &amp; recurrence: "&amp;'Ch2 EOT Results'!J26&amp;"/10")</f>
        <v/>
      </c>
      <c r="K130">
        <f>IF('Ch2 EOT Results'!M27="","","Q8 Mortgages &amp; recurrence: "&amp;'Ch2 EOT Results'!J27&amp;"/10")</f>
        <v/>
      </c>
    </row>
    <row r="131">
      <c r="A131">
        <f>IF(OR('Ch2 EOT Results'!M26="",'Ch2 EOT Results'!N26=""),"",'Ch2 EOT Results'!N26)</f>
        <v/>
      </c>
      <c r="K131">
        <f>IF(OR('Ch2 EOT Results'!M27="",'Ch2 EOT Results'!N27=""),"",'Ch2 EOT Results'!N27)</f>
        <v/>
      </c>
    </row>
    <row r="133">
      <c r="A133">
        <f>IF('Ch2 EOT Results'!M28="","","Chapter 2 End of Topic Test — Personal finance")</f>
        <v/>
      </c>
      <c r="K133">
        <f>IF('Ch2 EOT Results'!M29="","","Chapter 2 End of Topic Test — Personal finance")</f>
        <v/>
      </c>
    </row>
    <row r="134">
      <c r="A134">
        <f>IF('Ch2 EOT Results'!M28="","","Name: "&amp;'Ch2 EOT Results'!B28&amp;"   Class: "&amp;'Ch2 EOT Results'!$B$3&amp;"   Date: "&amp;TEXT('Ch2 EOT Results'!$B$5,"DD/MM/YY"))</f>
        <v/>
      </c>
      <c r="K134">
        <f>IF('Ch2 EOT Results'!M29="","","Name: "&amp;'Ch2 EOT Results'!B29&amp;"   Class: "&amp;'Ch2 EOT Results'!$B$3&amp;"   Date: "&amp;TEXT('Ch2 EOT Results'!$B$5,"DD/MM/YY"))</f>
        <v/>
      </c>
    </row>
    <row r="135">
      <c r="A135">
        <f>IF('Ch2 EOT Results'!M28="","","Total: "&amp;'Ch2 EOT Results'!K28&amp;"/71 ("&amp;TEXT('Ch2 EOT Results'!L28,"0%")&amp;")   Overall: "&amp;'Ch2 EOT Results'!M28)</f>
        <v/>
      </c>
      <c r="K135">
        <f>IF('Ch2 EOT Results'!M29="","","Total: "&amp;'Ch2 EOT Results'!K29&amp;"/71 ("&amp;TEXT('Ch2 EOT Results'!L29,"0%")&amp;")   Overall: "&amp;'Ch2 EOT Results'!M29)</f>
        <v/>
      </c>
    </row>
    <row r="136">
      <c r="A136">
        <f>IF('Ch2 EOT Results'!M28="","",IF('Ch2 EOT Results'!M28="Green",Parameters!$C$127,IF('Ch2 EOT Results'!M28="Yellow",Parameters!$C$126,Parameters!$C$125)))</f>
        <v/>
      </c>
      <c r="K136">
        <f>IF('Ch2 EOT Results'!M29="","",IF('Ch2 EOT Results'!M29="Green",Parameters!$C$127,IF('Ch2 EOT Results'!M29="Yellow",Parameters!$C$126,Parameters!$C$125)))</f>
        <v/>
      </c>
    </row>
    <row r="138">
      <c r="A138">
        <f>IF('Ch2 EOT Results'!M28="","","Breakdown:")</f>
        <v/>
      </c>
      <c r="K138">
        <f>IF('Ch2 EOT Results'!M29="","","Breakdown:")</f>
        <v/>
      </c>
    </row>
    <row r="139">
      <c r="A139">
        <f>IF('Ch2 EOT Results'!M28="","","Q1 Budgeting &amp; current accounts: "&amp;'Ch2 EOT Results'!C28&amp;"/8")</f>
        <v/>
      </c>
      <c r="K139">
        <f>IF('Ch2 EOT Results'!M29="","","Q1 Budgeting &amp; current accounts: "&amp;'Ch2 EOT Results'!C29&amp;"/8")</f>
        <v/>
      </c>
    </row>
    <row r="140">
      <c r="A140">
        <f>IF('Ch2 EOT Results'!M28="","","Q2 Income tax bands: "&amp;'Ch2 EOT Results'!D28&amp;"/9")</f>
        <v/>
      </c>
      <c r="K140">
        <f>IF('Ch2 EOT Results'!M29="","","Q2 Income tax bands: "&amp;'Ch2 EOT Results'!D29&amp;"/9")</f>
        <v/>
      </c>
    </row>
    <row r="141">
      <c r="A141">
        <f>IF('Ch2 EOT Results'!M28="","","Q3 Payslips &amp; deductions: "&amp;'Ch2 EOT Results'!E28&amp;"/8")</f>
        <v/>
      </c>
      <c r="K141">
        <f>IF('Ch2 EOT Results'!M29="","","Q3 Payslips &amp; deductions: "&amp;'Ch2 EOT Results'!E29&amp;"/8")</f>
        <v/>
      </c>
    </row>
    <row r="142">
      <c r="A142">
        <f>IF('Ch2 EOT Results'!M28="","","Q4 Loans &amp; APR: "&amp;'Ch2 EOT Results'!F28&amp;"/9")</f>
        <v/>
      </c>
      <c r="K142">
        <f>IF('Ch2 EOT Results'!M29="","","Q4 Loans &amp; APR: "&amp;'Ch2 EOT Results'!F29&amp;"/9")</f>
        <v/>
      </c>
    </row>
    <row r="143">
      <c r="A143">
        <f>IF('Ch2 EOT Results'!M28="","","Q5 Savings &amp; AER: "&amp;'Ch2 EOT Results'!G28&amp;"/10")</f>
        <v/>
      </c>
      <c r="K143">
        <f>IF('Ch2 EOT Results'!M29="","","Q5 Savings &amp; AER: "&amp;'Ch2 EOT Results'!G29&amp;"/10")</f>
        <v/>
      </c>
    </row>
    <row r="144">
      <c r="A144">
        <f>IF('Ch2 EOT Results'!M28="","","Q6 VAT &amp; multipliers: "&amp;'Ch2 EOT Results'!H28&amp;"/8")</f>
        <v/>
      </c>
      <c r="K144">
        <f>IF('Ch2 EOT Results'!M29="","","Q6 VAT &amp; multipliers: "&amp;'Ch2 EOT Results'!H29&amp;"/8")</f>
        <v/>
      </c>
    </row>
    <row r="145">
      <c r="A145">
        <f>IF('Ch2 EOT Results'!M28="","","Q7 Inflation &amp; real value: "&amp;'Ch2 EOT Results'!I28&amp;"/9")</f>
        <v/>
      </c>
      <c r="K145">
        <f>IF('Ch2 EOT Results'!M29="","","Q7 Inflation &amp; real value: "&amp;'Ch2 EOT Results'!I29&amp;"/9")</f>
        <v/>
      </c>
    </row>
    <row r="146">
      <c r="A146">
        <f>IF('Ch2 EOT Results'!M28="","","Q8 Mortgages &amp; recurrence: "&amp;'Ch2 EOT Results'!J28&amp;"/10")</f>
        <v/>
      </c>
      <c r="K146">
        <f>IF('Ch2 EOT Results'!M29="","","Q8 Mortgages &amp; recurrence: "&amp;'Ch2 EOT Results'!J29&amp;"/10")</f>
        <v/>
      </c>
    </row>
    <row r="147">
      <c r="A147">
        <f>IF(OR('Ch2 EOT Results'!M28="",'Ch2 EOT Results'!N28=""),"",'Ch2 EOT Results'!N28)</f>
        <v/>
      </c>
      <c r="K147">
        <f>IF(OR('Ch2 EOT Results'!M29="",'Ch2 EOT Results'!N29=""),"",'Ch2 EOT Results'!N29)</f>
        <v/>
      </c>
    </row>
    <row r="149">
      <c r="A149">
        <f>IF('Ch2 EOT Results'!M30="","","Chapter 2 End of Topic Test — Personal finance")</f>
        <v/>
      </c>
      <c r="K149">
        <f>IF('Ch2 EOT Results'!M31="","","Chapter 2 End of Topic Test — Personal finance")</f>
        <v/>
      </c>
    </row>
    <row r="150">
      <c r="A150">
        <f>IF('Ch2 EOT Results'!M30="","","Name: "&amp;'Ch2 EOT Results'!B30&amp;"   Class: "&amp;'Ch2 EOT Results'!$B$3&amp;"   Date: "&amp;TEXT('Ch2 EOT Results'!$B$5,"DD/MM/YY"))</f>
        <v/>
      </c>
      <c r="K150">
        <f>IF('Ch2 EOT Results'!M31="","","Name: "&amp;'Ch2 EOT Results'!B31&amp;"   Class: "&amp;'Ch2 EOT Results'!$B$3&amp;"   Date: "&amp;TEXT('Ch2 EOT Results'!$B$5,"DD/MM/YY"))</f>
        <v/>
      </c>
    </row>
    <row r="151">
      <c r="A151">
        <f>IF('Ch2 EOT Results'!M30="","","Total: "&amp;'Ch2 EOT Results'!K30&amp;"/71 ("&amp;TEXT('Ch2 EOT Results'!L30,"0%")&amp;")   Overall: "&amp;'Ch2 EOT Results'!M30)</f>
        <v/>
      </c>
      <c r="K151">
        <f>IF('Ch2 EOT Results'!M31="","","Total: "&amp;'Ch2 EOT Results'!K31&amp;"/71 ("&amp;TEXT('Ch2 EOT Results'!L31,"0%")&amp;")   Overall: "&amp;'Ch2 EOT Results'!M31)</f>
        <v/>
      </c>
    </row>
    <row r="152">
      <c r="A152">
        <f>IF('Ch2 EOT Results'!M30="","",IF('Ch2 EOT Results'!M30="Green",Parameters!$C$127,IF('Ch2 EOT Results'!M30="Yellow",Parameters!$C$126,Parameters!$C$125)))</f>
        <v/>
      </c>
      <c r="K152">
        <f>IF('Ch2 EOT Results'!M31="","",IF('Ch2 EOT Results'!M31="Green",Parameters!$C$127,IF('Ch2 EOT Results'!M31="Yellow",Parameters!$C$126,Parameters!$C$125)))</f>
        <v/>
      </c>
    </row>
    <row r="154">
      <c r="A154">
        <f>IF('Ch2 EOT Results'!M30="","","Breakdown:")</f>
        <v/>
      </c>
      <c r="K154">
        <f>IF('Ch2 EOT Results'!M31="","","Breakdown:")</f>
        <v/>
      </c>
    </row>
    <row r="155">
      <c r="A155">
        <f>IF('Ch2 EOT Results'!M30="","","Q1 Budgeting &amp; current accounts: "&amp;'Ch2 EOT Results'!C30&amp;"/8")</f>
        <v/>
      </c>
      <c r="K155">
        <f>IF('Ch2 EOT Results'!M31="","","Q1 Budgeting &amp; current accounts: "&amp;'Ch2 EOT Results'!C31&amp;"/8")</f>
        <v/>
      </c>
    </row>
    <row r="156">
      <c r="A156">
        <f>IF('Ch2 EOT Results'!M30="","","Q2 Income tax bands: "&amp;'Ch2 EOT Results'!D30&amp;"/9")</f>
        <v/>
      </c>
      <c r="K156">
        <f>IF('Ch2 EOT Results'!M31="","","Q2 Income tax bands: "&amp;'Ch2 EOT Results'!D31&amp;"/9")</f>
        <v/>
      </c>
    </row>
    <row r="157">
      <c r="A157">
        <f>IF('Ch2 EOT Results'!M30="","","Q3 Payslips &amp; deductions: "&amp;'Ch2 EOT Results'!E30&amp;"/8")</f>
        <v/>
      </c>
      <c r="K157">
        <f>IF('Ch2 EOT Results'!M31="","","Q3 Payslips &amp; deductions: "&amp;'Ch2 EOT Results'!E31&amp;"/8")</f>
        <v/>
      </c>
    </row>
    <row r="158">
      <c r="A158">
        <f>IF('Ch2 EOT Results'!M30="","","Q4 Loans &amp; APR: "&amp;'Ch2 EOT Results'!F30&amp;"/9")</f>
        <v/>
      </c>
      <c r="K158">
        <f>IF('Ch2 EOT Results'!M31="","","Q4 Loans &amp; APR: "&amp;'Ch2 EOT Results'!F31&amp;"/9")</f>
        <v/>
      </c>
    </row>
    <row r="159">
      <c r="A159">
        <f>IF('Ch2 EOT Results'!M30="","","Q5 Savings &amp; AER: "&amp;'Ch2 EOT Results'!G30&amp;"/10")</f>
        <v/>
      </c>
      <c r="K159">
        <f>IF('Ch2 EOT Results'!M31="","","Q5 Savings &amp; AER: "&amp;'Ch2 EOT Results'!G31&amp;"/10")</f>
        <v/>
      </c>
    </row>
    <row r="160">
      <c r="A160">
        <f>IF('Ch2 EOT Results'!M30="","","Q6 VAT &amp; multipliers: "&amp;'Ch2 EOT Results'!H30&amp;"/8")</f>
        <v/>
      </c>
      <c r="K160">
        <f>IF('Ch2 EOT Results'!M31="","","Q6 VAT &amp; multipliers: "&amp;'Ch2 EOT Results'!H31&amp;"/8")</f>
        <v/>
      </c>
    </row>
    <row r="161">
      <c r="A161">
        <f>IF('Ch2 EOT Results'!M30="","","Q7 Inflation &amp; real value: "&amp;'Ch2 EOT Results'!I30&amp;"/9")</f>
        <v/>
      </c>
      <c r="K161">
        <f>IF('Ch2 EOT Results'!M31="","","Q7 Inflation &amp; real value: "&amp;'Ch2 EOT Results'!I31&amp;"/9")</f>
        <v/>
      </c>
    </row>
    <row r="162">
      <c r="A162">
        <f>IF('Ch2 EOT Results'!M30="","","Q8 Mortgages &amp; recurrence: "&amp;'Ch2 EOT Results'!J30&amp;"/10")</f>
        <v/>
      </c>
      <c r="K162">
        <f>IF('Ch2 EOT Results'!M31="","","Q8 Mortgages &amp; recurrence: "&amp;'Ch2 EOT Results'!J31&amp;"/10")</f>
        <v/>
      </c>
    </row>
    <row r="163">
      <c r="A163">
        <f>IF(OR('Ch2 EOT Results'!M30="",'Ch2 EOT Results'!N30=""),"",'Ch2 EOT Results'!N30)</f>
        <v/>
      </c>
      <c r="K163">
        <f>IF(OR('Ch2 EOT Results'!M31="",'Ch2 EOT Results'!N31=""),"",'Ch2 EOT Results'!N31)</f>
        <v/>
      </c>
    </row>
    <row r="165">
      <c r="A165">
        <f>IF('Ch2 EOT Results'!M32="","","Chapter 2 End of Topic Test — Personal finance")</f>
        <v/>
      </c>
      <c r="K165">
        <f>IF('Ch2 EOT Results'!M33="","","Chapter 2 End of Topic Test — Personal finance")</f>
        <v/>
      </c>
    </row>
    <row r="166">
      <c r="A166">
        <f>IF('Ch2 EOT Results'!M32="","","Name: "&amp;'Ch2 EOT Results'!B32&amp;"   Class: "&amp;'Ch2 EOT Results'!$B$3&amp;"   Date: "&amp;TEXT('Ch2 EOT Results'!$B$5,"DD/MM/YY"))</f>
        <v/>
      </c>
      <c r="K166">
        <f>IF('Ch2 EOT Results'!M33="","","Name: "&amp;'Ch2 EOT Results'!B33&amp;"   Class: "&amp;'Ch2 EOT Results'!$B$3&amp;"   Date: "&amp;TEXT('Ch2 EOT Results'!$B$5,"DD/MM/YY"))</f>
        <v/>
      </c>
    </row>
    <row r="167">
      <c r="A167">
        <f>IF('Ch2 EOT Results'!M32="","","Total: "&amp;'Ch2 EOT Results'!K32&amp;"/71 ("&amp;TEXT('Ch2 EOT Results'!L32,"0%")&amp;")   Overall: "&amp;'Ch2 EOT Results'!M32)</f>
        <v/>
      </c>
      <c r="K167">
        <f>IF('Ch2 EOT Results'!M33="","","Total: "&amp;'Ch2 EOT Results'!K33&amp;"/71 ("&amp;TEXT('Ch2 EOT Results'!L33,"0%")&amp;")   Overall: "&amp;'Ch2 EOT Results'!M33)</f>
        <v/>
      </c>
    </row>
    <row r="168">
      <c r="A168">
        <f>IF('Ch2 EOT Results'!M32="","",IF('Ch2 EOT Results'!M32="Green",Parameters!$C$127,IF('Ch2 EOT Results'!M32="Yellow",Parameters!$C$126,Parameters!$C$125)))</f>
        <v/>
      </c>
      <c r="K168">
        <f>IF('Ch2 EOT Results'!M33="","",IF('Ch2 EOT Results'!M33="Green",Parameters!$C$127,IF('Ch2 EOT Results'!M33="Yellow",Parameters!$C$126,Parameters!$C$125)))</f>
        <v/>
      </c>
    </row>
    <row r="170">
      <c r="A170">
        <f>IF('Ch2 EOT Results'!M32="","","Breakdown:")</f>
        <v/>
      </c>
      <c r="K170">
        <f>IF('Ch2 EOT Results'!M33="","","Breakdown:")</f>
        <v/>
      </c>
    </row>
    <row r="171">
      <c r="A171">
        <f>IF('Ch2 EOT Results'!M32="","","Q1 Budgeting &amp; current accounts: "&amp;'Ch2 EOT Results'!C32&amp;"/8")</f>
        <v/>
      </c>
      <c r="K171">
        <f>IF('Ch2 EOT Results'!M33="","","Q1 Budgeting &amp; current accounts: "&amp;'Ch2 EOT Results'!C33&amp;"/8")</f>
        <v/>
      </c>
    </row>
    <row r="172">
      <c r="A172">
        <f>IF('Ch2 EOT Results'!M32="","","Q2 Income tax bands: "&amp;'Ch2 EOT Results'!D32&amp;"/9")</f>
        <v/>
      </c>
      <c r="K172">
        <f>IF('Ch2 EOT Results'!M33="","","Q2 Income tax bands: "&amp;'Ch2 EOT Results'!D33&amp;"/9")</f>
        <v/>
      </c>
    </row>
    <row r="173">
      <c r="A173">
        <f>IF('Ch2 EOT Results'!M32="","","Q3 Payslips &amp; deductions: "&amp;'Ch2 EOT Results'!E32&amp;"/8")</f>
        <v/>
      </c>
      <c r="K173">
        <f>IF('Ch2 EOT Results'!M33="","","Q3 Payslips &amp; deductions: "&amp;'Ch2 EOT Results'!E33&amp;"/8")</f>
        <v/>
      </c>
    </row>
    <row r="174">
      <c r="A174">
        <f>IF('Ch2 EOT Results'!M32="","","Q4 Loans &amp; APR: "&amp;'Ch2 EOT Results'!F32&amp;"/9")</f>
        <v/>
      </c>
      <c r="K174">
        <f>IF('Ch2 EOT Results'!M33="","","Q4 Loans &amp; APR: "&amp;'Ch2 EOT Results'!F33&amp;"/9")</f>
        <v/>
      </c>
    </row>
    <row r="175">
      <c r="A175">
        <f>IF('Ch2 EOT Results'!M32="","","Q5 Savings &amp; AER: "&amp;'Ch2 EOT Results'!G32&amp;"/10")</f>
        <v/>
      </c>
      <c r="K175">
        <f>IF('Ch2 EOT Results'!M33="","","Q5 Savings &amp; AER: "&amp;'Ch2 EOT Results'!G33&amp;"/10")</f>
        <v/>
      </c>
    </row>
    <row r="176">
      <c r="A176">
        <f>IF('Ch2 EOT Results'!M32="","","Q6 VAT &amp; multipliers: "&amp;'Ch2 EOT Results'!H32&amp;"/8")</f>
        <v/>
      </c>
      <c r="K176">
        <f>IF('Ch2 EOT Results'!M33="","","Q6 VAT &amp; multipliers: "&amp;'Ch2 EOT Results'!H33&amp;"/8")</f>
        <v/>
      </c>
    </row>
    <row r="177">
      <c r="A177">
        <f>IF('Ch2 EOT Results'!M32="","","Q7 Inflation &amp; real value: "&amp;'Ch2 EOT Results'!I32&amp;"/9")</f>
        <v/>
      </c>
      <c r="K177">
        <f>IF('Ch2 EOT Results'!M33="","","Q7 Inflation &amp; real value: "&amp;'Ch2 EOT Results'!I33&amp;"/9")</f>
        <v/>
      </c>
    </row>
    <row r="178">
      <c r="A178">
        <f>IF('Ch2 EOT Results'!M32="","","Q8 Mortgages &amp; recurrence: "&amp;'Ch2 EOT Results'!J32&amp;"/10")</f>
        <v/>
      </c>
      <c r="K178">
        <f>IF('Ch2 EOT Results'!M33="","","Q8 Mortgages &amp; recurrence: "&amp;'Ch2 EOT Results'!J33&amp;"/10")</f>
        <v/>
      </c>
    </row>
    <row r="179">
      <c r="A179">
        <f>IF(OR('Ch2 EOT Results'!M32="",'Ch2 EOT Results'!N32=""),"",'Ch2 EOT Results'!N32)</f>
        <v/>
      </c>
      <c r="K179">
        <f>IF(OR('Ch2 EOT Results'!M33="",'Ch2 EOT Results'!N33=""),"",'Ch2 EOT Results'!N33)</f>
        <v/>
      </c>
    </row>
    <row r="181">
      <c r="A181">
        <f>IF('Ch2 EOT Results'!M34="","","Chapter 2 End of Topic Test — Personal finance")</f>
        <v/>
      </c>
      <c r="K181">
        <f>IF('Ch2 EOT Results'!M35="","","Chapter 2 End of Topic Test — Personal finance")</f>
        <v/>
      </c>
    </row>
    <row r="182">
      <c r="A182">
        <f>IF('Ch2 EOT Results'!M34="","","Name: "&amp;'Ch2 EOT Results'!B34&amp;"   Class: "&amp;'Ch2 EOT Results'!$B$3&amp;"   Date: "&amp;TEXT('Ch2 EOT Results'!$B$5,"DD/MM/YY"))</f>
        <v/>
      </c>
      <c r="K182">
        <f>IF('Ch2 EOT Results'!M35="","","Name: "&amp;'Ch2 EOT Results'!B35&amp;"   Class: "&amp;'Ch2 EOT Results'!$B$3&amp;"   Date: "&amp;TEXT('Ch2 EOT Results'!$B$5,"DD/MM/YY"))</f>
        <v/>
      </c>
    </row>
    <row r="183">
      <c r="A183">
        <f>IF('Ch2 EOT Results'!M34="","","Total: "&amp;'Ch2 EOT Results'!K34&amp;"/71 ("&amp;TEXT('Ch2 EOT Results'!L34,"0%")&amp;")   Overall: "&amp;'Ch2 EOT Results'!M34)</f>
        <v/>
      </c>
      <c r="K183">
        <f>IF('Ch2 EOT Results'!M35="","","Total: "&amp;'Ch2 EOT Results'!K35&amp;"/71 ("&amp;TEXT('Ch2 EOT Results'!L35,"0%")&amp;")   Overall: "&amp;'Ch2 EOT Results'!M35)</f>
        <v/>
      </c>
    </row>
    <row r="184">
      <c r="A184">
        <f>IF('Ch2 EOT Results'!M34="","",IF('Ch2 EOT Results'!M34="Green",Parameters!$C$127,IF('Ch2 EOT Results'!M34="Yellow",Parameters!$C$126,Parameters!$C$125)))</f>
        <v/>
      </c>
      <c r="K184">
        <f>IF('Ch2 EOT Results'!M35="","",IF('Ch2 EOT Results'!M35="Green",Parameters!$C$127,IF('Ch2 EOT Results'!M35="Yellow",Parameters!$C$126,Parameters!$C$125)))</f>
        <v/>
      </c>
    </row>
    <row r="186">
      <c r="A186">
        <f>IF('Ch2 EOT Results'!M34="","","Breakdown:")</f>
        <v/>
      </c>
      <c r="K186">
        <f>IF('Ch2 EOT Results'!M35="","","Breakdown:")</f>
        <v/>
      </c>
    </row>
    <row r="187">
      <c r="A187">
        <f>IF('Ch2 EOT Results'!M34="","","Q1 Budgeting &amp; current accounts: "&amp;'Ch2 EOT Results'!C34&amp;"/8")</f>
        <v/>
      </c>
      <c r="K187">
        <f>IF('Ch2 EOT Results'!M35="","","Q1 Budgeting &amp; current accounts: "&amp;'Ch2 EOT Results'!C35&amp;"/8")</f>
        <v/>
      </c>
    </row>
    <row r="188">
      <c r="A188">
        <f>IF('Ch2 EOT Results'!M34="","","Q2 Income tax bands: "&amp;'Ch2 EOT Results'!D34&amp;"/9")</f>
        <v/>
      </c>
      <c r="K188">
        <f>IF('Ch2 EOT Results'!M35="","","Q2 Income tax bands: "&amp;'Ch2 EOT Results'!D35&amp;"/9")</f>
        <v/>
      </c>
    </row>
    <row r="189">
      <c r="A189">
        <f>IF('Ch2 EOT Results'!M34="","","Q3 Payslips &amp; deductions: "&amp;'Ch2 EOT Results'!E34&amp;"/8")</f>
        <v/>
      </c>
      <c r="K189">
        <f>IF('Ch2 EOT Results'!M35="","","Q3 Payslips &amp; deductions: "&amp;'Ch2 EOT Results'!E35&amp;"/8")</f>
        <v/>
      </c>
    </row>
    <row r="190">
      <c r="A190">
        <f>IF('Ch2 EOT Results'!M34="","","Q4 Loans &amp; APR: "&amp;'Ch2 EOT Results'!F34&amp;"/9")</f>
        <v/>
      </c>
      <c r="K190">
        <f>IF('Ch2 EOT Results'!M35="","","Q4 Loans &amp; APR: "&amp;'Ch2 EOT Results'!F35&amp;"/9")</f>
        <v/>
      </c>
    </row>
    <row r="191">
      <c r="A191">
        <f>IF('Ch2 EOT Results'!M34="","","Q5 Savings &amp; AER: "&amp;'Ch2 EOT Results'!G34&amp;"/10")</f>
        <v/>
      </c>
      <c r="K191">
        <f>IF('Ch2 EOT Results'!M35="","","Q5 Savings &amp; AER: "&amp;'Ch2 EOT Results'!G35&amp;"/10")</f>
        <v/>
      </c>
    </row>
    <row r="192">
      <c r="A192">
        <f>IF('Ch2 EOT Results'!M34="","","Q6 VAT &amp; multipliers: "&amp;'Ch2 EOT Results'!H34&amp;"/8")</f>
        <v/>
      </c>
      <c r="K192">
        <f>IF('Ch2 EOT Results'!M35="","","Q6 VAT &amp; multipliers: "&amp;'Ch2 EOT Results'!H35&amp;"/8")</f>
        <v/>
      </c>
    </row>
    <row r="193">
      <c r="A193">
        <f>IF('Ch2 EOT Results'!M34="","","Q7 Inflation &amp; real value: "&amp;'Ch2 EOT Results'!I34&amp;"/9")</f>
        <v/>
      </c>
      <c r="K193">
        <f>IF('Ch2 EOT Results'!M35="","","Q7 Inflation &amp; real value: "&amp;'Ch2 EOT Results'!I35&amp;"/9")</f>
        <v/>
      </c>
    </row>
    <row r="194">
      <c r="A194">
        <f>IF('Ch2 EOT Results'!M34="","","Q8 Mortgages &amp; recurrence: "&amp;'Ch2 EOT Results'!J34&amp;"/10")</f>
        <v/>
      </c>
      <c r="K194">
        <f>IF('Ch2 EOT Results'!M35="","","Q8 Mortgages &amp; recurrence: "&amp;'Ch2 EOT Results'!J35&amp;"/10")</f>
        <v/>
      </c>
    </row>
    <row r="195">
      <c r="A195">
        <f>IF(OR('Ch2 EOT Results'!M34="",'Ch2 EOT Results'!N34=""),"",'Ch2 EOT Results'!N34)</f>
        <v/>
      </c>
      <c r="K195">
        <f>IF(OR('Ch2 EOT Results'!M35="",'Ch2 EOT Results'!N35=""),"",'Ch2 EOT Results'!N35)</f>
        <v/>
      </c>
    </row>
    <row r="197">
      <c r="A197">
        <f>IF('Ch2 EOT Results'!M36="","","Chapter 2 End of Topic Test — Personal finance")</f>
        <v/>
      </c>
      <c r="K197">
        <f>IF('Ch2 EOT Results'!M37="","","Chapter 2 End of Topic Test — Personal finance")</f>
        <v/>
      </c>
    </row>
    <row r="198">
      <c r="A198">
        <f>IF('Ch2 EOT Results'!M36="","","Name: "&amp;'Ch2 EOT Results'!B36&amp;"   Class: "&amp;'Ch2 EOT Results'!$B$3&amp;"   Date: "&amp;TEXT('Ch2 EOT Results'!$B$5,"DD/MM/YY"))</f>
        <v/>
      </c>
      <c r="K198">
        <f>IF('Ch2 EOT Results'!M37="","","Name: "&amp;'Ch2 EOT Results'!B37&amp;"   Class: "&amp;'Ch2 EOT Results'!$B$3&amp;"   Date: "&amp;TEXT('Ch2 EOT Results'!$B$5,"DD/MM/YY"))</f>
        <v/>
      </c>
    </row>
    <row r="199">
      <c r="A199">
        <f>IF('Ch2 EOT Results'!M36="","","Total: "&amp;'Ch2 EOT Results'!K36&amp;"/71 ("&amp;TEXT('Ch2 EOT Results'!L36,"0%")&amp;")   Overall: "&amp;'Ch2 EOT Results'!M36)</f>
        <v/>
      </c>
      <c r="K199">
        <f>IF('Ch2 EOT Results'!M37="","","Total: "&amp;'Ch2 EOT Results'!K37&amp;"/71 ("&amp;TEXT('Ch2 EOT Results'!L37,"0%")&amp;")   Overall: "&amp;'Ch2 EOT Results'!M37)</f>
        <v/>
      </c>
    </row>
    <row r="200">
      <c r="A200">
        <f>IF('Ch2 EOT Results'!M36="","",IF('Ch2 EOT Results'!M36="Green",Parameters!$C$127,IF('Ch2 EOT Results'!M36="Yellow",Parameters!$C$126,Parameters!$C$125)))</f>
        <v/>
      </c>
      <c r="K200">
        <f>IF('Ch2 EOT Results'!M37="","",IF('Ch2 EOT Results'!M37="Green",Parameters!$C$127,IF('Ch2 EOT Results'!M37="Yellow",Parameters!$C$126,Parameters!$C$125)))</f>
        <v/>
      </c>
    </row>
    <row r="202">
      <c r="A202">
        <f>IF('Ch2 EOT Results'!M36="","","Breakdown:")</f>
        <v/>
      </c>
      <c r="K202">
        <f>IF('Ch2 EOT Results'!M37="","","Breakdown:")</f>
        <v/>
      </c>
    </row>
    <row r="203">
      <c r="A203">
        <f>IF('Ch2 EOT Results'!M36="","","Q1 Budgeting &amp; current accounts: "&amp;'Ch2 EOT Results'!C36&amp;"/8")</f>
        <v/>
      </c>
      <c r="K203">
        <f>IF('Ch2 EOT Results'!M37="","","Q1 Budgeting &amp; current accounts: "&amp;'Ch2 EOT Results'!C37&amp;"/8")</f>
        <v/>
      </c>
    </row>
    <row r="204">
      <c r="A204">
        <f>IF('Ch2 EOT Results'!M36="","","Q2 Income tax bands: "&amp;'Ch2 EOT Results'!D36&amp;"/9")</f>
        <v/>
      </c>
      <c r="K204">
        <f>IF('Ch2 EOT Results'!M37="","","Q2 Income tax bands: "&amp;'Ch2 EOT Results'!D37&amp;"/9")</f>
        <v/>
      </c>
    </row>
    <row r="205">
      <c r="A205">
        <f>IF('Ch2 EOT Results'!M36="","","Q3 Payslips &amp; deductions: "&amp;'Ch2 EOT Results'!E36&amp;"/8")</f>
        <v/>
      </c>
      <c r="K205">
        <f>IF('Ch2 EOT Results'!M37="","","Q3 Payslips &amp; deductions: "&amp;'Ch2 EOT Results'!E37&amp;"/8")</f>
        <v/>
      </c>
    </row>
    <row r="206">
      <c r="A206">
        <f>IF('Ch2 EOT Results'!M36="","","Q4 Loans &amp; APR: "&amp;'Ch2 EOT Results'!F36&amp;"/9")</f>
        <v/>
      </c>
      <c r="K206">
        <f>IF('Ch2 EOT Results'!M37="","","Q4 Loans &amp; APR: "&amp;'Ch2 EOT Results'!F37&amp;"/9")</f>
        <v/>
      </c>
    </row>
    <row r="207">
      <c r="A207">
        <f>IF('Ch2 EOT Results'!M36="","","Q5 Savings &amp; AER: "&amp;'Ch2 EOT Results'!G36&amp;"/10")</f>
        <v/>
      </c>
      <c r="K207">
        <f>IF('Ch2 EOT Results'!M37="","","Q5 Savings &amp; AER: "&amp;'Ch2 EOT Results'!G37&amp;"/10")</f>
        <v/>
      </c>
    </row>
    <row r="208">
      <c r="A208">
        <f>IF('Ch2 EOT Results'!M36="","","Q6 VAT &amp; multipliers: "&amp;'Ch2 EOT Results'!H36&amp;"/8")</f>
        <v/>
      </c>
      <c r="K208">
        <f>IF('Ch2 EOT Results'!M37="","","Q6 VAT &amp; multipliers: "&amp;'Ch2 EOT Results'!H37&amp;"/8")</f>
        <v/>
      </c>
    </row>
    <row r="209">
      <c r="A209">
        <f>IF('Ch2 EOT Results'!M36="","","Q7 Inflation &amp; real value: "&amp;'Ch2 EOT Results'!I36&amp;"/9")</f>
        <v/>
      </c>
      <c r="K209">
        <f>IF('Ch2 EOT Results'!M37="","","Q7 Inflation &amp; real value: "&amp;'Ch2 EOT Results'!I37&amp;"/9")</f>
        <v/>
      </c>
    </row>
    <row r="210">
      <c r="A210">
        <f>IF('Ch2 EOT Results'!M36="","","Q8 Mortgages &amp; recurrence: "&amp;'Ch2 EOT Results'!J36&amp;"/10")</f>
        <v/>
      </c>
      <c r="K210">
        <f>IF('Ch2 EOT Results'!M37="","","Q8 Mortgages &amp; recurrence: "&amp;'Ch2 EOT Results'!J37&amp;"/10")</f>
        <v/>
      </c>
    </row>
    <row r="211">
      <c r="A211">
        <f>IF(OR('Ch2 EOT Results'!M36="",'Ch2 EOT Results'!N36=""),"",'Ch2 EOT Results'!N36)</f>
        <v/>
      </c>
      <c r="K211">
        <f>IF(OR('Ch2 EOT Results'!M37="",'Ch2 EOT Results'!N37=""),"",'Ch2 EOT Results'!N37)</f>
        <v/>
      </c>
    </row>
    <row r="213">
      <c r="A213">
        <f>IF('Ch2 EOT Results'!M38="","","Chapter 2 End of Topic Test — Personal finance")</f>
        <v/>
      </c>
      <c r="K213">
        <f>IF('Ch2 EOT Results'!M39="","","Chapter 2 End of Topic Test — Personal finance")</f>
        <v/>
      </c>
    </row>
    <row r="214">
      <c r="A214">
        <f>IF('Ch2 EOT Results'!M38="","","Name: "&amp;'Ch2 EOT Results'!B38&amp;"   Class: "&amp;'Ch2 EOT Results'!$B$3&amp;"   Date: "&amp;TEXT('Ch2 EOT Results'!$B$5,"DD/MM/YY"))</f>
        <v/>
      </c>
      <c r="K214">
        <f>IF('Ch2 EOT Results'!M39="","","Name: "&amp;'Ch2 EOT Results'!B39&amp;"   Class: "&amp;'Ch2 EOT Results'!$B$3&amp;"   Date: "&amp;TEXT('Ch2 EOT Results'!$B$5,"DD/MM/YY"))</f>
        <v/>
      </c>
    </row>
    <row r="215">
      <c r="A215">
        <f>IF('Ch2 EOT Results'!M38="","","Total: "&amp;'Ch2 EOT Results'!K38&amp;"/71 ("&amp;TEXT('Ch2 EOT Results'!L38,"0%")&amp;")   Overall: "&amp;'Ch2 EOT Results'!M38)</f>
        <v/>
      </c>
      <c r="K215">
        <f>IF('Ch2 EOT Results'!M39="","","Total: "&amp;'Ch2 EOT Results'!K39&amp;"/71 ("&amp;TEXT('Ch2 EOT Results'!L39,"0%")&amp;")   Overall: "&amp;'Ch2 EOT Results'!M39)</f>
        <v/>
      </c>
    </row>
    <row r="216">
      <c r="A216">
        <f>IF('Ch2 EOT Results'!M38="","",IF('Ch2 EOT Results'!M38="Green",Parameters!$C$127,IF('Ch2 EOT Results'!M38="Yellow",Parameters!$C$126,Parameters!$C$125)))</f>
        <v/>
      </c>
      <c r="K216">
        <f>IF('Ch2 EOT Results'!M39="","",IF('Ch2 EOT Results'!M39="Green",Parameters!$C$127,IF('Ch2 EOT Results'!M39="Yellow",Parameters!$C$126,Parameters!$C$125)))</f>
        <v/>
      </c>
    </row>
    <row r="218">
      <c r="A218">
        <f>IF('Ch2 EOT Results'!M38="","","Breakdown:")</f>
        <v/>
      </c>
      <c r="K218">
        <f>IF('Ch2 EOT Results'!M39="","","Breakdown:")</f>
        <v/>
      </c>
    </row>
    <row r="219">
      <c r="A219">
        <f>IF('Ch2 EOT Results'!M38="","","Q1 Budgeting &amp; current accounts: "&amp;'Ch2 EOT Results'!C38&amp;"/8")</f>
        <v/>
      </c>
      <c r="K219">
        <f>IF('Ch2 EOT Results'!M39="","","Q1 Budgeting &amp; current accounts: "&amp;'Ch2 EOT Results'!C39&amp;"/8")</f>
        <v/>
      </c>
    </row>
    <row r="220">
      <c r="A220">
        <f>IF('Ch2 EOT Results'!M38="","","Q2 Income tax bands: "&amp;'Ch2 EOT Results'!D38&amp;"/9")</f>
        <v/>
      </c>
      <c r="K220">
        <f>IF('Ch2 EOT Results'!M39="","","Q2 Income tax bands: "&amp;'Ch2 EOT Results'!D39&amp;"/9")</f>
        <v/>
      </c>
    </row>
    <row r="221">
      <c r="A221">
        <f>IF('Ch2 EOT Results'!M38="","","Q3 Payslips &amp; deductions: "&amp;'Ch2 EOT Results'!E38&amp;"/8")</f>
        <v/>
      </c>
      <c r="K221">
        <f>IF('Ch2 EOT Results'!M39="","","Q3 Payslips &amp; deductions: "&amp;'Ch2 EOT Results'!E39&amp;"/8")</f>
        <v/>
      </c>
    </row>
    <row r="222">
      <c r="A222">
        <f>IF('Ch2 EOT Results'!M38="","","Q4 Loans &amp; APR: "&amp;'Ch2 EOT Results'!F38&amp;"/9")</f>
        <v/>
      </c>
      <c r="K222">
        <f>IF('Ch2 EOT Results'!M39="","","Q4 Loans &amp; APR: "&amp;'Ch2 EOT Results'!F39&amp;"/9")</f>
        <v/>
      </c>
    </row>
    <row r="223">
      <c r="A223">
        <f>IF('Ch2 EOT Results'!M38="","","Q5 Savings &amp; AER: "&amp;'Ch2 EOT Results'!G38&amp;"/10")</f>
        <v/>
      </c>
      <c r="K223">
        <f>IF('Ch2 EOT Results'!M39="","","Q5 Savings &amp; AER: "&amp;'Ch2 EOT Results'!G39&amp;"/10")</f>
        <v/>
      </c>
    </row>
    <row r="224">
      <c r="A224">
        <f>IF('Ch2 EOT Results'!M38="","","Q6 VAT &amp; multipliers: "&amp;'Ch2 EOT Results'!H38&amp;"/8")</f>
        <v/>
      </c>
      <c r="K224">
        <f>IF('Ch2 EOT Results'!M39="","","Q6 VAT &amp; multipliers: "&amp;'Ch2 EOT Results'!H39&amp;"/8")</f>
        <v/>
      </c>
    </row>
    <row r="225">
      <c r="A225">
        <f>IF('Ch2 EOT Results'!M38="","","Q7 Inflation &amp; real value: "&amp;'Ch2 EOT Results'!I38&amp;"/9")</f>
        <v/>
      </c>
      <c r="K225">
        <f>IF('Ch2 EOT Results'!M39="","","Q7 Inflation &amp; real value: "&amp;'Ch2 EOT Results'!I39&amp;"/9")</f>
        <v/>
      </c>
    </row>
    <row r="226">
      <c r="A226">
        <f>IF('Ch2 EOT Results'!M38="","","Q8 Mortgages &amp; recurrence: "&amp;'Ch2 EOT Results'!J38&amp;"/10")</f>
        <v/>
      </c>
      <c r="K226">
        <f>IF('Ch2 EOT Results'!M39="","","Q8 Mortgages &amp; recurrence: "&amp;'Ch2 EOT Results'!J39&amp;"/10")</f>
        <v/>
      </c>
    </row>
    <row r="227">
      <c r="A227">
        <f>IF(OR('Ch2 EOT Results'!M38="",'Ch2 EOT Results'!N38=""),"",'Ch2 EOT Results'!N38)</f>
        <v/>
      </c>
      <c r="K227">
        <f>IF(OR('Ch2 EOT Results'!M39="",'Ch2 EOT Results'!N39=""),"",'Ch2 EOT Results'!N39)</f>
        <v/>
      </c>
    </row>
    <row r="229">
      <c r="A229">
        <f>IF('Ch2 EOT Results'!M40="","","Chapter 2 End of Topic Test — Personal finance")</f>
        <v/>
      </c>
      <c r="K229">
        <f>IF('Ch2 EOT Results'!M41="","","Chapter 2 End of Topic Test — Personal finance")</f>
        <v/>
      </c>
    </row>
    <row r="230">
      <c r="A230">
        <f>IF('Ch2 EOT Results'!M40="","","Name: "&amp;'Ch2 EOT Results'!B40&amp;"   Class: "&amp;'Ch2 EOT Results'!$B$3&amp;"   Date: "&amp;TEXT('Ch2 EOT Results'!$B$5,"DD/MM/YY"))</f>
        <v/>
      </c>
      <c r="K230">
        <f>IF('Ch2 EOT Results'!M41="","","Name: "&amp;'Ch2 EOT Results'!B41&amp;"   Class: "&amp;'Ch2 EOT Results'!$B$3&amp;"   Date: "&amp;TEXT('Ch2 EOT Results'!$B$5,"DD/MM/YY"))</f>
        <v/>
      </c>
    </row>
    <row r="231">
      <c r="A231">
        <f>IF('Ch2 EOT Results'!M40="","","Total: "&amp;'Ch2 EOT Results'!K40&amp;"/71 ("&amp;TEXT('Ch2 EOT Results'!L40,"0%")&amp;")   Overall: "&amp;'Ch2 EOT Results'!M40)</f>
        <v/>
      </c>
      <c r="K231">
        <f>IF('Ch2 EOT Results'!M41="","","Total: "&amp;'Ch2 EOT Results'!K41&amp;"/71 ("&amp;TEXT('Ch2 EOT Results'!L41,"0%")&amp;")   Overall: "&amp;'Ch2 EOT Results'!M41)</f>
        <v/>
      </c>
    </row>
    <row r="232">
      <c r="A232">
        <f>IF('Ch2 EOT Results'!M40="","",IF('Ch2 EOT Results'!M40="Green",Parameters!$C$127,IF('Ch2 EOT Results'!M40="Yellow",Parameters!$C$126,Parameters!$C$125)))</f>
        <v/>
      </c>
      <c r="K232">
        <f>IF('Ch2 EOT Results'!M41="","",IF('Ch2 EOT Results'!M41="Green",Parameters!$C$127,IF('Ch2 EOT Results'!M41="Yellow",Parameters!$C$126,Parameters!$C$125)))</f>
        <v/>
      </c>
    </row>
    <row r="234">
      <c r="A234">
        <f>IF('Ch2 EOT Results'!M40="","","Breakdown:")</f>
        <v/>
      </c>
      <c r="K234">
        <f>IF('Ch2 EOT Results'!M41="","","Breakdown:")</f>
        <v/>
      </c>
    </row>
    <row r="235">
      <c r="A235">
        <f>IF('Ch2 EOT Results'!M40="","","Q1 Budgeting &amp; current accounts: "&amp;'Ch2 EOT Results'!C40&amp;"/8")</f>
        <v/>
      </c>
      <c r="K235">
        <f>IF('Ch2 EOT Results'!M41="","","Q1 Budgeting &amp; current accounts: "&amp;'Ch2 EOT Results'!C41&amp;"/8")</f>
        <v/>
      </c>
    </row>
    <row r="236">
      <c r="A236">
        <f>IF('Ch2 EOT Results'!M40="","","Q2 Income tax bands: "&amp;'Ch2 EOT Results'!D40&amp;"/9")</f>
        <v/>
      </c>
      <c r="K236">
        <f>IF('Ch2 EOT Results'!M41="","","Q2 Income tax bands: "&amp;'Ch2 EOT Results'!D41&amp;"/9")</f>
        <v/>
      </c>
    </row>
    <row r="237">
      <c r="A237">
        <f>IF('Ch2 EOT Results'!M40="","","Q3 Payslips &amp; deductions: "&amp;'Ch2 EOT Results'!E40&amp;"/8")</f>
        <v/>
      </c>
      <c r="K237">
        <f>IF('Ch2 EOT Results'!M41="","","Q3 Payslips &amp; deductions: "&amp;'Ch2 EOT Results'!E41&amp;"/8")</f>
        <v/>
      </c>
    </row>
    <row r="238">
      <c r="A238">
        <f>IF('Ch2 EOT Results'!M40="","","Q4 Loans &amp; APR: "&amp;'Ch2 EOT Results'!F40&amp;"/9")</f>
        <v/>
      </c>
      <c r="K238">
        <f>IF('Ch2 EOT Results'!M41="","","Q4 Loans &amp; APR: "&amp;'Ch2 EOT Results'!F41&amp;"/9")</f>
        <v/>
      </c>
    </row>
    <row r="239">
      <c r="A239">
        <f>IF('Ch2 EOT Results'!M40="","","Q5 Savings &amp; AER: "&amp;'Ch2 EOT Results'!G40&amp;"/10")</f>
        <v/>
      </c>
      <c r="K239">
        <f>IF('Ch2 EOT Results'!M41="","","Q5 Savings &amp; AER: "&amp;'Ch2 EOT Results'!G41&amp;"/10")</f>
        <v/>
      </c>
    </row>
    <row r="240">
      <c r="A240">
        <f>IF('Ch2 EOT Results'!M40="","","Q6 VAT &amp; multipliers: "&amp;'Ch2 EOT Results'!H40&amp;"/8")</f>
        <v/>
      </c>
      <c r="K240">
        <f>IF('Ch2 EOT Results'!M41="","","Q6 VAT &amp; multipliers: "&amp;'Ch2 EOT Results'!H41&amp;"/8")</f>
        <v/>
      </c>
    </row>
    <row r="241">
      <c r="A241">
        <f>IF('Ch2 EOT Results'!M40="","","Q7 Inflation &amp; real value: "&amp;'Ch2 EOT Results'!I40&amp;"/9")</f>
        <v/>
      </c>
      <c r="K241">
        <f>IF('Ch2 EOT Results'!M41="","","Q7 Inflation &amp; real value: "&amp;'Ch2 EOT Results'!I41&amp;"/9")</f>
        <v/>
      </c>
    </row>
    <row r="242">
      <c r="A242">
        <f>IF('Ch2 EOT Results'!M40="","","Q8 Mortgages &amp; recurrence: "&amp;'Ch2 EOT Results'!J40&amp;"/10")</f>
        <v/>
      </c>
      <c r="K242">
        <f>IF('Ch2 EOT Results'!M41="","","Q8 Mortgages &amp; recurrence: "&amp;'Ch2 EOT Results'!J41&amp;"/10")</f>
        <v/>
      </c>
    </row>
    <row r="243">
      <c r="A243">
        <f>IF(OR('Ch2 EOT Results'!M40="",'Ch2 EOT Results'!N40=""),"",'Ch2 EOT Results'!N40)</f>
        <v/>
      </c>
      <c r="K243">
        <f>IF(OR('Ch2 EOT Results'!M41="",'Ch2 EOT Results'!N41=""),"",'Ch2 EOT Results'!N41)</f>
        <v/>
      </c>
    </row>
    <row r="245">
      <c r="A245">
        <f>IF('Ch2 EOT Results'!M40="","","Comments:")</f>
        <v/>
      </c>
      <c r="K245">
        <f>IF('Ch2 EOT Results'!M41="","","Comments:")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0" customWidth="1" min="11" max="11"/>
    <col width="8" customWidth="1" min="12" max="12"/>
    <col width="10" customWidth="1" min="13" max="13"/>
    <col width="45" customWidth="1" min="14" max="14"/>
  </cols>
  <sheetData>
    <row r="1">
      <c r="A1" s="11" t="inlineStr">
        <is>
          <t>Chapter 2 End of Topic Test 2 — Personal finance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Budgeting &amp; accounts
(/9)</t>
        </is>
      </c>
      <c r="D9" s="12" t="inlineStr">
        <is>
          <t>Q2
Income tax bands
(/9)</t>
        </is>
      </c>
      <c r="E9" s="12" t="inlineStr">
        <is>
          <t>Q3
Payslips &amp; deductions
(/9)</t>
        </is>
      </c>
      <c r="F9" s="12" t="inlineStr">
        <is>
          <t>Q4
Exchange rates
(/8)</t>
        </is>
      </c>
      <c r="G9" s="12" t="inlineStr">
        <is>
          <t>Q5
Loans &amp; APR
(/9)</t>
        </is>
      </c>
      <c r="H9" s="12" t="inlineStr">
        <is>
          <t>Q6
Savings &amp; AER
(/9)</t>
        </is>
      </c>
      <c r="I9" s="12" t="inlineStr">
        <is>
          <t>Q7
Depreciation
(/9)</t>
        </is>
      </c>
      <c r="J9" s="12" t="inlineStr">
        <is>
          <t>Q8
Inflation &amp; real value
(/9)</t>
        </is>
      </c>
      <c r="K9" s="12" t="inlineStr">
        <is>
          <t>Total
(/71)</t>
        </is>
      </c>
      <c r="L9" s="12" t="inlineStr">
        <is>
          <t>%</t>
        </is>
      </c>
      <c r="M9" s="12" t="inlineStr">
        <is>
          <t>Overall</t>
        </is>
      </c>
      <c r="N9" s="12" t="inlineStr">
        <is>
          <t>Focus for next steps</t>
        </is>
      </c>
      <c r="O9" s="12" t="inlineStr">
        <is>
          <t>Q1%</t>
        </is>
      </c>
      <c r="P9" s="12" t="inlineStr">
        <is>
          <t>Q2%</t>
        </is>
      </c>
      <c r="Q9" s="12" t="inlineStr">
        <is>
          <t>Q3%</t>
        </is>
      </c>
      <c r="R9" s="12" t="inlineStr">
        <is>
          <t>Q4%</t>
        </is>
      </c>
      <c r="S9" s="12" t="inlineStr">
        <is>
          <t>Q5%</t>
        </is>
      </c>
      <c r="T9" s="12" t="inlineStr">
        <is>
          <t>Q6%</t>
        </is>
      </c>
      <c r="U9" s="12" t="inlineStr">
        <is>
          <t>Q7%</t>
        </is>
      </c>
      <c r="V9" s="12" t="inlineStr">
        <is>
          <t>Q8%</t>
        </is>
      </c>
    </row>
    <row r="10">
      <c r="A10" s="3" t="n"/>
      <c r="B10" s="3" t="inlineStr">
        <is>
          <t>Max marks</t>
        </is>
      </c>
      <c r="C10" s="3" t="n">
        <v>9</v>
      </c>
      <c r="D10" s="3" t="n">
        <v>9</v>
      </c>
      <c r="E10" s="3" t="n">
        <v>9</v>
      </c>
      <c r="F10" s="3" t="n">
        <v>8</v>
      </c>
      <c r="G10" s="3" t="n">
        <v>9</v>
      </c>
      <c r="H10" s="3" t="n">
        <v>9</v>
      </c>
      <c r="I10" s="3" t="n">
        <v>9</v>
      </c>
      <c r="J10" s="3" t="n">
        <v>9</v>
      </c>
      <c r="K10" s="3" t="n">
        <v>71</v>
      </c>
      <c r="L10" s="3" t="inlineStr">
        <is>
          <t>100%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</row>
    <row r="11">
      <c r="A11" s="13" t="n">
        <v>1</v>
      </c>
      <c r="B11" s="13" t="inlineStr">
        <is>
          <t>Example pupil (edit me)</t>
        </is>
      </c>
      <c r="C11" s="13" t="n">
        <v>7</v>
      </c>
      <c r="D11" s="13" t="n">
        <v>7</v>
      </c>
      <c r="E11" s="13" t="n">
        <v>7</v>
      </c>
      <c r="F11" s="13" t="n">
        <v>6</v>
      </c>
      <c r="G11" s="13" t="n">
        <v>7</v>
      </c>
      <c r="H11" s="13" t="n">
        <v>7</v>
      </c>
      <c r="I11" s="13" t="n">
        <v>7</v>
      </c>
      <c r="J11" s="13" t="n">
        <v>7</v>
      </c>
      <c r="K11" s="13">
        <f>IF(COUNT(C11:J11)&lt;8,"",SUM(C11:J11))</f>
        <v/>
      </c>
      <c r="L11" s="13">
        <f>IF(COUNT(C11:J11)&lt;8,"",K11/71)</f>
        <v/>
      </c>
      <c r="M11" s="13">
        <f>IF(COUNT(C11:J11)&lt;8,"",IF(L11&gt;=0.8,"Green",IF(L11&gt;=0.5,"Yellow","Red")))</f>
        <v/>
      </c>
      <c r="N11" s="13">
        <f>IF(COUNT(C11:J11)&lt;8,"",IF(M11="Green","Well done! "&amp;Parameters!$C$146,"Revise: "&amp;_xlfn.TEXTJOIN(", ",TRUE(),IF(O11&lt;1,Parameters!$A$133,""),IF(P11&lt;1,Parameters!$A$134,""),IF(Q11&lt;1,Parameters!$A$135,""),IF(R11&lt;1,Parameters!$A$136,""),IF(S11&lt;1,Parameters!$A$137,""),IF(T11&lt;1,Parameters!$A$138,""),IF(U11&lt;1,Parameters!$A$139,""),IF(V11&lt;1,Parameters!$A$140,""))))</f>
        <v/>
      </c>
      <c r="O11" s="13">
        <f>IF(C11="","",C11/9)</f>
        <v/>
      </c>
      <c r="P11" s="13">
        <f>IF(D11="","",D11/9)</f>
        <v/>
      </c>
      <c r="Q11" s="13">
        <f>IF(E11="","",E11/9)</f>
        <v/>
      </c>
      <c r="R11" s="13">
        <f>IF(F11="","",F11/8)</f>
        <v/>
      </c>
      <c r="S11" s="13">
        <f>IF(G11="","",G11/9)</f>
        <v/>
      </c>
      <c r="T11" s="13">
        <f>IF(H11="","",H11/9)</f>
        <v/>
      </c>
      <c r="U11" s="13">
        <f>IF(I11="","",I11/9)</f>
        <v/>
      </c>
      <c r="V11" s="13">
        <f>IF(J11="","",J11/9)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K12" s="13">
        <f>IF(COUNT(C12:J12)&lt;8,"",SUM(C12:J12))</f>
        <v/>
      </c>
      <c r="L12" s="13">
        <f>IF(COUNT(C12:J12)&lt;8,"",K12/71)</f>
        <v/>
      </c>
      <c r="M12" s="13">
        <f>IF(COUNT(C12:J12)&lt;8,"",IF(L12&gt;=0.8,"Green",IF(L12&gt;=0.5,"Yellow","Red")))</f>
        <v/>
      </c>
      <c r="N12" s="13">
        <f>IF(COUNT(C12:J12)&lt;8,"",IF(M12="Green","Well done! "&amp;Parameters!$C$146,"Revise: "&amp;_xlfn.TEXTJOIN(", ",TRUE(),IF(O12&lt;1,Parameters!$A$133,""),IF(P12&lt;1,Parameters!$A$134,""),IF(Q12&lt;1,Parameters!$A$135,""),IF(R12&lt;1,Parameters!$A$136,""),IF(S12&lt;1,Parameters!$A$137,""),IF(T12&lt;1,Parameters!$A$138,""),IF(U12&lt;1,Parameters!$A$139,""),IF(V12&lt;1,Parameters!$A$140,""))))</f>
        <v/>
      </c>
      <c r="O12" s="13">
        <f>IF(C12="","",C12/9)</f>
        <v/>
      </c>
      <c r="P12" s="13">
        <f>IF(D12="","",D12/9)</f>
        <v/>
      </c>
      <c r="Q12" s="13">
        <f>IF(E12="","",E12/9)</f>
        <v/>
      </c>
      <c r="R12" s="13">
        <f>IF(F12="","",F12/8)</f>
        <v/>
      </c>
      <c r="S12" s="13">
        <f>IF(G12="","",G12/9)</f>
        <v/>
      </c>
      <c r="T12" s="13">
        <f>IF(H12="","",H12/9)</f>
        <v/>
      </c>
      <c r="U12" s="13">
        <f>IF(I12="","",I12/9)</f>
        <v/>
      </c>
      <c r="V12" s="13">
        <f>IF(J12="","",J12/9)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4" t="n"/>
      <c r="H13" s="14" t="n"/>
      <c r="I13" s="14" t="n"/>
      <c r="J13" s="14" t="n"/>
      <c r="K13" s="13">
        <f>IF(COUNT(C13:J13)&lt;8,"",SUM(C13:J13))</f>
        <v/>
      </c>
      <c r="L13" s="13">
        <f>IF(COUNT(C13:J13)&lt;8,"",K13/71)</f>
        <v/>
      </c>
      <c r="M13" s="13">
        <f>IF(COUNT(C13:J13)&lt;8,"",IF(L13&gt;=0.8,"Green",IF(L13&gt;=0.5,"Yellow","Red")))</f>
        <v/>
      </c>
      <c r="N13" s="13">
        <f>IF(COUNT(C13:J13)&lt;8,"",IF(M13="Green","Well done! "&amp;Parameters!$C$146,"Revise: "&amp;_xlfn.TEXTJOIN(", ",TRUE(),IF(O13&lt;1,Parameters!$A$133,""),IF(P13&lt;1,Parameters!$A$134,""),IF(Q13&lt;1,Parameters!$A$135,""),IF(R13&lt;1,Parameters!$A$136,""),IF(S13&lt;1,Parameters!$A$137,""),IF(T13&lt;1,Parameters!$A$138,""),IF(U13&lt;1,Parameters!$A$139,""),IF(V13&lt;1,Parameters!$A$140,""))))</f>
        <v/>
      </c>
      <c r="O13" s="13">
        <f>IF(C13="","",C13/9)</f>
        <v/>
      </c>
      <c r="P13" s="13">
        <f>IF(D13="","",D13/9)</f>
        <v/>
      </c>
      <c r="Q13" s="13">
        <f>IF(E13="","",E13/9)</f>
        <v/>
      </c>
      <c r="R13" s="13">
        <f>IF(F13="","",F13/8)</f>
        <v/>
      </c>
      <c r="S13" s="13">
        <f>IF(G13="","",G13/9)</f>
        <v/>
      </c>
      <c r="T13" s="13">
        <f>IF(H13="","",H13/9)</f>
        <v/>
      </c>
      <c r="U13" s="13">
        <f>IF(I13="","",I13/9)</f>
        <v/>
      </c>
      <c r="V13" s="13">
        <f>IF(J13="","",J13/9)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4" t="n"/>
      <c r="H14" s="14" t="n"/>
      <c r="I14" s="14" t="n"/>
      <c r="J14" s="14" t="n"/>
      <c r="K14" s="13">
        <f>IF(COUNT(C14:J14)&lt;8,"",SUM(C14:J14))</f>
        <v/>
      </c>
      <c r="L14" s="13">
        <f>IF(COUNT(C14:J14)&lt;8,"",K14/71)</f>
        <v/>
      </c>
      <c r="M14" s="13">
        <f>IF(COUNT(C14:J14)&lt;8,"",IF(L14&gt;=0.8,"Green",IF(L14&gt;=0.5,"Yellow","Red")))</f>
        <v/>
      </c>
      <c r="N14" s="13">
        <f>IF(COUNT(C14:J14)&lt;8,"",IF(M14="Green","Well done! "&amp;Parameters!$C$146,"Revise: "&amp;_xlfn.TEXTJOIN(", ",TRUE(),IF(O14&lt;1,Parameters!$A$133,""),IF(P14&lt;1,Parameters!$A$134,""),IF(Q14&lt;1,Parameters!$A$135,""),IF(R14&lt;1,Parameters!$A$136,""),IF(S14&lt;1,Parameters!$A$137,""),IF(T14&lt;1,Parameters!$A$138,""),IF(U14&lt;1,Parameters!$A$139,""),IF(V14&lt;1,Parameters!$A$140,""))))</f>
        <v/>
      </c>
      <c r="O14" s="13">
        <f>IF(C14="","",C14/9)</f>
        <v/>
      </c>
      <c r="P14" s="13">
        <f>IF(D14="","",D14/9)</f>
        <v/>
      </c>
      <c r="Q14" s="13">
        <f>IF(E14="","",E14/9)</f>
        <v/>
      </c>
      <c r="R14" s="13">
        <f>IF(F14="","",F14/8)</f>
        <v/>
      </c>
      <c r="S14" s="13">
        <f>IF(G14="","",G14/9)</f>
        <v/>
      </c>
      <c r="T14" s="13">
        <f>IF(H14="","",H14/9)</f>
        <v/>
      </c>
      <c r="U14" s="13">
        <f>IF(I14="","",I14/9)</f>
        <v/>
      </c>
      <c r="V14" s="13">
        <f>IF(J14="","",J14/9)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4" t="n"/>
      <c r="H15" s="14" t="n"/>
      <c r="I15" s="14" t="n"/>
      <c r="J15" s="14" t="n"/>
      <c r="K15" s="13">
        <f>IF(COUNT(C15:J15)&lt;8,"",SUM(C15:J15))</f>
        <v/>
      </c>
      <c r="L15" s="13">
        <f>IF(COUNT(C15:J15)&lt;8,"",K15/71)</f>
        <v/>
      </c>
      <c r="M15" s="13">
        <f>IF(COUNT(C15:J15)&lt;8,"",IF(L15&gt;=0.8,"Green",IF(L15&gt;=0.5,"Yellow","Red")))</f>
        <v/>
      </c>
      <c r="N15" s="13">
        <f>IF(COUNT(C15:J15)&lt;8,"",IF(M15="Green","Well done! "&amp;Parameters!$C$146,"Revise: "&amp;_xlfn.TEXTJOIN(", ",TRUE(),IF(O15&lt;1,Parameters!$A$133,""),IF(P15&lt;1,Parameters!$A$134,""),IF(Q15&lt;1,Parameters!$A$135,""),IF(R15&lt;1,Parameters!$A$136,""),IF(S15&lt;1,Parameters!$A$137,""),IF(T15&lt;1,Parameters!$A$138,""),IF(U15&lt;1,Parameters!$A$139,""),IF(V15&lt;1,Parameters!$A$140,""))))</f>
        <v/>
      </c>
      <c r="O15" s="13">
        <f>IF(C15="","",C15/9)</f>
        <v/>
      </c>
      <c r="P15" s="13">
        <f>IF(D15="","",D15/9)</f>
        <v/>
      </c>
      <c r="Q15" s="13">
        <f>IF(E15="","",E15/9)</f>
        <v/>
      </c>
      <c r="R15" s="13">
        <f>IF(F15="","",F15/8)</f>
        <v/>
      </c>
      <c r="S15" s="13">
        <f>IF(G15="","",G15/9)</f>
        <v/>
      </c>
      <c r="T15" s="13">
        <f>IF(H15="","",H15/9)</f>
        <v/>
      </c>
      <c r="U15" s="13">
        <f>IF(I15="","",I15/9)</f>
        <v/>
      </c>
      <c r="V15" s="13">
        <f>IF(J15="","",J15/9)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4" t="n"/>
      <c r="H16" s="14" t="n"/>
      <c r="I16" s="14" t="n"/>
      <c r="J16" s="14" t="n"/>
      <c r="K16" s="13">
        <f>IF(COUNT(C16:J16)&lt;8,"",SUM(C16:J16))</f>
        <v/>
      </c>
      <c r="L16" s="13">
        <f>IF(COUNT(C16:J16)&lt;8,"",K16/71)</f>
        <v/>
      </c>
      <c r="M16" s="13">
        <f>IF(COUNT(C16:J16)&lt;8,"",IF(L16&gt;=0.8,"Green",IF(L16&gt;=0.5,"Yellow","Red")))</f>
        <v/>
      </c>
      <c r="N16" s="13">
        <f>IF(COUNT(C16:J16)&lt;8,"",IF(M16="Green","Well done! "&amp;Parameters!$C$146,"Revise: "&amp;_xlfn.TEXTJOIN(", ",TRUE(),IF(O16&lt;1,Parameters!$A$133,""),IF(P16&lt;1,Parameters!$A$134,""),IF(Q16&lt;1,Parameters!$A$135,""),IF(R16&lt;1,Parameters!$A$136,""),IF(S16&lt;1,Parameters!$A$137,""),IF(T16&lt;1,Parameters!$A$138,""),IF(U16&lt;1,Parameters!$A$139,""),IF(V16&lt;1,Parameters!$A$140,""))))</f>
        <v/>
      </c>
      <c r="O16" s="13">
        <f>IF(C16="","",C16/9)</f>
        <v/>
      </c>
      <c r="P16" s="13">
        <f>IF(D16="","",D16/9)</f>
        <v/>
      </c>
      <c r="Q16" s="13">
        <f>IF(E16="","",E16/9)</f>
        <v/>
      </c>
      <c r="R16" s="13">
        <f>IF(F16="","",F16/8)</f>
        <v/>
      </c>
      <c r="S16" s="13">
        <f>IF(G16="","",G16/9)</f>
        <v/>
      </c>
      <c r="T16" s="13">
        <f>IF(H16="","",H16/9)</f>
        <v/>
      </c>
      <c r="U16" s="13">
        <f>IF(I16="","",I16/9)</f>
        <v/>
      </c>
      <c r="V16" s="13">
        <f>IF(J16="","",J16/9)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4" t="n"/>
      <c r="H17" s="14" t="n"/>
      <c r="I17" s="14" t="n"/>
      <c r="J17" s="14" t="n"/>
      <c r="K17" s="13">
        <f>IF(COUNT(C17:J17)&lt;8,"",SUM(C17:J17))</f>
        <v/>
      </c>
      <c r="L17" s="13">
        <f>IF(COUNT(C17:J17)&lt;8,"",K17/71)</f>
        <v/>
      </c>
      <c r="M17" s="13">
        <f>IF(COUNT(C17:J17)&lt;8,"",IF(L17&gt;=0.8,"Green",IF(L17&gt;=0.5,"Yellow","Red")))</f>
        <v/>
      </c>
      <c r="N17" s="13">
        <f>IF(COUNT(C17:J17)&lt;8,"",IF(M17="Green","Well done! "&amp;Parameters!$C$146,"Revise: "&amp;_xlfn.TEXTJOIN(", ",TRUE(),IF(O17&lt;1,Parameters!$A$133,""),IF(P17&lt;1,Parameters!$A$134,""),IF(Q17&lt;1,Parameters!$A$135,""),IF(R17&lt;1,Parameters!$A$136,""),IF(S17&lt;1,Parameters!$A$137,""),IF(T17&lt;1,Parameters!$A$138,""),IF(U17&lt;1,Parameters!$A$139,""),IF(V17&lt;1,Parameters!$A$140,""))))</f>
        <v/>
      </c>
      <c r="O17" s="13">
        <f>IF(C17="","",C17/9)</f>
        <v/>
      </c>
      <c r="P17" s="13">
        <f>IF(D17="","",D17/9)</f>
        <v/>
      </c>
      <c r="Q17" s="13">
        <f>IF(E17="","",E17/9)</f>
        <v/>
      </c>
      <c r="R17" s="13">
        <f>IF(F17="","",F17/8)</f>
        <v/>
      </c>
      <c r="S17" s="13">
        <f>IF(G17="","",G17/9)</f>
        <v/>
      </c>
      <c r="T17" s="13">
        <f>IF(H17="","",H17/9)</f>
        <v/>
      </c>
      <c r="U17" s="13">
        <f>IF(I17="","",I17/9)</f>
        <v/>
      </c>
      <c r="V17" s="13">
        <f>IF(J17="","",J17/9)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4" t="n"/>
      <c r="H18" s="14" t="n"/>
      <c r="I18" s="14" t="n"/>
      <c r="J18" s="14" t="n"/>
      <c r="K18" s="13">
        <f>IF(COUNT(C18:J18)&lt;8,"",SUM(C18:J18))</f>
        <v/>
      </c>
      <c r="L18" s="13">
        <f>IF(COUNT(C18:J18)&lt;8,"",K18/71)</f>
        <v/>
      </c>
      <c r="M18" s="13">
        <f>IF(COUNT(C18:J18)&lt;8,"",IF(L18&gt;=0.8,"Green",IF(L18&gt;=0.5,"Yellow","Red")))</f>
        <v/>
      </c>
      <c r="N18" s="13">
        <f>IF(COUNT(C18:J18)&lt;8,"",IF(M18="Green","Well done! "&amp;Parameters!$C$146,"Revise: "&amp;_xlfn.TEXTJOIN(", ",TRUE(),IF(O18&lt;1,Parameters!$A$133,""),IF(P18&lt;1,Parameters!$A$134,""),IF(Q18&lt;1,Parameters!$A$135,""),IF(R18&lt;1,Parameters!$A$136,""),IF(S18&lt;1,Parameters!$A$137,""),IF(T18&lt;1,Parameters!$A$138,""),IF(U18&lt;1,Parameters!$A$139,""),IF(V18&lt;1,Parameters!$A$140,""))))</f>
        <v/>
      </c>
      <c r="O18" s="13">
        <f>IF(C18="","",C18/9)</f>
        <v/>
      </c>
      <c r="P18" s="13">
        <f>IF(D18="","",D18/9)</f>
        <v/>
      </c>
      <c r="Q18" s="13">
        <f>IF(E18="","",E18/9)</f>
        <v/>
      </c>
      <c r="R18" s="13">
        <f>IF(F18="","",F18/8)</f>
        <v/>
      </c>
      <c r="S18" s="13">
        <f>IF(G18="","",G18/9)</f>
        <v/>
      </c>
      <c r="T18" s="13">
        <f>IF(H18="","",H18/9)</f>
        <v/>
      </c>
      <c r="U18" s="13">
        <f>IF(I18="","",I18/9)</f>
        <v/>
      </c>
      <c r="V18" s="13">
        <f>IF(J18="","",J18/9)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4" t="n"/>
      <c r="H19" s="14" t="n"/>
      <c r="I19" s="14" t="n"/>
      <c r="J19" s="14" t="n"/>
      <c r="K19" s="13">
        <f>IF(COUNT(C19:J19)&lt;8,"",SUM(C19:J19))</f>
        <v/>
      </c>
      <c r="L19" s="13">
        <f>IF(COUNT(C19:J19)&lt;8,"",K19/71)</f>
        <v/>
      </c>
      <c r="M19" s="13">
        <f>IF(COUNT(C19:J19)&lt;8,"",IF(L19&gt;=0.8,"Green",IF(L19&gt;=0.5,"Yellow","Red")))</f>
        <v/>
      </c>
      <c r="N19" s="13">
        <f>IF(COUNT(C19:J19)&lt;8,"",IF(M19="Green","Well done! "&amp;Parameters!$C$146,"Revise: "&amp;_xlfn.TEXTJOIN(", ",TRUE(),IF(O19&lt;1,Parameters!$A$133,""),IF(P19&lt;1,Parameters!$A$134,""),IF(Q19&lt;1,Parameters!$A$135,""),IF(R19&lt;1,Parameters!$A$136,""),IF(S19&lt;1,Parameters!$A$137,""),IF(T19&lt;1,Parameters!$A$138,""),IF(U19&lt;1,Parameters!$A$139,""),IF(V19&lt;1,Parameters!$A$140,""))))</f>
        <v/>
      </c>
      <c r="O19" s="13">
        <f>IF(C19="","",C19/9)</f>
        <v/>
      </c>
      <c r="P19" s="13">
        <f>IF(D19="","",D19/9)</f>
        <v/>
      </c>
      <c r="Q19" s="13">
        <f>IF(E19="","",E19/9)</f>
        <v/>
      </c>
      <c r="R19" s="13">
        <f>IF(F19="","",F19/8)</f>
        <v/>
      </c>
      <c r="S19" s="13">
        <f>IF(G19="","",G19/9)</f>
        <v/>
      </c>
      <c r="T19" s="13">
        <f>IF(H19="","",H19/9)</f>
        <v/>
      </c>
      <c r="U19" s="13">
        <f>IF(I19="","",I19/9)</f>
        <v/>
      </c>
      <c r="V19" s="13">
        <f>IF(J19="","",J19/9)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4" t="n"/>
      <c r="H20" s="14" t="n"/>
      <c r="I20" s="14" t="n"/>
      <c r="J20" s="14" t="n"/>
      <c r="K20" s="13">
        <f>IF(COUNT(C20:J20)&lt;8,"",SUM(C20:J20))</f>
        <v/>
      </c>
      <c r="L20" s="13">
        <f>IF(COUNT(C20:J20)&lt;8,"",K20/71)</f>
        <v/>
      </c>
      <c r="M20" s="13">
        <f>IF(COUNT(C20:J20)&lt;8,"",IF(L20&gt;=0.8,"Green",IF(L20&gt;=0.5,"Yellow","Red")))</f>
        <v/>
      </c>
      <c r="N20" s="13">
        <f>IF(COUNT(C20:J20)&lt;8,"",IF(M20="Green","Well done! "&amp;Parameters!$C$146,"Revise: "&amp;_xlfn.TEXTJOIN(", ",TRUE(),IF(O20&lt;1,Parameters!$A$133,""),IF(P20&lt;1,Parameters!$A$134,""),IF(Q20&lt;1,Parameters!$A$135,""),IF(R20&lt;1,Parameters!$A$136,""),IF(S20&lt;1,Parameters!$A$137,""),IF(T20&lt;1,Parameters!$A$138,""),IF(U20&lt;1,Parameters!$A$139,""),IF(V20&lt;1,Parameters!$A$140,""))))</f>
        <v/>
      </c>
      <c r="O20" s="13">
        <f>IF(C20="","",C20/9)</f>
        <v/>
      </c>
      <c r="P20" s="13">
        <f>IF(D20="","",D20/9)</f>
        <v/>
      </c>
      <c r="Q20" s="13">
        <f>IF(E20="","",E20/9)</f>
        <v/>
      </c>
      <c r="R20" s="13">
        <f>IF(F20="","",F20/8)</f>
        <v/>
      </c>
      <c r="S20" s="13">
        <f>IF(G20="","",G20/9)</f>
        <v/>
      </c>
      <c r="T20" s="13">
        <f>IF(H20="","",H20/9)</f>
        <v/>
      </c>
      <c r="U20" s="13">
        <f>IF(I20="","",I20/9)</f>
        <v/>
      </c>
      <c r="V20" s="13">
        <f>IF(J20="","",J20/9)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4" t="n"/>
      <c r="H21" s="14" t="n"/>
      <c r="I21" s="14" t="n"/>
      <c r="J21" s="14" t="n"/>
      <c r="K21" s="13">
        <f>IF(COUNT(C21:J21)&lt;8,"",SUM(C21:J21))</f>
        <v/>
      </c>
      <c r="L21" s="13">
        <f>IF(COUNT(C21:J21)&lt;8,"",K21/71)</f>
        <v/>
      </c>
      <c r="M21" s="13">
        <f>IF(COUNT(C21:J21)&lt;8,"",IF(L21&gt;=0.8,"Green",IF(L21&gt;=0.5,"Yellow","Red")))</f>
        <v/>
      </c>
      <c r="N21" s="13">
        <f>IF(COUNT(C21:J21)&lt;8,"",IF(M21="Green","Well done! "&amp;Parameters!$C$146,"Revise: "&amp;_xlfn.TEXTJOIN(", ",TRUE(),IF(O21&lt;1,Parameters!$A$133,""),IF(P21&lt;1,Parameters!$A$134,""),IF(Q21&lt;1,Parameters!$A$135,""),IF(R21&lt;1,Parameters!$A$136,""),IF(S21&lt;1,Parameters!$A$137,""),IF(T21&lt;1,Parameters!$A$138,""),IF(U21&lt;1,Parameters!$A$139,""),IF(V21&lt;1,Parameters!$A$140,""))))</f>
        <v/>
      </c>
      <c r="O21" s="13">
        <f>IF(C21="","",C21/9)</f>
        <v/>
      </c>
      <c r="P21" s="13">
        <f>IF(D21="","",D21/9)</f>
        <v/>
      </c>
      <c r="Q21" s="13">
        <f>IF(E21="","",E21/9)</f>
        <v/>
      </c>
      <c r="R21" s="13">
        <f>IF(F21="","",F21/8)</f>
        <v/>
      </c>
      <c r="S21" s="13">
        <f>IF(G21="","",G21/9)</f>
        <v/>
      </c>
      <c r="T21" s="13">
        <f>IF(H21="","",H21/9)</f>
        <v/>
      </c>
      <c r="U21" s="13">
        <f>IF(I21="","",I21/9)</f>
        <v/>
      </c>
      <c r="V21" s="13">
        <f>IF(J21="","",J21/9)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4" t="n"/>
      <c r="H22" s="14" t="n"/>
      <c r="I22" s="14" t="n"/>
      <c r="J22" s="14" t="n"/>
      <c r="K22" s="13">
        <f>IF(COUNT(C22:J22)&lt;8,"",SUM(C22:J22))</f>
        <v/>
      </c>
      <c r="L22" s="13">
        <f>IF(COUNT(C22:J22)&lt;8,"",K22/71)</f>
        <v/>
      </c>
      <c r="M22" s="13">
        <f>IF(COUNT(C22:J22)&lt;8,"",IF(L22&gt;=0.8,"Green",IF(L22&gt;=0.5,"Yellow","Red")))</f>
        <v/>
      </c>
      <c r="N22" s="13">
        <f>IF(COUNT(C22:J22)&lt;8,"",IF(M22="Green","Well done! "&amp;Parameters!$C$146,"Revise: "&amp;_xlfn.TEXTJOIN(", ",TRUE(),IF(O22&lt;1,Parameters!$A$133,""),IF(P22&lt;1,Parameters!$A$134,""),IF(Q22&lt;1,Parameters!$A$135,""),IF(R22&lt;1,Parameters!$A$136,""),IF(S22&lt;1,Parameters!$A$137,""),IF(T22&lt;1,Parameters!$A$138,""),IF(U22&lt;1,Parameters!$A$139,""),IF(V22&lt;1,Parameters!$A$140,""))))</f>
        <v/>
      </c>
      <c r="O22" s="13">
        <f>IF(C22="","",C22/9)</f>
        <v/>
      </c>
      <c r="P22" s="13">
        <f>IF(D22="","",D22/9)</f>
        <v/>
      </c>
      <c r="Q22" s="13">
        <f>IF(E22="","",E22/9)</f>
        <v/>
      </c>
      <c r="R22" s="13">
        <f>IF(F22="","",F22/8)</f>
        <v/>
      </c>
      <c r="S22" s="13">
        <f>IF(G22="","",G22/9)</f>
        <v/>
      </c>
      <c r="T22" s="13">
        <f>IF(H22="","",H22/9)</f>
        <v/>
      </c>
      <c r="U22" s="13">
        <f>IF(I22="","",I22/9)</f>
        <v/>
      </c>
      <c r="V22" s="13">
        <f>IF(J22="","",J22/9)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4" t="n"/>
      <c r="H23" s="14" t="n"/>
      <c r="I23" s="14" t="n"/>
      <c r="J23" s="14" t="n"/>
      <c r="K23" s="13">
        <f>IF(COUNT(C23:J23)&lt;8,"",SUM(C23:J23))</f>
        <v/>
      </c>
      <c r="L23" s="13">
        <f>IF(COUNT(C23:J23)&lt;8,"",K23/71)</f>
        <v/>
      </c>
      <c r="M23" s="13">
        <f>IF(COUNT(C23:J23)&lt;8,"",IF(L23&gt;=0.8,"Green",IF(L23&gt;=0.5,"Yellow","Red")))</f>
        <v/>
      </c>
      <c r="N23" s="13">
        <f>IF(COUNT(C23:J23)&lt;8,"",IF(M23="Green","Well done! "&amp;Parameters!$C$146,"Revise: "&amp;_xlfn.TEXTJOIN(", ",TRUE(),IF(O23&lt;1,Parameters!$A$133,""),IF(P23&lt;1,Parameters!$A$134,""),IF(Q23&lt;1,Parameters!$A$135,""),IF(R23&lt;1,Parameters!$A$136,""),IF(S23&lt;1,Parameters!$A$137,""),IF(T23&lt;1,Parameters!$A$138,""),IF(U23&lt;1,Parameters!$A$139,""),IF(V23&lt;1,Parameters!$A$140,""))))</f>
        <v/>
      </c>
      <c r="O23" s="13">
        <f>IF(C23="","",C23/9)</f>
        <v/>
      </c>
      <c r="P23" s="13">
        <f>IF(D23="","",D23/9)</f>
        <v/>
      </c>
      <c r="Q23" s="13">
        <f>IF(E23="","",E23/9)</f>
        <v/>
      </c>
      <c r="R23" s="13">
        <f>IF(F23="","",F23/8)</f>
        <v/>
      </c>
      <c r="S23" s="13">
        <f>IF(G23="","",G23/9)</f>
        <v/>
      </c>
      <c r="T23" s="13">
        <f>IF(H23="","",H23/9)</f>
        <v/>
      </c>
      <c r="U23" s="13">
        <f>IF(I23="","",I23/9)</f>
        <v/>
      </c>
      <c r="V23" s="13">
        <f>IF(J23="","",J23/9)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4" t="n"/>
      <c r="H24" s="14" t="n"/>
      <c r="I24" s="14" t="n"/>
      <c r="J24" s="14" t="n"/>
      <c r="K24" s="13">
        <f>IF(COUNT(C24:J24)&lt;8,"",SUM(C24:J24))</f>
        <v/>
      </c>
      <c r="L24" s="13">
        <f>IF(COUNT(C24:J24)&lt;8,"",K24/71)</f>
        <v/>
      </c>
      <c r="M24" s="13">
        <f>IF(COUNT(C24:J24)&lt;8,"",IF(L24&gt;=0.8,"Green",IF(L24&gt;=0.5,"Yellow","Red")))</f>
        <v/>
      </c>
      <c r="N24" s="13">
        <f>IF(COUNT(C24:J24)&lt;8,"",IF(M24="Green","Well done! "&amp;Parameters!$C$146,"Revise: "&amp;_xlfn.TEXTJOIN(", ",TRUE(),IF(O24&lt;1,Parameters!$A$133,""),IF(P24&lt;1,Parameters!$A$134,""),IF(Q24&lt;1,Parameters!$A$135,""),IF(R24&lt;1,Parameters!$A$136,""),IF(S24&lt;1,Parameters!$A$137,""),IF(T24&lt;1,Parameters!$A$138,""),IF(U24&lt;1,Parameters!$A$139,""),IF(V24&lt;1,Parameters!$A$140,""))))</f>
        <v/>
      </c>
      <c r="O24" s="13">
        <f>IF(C24="","",C24/9)</f>
        <v/>
      </c>
      <c r="P24" s="13">
        <f>IF(D24="","",D24/9)</f>
        <v/>
      </c>
      <c r="Q24" s="13">
        <f>IF(E24="","",E24/9)</f>
        <v/>
      </c>
      <c r="R24" s="13">
        <f>IF(F24="","",F24/8)</f>
        <v/>
      </c>
      <c r="S24" s="13">
        <f>IF(G24="","",G24/9)</f>
        <v/>
      </c>
      <c r="T24" s="13">
        <f>IF(H24="","",H24/9)</f>
        <v/>
      </c>
      <c r="U24" s="13">
        <f>IF(I24="","",I24/9)</f>
        <v/>
      </c>
      <c r="V24" s="13">
        <f>IF(J24="","",J24/9)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4" t="n"/>
      <c r="H25" s="14" t="n"/>
      <c r="I25" s="14" t="n"/>
      <c r="J25" s="14" t="n"/>
      <c r="K25" s="13">
        <f>IF(COUNT(C25:J25)&lt;8,"",SUM(C25:J25))</f>
        <v/>
      </c>
      <c r="L25" s="13">
        <f>IF(COUNT(C25:J25)&lt;8,"",K25/71)</f>
        <v/>
      </c>
      <c r="M25" s="13">
        <f>IF(COUNT(C25:J25)&lt;8,"",IF(L25&gt;=0.8,"Green",IF(L25&gt;=0.5,"Yellow","Red")))</f>
        <v/>
      </c>
      <c r="N25" s="13">
        <f>IF(COUNT(C25:J25)&lt;8,"",IF(M25="Green","Well done! "&amp;Parameters!$C$146,"Revise: "&amp;_xlfn.TEXTJOIN(", ",TRUE(),IF(O25&lt;1,Parameters!$A$133,""),IF(P25&lt;1,Parameters!$A$134,""),IF(Q25&lt;1,Parameters!$A$135,""),IF(R25&lt;1,Parameters!$A$136,""),IF(S25&lt;1,Parameters!$A$137,""),IF(T25&lt;1,Parameters!$A$138,""),IF(U25&lt;1,Parameters!$A$139,""),IF(V25&lt;1,Parameters!$A$140,""))))</f>
        <v/>
      </c>
      <c r="O25" s="13">
        <f>IF(C25="","",C25/9)</f>
        <v/>
      </c>
      <c r="P25" s="13">
        <f>IF(D25="","",D25/9)</f>
        <v/>
      </c>
      <c r="Q25" s="13">
        <f>IF(E25="","",E25/9)</f>
        <v/>
      </c>
      <c r="R25" s="13">
        <f>IF(F25="","",F25/8)</f>
        <v/>
      </c>
      <c r="S25" s="13">
        <f>IF(G25="","",G25/9)</f>
        <v/>
      </c>
      <c r="T25" s="13">
        <f>IF(H25="","",H25/9)</f>
        <v/>
      </c>
      <c r="U25" s="13">
        <f>IF(I25="","",I25/9)</f>
        <v/>
      </c>
      <c r="V25" s="13">
        <f>IF(J25="","",J25/9)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4" t="n"/>
      <c r="H26" s="14" t="n"/>
      <c r="I26" s="14" t="n"/>
      <c r="J26" s="14" t="n"/>
      <c r="K26" s="13">
        <f>IF(COUNT(C26:J26)&lt;8,"",SUM(C26:J26))</f>
        <v/>
      </c>
      <c r="L26" s="13">
        <f>IF(COUNT(C26:J26)&lt;8,"",K26/71)</f>
        <v/>
      </c>
      <c r="M26" s="13">
        <f>IF(COUNT(C26:J26)&lt;8,"",IF(L26&gt;=0.8,"Green",IF(L26&gt;=0.5,"Yellow","Red")))</f>
        <v/>
      </c>
      <c r="N26" s="13">
        <f>IF(COUNT(C26:J26)&lt;8,"",IF(M26="Green","Well done! "&amp;Parameters!$C$146,"Revise: "&amp;_xlfn.TEXTJOIN(", ",TRUE(),IF(O26&lt;1,Parameters!$A$133,""),IF(P26&lt;1,Parameters!$A$134,""),IF(Q26&lt;1,Parameters!$A$135,""),IF(R26&lt;1,Parameters!$A$136,""),IF(S26&lt;1,Parameters!$A$137,""),IF(T26&lt;1,Parameters!$A$138,""),IF(U26&lt;1,Parameters!$A$139,""),IF(V26&lt;1,Parameters!$A$140,""))))</f>
        <v/>
      </c>
      <c r="O26" s="13">
        <f>IF(C26="","",C26/9)</f>
        <v/>
      </c>
      <c r="P26" s="13">
        <f>IF(D26="","",D26/9)</f>
        <v/>
      </c>
      <c r="Q26" s="13">
        <f>IF(E26="","",E26/9)</f>
        <v/>
      </c>
      <c r="R26" s="13">
        <f>IF(F26="","",F26/8)</f>
        <v/>
      </c>
      <c r="S26" s="13">
        <f>IF(G26="","",G26/9)</f>
        <v/>
      </c>
      <c r="T26" s="13">
        <f>IF(H26="","",H26/9)</f>
        <v/>
      </c>
      <c r="U26" s="13">
        <f>IF(I26="","",I26/9)</f>
        <v/>
      </c>
      <c r="V26" s="13">
        <f>IF(J26="","",J26/9)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4" t="n"/>
      <c r="H27" s="14" t="n"/>
      <c r="I27" s="14" t="n"/>
      <c r="J27" s="14" t="n"/>
      <c r="K27" s="13">
        <f>IF(COUNT(C27:J27)&lt;8,"",SUM(C27:J27))</f>
        <v/>
      </c>
      <c r="L27" s="13">
        <f>IF(COUNT(C27:J27)&lt;8,"",K27/71)</f>
        <v/>
      </c>
      <c r="M27" s="13">
        <f>IF(COUNT(C27:J27)&lt;8,"",IF(L27&gt;=0.8,"Green",IF(L27&gt;=0.5,"Yellow","Red")))</f>
        <v/>
      </c>
      <c r="N27" s="13">
        <f>IF(COUNT(C27:J27)&lt;8,"",IF(M27="Green","Well done! "&amp;Parameters!$C$146,"Revise: "&amp;_xlfn.TEXTJOIN(", ",TRUE(),IF(O27&lt;1,Parameters!$A$133,""),IF(P27&lt;1,Parameters!$A$134,""),IF(Q27&lt;1,Parameters!$A$135,""),IF(R27&lt;1,Parameters!$A$136,""),IF(S27&lt;1,Parameters!$A$137,""),IF(T27&lt;1,Parameters!$A$138,""),IF(U27&lt;1,Parameters!$A$139,""),IF(V27&lt;1,Parameters!$A$140,""))))</f>
        <v/>
      </c>
      <c r="O27" s="13">
        <f>IF(C27="","",C27/9)</f>
        <v/>
      </c>
      <c r="P27" s="13">
        <f>IF(D27="","",D27/9)</f>
        <v/>
      </c>
      <c r="Q27" s="13">
        <f>IF(E27="","",E27/9)</f>
        <v/>
      </c>
      <c r="R27" s="13">
        <f>IF(F27="","",F27/8)</f>
        <v/>
      </c>
      <c r="S27" s="13">
        <f>IF(G27="","",G27/9)</f>
        <v/>
      </c>
      <c r="T27" s="13">
        <f>IF(H27="","",H27/9)</f>
        <v/>
      </c>
      <c r="U27" s="13">
        <f>IF(I27="","",I27/9)</f>
        <v/>
      </c>
      <c r="V27" s="13">
        <f>IF(J27="","",J27/9)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4" t="n"/>
      <c r="H28" s="14" t="n"/>
      <c r="I28" s="14" t="n"/>
      <c r="J28" s="14" t="n"/>
      <c r="K28" s="13">
        <f>IF(COUNT(C28:J28)&lt;8,"",SUM(C28:J28))</f>
        <v/>
      </c>
      <c r="L28" s="13">
        <f>IF(COUNT(C28:J28)&lt;8,"",K28/71)</f>
        <v/>
      </c>
      <c r="M28" s="13">
        <f>IF(COUNT(C28:J28)&lt;8,"",IF(L28&gt;=0.8,"Green",IF(L28&gt;=0.5,"Yellow","Red")))</f>
        <v/>
      </c>
      <c r="N28" s="13">
        <f>IF(COUNT(C28:J28)&lt;8,"",IF(M28="Green","Well done! "&amp;Parameters!$C$146,"Revise: "&amp;_xlfn.TEXTJOIN(", ",TRUE(),IF(O28&lt;1,Parameters!$A$133,""),IF(P28&lt;1,Parameters!$A$134,""),IF(Q28&lt;1,Parameters!$A$135,""),IF(R28&lt;1,Parameters!$A$136,""),IF(S28&lt;1,Parameters!$A$137,""),IF(T28&lt;1,Parameters!$A$138,""),IF(U28&lt;1,Parameters!$A$139,""),IF(V28&lt;1,Parameters!$A$140,""))))</f>
        <v/>
      </c>
      <c r="O28" s="13">
        <f>IF(C28="","",C28/9)</f>
        <v/>
      </c>
      <c r="P28" s="13">
        <f>IF(D28="","",D28/9)</f>
        <v/>
      </c>
      <c r="Q28" s="13">
        <f>IF(E28="","",E28/9)</f>
        <v/>
      </c>
      <c r="R28" s="13">
        <f>IF(F28="","",F28/8)</f>
        <v/>
      </c>
      <c r="S28" s="13">
        <f>IF(G28="","",G28/9)</f>
        <v/>
      </c>
      <c r="T28" s="13">
        <f>IF(H28="","",H28/9)</f>
        <v/>
      </c>
      <c r="U28" s="13">
        <f>IF(I28="","",I28/9)</f>
        <v/>
      </c>
      <c r="V28" s="13">
        <f>IF(J28="","",J28/9)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4" t="n"/>
      <c r="H29" s="14" t="n"/>
      <c r="I29" s="14" t="n"/>
      <c r="J29" s="14" t="n"/>
      <c r="K29" s="13">
        <f>IF(COUNT(C29:J29)&lt;8,"",SUM(C29:J29))</f>
        <v/>
      </c>
      <c r="L29" s="13">
        <f>IF(COUNT(C29:J29)&lt;8,"",K29/71)</f>
        <v/>
      </c>
      <c r="M29" s="13">
        <f>IF(COUNT(C29:J29)&lt;8,"",IF(L29&gt;=0.8,"Green",IF(L29&gt;=0.5,"Yellow","Red")))</f>
        <v/>
      </c>
      <c r="N29" s="13">
        <f>IF(COUNT(C29:J29)&lt;8,"",IF(M29="Green","Well done! "&amp;Parameters!$C$146,"Revise: "&amp;_xlfn.TEXTJOIN(", ",TRUE(),IF(O29&lt;1,Parameters!$A$133,""),IF(P29&lt;1,Parameters!$A$134,""),IF(Q29&lt;1,Parameters!$A$135,""),IF(R29&lt;1,Parameters!$A$136,""),IF(S29&lt;1,Parameters!$A$137,""),IF(T29&lt;1,Parameters!$A$138,""),IF(U29&lt;1,Parameters!$A$139,""),IF(V29&lt;1,Parameters!$A$140,""))))</f>
        <v/>
      </c>
      <c r="O29" s="13">
        <f>IF(C29="","",C29/9)</f>
        <v/>
      </c>
      <c r="P29" s="13">
        <f>IF(D29="","",D29/9)</f>
        <v/>
      </c>
      <c r="Q29" s="13">
        <f>IF(E29="","",E29/9)</f>
        <v/>
      </c>
      <c r="R29" s="13">
        <f>IF(F29="","",F29/8)</f>
        <v/>
      </c>
      <c r="S29" s="13">
        <f>IF(G29="","",G29/9)</f>
        <v/>
      </c>
      <c r="T29" s="13">
        <f>IF(H29="","",H29/9)</f>
        <v/>
      </c>
      <c r="U29" s="13">
        <f>IF(I29="","",I29/9)</f>
        <v/>
      </c>
      <c r="V29" s="13">
        <f>IF(J29="","",J29/9)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4" t="n"/>
      <c r="H30" s="14" t="n"/>
      <c r="I30" s="14" t="n"/>
      <c r="J30" s="14" t="n"/>
      <c r="K30" s="13">
        <f>IF(COUNT(C30:J30)&lt;8,"",SUM(C30:J30))</f>
        <v/>
      </c>
      <c r="L30" s="13">
        <f>IF(COUNT(C30:J30)&lt;8,"",K30/71)</f>
        <v/>
      </c>
      <c r="M30" s="13">
        <f>IF(COUNT(C30:J30)&lt;8,"",IF(L30&gt;=0.8,"Green",IF(L30&gt;=0.5,"Yellow","Red")))</f>
        <v/>
      </c>
      <c r="N30" s="13">
        <f>IF(COUNT(C30:J30)&lt;8,"",IF(M30="Green","Well done! "&amp;Parameters!$C$146,"Revise: "&amp;_xlfn.TEXTJOIN(", ",TRUE(),IF(O30&lt;1,Parameters!$A$133,""),IF(P30&lt;1,Parameters!$A$134,""),IF(Q30&lt;1,Parameters!$A$135,""),IF(R30&lt;1,Parameters!$A$136,""),IF(S30&lt;1,Parameters!$A$137,""),IF(T30&lt;1,Parameters!$A$138,""),IF(U30&lt;1,Parameters!$A$139,""),IF(V30&lt;1,Parameters!$A$140,""))))</f>
        <v/>
      </c>
      <c r="O30" s="13">
        <f>IF(C30="","",C30/9)</f>
        <v/>
      </c>
      <c r="P30" s="13">
        <f>IF(D30="","",D30/9)</f>
        <v/>
      </c>
      <c r="Q30" s="13">
        <f>IF(E30="","",E30/9)</f>
        <v/>
      </c>
      <c r="R30" s="13">
        <f>IF(F30="","",F30/8)</f>
        <v/>
      </c>
      <c r="S30" s="13">
        <f>IF(G30="","",G30/9)</f>
        <v/>
      </c>
      <c r="T30" s="13">
        <f>IF(H30="","",H30/9)</f>
        <v/>
      </c>
      <c r="U30" s="13">
        <f>IF(I30="","",I30/9)</f>
        <v/>
      </c>
      <c r="V30" s="13">
        <f>IF(J30="","",J30/9)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4" t="n"/>
      <c r="H31" s="14" t="n"/>
      <c r="I31" s="14" t="n"/>
      <c r="J31" s="14" t="n"/>
      <c r="K31" s="13">
        <f>IF(COUNT(C31:J31)&lt;8,"",SUM(C31:J31))</f>
        <v/>
      </c>
      <c r="L31" s="13">
        <f>IF(COUNT(C31:J31)&lt;8,"",K31/71)</f>
        <v/>
      </c>
      <c r="M31" s="13">
        <f>IF(COUNT(C31:J31)&lt;8,"",IF(L31&gt;=0.8,"Green",IF(L31&gt;=0.5,"Yellow","Red")))</f>
        <v/>
      </c>
      <c r="N31" s="13">
        <f>IF(COUNT(C31:J31)&lt;8,"",IF(M31="Green","Well done! "&amp;Parameters!$C$146,"Revise: "&amp;_xlfn.TEXTJOIN(", ",TRUE(),IF(O31&lt;1,Parameters!$A$133,""),IF(P31&lt;1,Parameters!$A$134,""),IF(Q31&lt;1,Parameters!$A$135,""),IF(R31&lt;1,Parameters!$A$136,""),IF(S31&lt;1,Parameters!$A$137,""),IF(T31&lt;1,Parameters!$A$138,""),IF(U31&lt;1,Parameters!$A$139,""),IF(V31&lt;1,Parameters!$A$140,""))))</f>
        <v/>
      </c>
      <c r="O31" s="13">
        <f>IF(C31="","",C31/9)</f>
        <v/>
      </c>
      <c r="P31" s="13">
        <f>IF(D31="","",D31/9)</f>
        <v/>
      </c>
      <c r="Q31" s="13">
        <f>IF(E31="","",E31/9)</f>
        <v/>
      </c>
      <c r="R31" s="13">
        <f>IF(F31="","",F31/8)</f>
        <v/>
      </c>
      <c r="S31" s="13">
        <f>IF(G31="","",G31/9)</f>
        <v/>
      </c>
      <c r="T31" s="13">
        <f>IF(H31="","",H31/9)</f>
        <v/>
      </c>
      <c r="U31" s="13">
        <f>IF(I31="","",I31/9)</f>
        <v/>
      </c>
      <c r="V31" s="13">
        <f>IF(J31="","",J31/9)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4" t="n"/>
      <c r="H32" s="14" t="n"/>
      <c r="I32" s="14" t="n"/>
      <c r="J32" s="14" t="n"/>
      <c r="K32" s="13">
        <f>IF(COUNT(C32:J32)&lt;8,"",SUM(C32:J32))</f>
        <v/>
      </c>
      <c r="L32" s="13">
        <f>IF(COUNT(C32:J32)&lt;8,"",K32/71)</f>
        <v/>
      </c>
      <c r="M32" s="13">
        <f>IF(COUNT(C32:J32)&lt;8,"",IF(L32&gt;=0.8,"Green",IF(L32&gt;=0.5,"Yellow","Red")))</f>
        <v/>
      </c>
      <c r="N32" s="13">
        <f>IF(COUNT(C32:J32)&lt;8,"",IF(M32="Green","Well done! "&amp;Parameters!$C$146,"Revise: "&amp;_xlfn.TEXTJOIN(", ",TRUE(),IF(O32&lt;1,Parameters!$A$133,""),IF(P32&lt;1,Parameters!$A$134,""),IF(Q32&lt;1,Parameters!$A$135,""),IF(R32&lt;1,Parameters!$A$136,""),IF(S32&lt;1,Parameters!$A$137,""),IF(T32&lt;1,Parameters!$A$138,""),IF(U32&lt;1,Parameters!$A$139,""),IF(V32&lt;1,Parameters!$A$140,""))))</f>
        <v/>
      </c>
      <c r="O32" s="13">
        <f>IF(C32="","",C32/9)</f>
        <v/>
      </c>
      <c r="P32" s="13">
        <f>IF(D32="","",D32/9)</f>
        <v/>
      </c>
      <c r="Q32" s="13">
        <f>IF(E32="","",E32/9)</f>
        <v/>
      </c>
      <c r="R32" s="13">
        <f>IF(F32="","",F32/8)</f>
        <v/>
      </c>
      <c r="S32" s="13">
        <f>IF(G32="","",G32/9)</f>
        <v/>
      </c>
      <c r="T32" s="13">
        <f>IF(H32="","",H32/9)</f>
        <v/>
      </c>
      <c r="U32" s="13">
        <f>IF(I32="","",I32/9)</f>
        <v/>
      </c>
      <c r="V32" s="13">
        <f>IF(J32="","",J32/9)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4" t="n"/>
      <c r="H33" s="14" t="n"/>
      <c r="I33" s="14" t="n"/>
      <c r="J33" s="14" t="n"/>
      <c r="K33" s="13">
        <f>IF(COUNT(C33:J33)&lt;8,"",SUM(C33:J33))</f>
        <v/>
      </c>
      <c r="L33" s="13">
        <f>IF(COUNT(C33:J33)&lt;8,"",K33/71)</f>
        <v/>
      </c>
      <c r="M33" s="13">
        <f>IF(COUNT(C33:J33)&lt;8,"",IF(L33&gt;=0.8,"Green",IF(L33&gt;=0.5,"Yellow","Red")))</f>
        <v/>
      </c>
      <c r="N33" s="13">
        <f>IF(COUNT(C33:J33)&lt;8,"",IF(M33="Green","Well done! "&amp;Parameters!$C$146,"Revise: "&amp;_xlfn.TEXTJOIN(", ",TRUE(),IF(O33&lt;1,Parameters!$A$133,""),IF(P33&lt;1,Parameters!$A$134,""),IF(Q33&lt;1,Parameters!$A$135,""),IF(R33&lt;1,Parameters!$A$136,""),IF(S33&lt;1,Parameters!$A$137,""),IF(T33&lt;1,Parameters!$A$138,""),IF(U33&lt;1,Parameters!$A$139,""),IF(V33&lt;1,Parameters!$A$140,""))))</f>
        <v/>
      </c>
      <c r="O33" s="13">
        <f>IF(C33="","",C33/9)</f>
        <v/>
      </c>
      <c r="P33" s="13">
        <f>IF(D33="","",D33/9)</f>
        <v/>
      </c>
      <c r="Q33" s="13">
        <f>IF(E33="","",E33/9)</f>
        <v/>
      </c>
      <c r="R33" s="13">
        <f>IF(F33="","",F33/8)</f>
        <v/>
      </c>
      <c r="S33" s="13">
        <f>IF(G33="","",G33/9)</f>
        <v/>
      </c>
      <c r="T33" s="13">
        <f>IF(H33="","",H33/9)</f>
        <v/>
      </c>
      <c r="U33" s="13">
        <f>IF(I33="","",I33/9)</f>
        <v/>
      </c>
      <c r="V33" s="13">
        <f>IF(J33="","",J33/9)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4" t="n"/>
      <c r="H34" s="14" t="n"/>
      <c r="I34" s="14" t="n"/>
      <c r="J34" s="14" t="n"/>
      <c r="K34" s="13">
        <f>IF(COUNT(C34:J34)&lt;8,"",SUM(C34:J34))</f>
        <v/>
      </c>
      <c r="L34" s="13">
        <f>IF(COUNT(C34:J34)&lt;8,"",K34/71)</f>
        <v/>
      </c>
      <c r="M34" s="13">
        <f>IF(COUNT(C34:J34)&lt;8,"",IF(L34&gt;=0.8,"Green",IF(L34&gt;=0.5,"Yellow","Red")))</f>
        <v/>
      </c>
      <c r="N34" s="13">
        <f>IF(COUNT(C34:J34)&lt;8,"",IF(M34="Green","Well done! "&amp;Parameters!$C$146,"Revise: "&amp;_xlfn.TEXTJOIN(", ",TRUE(),IF(O34&lt;1,Parameters!$A$133,""),IF(P34&lt;1,Parameters!$A$134,""),IF(Q34&lt;1,Parameters!$A$135,""),IF(R34&lt;1,Parameters!$A$136,""),IF(S34&lt;1,Parameters!$A$137,""),IF(T34&lt;1,Parameters!$A$138,""),IF(U34&lt;1,Parameters!$A$139,""),IF(V34&lt;1,Parameters!$A$140,""))))</f>
        <v/>
      </c>
      <c r="O34" s="13">
        <f>IF(C34="","",C34/9)</f>
        <v/>
      </c>
      <c r="P34" s="13">
        <f>IF(D34="","",D34/9)</f>
        <v/>
      </c>
      <c r="Q34" s="13">
        <f>IF(E34="","",E34/9)</f>
        <v/>
      </c>
      <c r="R34" s="13">
        <f>IF(F34="","",F34/8)</f>
        <v/>
      </c>
      <c r="S34" s="13">
        <f>IF(G34="","",G34/9)</f>
        <v/>
      </c>
      <c r="T34" s="13">
        <f>IF(H34="","",H34/9)</f>
        <v/>
      </c>
      <c r="U34" s="13">
        <f>IF(I34="","",I34/9)</f>
        <v/>
      </c>
      <c r="V34" s="13">
        <f>IF(J34="","",J34/9)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4" t="n"/>
      <c r="H35" s="14" t="n"/>
      <c r="I35" s="14" t="n"/>
      <c r="J35" s="14" t="n"/>
      <c r="K35" s="13">
        <f>IF(COUNT(C35:J35)&lt;8,"",SUM(C35:J35))</f>
        <v/>
      </c>
      <c r="L35" s="13">
        <f>IF(COUNT(C35:J35)&lt;8,"",K35/71)</f>
        <v/>
      </c>
      <c r="M35" s="13">
        <f>IF(COUNT(C35:J35)&lt;8,"",IF(L35&gt;=0.8,"Green",IF(L35&gt;=0.5,"Yellow","Red")))</f>
        <v/>
      </c>
      <c r="N35" s="13">
        <f>IF(COUNT(C35:J35)&lt;8,"",IF(M35="Green","Well done! "&amp;Parameters!$C$146,"Revise: "&amp;_xlfn.TEXTJOIN(", ",TRUE(),IF(O35&lt;1,Parameters!$A$133,""),IF(P35&lt;1,Parameters!$A$134,""),IF(Q35&lt;1,Parameters!$A$135,""),IF(R35&lt;1,Parameters!$A$136,""),IF(S35&lt;1,Parameters!$A$137,""),IF(T35&lt;1,Parameters!$A$138,""),IF(U35&lt;1,Parameters!$A$139,""),IF(V35&lt;1,Parameters!$A$140,""))))</f>
        <v/>
      </c>
      <c r="O35" s="13">
        <f>IF(C35="","",C35/9)</f>
        <v/>
      </c>
      <c r="P35" s="13">
        <f>IF(D35="","",D35/9)</f>
        <v/>
      </c>
      <c r="Q35" s="13">
        <f>IF(E35="","",E35/9)</f>
        <v/>
      </c>
      <c r="R35" s="13">
        <f>IF(F35="","",F35/8)</f>
        <v/>
      </c>
      <c r="S35" s="13">
        <f>IF(G35="","",G35/9)</f>
        <v/>
      </c>
      <c r="T35" s="13">
        <f>IF(H35="","",H35/9)</f>
        <v/>
      </c>
      <c r="U35" s="13">
        <f>IF(I35="","",I35/9)</f>
        <v/>
      </c>
      <c r="V35" s="13">
        <f>IF(J35="","",J35/9)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4" t="n"/>
      <c r="H36" s="14" t="n"/>
      <c r="I36" s="14" t="n"/>
      <c r="J36" s="14" t="n"/>
      <c r="K36" s="13">
        <f>IF(COUNT(C36:J36)&lt;8,"",SUM(C36:J36))</f>
        <v/>
      </c>
      <c r="L36" s="13">
        <f>IF(COUNT(C36:J36)&lt;8,"",K36/71)</f>
        <v/>
      </c>
      <c r="M36" s="13">
        <f>IF(COUNT(C36:J36)&lt;8,"",IF(L36&gt;=0.8,"Green",IF(L36&gt;=0.5,"Yellow","Red")))</f>
        <v/>
      </c>
      <c r="N36" s="13">
        <f>IF(COUNT(C36:J36)&lt;8,"",IF(M36="Green","Well done! "&amp;Parameters!$C$146,"Revise: "&amp;_xlfn.TEXTJOIN(", ",TRUE(),IF(O36&lt;1,Parameters!$A$133,""),IF(P36&lt;1,Parameters!$A$134,""),IF(Q36&lt;1,Parameters!$A$135,""),IF(R36&lt;1,Parameters!$A$136,""),IF(S36&lt;1,Parameters!$A$137,""),IF(T36&lt;1,Parameters!$A$138,""),IF(U36&lt;1,Parameters!$A$139,""),IF(V36&lt;1,Parameters!$A$140,""))))</f>
        <v/>
      </c>
      <c r="O36" s="13">
        <f>IF(C36="","",C36/9)</f>
        <v/>
      </c>
      <c r="P36" s="13">
        <f>IF(D36="","",D36/9)</f>
        <v/>
      </c>
      <c r="Q36" s="13">
        <f>IF(E36="","",E36/9)</f>
        <v/>
      </c>
      <c r="R36" s="13">
        <f>IF(F36="","",F36/8)</f>
        <v/>
      </c>
      <c r="S36" s="13">
        <f>IF(G36="","",G36/9)</f>
        <v/>
      </c>
      <c r="T36" s="13">
        <f>IF(H36="","",H36/9)</f>
        <v/>
      </c>
      <c r="U36" s="13">
        <f>IF(I36="","",I36/9)</f>
        <v/>
      </c>
      <c r="V36" s="13">
        <f>IF(J36="","",J36/9)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4" t="n"/>
      <c r="H37" s="14" t="n"/>
      <c r="I37" s="14" t="n"/>
      <c r="J37" s="14" t="n"/>
      <c r="K37" s="13">
        <f>IF(COUNT(C37:J37)&lt;8,"",SUM(C37:J37))</f>
        <v/>
      </c>
      <c r="L37" s="13">
        <f>IF(COUNT(C37:J37)&lt;8,"",K37/71)</f>
        <v/>
      </c>
      <c r="M37" s="13">
        <f>IF(COUNT(C37:J37)&lt;8,"",IF(L37&gt;=0.8,"Green",IF(L37&gt;=0.5,"Yellow","Red")))</f>
        <v/>
      </c>
      <c r="N37" s="13">
        <f>IF(COUNT(C37:J37)&lt;8,"",IF(M37="Green","Well done! "&amp;Parameters!$C$146,"Revise: "&amp;_xlfn.TEXTJOIN(", ",TRUE(),IF(O37&lt;1,Parameters!$A$133,""),IF(P37&lt;1,Parameters!$A$134,""),IF(Q37&lt;1,Parameters!$A$135,""),IF(R37&lt;1,Parameters!$A$136,""),IF(S37&lt;1,Parameters!$A$137,""),IF(T37&lt;1,Parameters!$A$138,""),IF(U37&lt;1,Parameters!$A$139,""),IF(V37&lt;1,Parameters!$A$140,""))))</f>
        <v/>
      </c>
      <c r="O37" s="13">
        <f>IF(C37="","",C37/9)</f>
        <v/>
      </c>
      <c r="P37" s="13">
        <f>IF(D37="","",D37/9)</f>
        <v/>
      </c>
      <c r="Q37" s="13">
        <f>IF(E37="","",E37/9)</f>
        <v/>
      </c>
      <c r="R37" s="13">
        <f>IF(F37="","",F37/8)</f>
        <v/>
      </c>
      <c r="S37" s="13">
        <f>IF(G37="","",G37/9)</f>
        <v/>
      </c>
      <c r="T37" s="13">
        <f>IF(H37="","",H37/9)</f>
        <v/>
      </c>
      <c r="U37" s="13">
        <f>IF(I37="","",I37/9)</f>
        <v/>
      </c>
      <c r="V37" s="13">
        <f>IF(J37="","",J37/9)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4" t="n"/>
      <c r="H38" s="14" t="n"/>
      <c r="I38" s="14" t="n"/>
      <c r="J38" s="14" t="n"/>
      <c r="K38" s="13">
        <f>IF(COUNT(C38:J38)&lt;8,"",SUM(C38:J38))</f>
        <v/>
      </c>
      <c r="L38" s="13">
        <f>IF(COUNT(C38:J38)&lt;8,"",K38/71)</f>
        <v/>
      </c>
      <c r="M38" s="13">
        <f>IF(COUNT(C38:J38)&lt;8,"",IF(L38&gt;=0.8,"Green",IF(L38&gt;=0.5,"Yellow","Red")))</f>
        <v/>
      </c>
      <c r="N38" s="13">
        <f>IF(COUNT(C38:J38)&lt;8,"",IF(M38="Green","Well done! "&amp;Parameters!$C$146,"Revise: "&amp;_xlfn.TEXTJOIN(", ",TRUE(),IF(O38&lt;1,Parameters!$A$133,""),IF(P38&lt;1,Parameters!$A$134,""),IF(Q38&lt;1,Parameters!$A$135,""),IF(R38&lt;1,Parameters!$A$136,""),IF(S38&lt;1,Parameters!$A$137,""),IF(T38&lt;1,Parameters!$A$138,""),IF(U38&lt;1,Parameters!$A$139,""),IF(V38&lt;1,Parameters!$A$140,""))))</f>
        <v/>
      </c>
      <c r="O38" s="13">
        <f>IF(C38="","",C38/9)</f>
        <v/>
      </c>
      <c r="P38" s="13">
        <f>IF(D38="","",D38/9)</f>
        <v/>
      </c>
      <c r="Q38" s="13">
        <f>IF(E38="","",E38/9)</f>
        <v/>
      </c>
      <c r="R38" s="13">
        <f>IF(F38="","",F38/8)</f>
        <v/>
      </c>
      <c r="S38" s="13">
        <f>IF(G38="","",G38/9)</f>
        <v/>
      </c>
      <c r="T38" s="13">
        <f>IF(H38="","",H38/9)</f>
        <v/>
      </c>
      <c r="U38" s="13">
        <f>IF(I38="","",I38/9)</f>
        <v/>
      </c>
      <c r="V38" s="13">
        <f>IF(J38="","",J38/9)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4" t="n"/>
      <c r="H39" s="14" t="n"/>
      <c r="I39" s="14" t="n"/>
      <c r="J39" s="14" t="n"/>
      <c r="K39" s="13">
        <f>IF(COUNT(C39:J39)&lt;8,"",SUM(C39:J39))</f>
        <v/>
      </c>
      <c r="L39" s="13">
        <f>IF(COUNT(C39:J39)&lt;8,"",K39/71)</f>
        <v/>
      </c>
      <c r="M39" s="13">
        <f>IF(COUNT(C39:J39)&lt;8,"",IF(L39&gt;=0.8,"Green",IF(L39&gt;=0.5,"Yellow","Red")))</f>
        <v/>
      </c>
      <c r="N39" s="13">
        <f>IF(COUNT(C39:J39)&lt;8,"",IF(M39="Green","Well done! "&amp;Parameters!$C$146,"Revise: "&amp;_xlfn.TEXTJOIN(", ",TRUE(),IF(O39&lt;1,Parameters!$A$133,""),IF(P39&lt;1,Parameters!$A$134,""),IF(Q39&lt;1,Parameters!$A$135,""),IF(R39&lt;1,Parameters!$A$136,""),IF(S39&lt;1,Parameters!$A$137,""),IF(T39&lt;1,Parameters!$A$138,""),IF(U39&lt;1,Parameters!$A$139,""),IF(V39&lt;1,Parameters!$A$140,""))))</f>
        <v/>
      </c>
      <c r="O39" s="13">
        <f>IF(C39="","",C39/9)</f>
        <v/>
      </c>
      <c r="P39" s="13">
        <f>IF(D39="","",D39/9)</f>
        <v/>
      </c>
      <c r="Q39" s="13">
        <f>IF(E39="","",E39/9)</f>
        <v/>
      </c>
      <c r="R39" s="13">
        <f>IF(F39="","",F39/8)</f>
        <v/>
      </c>
      <c r="S39" s="13">
        <f>IF(G39="","",G39/9)</f>
        <v/>
      </c>
      <c r="T39" s="13">
        <f>IF(H39="","",H39/9)</f>
        <v/>
      </c>
      <c r="U39" s="13">
        <f>IF(I39="","",I39/9)</f>
        <v/>
      </c>
      <c r="V39" s="13">
        <f>IF(J39="","",J39/9)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4" t="n"/>
      <c r="H40" s="14" t="n"/>
      <c r="I40" s="14" t="n"/>
      <c r="J40" s="14" t="n"/>
      <c r="K40" s="13">
        <f>IF(COUNT(C40:J40)&lt;8,"",SUM(C40:J40))</f>
        <v/>
      </c>
      <c r="L40" s="13">
        <f>IF(COUNT(C40:J40)&lt;8,"",K40/71)</f>
        <v/>
      </c>
      <c r="M40" s="13">
        <f>IF(COUNT(C40:J40)&lt;8,"",IF(L40&gt;=0.8,"Green",IF(L40&gt;=0.5,"Yellow","Red")))</f>
        <v/>
      </c>
      <c r="N40" s="13">
        <f>IF(COUNT(C40:J40)&lt;8,"",IF(M40="Green","Well done! "&amp;Parameters!$C$146,"Revise: "&amp;_xlfn.TEXTJOIN(", ",TRUE(),IF(O40&lt;1,Parameters!$A$133,""),IF(P40&lt;1,Parameters!$A$134,""),IF(Q40&lt;1,Parameters!$A$135,""),IF(R40&lt;1,Parameters!$A$136,""),IF(S40&lt;1,Parameters!$A$137,""),IF(T40&lt;1,Parameters!$A$138,""),IF(U40&lt;1,Parameters!$A$139,""),IF(V40&lt;1,Parameters!$A$140,""))))</f>
        <v/>
      </c>
      <c r="O40" s="13">
        <f>IF(C40="","",C40/9)</f>
        <v/>
      </c>
      <c r="P40" s="13">
        <f>IF(D40="","",D40/9)</f>
        <v/>
      </c>
      <c r="Q40" s="13">
        <f>IF(E40="","",E40/9)</f>
        <v/>
      </c>
      <c r="R40" s="13">
        <f>IF(F40="","",F40/8)</f>
        <v/>
      </c>
      <c r="S40" s="13">
        <f>IF(G40="","",G40/9)</f>
        <v/>
      </c>
      <c r="T40" s="13">
        <f>IF(H40="","",H40/9)</f>
        <v/>
      </c>
      <c r="U40" s="13">
        <f>IF(I40="","",I40/9)</f>
        <v/>
      </c>
      <c r="V40" s="13">
        <f>IF(J40="","",J40/9)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4" t="n"/>
      <c r="H41" s="14" t="n"/>
      <c r="I41" s="14" t="n"/>
      <c r="J41" s="14" t="n"/>
      <c r="K41" s="13">
        <f>IF(COUNT(C41:J41)&lt;8,"",SUM(C41:J41))</f>
        <v/>
      </c>
      <c r="L41" s="13">
        <f>IF(COUNT(C41:J41)&lt;8,"",K41/71)</f>
        <v/>
      </c>
      <c r="M41" s="13">
        <f>IF(COUNT(C41:J41)&lt;8,"",IF(L41&gt;=0.8,"Green",IF(L41&gt;=0.5,"Yellow","Red")))</f>
        <v/>
      </c>
      <c r="N41" s="13">
        <f>IF(COUNT(C41:J41)&lt;8,"",IF(M41="Green","Well done! "&amp;Parameters!$C$146,"Revise: "&amp;_xlfn.TEXTJOIN(", ",TRUE(),IF(O41&lt;1,Parameters!$A$133,""),IF(P41&lt;1,Parameters!$A$134,""),IF(Q41&lt;1,Parameters!$A$135,""),IF(R41&lt;1,Parameters!$A$136,""),IF(S41&lt;1,Parameters!$A$137,""),IF(T41&lt;1,Parameters!$A$138,""),IF(U41&lt;1,Parameters!$A$139,""),IF(V41&lt;1,Parameters!$A$140,""))))</f>
        <v/>
      </c>
      <c r="O41" s="13">
        <f>IF(C41="","",C41/9)</f>
        <v/>
      </c>
      <c r="P41" s="13">
        <f>IF(D41="","",D41/9)</f>
        <v/>
      </c>
      <c r="Q41" s="13">
        <f>IF(E41="","",E41/9)</f>
        <v/>
      </c>
      <c r="R41" s="13">
        <f>IF(F41="","",F41/8)</f>
        <v/>
      </c>
      <c r="S41" s="13">
        <f>IF(G41="","",G41/9)</f>
        <v/>
      </c>
      <c r="T41" s="13">
        <f>IF(H41="","",H41/9)</f>
        <v/>
      </c>
      <c r="U41" s="13">
        <f>IF(I41="","",I41/9)</f>
        <v/>
      </c>
      <c r="V41" s="13">
        <f>IF(J41="","",J41/9)</f>
        <v/>
      </c>
    </row>
  </sheetData>
  <conditionalFormatting sqref="C11">
    <cfRule type="expression" priority="1" dxfId="0">
      <formula>AND(COUNT(C11:J11)=8,C11=9)</formula>
    </cfRule>
    <cfRule type="expression" priority="2" dxfId="1">
      <formula>AND(COUNT(C11:J11)=8,C11&lt;9*0.4)</formula>
    </cfRule>
    <cfRule type="expression" priority="3" dxfId="2">
      <formula>AND(COUNT(C11:J11)=8,C11&gt;=9*0.4,C11&lt;9)</formula>
    </cfRule>
  </conditionalFormatting>
  <conditionalFormatting sqref="C12">
    <cfRule type="expression" priority="4" dxfId="0">
      <formula>AND(COUNT(C12:J12)=8,C12=9)</formula>
    </cfRule>
    <cfRule type="expression" priority="5" dxfId="1">
      <formula>AND(COUNT(C12:J12)=8,C12&lt;9*0.4)</formula>
    </cfRule>
    <cfRule type="expression" priority="6" dxfId="2">
      <formula>AND(COUNT(C12:J12)=8,C12&gt;=9*0.4,C12&lt;9)</formula>
    </cfRule>
  </conditionalFormatting>
  <conditionalFormatting sqref="C13">
    <cfRule type="expression" priority="7" dxfId="0">
      <formula>AND(COUNT(C13:J13)=8,C13=9)</formula>
    </cfRule>
    <cfRule type="expression" priority="8" dxfId="1">
      <formula>AND(COUNT(C13:J13)=8,C13&lt;9*0.4)</formula>
    </cfRule>
    <cfRule type="expression" priority="9" dxfId="2">
      <formula>AND(COUNT(C13:J13)=8,C13&gt;=9*0.4,C13&lt;9)</formula>
    </cfRule>
  </conditionalFormatting>
  <conditionalFormatting sqref="C14">
    <cfRule type="expression" priority="10" dxfId="0">
      <formula>AND(COUNT(C14:J14)=8,C14=9)</formula>
    </cfRule>
    <cfRule type="expression" priority="11" dxfId="1">
      <formula>AND(COUNT(C14:J14)=8,C14&lt;9*0.4)</formula>
    </cfRule>
    <cfRule type="expression" priority="12" dxfId="2">
      <formula>AND(COUNT(C14:J14)=8,C14&gt;=9*0.4,C14&lt;9)</formula>
    </cfRule>
  </conditionalFormatting>
  <conditionalFormatting sqref="C15">
    <cfRule type="expression" priority="13" dxfId="0">
      <formula>AND(COUNT(C15:J15)=8,C15=9)</formula>
    </cfRule>
    <cfRule type="expression" priority="14" dxfId="1">
      <formula>AND(COUNT(C15:J15)=8,C15&lt;9*0.4)</formula>
    </cfRule>
    <cfRule type="expression" priority="15" dxfId="2">
      <formula>AND(COUNT(C15:J15)=8,C15&gt;=9*0.4,C15&lt;9)</formula>
    </cfRule>
  </conditionalFormatting>
  <conditionalFormatting sqref="C16">
    <cfRule type="expression" priority="16" dxfId="0">
      <formula>AND(COUNT(C16:J16)=8,C16=9)</formula>
    </cfRule>
    <cfRule type="expression" priority="17" dxfId="1">
      <formula>AND(COUNT(C16:J16)=8,C16&lt;9*0.4)</formula>
    </cfRule>
    <cfRule type="expression" priority="18" dxfId="2">
      <formula>AND(COUNT(C16:J16)=8,C16&gt;=9*0.4,C16&lt;9)</formula>
    </cfRule>
  </conditionalFormatting>
  <conditionalFormatting sqref="C17">
    <cfRule type="expression" priority="19" dxfId="0">
      <formula>AND(COUNT(C17:J17)=8,C17=9)</formula>
    </cfRule>
    <cfRule type="expression" priority="20" dxfId="1">
      <formula>AND(COUNT(C17:J17)=8,C17&lt;9*0.4)</formula>
    </cfRule>
    <cfRule type="expression" priority="21" dxfId="2">
      <formula>AND(COUNT(C17:J17)=8,C17&gt;=9*0.4,C17&lt;9)</formula>
    </cfRule>
  </conditionalFormatting>
  <conditionalFormatting sqref="C18">
    <cfRule type="expression" priority="22" dxfId="0">
      <formula>AND(COUNT(C18:J18)=8,C18=9)</formula>
    </cfRule>
    <cfRule type="expression" priority="23" dxfId="1">
      <formula>AND(COUNT(C18:J18)=8,C18&lt;9*0.4)</formula>
    </cfRule>
    <cfRule type="expression" priority="24" dxfId="2">
      <formula>AND(COUNT(C18:J18)=8,C18&gt;=9*0.4,C18&lt;9)</formula>
    </cfRule>
  </conditionalFormatting>
  <conditionalFormatting sqref="C19">
    <cfRule type="expression" priority="25" dxfId="0">
      <formula>AND(COUNT(C19:J19)=8,C19=9)</formula>
    </cfRule>
    <cfRule type="expression" priority="26" dxfId="1">
      <formula>AND(COUNT(C19:J19)=8,C19&lt;9*0.4)</formula>
    </cfRule>
    <cfRule type="expression" priority="27" dxfId="2">
      <formula>AND(COUNT(C19:J19)=8,C19&gt;=9*0.4,C19&lt;9)</formula>
    </cfRule>
  </conditionalFormatting>
  <conditionalFormatting sqref="C20">
    <cfRule type="expression" priority="28" dxfId="0">
      <formula>AND(COUNT(C20:J20)=8,C20=9)</formula>
    </cfRule>
    <cfRule type="expression" priority="29" dxfId="1">
      <formula>AND(COUNT(C20:J20)=8,C20&lt;9*0.4)</formula>
    </cfRule>
    <cfRule type="expression" priority="30" dxfId="2">
      <formula>AND(COUNT(C20:J20)=8,C20&gt;=9*0.4,C20&lt;9)</formula>
    </cfRule>
  </conditionalFormatting>
  <conditionalFormatting sqref="C21">
    <cfRule type="expression" priority="31" dxfId="0">
      <formula>AND(COUNT(C21:J21)=8,C21=9)</formula>
    </cfRule>
    <cfRule type="expression" priority="32" dxfId="1">
      <formula>AND(COUNT(C21:J21)=8,C21&lt;9*0.4)</formula>
    </cfRule>
    <cfRule type="expression" priority="33" dxfId="2">
      <formula>AND(COUNT(C21:J21)=8,C21&gt;=9*0.4,C21&lt;9)</formula>
    </cfRule>
  </conditionalFormatting>
  <conditionalFormatting sqref="C22">
    <cfRule type="expression" priority="34" dxfId="0">
      <formula>AND(COUNT(C22:J22)=8,C22=9)</formula>
    </cfRule>
    <cfRule type="expression" priority="35" dxfId="1">
      <formula>AND(COUNT(C22:J22)=8,C22&lt;9*0.4)</formula>
    </cfRule>
    <cfRule type="expression" priority="36" dxfId="2">
      <formula>AND(COUNT(C22:J22)=8,C22&gt;=9*0.4,C22&lt;9)</formula>
    </cfRule>
  </conditionalFormatting>
  <conditionalFormatting sqref="C23">
    <cfRule type="expression" priority="37" dxfId="0">
      <formula>AND(COUNT(C23:J23)=8,C23=9)</formula>
    </cfRule>
    <cfRule type="expression" priority="38" dxfId="1">
      <formula>AND(COUNT(C23:J23)=8,C23&lt;9*0.4)</formula>
    </cfRule>
    <cfRule type="expression" priority="39" dxfId="2">
      <formula>AND(COUNT(C23:J23)=8,C23&gt;=9*0.4,C23&lt;9)</formula>
    </cfRule>
  </conditionalFormatting>
  <conditionalFormatting sqref="C24">
    <cfRule type="expression" priority="40" dxfId="0">
      <formula>AND(COUNT(C24:J24)=8,C24=9)</formula>
    </cfRule>
    <cfRule type="expression" priority="41" dxfId="1">
      <formula>AND(COUNT(C24:J24)=8,C24&lt;9*0.4)</formula>
    </cfRule>
    <cfRule type="expression" priority="42" dxfId="2">
      <formula>AND(COUNT(C24:J24)=8,C24&gt;=9*0.4,C24&lt;9)</formula>
    </cfRule>
  </conditionalFormatting>
  <conditionalFormatting sqref="C25">
    <cfRule type="expression" priority="43" dxfId="0">
      <formula>AND(COUNT(C25:J25)=8,C25=9)</formula>
    </cfRule>
    <cfRule type="expression" priority="44" dxfId="1">
      <formula>AND(COUNT(C25:J25)=8,C25&lt;9*0.4)</formula>
    </cfRule>
    <cfRule type="expression" priority="45" dxfId="2">
      <formula>AND(COUNT(C25:J25)=8,C25&gt;=9*0.4,C25&lt;9)</formula>
    </cfRule>
  </conditionalFormatting>
  <conditionalFormatting sqref="C26">
    <cfRule type="expression" priority="46" dxfId="0">
      <formula>AND(COUNT(C26:J26)=8,C26=9)</formula>
    </cfRule>
    <cfRule type="expression" priority="47" dxfId="1">
      <formula>AND(COUNT(C26:J26)=8,C26&lt;9*0.4)</formula>
    </cfRule>
    <cfRule type="expression" priority="48" dxfId="2">
      <formula>AND(COUNT(C26:J26)=8,C26&gt;=9*0.4,C26&lt;9)</formula>
    </cfRule>
  </conditionalFormatting>
  <conditionalFormatting sqref="C27">
    <cfRule type="expression" priority="49" dxfId="0">
      <formula>AND(COUNT(C27:J27)=8,C27=9)</formula>
    </cfRule>
    <cfRule type="expression" priority="50" dxfId="1">
      <formula>AND(COUNT(C27:J27)=8,C27&lt;9*0.4)</formula>
    </cfRule>
    <cfRule type="expression" priority="51" dxfId="2">
      <formula>AND(COUNT(C27:J27)=8,C27&gt;=9*0.4,C27&lt;9)</formula>
    </cfRule>
  </conditionalFormatting>
  <conditionalFormatting sqref="C28">
    <cfRule type="expression" priority="52" dxfId="0">
      <formula>AND(COUNT(C28:J28)=8,C28=9)</formula>
    </cfRule>
    <cfRule type="expression" priority="53" dxfId="1">
      <formula>AND(COUNT(C28:J28)=8,C28&lt;9*0.4)</formula>
    </cfRule>
    <cfRule type="expression" priority="54" dxfId="2">
      <formula>AND(COUNT(C28:J28)=8,C28&gt;=9*0.4,C28&lt;9)</formula>
    </cfRule>
  </conditionalFormatting>
  <conditionalFormatting sqref="C29">
    <cfRule type="expression" priority="55" dxfId="0">
      <formula>AND(COUNT(C29:J29)=8,C29=9)</formula>
    </cfRule>
    <cfRule type="expression" priority="56" dxfId="1">
      <formula>AND(COUNT(C29:J29)=8,C29&lt;9*0.4)</formula>
    </cfRule>
    <cfRule type="expression" priority="57" dxfId="2">
      <formula>AND(COUNT(C29:J29)=8,C29&gt;=9*0.4,C29&lt;9)</formula>
    </cfRule>
  </conditionalFormatting>
  <conditionalFormatting sqref="C30">
    <cfRule type="expression" priority="58" dxfId="0">
      <formula>AND(COUNT(C30:J30)=8,C30=9)</formula>
    </cfRule>
    <cfRule type="expression" priority="59" dxfId="1">
      <formula>AND(COUNT(C30:J30)=8,C30&lt;9*0.4)</formula>
    </cfRule>
    <cfRule type="expression" priority="60" dxfId="2">
      <formula>AND(COUNT(C30:J30)=8,C30&gt;=9*0.4,C30&lt;9)</formula>
    </cfRule>
  </conditionalFormatting>
  <conditionalFormatting sqref="C31">
    <cfRule type="expression" priority="61" dxfId="0">
      <formula>AND(COUNT(C31:J31)=8,C31=9)</formula>
    </cfRule>
    <cfRule type="expression" priority="62" dxfId="1">
      <formula>AND(COUNT(C31:J31)=8,C31&lt;9*0.4)</formula>
    </cfRule>
    <cfRule type="expression" priority="63" dxfId="2">
      <formula>AND(COUNT(C31:J31)=8,C31&gt;=9*0.4,C31&lt;9)</formula>
    </cfRule>
  </conditionalFormatting>
  <conditionalFormatting sqref="C32">
    <cfRule type="expression" priority="64" dxfId="0">
      <formula>AND(COUNT(C32:J32)=8,C32=9)</formula>
    </cfRule>
    <cfRule type="expression" priority="65" dxfId="1">
      <formula>AND(COUNT(C32:J32)=8,C32&lt;9*0.4)</formula>
    </cfRule>
    <cfRule type="expression" priority="66" dxfId="2">
      <formula>AND(COUNT(C32:J32)=8,C32&gt;=9*0.4,C32&lt;9)</formula>
    </cfRule>
  </conditionalFormatting>
  <conditionalFormatting sqref="C33">
    <cfRule type="expression" priority="67" dxfId="0">
      <formula>AND(COUNT(C33:J33)=8,C33=9)</formula>
    </cfRule>
    <cfRule type="expression" priority="68" dxfId="1">
      <formula>AND(COUNT(C33:J33)=8,C33&lt;9*0.4)</formula>
    </cfRule>
    <cfRule type="expression" priority="69" dxfId="2">
      <formula>AND(COUNT(C33:J33)=8,C33&gt;=9*0.4,C33&lt;9)</formula>
    </cfRule>
  </conditionalFormatting>
  <conditionalFormatting sqref="C34">
    <cfRule type="expression" priority="70" dxfId="0">
      <formula>AND(COUNT(C34:J34)=8,C34=9)</formula>
    </cfRule>
    <cfRule type="expression" priority="71" dxfId="1">
      <formula>AND(COUNT(C34:J34)=8,C34&lt;9*0.4)</formula>
    </cfRule>
    <cfRule type="expression" priority="72" dxfId="2">
      <formula>AND(COUNT(C34:J34)=8,C34&gt;=9*0.4,C34&lt;9)</formula>
    </cfRule>
  </conditionalFormatting>
  <conditionalFormatting sqref="C35">
    <cfRule type="expression" priority="73" dxfId="0">
      <formula>AND(COUNT(C35:J35)=8,C35=9)</formula>
    </cfRule>
    <cfRule type="expression" priority="74" dxfId="1">
      <formula>AND(COUNT(C35:J35)=8,C35&lt;9*0.4)</formula>
    </cfRule>
    <cfRule type="expression" priority="75" dxfId="2">
      <formula>AND(COUNT(C35:J35)=8,C35&gt;=9*0.4,C35&lt;9)</formula>
    </cfRule>
  </conditionalFormatting>
  <conditionalFormatting sqref="C36">
    <cfRule type="expression" priority="76" dxfId="0">
      <formula>AND(COUNT(C36:J36)=8,C36=9)</formula>
    </cfRule>
    <cfRule type="expression" priority="77" dxfId="1">
      <formula>AND(COUNT(C36:J36)=8,C36&lt;9*0.4)</formula>
    </cfRule>
    <cfRule type="expression" priority="78" dxfId="2">
      <formula>AND(COUNT(C36:J36)=8,C36&gt;=9*0.4,C36&lt;9)</formula>
    </cfRule>
  </conditionalFormatting>
  <conditionalFormatting sqref="C37">
    <cfRule type="expression" priority="79" dxfId="0">
      <formula>AND(COUNT(C37:J37)=8,C37=9)</formula>
    </cfRule>
    <cfRule type="expression" priority="80" dxfId="1">
      <formula>AND(COUNT(C37:J37)=8,C37&lt;9*0.4)</formula>
    </cfRule>
    <cfRule type="expression" priority="81" dxfId="2">
      <formula>AND(COUNT(C37:J37)=8,C37&gt;=9*0.4,C37&lt;9)</formula>
    </cfRule>
  </conditionalFormatting>
  <conditionalFormatting sqref="C38">
    <cfRule type="expression" priority="82" dxfId="0">
      <formula>AND(COUNT(C38:J38)=8,C38=9)</formula>
    </cfRule>
    <cfRule type="expression" priority="83" dxfId="1">
      <formula>AND(COUNT(C38:J38)=8,C38&lt;9*0.4)</formula>
    </cfRule>
    <cfRule type="expression" priority="84" dxfId="2">
      <formula>AND(COUNT(C38:J38)=8,C38&gt;=9*0.4,C38&lt;9)</formula>
    </cfRule>
  </conditionalFormatting>
  <conditionalFormatting sqref="C39">
    <cfRule type="expression" priority="85" dxfId="0">
      <formula>AND(COUNT(C39:J39)=8,C39=9)</formula>
    </cfRule>
    <cfRule type="expression" priority="86" dxfId="1">
      <formula>AND(COUNT(C39:J39)=8,C39&lt;9*0.4)</formula>
    </cfRule>
    <cfRule type="expression" priority="87" dxfId="2">
      <formula>AND(COUNT(C39:J39)=8,C39&gt;=9*0.4,C39&lt;9)</formula>
    </cfRule>
  </conditionalFormatting>
  <conditionalFormatting sqref="C40">
    <cfRule type="expression" priority="88" dxfId="0">
      <formula>AND(COUNT(C40:J40)=8,C40=9)</formula>
    </cfRule>
    <cfRule type="expression" priority="89" dxfId="1">
      <formula>AND(COUNT(C40:J40)=8,C40&lt;9*0.4)</formula>
    </cfRule>
    <cfRule type="expression" priority="90" dxfId="2">
      <formula>AND(COUNT(C40:J40)=8,C40&gt;=9*0.4,C40&lt;9)</formula>
    </cfRule>
  </conditionalFormatting>
  <conditionalFormatting sqref="C41">
    <cfRule type="expression" priority="91" dxfId="0">
      <formula>AND(COUNT(C41:J41)=8,C41=9)</formula>
    </cfRule>
    <cfRule type="expression" priority="92" dxfId="1">
      <formula>AND(COUNT(C41:J41)=8,C41&lt;9*0.4)</formula>
    </cfRule>
    <cfRule type="expression" priority="93" dxfId="2">
      <formula>AND(COUNT(C41:J41)=8,C41&gt;=9*0.4,C41&lt;9)</formula>
    </cfRule>
  </conditionalFormatting>
  <conditionalFormatting sqref="D11">
    <cfRule type="expression" priority="94" dxfId="0">
      <formula>AND(COUNT(C11:J11)=8,D11=9)</formula>
    </cfRule>
    <cfRule type="expression" priority="95" dxfId="1">
      <formula>AND(COUNT(C11:J11)=8,D11&lt;9*0.4)</formula>
    </cfRule>
    <cfRule type="expression" priority="96" dxfId="2">
      <formula>AND(COUNT(C11:J11)=8,D11&gt;=9*0.4,D11&lt;9)</formula>
    </cfRule>
  </conditionalFormatting>
  <conditionalFormatting sqref="D12">
    <cfRule type="expression" priority="97" dxfId="0">
      <formula>AND(COUNT(C12:J12)=8,D12=9)</formula>
    </cfRule>
    <cfRule type="expression" priority="98" dxfId="1">
      <formula>AND(COUNT(C12:J12)=8,D12&lt;9*0.4)</formula>
    </cfRule>
    <cfRule type="expression" priority="99" dxfId="2">
      <formula>AND(COUNT(C12:J12)=8,D12&gt;=9*0.4,D12&lt;9)</formula>
    </cfRule>
  </conditionalFormatting>
  <conditionalFormatting sqref="D13">
    <cfRule type="expression" priority="100" dxfId="0">
      <formula>AND(COUNT(C13:J13)=8,D13=9)</formula>
    </cfRule>
    <cfRule type="expression" priority="101" dxfId="1">
      <formula>AND(COUNT(C13:J13)=8,D13&lt;9*0.4)</formula>
    </cfRule>
    <cfRule type="expression" priority="102" dxfId="2">
      <formula>AND(COUNT(C13:J13)=8,D13&gt;=9*0.4,D13&lt;9)</formula>
    </cfRule>
  </conditionalFormatting>
  <conditionalFormatting sqref="D14">
    <cfRule type="expression" priority="103" dxfId="0">
      <formula>AND(COUNT(C14:J14)=8,D14=9)</formula>
    </cfRule>
    <cfRule type="expression" priority="104" dxfId="1">
      <formula>AND(COUNT(C14:J14)=8,D14&lt;9*0.4)</formula>
    </cfRule>
    <cfRule type="expression" priority="105" dxfId="2">
      <formula>AND(COUNT(C14:J14)=8,D14&gt;=9*0.4,D14&lt;9)</formula>
    </cfRule>
  </conditionalFormatting>
  <conditionalFormatting sqref="D15">
    <cfRule type="expression" priority="106" dxfId="0">
      <formula>AND(COUNT(C15:J15)=8,D15=9)</formula>
    </cfRule>
    <cfRule type="expression" priority="107" dxfId="1">
      <formula>AND(COUNT(C15:J15)=8,D15&lt;9*0.4)</formula>
    </cfRule>
    <cfRule type="expression" priority="108" dxfId="2">
      <formula>AND(COUNT(C15:J15)=8,D15&gt;=9*0.4,D15&lt;9)</formula>
    </cfRule>
  </conditionalFormatting>
  <conditionalFormatting sqref="D16">
    <cfRule type="expression" priority="109" dxfId="0">
      <formula>AND(COUNT(C16:J16)=8,D16=9)</formula>
    </cfRule>
    <cfRule type="expression" priority="110" dxfId="1">
      <formula>AND(COUNT(C16:J16)=8,D16&lt;9*0.4)</formula>
    </cfRule>
    <cfRule type="expression" priority="111" dxfId="2">
      <formula>AND(COUNT(C16:J16)=8,D16&gt;=9*0.4,D16&lt;9)</formula>
    </cfRule>
  </conditionalFormatting>
  <conditionalFormatting sqref="D17">
    <cfRule type="expression" priority="112" dxfId="0">
      <formula>AND(COUNT(C17:J17)=8,D17=9)</formula>
    </cfRule>
    <cfRule type="expression" priority="113" dxfId="1">
      <formula>AND(COUNT(C17:J17)=8,D17&lt;9*0.4)</formula>
    </cfRule>
    <cfRule type="expression" priority="114" dxfId="2">
      <formula>AND(COUNT(C17:J17)=8,D17&gt;=9*0.4,D17&lt;9)</formula>
    </cfRule>
  </conditionalFormatting>
  <conditionalFormatting sqref="D18">
    <cfRule type="expression" priority="115" dxfId="0">
      <formula>AND(COUNT(C18:J18)=8,D18=9)</formula>
    </cfRule>
    <cfRule type="expression" priority="116" dxfId="1">
      <formula>AND(COUNT(C18:J18)=8,D18&lt;9*0.4)</formula>
    </cfRule>
    <cfRule type="expression" priority="117" dxfId="2">
      <formula>AND(COUNT(C18:J18)=8,D18&gt;=9*0.4,D18&lt;9)</formula>
    </cfRule>
  </conditionalFormatting>
  <conditionalFormatting sqref="D19">
    <cfRule type="expression" priority="118" dxfId="0">
      <formula>AND(COUNT(C19:J19)=8,D19=9)</formula>
    </cfRule>
    <cfRule type="expression" priority="119" dxfId="1">
      <formula>AND(COUNT(C19:J19)=8,D19&lt;9*0.4)</formula>
    </cfRule>
    <cfRule type="expression" priority="120" dxfId="2">
      <formula>AND(COUNT(C19:J19)=8,D19&gt;=9*0.4,D19&lt;9)</formula>
    </cfRule>
  </conditionalFormatting>
  <conditionalFormatting sqref="D20">
    <cfRule type="expression" priority="121" dxfId="0">
      <formula>AND(COUNT(C20:J20)=8,D20=9)</formula>
    </cfRule>
    <cfRule type="expression" priority="122" dxfId="1">
      <formula>AND(COUNT(C20:J20)=8,D20&lt;9*0.4)</formula>
    </cfRule>
    <cfRule type="expression" priority="123" dxfId="2">
      <formula>AND(COUNT(C20:J20)=8,D20&gt;=9*0.4,D20&lt;9)</formula>
    </cfRule>
  </conditionalFormatting>
  <conditionalFormatting sqref="D21">
    <cfRule type="expression" priority="124" dxfId="0">
      <formula>AND(COUNT(C21:J21)=8,D21=9)</formula>
    </cfRule>
    <cfRule type="expression" priority="125" dxfId="1">
      <formula>AND(COUNT(C21:J21)=8,D21&lt;9*0.4)</formula>
    </cfRule>
    <cfRule type="expression" priority="126" dxfId="2">
      <formula>AND(COUNT(C21:J21)=8,D21&gt;=9*0.4,D21&lt;9)</formula>
    </cfRule>
  </conditionalFormatting>
  <conditionalFormatting sqref="D22">
    <cfRule type="expression" priority="127" dxfId="0">
      <formula>AND(COUNT(C22:J22)=8,D22=9)</formula>
    </cfRule>
    <cfRule type="expression" priority="128" dxfId="1">
      <formula>AND(COUNT(C22:J22)=8,D22&lt;9*0.4)</formula>
    </cfRule>
    <cfRule type="expression" priority="129" dxfId="2">
      <formula>AND(COUNT(C22:J22)=8,D22&gt;=9*0.4,D22&lt;9)</formula>
    </cfRule>
  </conditionalFormatting>
  <conditionalFormatting sqref="D23">
    <cfRule type="expression" priority="130" dxfId="0">
      <formula>AND(COUNT(C23:J23)=8,D23=9)</formula>
    </cfRule>
    <cfRule type="expression" priority="131" dxfId="1">
      <formula>AND(COUNT(C23:J23)=8,D23&lt;9*0.4)</formula>
    </cfRule>
    <cfRule type="expression" priority="132" dxfId="2">
      <formula>AND(COUNT(C23:J23)=8,D23&gt;=9*0.4,D23&lt;9)</formula>
    </cfRule>
  </conditionalFormatting>
  <conditionalFormatting sqref="D24">
    <cfRule type="expression" priority="133" dxfId="0">
      <formula>AND(COUNT(C24:J24)=8,D24=9)</formula>
    </cfRule>
    <cfRule type="expression" priority="134" dxfId="1">
      <formula>AND(COUNT(C24:J24)=8,D24&lt;9*0.4)</formula>
    </cfRule>
    <cfRule type="expression" priority="135" dxfId="2">
      <formula>AND(COUNT(C24:J24)=8,D24&gt;=9*0.4,D24&lt;9)</formula>
    </cfRule>
  </conditionalFormatting>
  <conditionalFormatting sqref="D25">
    <cfRule type="expression" priority="136" dxfId="0">
      <formula>AND(COUNT(C25:J25)=8,D25=9)</formula>
    </cfRule>
    <cfRule type="expression" priority="137" dxfId="1">
      <formula>AND(COUNT(C25:J25)=8,D25&lt;9*0.4)</formula>
    </cfRule>
    <cfRule type="expression" priority="138" dxfId="2">
      <formula>AND(COUNT(C25:J25)=8,D25&gt;=9*0.4,D25&lt;9)</formula>
    </cfRule>
  </conditionalFormatting>
  <conditionalFormatting sqref="D26">
    <cfRule type="expression" priority="139" dxfId="0">
      <formula>AND(COUNT(C26:J26)=8,D26=9)</formula>
    </cfRule>
    <cfRule type="expression" priority="140" dxfId="1">
      <formula>AND(COUNT(C26:J26)=8,D26&lt;9*0.4)</formula>
    </cfRule>
    <cfRule type="expression" priority="141" dxfId="2">
      <formula>AND(COUNT(C26:J26)=8,D26&gt;=9*0.4,D26&lt;9)</formula>
    </cfRule>
  </conditionalFormatting>
  <conditionalFormatting sqref="D27">
    <cfRule type="expression" priority="142" dxfId="0">
      <formula>AND(COUNT(C27:J27)=8,D27=9)</formula>
    </cfRule>
    <cfRule type="expression" priority="143" dxfId="1">
      <formula>AND(COUNT(C27:J27)=8,D27&lt;9*0.4)</formula>
    </cfRule>
    <cfRule type="expression" priority="144" dxfId="2">
      <formula>AND(COUNT(C27:J27)=8,D27&gt;=9*0.4,D27&lt;9)</formula>
    </cfRule>
  </conditionalFormatting>
  <conditionalFormatting sqref="D28">
    <cfRule type="expression" priority="145" dxfId="0">
      <formula>AND(COUNT(C28:J28)=8,D28=9)</formula>
    </cfRule>
    <cfRule type="expression" priority="146" dxfId="1">
      <formula>AND(COUNT(C28:J28)=8,D28&lt;9*0.4)</formula>
    </cfRule>
    <cfRule type="expression" priority="147" dxfId="2">
      <formula>AND(COUNT(C28:J28)=8,D28&gt;=9*0.4,D28&lt;9)</formula>
    </cfRule>
  </conditionalFormatting>
  <conditionalFormatting sqref="D29">
    <cfRule type="expression" priority="148" dxfId="0">
      <formula>AND(COUNT(C29:J29)=8,D29=9)</formula>
    </cfRule>
    <cfRule type="expression" priority="149" dxfId="1">
      <formula>AND(COUNT(C29:J29)=8,D29&lt;9*0.4)</formula>
    </cfRule>
    <cfRule type="expression" priority="150" dxfId="2">
      <formula>AND(COUNT(C29:J29)=8,D29&gt;=9*0.4,D29&lt;9)</formula>
    </cfRule>
  </conditionalFormatting>
  <conditionalFormatting sqref="D30">
    <cfRule type="expression" priority="151" dxfId="0">
      <formula>AND(COUNT(C30:J30)=8,D30=9)</formula>
    </cfRule>
    <cfRule type="expression" priority="152" dxfId="1">
      <formula>AND(COUNT(C30:J30)=8,D30&lt;9*0.4)</formula>
    </cfRule>
    <cfRule type="expression" priority="153" dxfId="2">
      <formula>AND(COUNT(C30:J30)=8,D30&gt;=9*0.4,D30&lt;9)</formula>
    </cfRule>
  </conditionalFormatting>
  <conditionalFormatting sqref="D31">
    <cfRule type="expression" priority="154" dxfId="0">
      <formula>AND(COUNT(C31:J31)=8,D31=9)</formula>
    </cfRule>
    <cfRule type="expression" priority="155" dxfId="1">
      <formula>AND(COUNT(C31:J31)=8,D31&lt;9*0.4)</formula>
    </cfRule>
    <cfRule type="expression" priority="156" dxfId="2">
      <formula>AND(COUNT(C31:J31)=8,D31&gt;=9*0.4,D31&lt;9)</formula>
    </cfRule>
  </conditionalFormatting>
  <conditionalFormatting sqref="D32">
    <cfRule type="expression" priority="157" dxfId="0">
      <formula>AND(COUNT(C32:J32)=8,D32=9)</formula>
    </cfRule>
    <cfRule type="expression" priority="158" dxfId="1">
      <formula>AND(COUNT(C32:J32)=8,D32&lt;9*0.4)</formula>
    </cfRule>
    <cfRule type="expression" priority="159" dxfId="2">
      <formula>AND(COUNT(C32:J32)=8,D32&gt;=9*0.4,D32&lt;9)</formula>
    </cfRule>
  </conditionalFormatting>
  <conditionalFormatting sqref="D33">
    <cfRule type="expression" priority="160" dxfId="0">
      <formula>AND(COUNT(C33:J33)=8,D33=9)</formula>
    </cfRule>
    <cfRule type="expression" priority="161" dxfId="1">
      <formula>AND(COUNT(C33:J33)=8,D33&lt;9*0.4)</formula>
    </cfRule>
    <cfRule type="expression" priority="162" dxfId="2">
      <formula>AND(COUNT(C33:J33)=8,D33&gt;=9*0.4,D33&lt;9)</formula>
    </cfRule>
  </conditionalFormatting>
  <conditionalFormatting sqref="D34">
    <cfRule type="expression" priority="163" dxfId="0">
      <formula>AND(COUNT(C34:J34)=8,D34=9)</formula>
    </cfRule>
    <cfRule type="expression" priority="164" dxfId="1">
      <formula>AND(COUNT(C34:J34)=8,D34&lt;9*0.4)</formula>
    </cfRule>
    <cfRule type="expression" priority="165" dxfId="2">
      <formula>AND(COUNT(C34:J34)=8,D34&gt;=9*0.4,D34&lt;9)</formula>
    </cfRule>
  </conditionalFormatting>
  <conditionalFormatting sqref="D35">
    <cfRule type="expression" priority="166" dxfId="0">
      <formula>AND(COUNT(C35:J35)=8,D35=9)</formula>
    </cfRule>
    <cfRule type="expression" priority="167" dxfId="1">
      <formula>AND(COUNT(C35:J35)=8,D35&lt;9*0.4)</formula>
    </cfRule>
    <cfRule type="expression" priority="168" dxfId="2">
      <formula>AND(COUNT(C35:J35)=8,D35&gt;=9*0.4,D35&lt;9)</formula>
    </cfRule>
  </conditionalFormatting>
  <conditionalFormatting sqref="D36">
    <cfRule type="expression" priority="169" dxfId="0">
      <formula>AND(COUNT(C36:J36)=8,D36=9)</formula>
    </cfRule>
    <cfRule type="expression" priority="170" dxfId="1">
      <formula>AND(COUNT(C36:J36)=8,D36&lt;9*0.4)</formula>
    </cfRule>
    <cfRule type="expression" priority="171" dxfId="2">
      <formula>AND(COUNT(C36:J36)=8,D36&gt;=9*0.4,D36&lt;9)</formula>
    </cfRule>
  </conditionalFormatting>
  <conditionalFormatting sqref="D37">
    <cfRule type="expression" priority="172" dxfId="0">
      <formula>AND(COUNT(C37:J37)=8,D37=9)</formula>
    </cfRule>
    <cfRule type="expression" priority="173" dxfId="1">
      <formula>AND(COUNT(C37:J37)=8,D37&lt;9*0.4)</formula>
    </cfRule>
    <cfRule type="expression" priority="174" dxfId="2">
      <formula>AND(COUNT(C37:J37)=8,D37&gt;=9*0.4,D37&lt;9)</formula>
    </cfRule>
  </conditionalFormatting>
  <conditionalFormatting sqref="D38">
    <cfRule type="expression" priority="175" dxfId="0">
      <formula>AND(COUNT(C38:J38)=8,D38=9)</formula>
    </cfRule>
    <cfRule type="expression" priority="176" dxfId="1">
      <formula>AND(COUNT(C38:J38)=8,D38&lt;9*0.4)</formula>
    </cfRule>
    <cfRule type="expression" priority="177" dxfId="2">
      <formula>AND(COUNT(C38:J38)=8,D38&gt;=9*0.4,D38&lt;9)</formula>
    </cfRule>
  </conditionalFormatting>
  <conditionalFormatting sqref="D39">
    <cfRule type="expression" priority="178" dxfId="0">
      <formula>AND(COUNT(C39:J39)=8,D39=9)</formula>
    </cfRule>
    <cfRule type="expression" priority="179" dxfId="1">
      <formula>AND(COUNT(C39:J39)=8,D39&lt;9*0.4)</formula>
    </cfRule>
    <cfRule type="expression" priority="180" dxfId="2">
      <formula>AND(COUNT(C39:J39)=8,D39&gt;=9*0.4,D39&lt;9)</formula>
    </cfRule>
  </conditionalFormatting>
  <conditionalFormatting sqref="D40">
    <cfRule type="expression" priority="181" dxfId="0">
      <formula>AND(COUNT(C40:J40)=8,D40=9)</formula>
    </cfRule>
    <cfRule type="expression" priority="182" dxfId="1">
      <formula>AND(COUNT(C40:J40)=8,D40&lt;9*0.4)</formula>
    </cfRule>
    <cfRule type="expression" priority="183" dxfId="2">
      <formula>AND(COUNT(C40:J40)=8,D40&gt;=9*0.4,D40&lt;9)</formula>
    </cfRule>
  </conditionalFormatting>
  <conditionalFormatting sqref="D41">
    <cfRule type="expression" priority="184" dxfId="0">
      <formula>AND(COUNT(C41:J41)=8,D41=9)</formula>
    </cfRule>
    <cfRule type="expression" priority="185" dxfId="1">
      <formula>AND(COUNT(C41:J41)=8,D41&lt;9*0.4)</formula>
    </cfRule>
    <cfRule type="expression" priority="186" dxfId="2">
      <formula>AND(COUNT(C41:J41)=8,D41&gt;=9*0.4,D41&lt;9)</formula>
    </cfRule>
  </conditionalFormatting>
  <conditionalFormatting sqref="E11">
    <cfRule type="expression" priority="187" dxfId="0">
      <formula>AND(COUNT(C11:J11)=8,E11=9)</formula>
    </cfRule>
    <cfRule type="expression" priority="188" dxfId="1">
      <formula>AND(COUNT(C11:J11)=8,E11&lt;9*0.4)</formula>
    </cfRule>
    <cfRule type="expression" priority="189" dxfId="2">
      <formula>AND(COUNT(C11:J11)=8,E11&gt;=9*0.4,E11&lt;9)</formula>
    </cfRule>
  </conditionalFormatting>
  <conditionalFormatting sqref="E12">
    <cfRule type="expression" priority="190" dxfId="0">
      <formula>AND(COUNT(C12:J12)=8,E12=9)</formula>
    </cfRule>
    <cfRule type="expression" priority="191" dxfId="1">
      <formula>AND(COUNT(C12:J12)=8,E12&lt;9*0.4)</formula>
    </cfRule>
    <cfRule type="expression" priority="192" dxfId="2">
      <formula>AND(COUNT(C12:J12)=8,E12&gt;=9*0.4,E12&lt;9)</formula>
    </cfRule>
  </conditionalFormatting>
  <conditionalFormatting sqref="E13">
    <cfRule type="expression" priority="193" dxfId="0">
      <formula>AND(COUNT(C13:J13)=8,E13=9)</formula>
    </cfRule>
    <cfRule type="expression" priority="194" dxfId="1">
      <formula>AND(COUNT(C13:J13)=8,E13&lt;9*0.4)</formula>
    </cfRule>
    <cfRule type="expression" priority="195" dxfId="2">
      <formula>AND(COUNT(C13:J13)=8,E13&gt;=9*0.4,E13&lt;9)</formula>
    </cfRule>
  </conditionalFormatting>
  <conditionalFormatting sqref="E14">
    <cfRule type="expression" priority="196" dxfId="0">
      <formula>AND(COUNT(C14:J14)=8,E14=9)</formula>
    </cfRule>
    <cfRule type="expression" priority="197" dxfId="1">
      <formula>AND(COUNT(C14:J14)=8,E14&lt;9*0.4)</formula>
    </cfRule>
    <cfRule type="expression" priority="198" dxfId="2">
      <formula>AND(COUNT(C14:J14)=8,E14&gt;=9*0.4,E14&lt;9)</formula>
    </cfRule>
  </conditionalFormatting>
  <conditionalFormatting sqref="E15">
    <cfRule type="expression" priority="199" dxfId="0">
      <formula>AND(COUNT(C15:J15)=8,E15=9)</formula>
    </cfRule>
    <cfRule type="expression" priority="200" dxfId="1">
      <formula>AND(COUNT(C15:J15)=8,E15&lt;9*0.4)</formula>
    </cfRule>
    <cfRule type="expression" priority="201" dxfId="2">
      <formula>AND(COUNT(C15:J15)=8,E15&gt;=9*0.4,E15&lt;9)</formula>
    </cfRule>
  </conditionalFormatting>
  <conditionalFormatting sqref="E16">
    <cfRule type="expression" priority="202" dxfId="0">
      <formula>AND(COUNT(C16:J16)=8,E16=9)</formula>
    </cfRule>
    <cfRule type="expression" priority="203" dxfId="1">
      <formula>AND(COUNT(C16:J16)=8,E16&lt;9*0.4)</formula>
    </cfRule>
    <cfRule type="expression" priority="204" dxfId="2">
      <formula>AND(COUNT(C16:J16)=8,E16&gt;=9*0.4,E16&lt;9)</formula>
    </cfRule>
  </conditionalFormatting>
  <conditionalFormatting sqref="E17">
    <cfRule type="expression" priority="205" dxfId="0">
      <formula>AND(COUNT(C17:J17)=8,E17=9)</formula>
    </cfRule>
    <cfRule type="expression" priority="206" dxfId="1">
      <formula>AND(COUNT(C17:J17)=8,E17&lt;9*0.4)</formula>
    </cfRule>
    <cfRule type="expression" priority="207" dxfId="2">
      <formula>AND(COUNT(C17:J17)=8,E17&gt;=9*0.4,E17&lt;9)</formula>
    </cfRule>
  </conditionalFormatting>
  <conditionalFormatting sqref="E18">
    <cfRule type="expression" priority="208" dxfId="0">
      <formula>AND(COUNT(C18:J18)=8,E18=9)</formula>
    </cfRule>
    <cfRule type="expression" priority="209" dxfId="1">
      <formula>AND(COUNT(C18:J18)=8,E18&lt;9*0.4)</formula>
    </cfRule>
    <cfRule type="expression" priority="210" dxfId="2">
      <formula>AND(COUNT(C18:J18)=8,E18&gt;=9*0.4,E18&lt;9)</formula>
    </cfRule>
  </conditionalFormatting>
  <conditionalFormatting sqref="E19">
    <cfRule type="expression" priority="211" dxfId="0">
      <formula>AND(COUNT(C19:J19)=8,E19=9)</formula>
    </cfRule>
    <cfRule type="expression" priority="212" dxfId="1">
      <formula>AND(COUNT(C19:J19)=8,E19&lt;9*0.4)</formula>
    </cfRule>
    <cfRule type="expression" priority="213" dxfId="2">
      <formula>AND(COUNT(C19:J19)=8,E19&gt;=9*0.4,E19&lt;9)</formula>
    </cfRule>
  </conditionalFormatting>
  <conditionalFormatting sqref="E20">
    <cfRule type="expression" priority="214" dxfId="0">
      <formula>AND(COUNT(C20:J20)=8,E20=9)</formula>
    </cfRule>
    <cfRule type="expression" priority="215" dxfId="1">
      <formula>AND(COUNT(C20:J20)=8,E20&lt;9*0.4)</formula>
    </cfRule>
    <cfRule type="expression" priority="216" dxfId="2">
      <formula>AND(COUNT(C20:J20)=8,E20&gt;=9*0.4,E20&lt;9)</formula>
    </cfRule>
  </conditionalFormatting>
  <conditionalFormatting sqref="E21">
    <cfRule type="expression" priority="217" dxfId="0">
      <formula>AND(COUNT(C21:J21)=8,E21=9)</formula>
    </cfRule>
    <cfRule type="expression" priority="218" dxfId="1">
      <formula>AND(COUNT(C21:J21)=8,E21&lt;9*0.4)</formula>
    </cfRule>
    <cfRule type="expression" priority="219" dxfId="2">
      <formula>AND(COUNT(C21:J21)=8,E21&gt;=9*0.4,E21&lt;9)</formula>
    </cfRule>
  </conditionalFormatting>
  <conditionalFormatting sqref="E22">
    <cfRule type="expression" priority="220" dxfId="0">
      <formula>AND(COUNT(C22:J22)=8,E22=9)</formula>
    </cfRule>
    <cfRule type="expression" priority="221" dxfId="1">
      <formula>AND(COUNT(C22:J22)=8,E22&lt;9*0.4)</formula>
    </cfRule>
    <cfRule type="expression" priority="222" dxfId="2">
      <formula>AND(COUNT(C22:J22)=8,E22&gt;=9*0.4,E22&lt;9)</formula>
    </cfRule>
  </conditionalFormatting>
  <conditionalFormatting sqref="E23">
    <cfRule type="expression" priority="223" dxfId="0">
      <formula>AND(COUNT(C23:J23)=8,E23=9)</formula>
    </cfRule>
    <cfRule type="expression" priority="224" dxfId="1">
      <formula>AND(COUNT(C23:J23)=8,E23&lt;9*0.4)</formula>
    </cfRule>
    <cfRule type="expression" priority="225" dxfId="2">
      <formula>AND(COUNT(C23:J23)=8,E23&gt;=9*0.4,E23&lt;9)</formula>
    </cfRule>
  </conditionalFormatting>
  <conditionalFormatting sqref="E24">
    <cfRule type="expression" priority="226" dxfId="0">
      <formula>AND(COUNT(C24:J24)=8,E24=9)</formula>
    </cfRule>
    <cfRule type="expression" priority="227" dxfId="1">
      <formula>AND(COUNT(C24:J24)=8,E24&lt;9*0.4)</formula>
    </cfRule>
    <cfRule type="expression" priority="228" dxfId="2">
      <formula>AND(COUNT(C24:J24)=8,E24&gt;=9*0.4,E24&lt;9)</formula>
    </cfRule>
  </conditionalFormatting>
  <conditionalFormatting sqref="E25">
    <cfRule type="expression" priority="229" dxfId="0">
      <formula>AND(COUNT(C25:J25)=8,E25=9)</formula>
    </cfRule>
    <cfRule type="expression" priority="230" dxfId="1">
      <formula>AND(COUNT(C25:J25)=8,E25&lt;9*0.4)</formula>
    </cfRule>
    <cfRule type="expression" priority="231" dxfId="2">
      <formula>AND(COUNT(C25:J25)=8,E25&gt;=9*0.4,E25&lt;9)</formula>
    </cfRule>
  </conditionalFormatting>
  <conditionalFormatting sqref="E26">
    <cfRule type="expression" priority="232" dxfId="0">
      <formula>AND(COUNT(C26:J26)=8,E26=9)</formula>
    </cfRule>
    <cfRule type="expression" priority="233" dxfId="1">
      <formula>AND(COUNT(C26:J26)=8,E26&lt;9*0.4)</formula>
    </cfRule>
    <cfRule type="expression" priority="234" dxfId="2">
      <formula>AND(COUNT(C26:J26)=8,E26&gt;=9*0.4,E26&lt;9)</formula>
    </cfRule>
  </conditionalFormatting>
  <conditionalFormatting sqref="E27">
    <cfRule type="expression" priority="235" dxfId="0">
      <formula>AND(COUNT(C27:J27)=8,E27=9)</formula>
    </cfRule>
    <cfRule type="expression" priority="236" dxfId="1">
      <formula>AND(COUNT(C27:J27)=8,E27&lt;9*0.4)</formula>
    </cfRule>
    <cfRule type="expression" priority="237" dxfId="2">
      <formula>AND(COUNT(C27:J27)=8,E27&gt;=9*0.4,E27&lt;9)</formula>
    </cfRule>
  </conditionalFormatting>
  <conditionalFormatting sqref="E28">
    <cfRule type="expression" priority="238" dxfId="0">
      <formula>AND(COUNT(C28:J28)=8,E28=9)</formula>
    </cfRule>
    <cfRule type="expression" priority="239" dxfId="1">
      <formula>AND(COUNT(C28:J28)=8,E28&lt;9*0.4)</formula>
    </cfRule>
    <cfRule type="expression" priority="240" dxfId="2">
      <formula>AND(COUNT(C28:J28)=8,E28&gt;=9*0.4,E28&lt;9)</formula>
    </cfRule>
  </conditionalFormatting>
  <conditionalFormatting sqref="E29">
    <cfRule type="expression" priority="241" dxfId="0">
      <formula>AND(COUNT(C29:J29)=8,E29=9)</formula>
    </cfRule>
    <cfRule type="expression" priority="242" dxfId="1">
      <formula>AND(COUNT(C29:J29)=8,E29&lt;9*0.4)</formula>
    </cfRule>
    <cfRule type="expression" priority="243" dxfId="2">
      <formula>AND(COUNT(C29:J29)=8,E29&gt;=9*0.4,E29&lt;9)</formula>
    </cfRule>
  </conditionalFormatting>
  <conditionalFormatting sqref="E30">
    <cfRule type="expression" priority="244" dxfId="0">
      <formula>AND(COUNT(C30:J30)=8,E30=9)</formula>
    </cfRule>
    <cfRule type="expression" priority="245" dxfId="1">
      <formula>AND(COUNT(C30:J30)=8,E30&lt;9*0.4)</formula>
    </cfRule>
    <cfRule type="expression" priority="246" dxfId="2">
      <formula>AND(COUNT(C30:J30)=8,E30&gt;=9*0.4,E30&lt;9)</formula>
    </cfRule>
  </conditionalFormatting>
  <conditionalFormatting sqref="E31">
    <cfRule type="expression" priority="247" dxfId="0">
      <formula>AND(COUNT(C31:J31)=8,E31=9)</formula>
    </cfRule>
    <cfRule type="expression" priority="248" dxfId="1">
      <formula>AND(COUNT(C31:J31)=8,E31&lt;9*0.4)</formula>
    </cfRule>
    <cfRule type="expression" priority="249" dxfId="2">
      <formula>AND(COUNT(C31:J31)=8,E31&gt;=9*0.4,E31&lt;9)</formula>
    </cfRule>
  </conditionalFormatting>
  <conditionalFormatting sqref="E32">
    <cfRule type="expression" priority="250" dxfId="0">
      <formula>AND(COUNT(C32:J32)=8,E32=9)</formula>
    </cfRule>
    <cfRule type="expression" priority="251" dxfId="1">
      <formula>AND(COUNT(C32:J32)=8,E32&lt;9*0.4)</formula>
    </cfRule>
    <cfRule type="expression" priority="252" dxfId="2">
      <formula>AND(COUNT(C32:J32)=8,E32&gt;=9*0.4,E32&lt;9)</formula>
    </cfRule>
  </conditionalFormatting>
  <conditionalFormatting sqref="E33">
    <cfRule type="expression" priority="253" dxfId="0">
      <formula>AND(COUNT(C33:J33)=8,E33=9)</formula>
    </cfRule>
    <cfRule type="expression" priority="254" dxfId="1">
      <formula>AND(COUNT(C33:J33)=8,E33&lt;9*0.4)</formula>
    </cfRule>
    <cfRule type="expression" priority="255" dxfId="2">
      <formula>AND(COUNT(C33:J33)=8,E33&gt;=9*0.4,E33&lt;9)</formula>
    </cfRule>
  </conditionalFormatting>
  <conditionalFormatting sqref="E34">
    <cfRule type="expression" priority="256" dxfId="0">
      <formula>AND(COUNT(C34:J34)=8,E34=9)</formula>
    </cfRule>
    <cfRule type="expression" priority="257" dxfId="1">
      <formula>AND(COUNT(C34:J34)=8,E34&lt;9*0.4)</formula>
    </cfRule>
    <cfRule type="expression" priority="258" dxfId="2">
      <formula>AND(COUNT(C34:J34)=8,E34&gt;=9*0.4,E34&lt;9)</formula>
    </cfRule>
  </conditionalFormatting>
  <conditionalFormatting sqref="E35">
    <cfRule type="expression" priority="259" dxfId="0">
      <formula>AND(COUNT(C35:J35)=8,E35=9)</formula>
    </cfRule>
    <cfRule type="expression" priority="260" dxfId="1">
      <formula>AND(COUNT(C35:J35)=8,E35&lt;9*0.4)</formula>
    </cfRule>
    <cfRule type="expression" priority="261" dxfId="2">
      <formula>AND(COUNT(C35:J35)=8,E35&gt;=9*0.4,E35&lt;9)</formula>
    </cfRule>
  </conditionalFormatting>
  <conditionalFormatting sqref="E36">
    <cfRule type="expression" priority="262" dxfId="0">
      <formula>AND(COUNT(C36:J36)=8,E36=9)</formula>
    </cfRule>
    <cfRule type="expression" priority="263" dxfId="1">
      <formula>AND(COUNT(C36:J36)=8,E36&lt;9*0.4)</formula>
    </cfRule>
    <cfRule type="expression" priority="264" dxfId="2">
      <formula>AND(COUNT(C36:J36)=8,E36&gt;=9*0.4,E36&lt;9)</formula>
    </cfRule>
  </conditionalFormatting>
  <conditionalFormatting sqref="E37">
    <cfRule type="expression" priority="265" dxfId="0">
      <formula>AND(COUNT(C37:J37)=8,E37=9)</formula>
    </cfRule>
    <cfRule type="expression" priority="266" dxfId="1">
      <formula>AND(COUNT(C37:J37)=8,E37&lt;9*0.4)</formula>
    </cfRule>
    <cfRule type="expression" priority="267" dxfId="2">
      <formula>AND(COUNT(C37:J37)=8,E37&gt;=9*0.4,E37&lt;9)</formula>
    </cfRule>
  </conditionalFormatting>
  <conditionalFormatting sqref="E38">
    <cfRule type="expression" priority="268" dxfId="0">
      <formula>AND(COUNT(C38:J38)=8,E38=9)</formula>
    </cfRule>
    <cfRule type="expression" priority="269" dxfId="1">
      <formula>AND(COUNT(C38:J38)=8,E38&lt;9*0.4)</formula>
    </cfRule>
    <cfRule type="expression" priority="270" dxfId="2">
      <formula>AND(COUNT(C38:J38)=8,E38&gt;=9*0.4,E38&lt;9)</formula>
    </cfRule>
  </conditionalFormatting>
  <conditionalFormatting sqref="E39">
    <cfRule type="expression" priority="271" dxfId="0">
      <formula>AND(COUNT(C39:J39)=8,E39=9)</formula>
    </cfRule>
    <cfRule type="expression" priority="272" dxfId="1">
      <formula>AND(COUNT(C39:J39)=8,E39&lt;9*0.4)</formula>
    </cfRule>
    <cfRule type="expression" priority="273" dxfId="2">
      <formula>AND(COUNT(C39:J39)=8,E39&gt;=9*0.4,E39&lt;9)</formula>
    </cfRule>
  </conditionalFormatting>
  <conditionalFormatting sqref="E40">
    <cfRule type="expression" priority="274" dxfId="0">
      <formula>AND(COUNT(C40:J40)=8,E40=9)</formula>
    </cfRule>
    <cfRule type="expression" priority="275" dxfId="1">
      <formula>AND(COUNT(C40:J40)=8,E40&lt;9*0.4)</formula>
    </cfRule>
    <cfRule type="expression" priority="276" dxfId="2">
      <formula>AND(COUNT(C40:J40)=8,E40&gt;=9*0.4,E40&lt;9)</formula>
    </cfRule>
  </conditionalFormatting>
  <conditionalFormatting sqref="E41">
    <cfRule type="expression" priority="277" dxfId="0">
      <formula>AND(COUNT(C41:J41)=8,E41=9)</formula>
    </cfRule>
    <cfRule type="expression" priority="278" dxfId="1">
      <formula>AND(COUNT(C41:J41)=8,E41&lt;9*0.4)</formula>
    </cfRule>
    <cfRule type="expression" priority="279" dxfId="2">
      <formula>AND(COUNT(C41:J41)=8,E41&gt;=9*0.4,E41&lt;9)</formula>
    </cfRule>
  </conditionalFormatting>
  <conditionalFormatting sqref="F11">
    <cfRule type="expression" priority="280" dxfId="0">
      <formula>AND(COUNT(C11:J11)=8,F11=8)</formula>
    </cfRule>
    <cfRule type="expression" priority="281" dxfId="1">
      <formula>AND(COUNT(C11:J11)=8,F11&lt;8*0.4)</formula>
    </cfRule>
    <cfRule type="expression" priority="282" dxfId="2">
      <formula>AND(COUNT(C11:J11)=8,F11&gt;=8*0.4,F11&lt;8)</formula>
    </cfRule>
  </conditionalFormatting>
  <conditionalFormatting sqref="F12">
    <cfRule type="expression" priority="283" dxfId="0">
      <formula>AND(COUNT(C12:J12)=8,F12=8)</formula>
    </cfRule>
    <cfRule type="expression" priority="284" dxfId="1">
      <formula>AND(COUNT(C12:J12)=8,F12&lt;8*0.4)</formula>
    </cfRule>
    <cfRule type="expression" priority="285" dxfId="2">
      <formula>AND(COUNT(C12:J12)=8,F12&gt;=8*0.4,F12&lt;8)</formula>
    </cfRule>
  </conditionalFormatting>
  <conditionalFormatting sqref="F13">
    <cfRule type="expression" priority="286" dxfId="0">
      <formula>AND(COUNT(C13:J13)=8,F13=8)</formula>
    </cfRule>
    <cfRule type="expression" priority="287" dxfId="1">
      <formula>AND(COUNT(C13:J13)=8,F13&lt;8*0.4)</formula>
    </cfRule>
    <cfRule type="expression" priority="288" dxfId="2">
      <formula>AND(COUNT(C13:J13)=8,F13&gt;=8*0.4,F13&lt;8)</formula>
    </cfRule>
  </conditionalFormatting>
  <conditionalFormatting sqref="F14">
    <cfRule type="expression" priority="289" dxfId="0">
      <formula>AND(COUNT(C14:J14)=8,F14=8)</formula>
    </cfRule>
    <cfRule type="expression" priority="290" dxfId="1">
      <formula>AND(COUNT(C14:J14)=8,F14&lt;8*0.4)</formula>
    </cfRule>
    <cfRule type="expression" priority="291" dxfId="2">
      <formula>AND(COUNT(C14:J14)=8,F14&gt;=8*0.4,F14&lt;8)</formula>
    </cfRule>
  </conditionalFormatting>
  <conditionalFormatting sqref="F15">
    <cfRule type="expression" priority="292" dxfId="0">
      <formula>AND(COUNT(C15:J15)=8,F15=8)</formula>
    </cfRule>
    <cfRule type="expression" priority="293" dxfId="1">
      <formula>AND(COUNT(C15:J15)=8,F15&lt;8*0.4)</formula>
    </cfRule>
    <cfRule type="expression" priority="294" dxfId="2">
      <formula>AND(COUNT(C15:J15)=8,F15&gt;=8*0.4,F15&lt;8)</formula>
    </cfRule>
  </conditionalFormatting>
  <conditionalFormatting sqref="F16">
    <cfRule type="expression" priority="295" dxfId="0">
      <formula>AND(COUNT(C16:J16)=8,F16=8)</formula>
    </cfRule>
    <cfRule type="expression" priority="296" dxfId="1">
      <formula>AND(COUNT(C16:J16)=8,F16&lt;8*0.4)</formula>
    </cfRule>
    <cfRule type="expression" priority="297" dxfId="2">
      <formula>AND(COUNT(C16:J16)=8,F16&gt;=8*0.4,F16&lt;8)</formula>
    </cfRule>
  </conditionalFormatting>
  <conditionalFormatting sqref="F17">
    <cfRule type="expression" priority="298" dxfId="0">
      <formula>AND(COUNT(C17:J17)=8,F17=8)</formula>
    </cfRule>
    <cfRule type="expression" priority="299" dxfId="1">
      <formula>AND(COUNT(C17:J17)=8,F17&lt;8*0.4)</formula>
    </cfRule>
    <cfRule type="expression" priority="300" dxfId="2">
      <formula>AND(COUNT(C17:J17)=8,F17&gt;=8*0.4,F17&lt;8)</formula>
    </cfRule>
  </conditionalFormatting>
  <conditionalFormatting sqref="F18">
    <cfRule type="expression" priority="301" dxfId="0">
      <formula>AND(COUNT(C18:J18)=8,F18=8)</formula>
    </cfRule>
    <cfRule type="expression" priority="302" dxfId="1">
      <formula>AND(COUNT(C18:J18)=8,F18&lt;8*0.4)</formula>
    </cfRule>
    <cfRule type="expression" priority="303" dxfId="2">
      <formula>AND(COUNT(C18:J18)=8,F18&gt;=8*0.4,F18&lt;8)</formula>
    </cfRule>
  </conditionalFormatting>
  <conditionalFormatting sqref="F19">
    <cfRule type="expression" priority="304" dxfId="0">
      <formula>AND(COUNT(C19:J19)=8,F19=8)</formula>
    </cfRule>
    <cfRule type="expression" priority="305" dxfId="1">
      <formula>AND(COUNT(C19:J19)=8,F19&lt;8*0.4)</formula>
    </cfRule>
    <cfRule type="expression" priority="306" dxfId="2">
      <formula>AND(COUNT(C19:J19)=8,F19&gt;=8*0.4,F19&lt;8)</formula>
    </cfRule>
  </conditionalFormatting>
  <conditionalFormatting sqref="F20">
    <cfRule type="expression" priority="307" dxfId="0">
      <formula>AND(COUNT(C20:J20)=8,F20=8)</formula>
    </cfRule>
    <cfRule type="expression" priority="308" dxfId="1">
      <formula>AND(COUNT(C20:J20)=8,F20&lt;8*0.4)</formula>
    </cfRule>
    <cfRule type="expression" priority="309" dxfId="2">
      <formula>AND(COUNT(C20:J20)=8,F20&gt;=8*0.4,F20&lt;8)</formula>
    </cfRule>
  </conditionalFormatting>
  <conditionalFormatting sqref="F21">
    <cfRule type="expression" priority="310" dxfId="0">
      <formula>AND(COUNT(C21:J21)=8,F21=8)</formula>
    </cfRule>
    <cfRule type="expression" priority="311" dxfId="1">
      <formula>AND(COUNT(C21:J21)=8,F21&lt;8*0.4)</formula>
    </cfRule>
    <cfRule type="expression" priority="312" dxfId="2">
      <formula>AND(COUNT(C21:J21)=8,F21&gt;=8*0.4,F21&lt;8)</formula>
    </cfRule>
  </conditionalFormatting>
  <conditionalFormatting sqref="F22">
    <cfRule type="expression" priority="313" dxfId="0">
      <formula>AND(COUNT(C22:J22)=8,F22=8)</formula>
    </cfRule>
    <cfRule type="expression" priority="314" dxfId="1">
      <formula>AND(COUNT(C22:J22)=8,F22&lt;8*0.4)</formula>
    </cfRule>
    <cfRule type="expression" priority="315" dxfId="2">
      <formula>AND(COUNT(C22:J22)=8,F22&gt;=8*0.4,F22&lt;8)</formula>
    </cfRule>
  </conditionalFormatting>
  <conditionalFormatting sqref="F23">
    <cfRule type="expression" priority="316" dxfId="0">
      <formula>AND(COUNT(C23:J23)=8,F23=8)</formula>
    </cfRule>
    <cfRule type="expression" priority="317" dxfId="1">
      <formula>AND(COUNT(C23:J23)=8,F23&lt;8*0.4)</formula>
    </cfRule>
    <cfRule type="expression" priority="318" dxfId="2">
      <formula>AND(COUNT(C23:J23)=8,F23&gt;=8*0.4,F23&lt;8)</formula>
    </cfRule>
  </conditionalFormatting>
  <conditionalFormatting sqref="F24">
    <cfRule type="expression" priority="319" dxfId="0">
      <formula>AND(COUNT(C24:J24)=8,F24=8)</formula>
    </cfRule>
    <cfRule type="expression" priority="320" dxfId="1">
      <formula>AND(COUNT(C24:J24)=8,F24&lt;8*0.4)</formula>
    </cfRule>
    <cfRule type="expression" priority="321" dxfId="2">
      <formula>AND(COUNT(C24:J24)=8,F24&gt;=8*0.4,F24&lt;8)</formula>
    </cfRule>
  </conditionalFormatting>
  <conditionalFormatting sqref="F25">
    <cfRule type="expression" priority="322" dxfId="0">
      <formula>AND(COUNT(C25:J25)=8,F25=8)</formula>
    </cfRule>
    <cfRule type="expression" priority="323" dxfId="1">
      <formula>AND(COUNT(C25:J25)=8,F25&lt;8*0.4)</formula>
    </cfRule>
    <cfRule type="expression" priority="324" dxfId="2">
      <formula>AND(COUNT(C25:J25)=8,F25&gt;=8*0.4,F25&lt;8)</formula>
    </cfRule>
  </conditionalFormatting>
  <conditionalFormatting sqref="F26">
    <cfRule type="expression" priority="325" dxfId="0">
      <formula>AND(COUNT(C26:J26)=8,F26=8)</formula>
    </cfRule>
    <cfRule type="expression" priority="326" dxfId="1">
      <formula>AND(COUNT(C26:J26)=8,F26&lt;8*0.4)</formula>
    </cfRule>
    <cfRule type="expression" priority="327" dxfId="2">
      <formula>AND(COUNT(C26:J26)=8,F26&gt;=8*0.4,F26&lt;8)</formula>
    </cfRule>
  </conditionalFormatting>
  <conditionalFormatting sqref="F27">
    <cfRule type="expression" priority="328" dxfId="0">
      <formula>AND(COUNT(C27:J27)=8,F27=8)</formula>
    </cfRule>
    <cfRule type="expression" priority="329" dxfId="1">
      <formula>AND(COUNT(C27:J27)=8,F27&lt;8*0.4)</formula>
    </cfRule>
    <cfRule type="expression" priority="330" dxfId="2">
      <formula>AND(COUNT(C27:J27)=8,F27&gt;=8*0.4,F27&lt;8)</formula>
    </cfRule>
  </conditionalFormatting>
  <conditionalFormatting sqref="F28">
    <cfRule type="expression" priority="331" dxfId="0">
      <formula>AND(COUNT(C28:J28)=8,F28=8)</formula>
    </cfRule>
    <cfRule type="expression" priority="332" dxfId="1">
      <formula>AND(COUNT(C28:J28)=8,F28&lt;8*0.4)</formula>
    </cfRule>
    <cfRule type="expression" priority="333" dxfId="2">
      <formula>AND(COUNT(C28:J28)=8,F28&gt;=8*0.4,F28&lt;8)</formula>
    </cfRule>
  </conditionalFormatting>
  <conditionalFormatting sqref="F29">
    <cfRule type="expression" priority="334" dxfId="0">
      <formula>AND(COUNT(C29:J29)=8,F29=8)</formula>
    </cfRule>
    <cfRule type="expression" priority="335" dxfId="1">
      <formula>AND(COUNT(C29:J29)=8,F29&lt;8*0.4)</formula>
    </cfRule>
    <cfRule type="expression" priority="336" dxfId="2">
      <formula>AND(COUNT(C29:J29)=8,F29&gt;=8*0.4,F29&lt;8)</formula>
    </cfRule>
  </conditionalFormatting>
  <conditionalFormatting sqref="F30">
    <cfRule type="expression" priority="337" dxfId="0">
      <formula>AND(COUNT(C30:J30)=8,F30=8)</formula>
    </cfRule>
    <cfRule type="expression" priority="338" dxfId="1">
      <formula>AND(COUNT(C30:J30)=8,F30&lt;8*0.4)</formula>
    </cfRule>
    <cfRule type="expression" priority="339" dxfId="2">
      <formula>AND(COUNT(C30:J30)=8,F30&gt;=8*0.4,F30&lt;8)</formula>
    </cfRule>
  </conditionalFormatting>
  <conditionalFormatting sqref="F31">
    <cfRule type="expression" priority="340" dxfId="0">
      <formula>AND(COUNT(C31:J31)=8,F31=8)</formula>
    </cfRule>
    <cfRule type="expression" priority="341" dxfId="1">
      <formula>AND(COUNT(C31:J31)=8,F31&lt;8*0.4)</formula>
    </cfRule>
    <cfRule type="expression" priority="342" dxfId="2">
      <formula>AND(COUNT(C31:J31)=8,F31&gt;=8*0.4,F31&lt;8)</formula>
    </cfRule>
  </conditionalFormatting>
  <conditionalFormatting sqref="F32">
    <cfRule type="expression" priority="343" dxfId="0">
      <formula>AND(COUNT(C32:J32)=8,F32=8)</formula>
    </cfRule>
    <cfRule type="expression" priority="344" dxfId="1">
      <formula>AND(COUNT(C32:J32)=8,F32&lt;8*0.4)</formula>
    </cfRule>
    <cfRule type="expression" priority="345" dxfId="2">
      <formula>AND(COUNT(C32:J32)=8,F32&gt;=8*0.4,F32&lt;8)</formula>
    </cfRule>
  </conditionalFormatting>
  <conditionalFormatting sqref="F33">
    <cfRule type="expression" priority="346" dxfId="0">
      <formula>AND(COUNT(C33:J33)=8,F33=8)</formula>
    </cfRule>
    <cfRule type="expression" priority="347" dxfId="1">
      <formula>AND(COUNT(C33:J33)=8,F33&lt;8*0.4)</formula>
    </cfRule>
    <cfRule type="expression" priority="348" dxfId="2">
      <formula>AND(COUNT(C33:J33)=8,F33&gt;=8*0.4,F33&lt;8)</formula>
    </cfRule>
  </conditionalFormatting>
  <conditionalFormatting sqref="F34">
    <cfRule type="expression" priority="349" dxfId="0">
      <formula>AND(COUNT(C34:J34)=8,F34=8)</formula>
    </cfRule>
    <cfRule type="expression" priority="350" dxfId="1">
      <formula>AND(COUNT(C34:J34)=8,F34&lt;8*0.4)</formula>
    </cfRule>
    <cfRule type="expression" priority="351" dxfId="2">
      <formula>AND(COUNT(C34:J34)=8,F34&gt;=8*0.4,F34&lt;8)</formula>
    </cfRule>
  </conditionalFormatting>
  <conditionalFormatting sqref="F35">
    <cfRule type="expression" priority="352" dxfId="0">
      <formula>AND(COUNT(C35:J35)=8,F35=8)</formula>
    </cfRule>
    <cfRule type="expression" priority="353" dxfId="1">
      <formula>AND(COUNT(C35:J35)=8,F35&lt;8*0.4)</formula>
    </cfRule>
    <cfRule type="expression" priority="354" dxfId="2">
      <formula>AND(COUNT(C35:J35)=8,F35&gt;=8*0.4,F35&lt;8)</formula>
    </cfRule>
  </conditionalFormatting>
  <conditionalFormatting sqref="F36">
    <cfRule type="expression" priority="355" dxfId="0">
      <formula>AND(COUNT(C36:J36)=8,F36=8)</formula>
    </cfRule>
    <cfRule type="expression" priority="356" dxfId="1">
      <formula>AND(COUNT(C36:J36)=8,F36&lt;8*0.4)</formula>
    </cfRule>
    <cfRule type="expression" priority="357" dxfId="2">
      <formula>AND(COUNT(C36:J36)=8,F36&gt;=8*0.4,F36&lt;8)</formula>
    </cfRule>
  </conditionalFormatting>
  <conditionalFormatting sqref="F37">
    <cfRule type="expression" priority="358" dxfId="0">
      <formula>AND(COUNT(C37:J37)=8,F37=8)</formula>
    </cfRule>
    <cfRule type="expression" priority="359" dxfId="1">
      <formula>AND(COUNT(C37:J37)=8,F37&lt;8*0.4)</formula>
    </cfRule>
    <cfRule type="expression" priority="360" dxfId="2">
      <formula>AND(COUNT(C37:J37)=8,F37&gt;=8*0.4,F37&lt;8)</formula>
    </cfRule>
  </conditionalFormatting>
  <conditionalFormatting sqref="F38">
    <cfRule type="expression" priority="361" dxfId="0">
      <formula>AND(COUNT(C38:J38)=8,F38=8)</formula>
    </cfRule>
    <cfRule type="expression" priority="362" dxfId="1">
      <formula>AND(COUNT(C38:J38)=8,F38&lt;8*0.4)</formula>
    </cfRule>
    <cfRule type="expression" priority="363" dxfId="2">
      <formula>AND(COUNT(C38:J38)=8,F38&gt;=8*0.4,F38&lt;8)</formula>
    </cfRule>
  </conditionalFormatting>
  <conditionalFormatting sqref="F39">
    <cfRule type="expression" priority="364" dxfId="0">
      <formula>AND(COUNT(C39:J39)=8,F39=8)</formula>
    </cfRule>
    <cfRule type="expression" priority="365" dxfId="1">
      <formula>AND(COUNT(C39:J39)=8,F39&lt;8*0.4)</formula>
    </cfRule>
    <cfRule type="expression" priority="366" dxfId="2">
      <formula>AND(COUNT(C39:J39)=8,F39&gt;=8*0.4,F39&lt;8)</formula>
    </cfRule>
  </conditionalFormatting>
  <conditionalFormatting sqref="F40">
    <cfRule type="expression" priority="367" dxfId="0">
      <formula>AND(COUNT(C40:J40)=8,F40=8)</formula>
    </cfRule>
    <cfRule type="expression" priority="368" dxfId="1">
      <formula>AND(COUNT(C40:J40)=8,F40&lt;8*0.4)</formula>
    </cfRule>
    <cfRule type="expression" priority="369" dxfId="2">
      <formula>AND(COUNT(C40:J40)=8,F40&gt;=8*0.4,F40&lt;8)</formula>
    </cfRule>
  </conditionalFormatting>
  <conditionalFormatting sqref="F41">
    <cfRule type="expression" priority="370" dxfId="0">
      <formula>AND(COUNT(C41:J41)=8,F41=8)</formula>
    </cfRule>
    <cfRule type="expression" priority="371" dxfId="1">
      <formula>AND(COUNT(C41:J41)=8,F41&lt;8*0.4)</formula>
    </cfRule>
    <cfRule type="expression" priority="372" dxfId="2">
      <formula>AND(COUNT(C41:J41)=8,F41&gt;=8*0.4,F41&lt;8)</formula>
    </cfRule>
  </conditionalFormatting>
  <conditionalFormatting sqref="G11">
    <cfRule type="expression" priority="373" dxfId="0">
      <formula>AND(COUNT(C11:J11)=8,G11=9)</formula>
    </cfRule>
    <cfRule type="expression" priority="374" dxfId="1">
      <formula>AND(COUNT(C11:J11)=8,G11&lt;9*0.4)</formula>
    </cfRule>
    <cfRule type="expression" priority="375" dxfId="2">
      <formula>AND(COUNT(C11:J11)=8,G11&gt;=9*0.4,G11&lt;9)</formula>
    </cfRule>
  </conditionalFormatting>
  <conditionalFormatting sqref="G12">
    <cfRule type="expression" priority="376" dxfId="0">
      <formula>AND(COUNT(C12:J12)=8,G12=9)</formula>
    </cfRule>
    <cfRule type="expression" priority="377" dxfId="1">
      <formula>AND(COUNT(C12:J12)=8,G12&lt;9*0.4)</formula>
    </cfRule>
    <cfRule type="expression" priority="378" dxfId="2">
      <formula>AND(COUNT(C12:J12)=8,G12&gt;=9*0.4,G12&lt;9)</formula>
    </cfRule>
  </conditionalFormatting>
  <conditionalFormatting sqref="G13">
    <cfRule type="expression" priority="379" dxfId="0">
      <formula>AND(COUNT(C13:J13)=8,G13=9)</formula>
    </cfRule>
    <cfRule type="expression" priority="380" dxfId="1">
      <formula>AND(COUNT(C13:J13)=8,G13&lt;9*0.4)</formula>
    </cfRule>
    <cfRule type="expression" priority="381" dxfId="2">
      <formula>AND(COUNT(C13:J13)=8,G13&gt;=9*0.4,G13&lt;9)</formula>
    </cfRule>
  </conditionalFormatting>
  <conditionalFormatting sqref="G14">
    <cfRule type="expression" priority="382" dxfId="0">
      <formula>AND(COUNT(C14:J14)=8,G14=9)</formula>
    </cfRule>
    <cfRule type="expression" priority="383" dxfId="1">
      <formula>AND(COUNT(C14:J14)=8,G14&lt;9*0.4)</formula>
    </cfRule>
    <cfRule type="expression" priority="384" dxfId="2">
      <formula>AND(COUNT(C14:J14)=8,G14&gt;=9*0.4,G14&lt;9)</formula>
    </cfRule>
  </conditionalFormatting>
  <conditionalFormatting sqref="G15">
    <cfRule type="expression" priority="385" dxfId="0">
      <formula>AND(COUNT(C15:J15)=8,G15=9)</formula>
    </cfRule>
    <cfRule type="expression" priority="386" dxfId="1">
      <formula>AND(COUNT(C15:J15)=8,G15&lt;9*0.4)</formula>
    </cfRule>
    <cfRule type="expression" priority="387" dxfId="2">
      <formula>AND(COUNT(C15:J15)=8,G15&gt;=9*0.4,G15&lt;9)</formula>
    </cfRule>
  </conditionalFormatting>
  <conditionalFormatting sqref="G16">
    <cfRule type="expression" priority="388" dxfId="0">
      <formula>AND(COUNT(C16:J16)=8,G16=9)</formula>
    </cfRule>
    <cfRule type="expression" priority="389" dxfId="1">
      <formula>AND(COUNT(C16:J16)=8,G16&lt;9*0.4)</formula>
    </cfRule>
    <cfRule type="expression" priority="390" dxfId="2">
      <formula>AND(COUNT(C16:J16)=8,G16&gt;=9*0.4,G16&lt;9)</formula>
    </cfRule>
  </conditionalFormatting>
  <conditionalFormatting sqref="G17">
    <cfRule type="expression" priority="391" dxfId="0">
      <formula>AND(COUNT(C17:J17)=8,G17=9)</formula>
    </cfRule>
    <cfRule type="expression" priority="392" dxfId="1">
      <formula>AND(COUNT(C17:J17)=8,G17&lt;9*0.4)</formula>
    </cfRule>
    <cfRule type="expression" priority="393" dxfId="2">
      <formula>AND(COUNT(C17:J17)=8,G17&gt;=9*0.4,G17&lt;9)</formula>
    </cfRule>
  </conditionalFormatting>
  <conditionalFormatting sqref="G18">
    <cfRule type="expression" priority="394" dxfId="0">
      <formula>AND(COUNT(C18:J18)=8,G18=9)</formula>
    </cfRule>
    <cfRule type="expression" priority="395" dxfId="1">
      <formula>AND(COUNT(C18:J18)=8,G18&lt;9*0.4)</formula>
    </cfRule>
    <cfRule type="expression" priority="396" dxfId="2">
      <formula>AND(COUNT(C18:J18)=8,G18&gt;=9*0.4,G18&lt;9)</formula>
    </cfRule>
  </conditionalFormatting>
  <conditionalFormatting sqref="G19">
    <cfRule type="expression" priority="397" dxfId="0">
      <formula>AND(COUNT(C19:J19)=8,G19=9)</formula>
    </cfRule>
    <cfRule type="expression" priority="398" dxfId="1">
      <formula>AND(COUNT(C19:J19)=8,G19&lt;9*0.4)</formula>
    </cfRule>
    <cfRule type="expression" priority="399" dxfId="2">
      <formula>AND(COUNT(C19:J19)=8,G19&gt;=9*0.4,G19&lt;9)</formula>
    </cfRule>
  </conditionalFormatting>
  <conditionalFormatting sqref="G20">
    <cfRule type="expression" priority="400" dxfId="0">
      <formula>AND(COUNT(C20:J20)=8,G20=9)</formula>
    </cfRule>
    <cfRule type="expression" priority="401" dxfId="1">
      <formula>AND(COUNT(C20:J20)=8,G20&lt;9*0.4)</formula>
    </cfRule>
    <cfRule type="expression" priority="402" dxfId="2">
      <formula>AND(COUNT(C20:J20)=8,G20&gt;=9*0.4,G20&lt;9)</formula>
    </cfRule>
  </conditionalFormatting>
  <conditionalFormatting sqref="G21">
    <cfRule type="expression" priority="403" dxfId="0">
      <formula>AND(COUNT(C21:J21)=8,G21=9)</formula>
    </cfRule>
    <cfRule type="expression" priority="404" dxfId="1">
      <formula>AND(COUNT(C21:J21)=8,G21&lt;9*0.4)</formula>
    </cfRule>
    <cfRule type="expression" priority="405" dxfId="2">
      <formula>AND(COUNT(C21:J21)=8,G21&gt;=9*0.4,G21&lt;9)</formula>
    </cfRule>
  </conditionalFormatting>
  <conditionalFormatting sqref="G22">
    <cfRule type="expression" priority="406" dxfId="0">
      <formula>AND(COUNT(C22:J22)=8,G22=9)</formula>
    </cfRule>
    <cfRule type="expression" priority="407" dxfId="1">
      <formula>AND(COUNT(C22:J22)=8,G22&lt;9*0.4)</formula>
    </cfRule>
    <cfRule type="expression" priority="408" dxfId="2">
      <formula>AND(COUNT(C22:J22)=8,G22&gt;=9*0.4,G22&lt;9)</formula>
    </cfRule>
  </conditionalFormatting>
  <conditionalFormatting sqref="G23">
    <cfRule type="expression" priority="409" dxfId="0">
      <formula>AND(COUNT(C23:J23)=8,G23=9)</formula>
    </cfRule>
    <cfRule type="expression" priority="410" dxfId="1">
      <formula>AND(COUNT(C23:J23)=8,G23&lt;9*0.4)</formula>
    </cfRule>
    <cfRule type="expression" priority="411" dxfId="2">
      <formula>AND(COUNT(C23:J23)=8,G23&gt;=9*0.4,G23&lt;9)</formula>
    </cfRule>
  </conditionalFormatting>
  <conditionalFormatting sqref="G24">
    <cfRule type="expression" priority="412" dxfId="0">
      <formula>AND(COUNT(C24:J24)=8,G24=9)</formula>
    </cfRule>
    <cfRule type="expression" priority="413" dxfId="1">
      <formula>AND(COUNT(C24:J24)=8,G24&lt;9*0.4)</formula>
    </cfRule>
    <cfRule type="expression" priority="414" dxfId="2">
      <formula>AND(COUNT(C24:J24)=8,G24&gt;=9*0.4,G24&lt;9)</formula>
    </cfRule>
  </conditionalFormatting>
  <conditionalFormatting sqref="G25">
    <cfRule type="expression" priority="415" dxfId="0">
      <formula>AND(COUNT(C25:J25)=8,G25=9)</formula>
    </cfRule>
    <cfRule type="expression" priority="416" dxfId="1">
      <formula>AND(COUNT(C25:J25)=8,G25&lt;9*0.4)</formula>
    </cfRule>
    <cfRule type="expression" priority="417" dxfId="2">
      <formula>AND(COUNT(C25:J25)=8,G25&gt;=9*0.4,G25&lt;9)</formula>
    </cfRule>
  </conditionalFormatting>
  <conditionalFormatting sqref="G26">
    <cfRule type="expression" priority="418" dxfId="0">
      <formula>AND(COUNT(C26:J26)=8,G26=9)</formula>
    </cfRule>
    <cfRule type="expression" priority="419" dxfId="1">
      <formula>AND(COUNT(C26:J26)=8,G26&lt;9*0.4)</formula>
    </cfRule>
    <cfRule type="expression" priority="420" dxfId="2">
      <formula>AND(COUNT(C26:J26)=8,G26&gt;=9*0.4,G26&lt;9)</formula>
    </cfRule>
  </conditionalFormatting>
  <conditionalFormatting sqref="G27">
    <cfRule type="expression" priority="421" dxfId="0">
      <formula>AND(COUNT(C27:J27)=8,G27=9)</formula>
    </cfRule>
    <cfRule type="expression" priority="422" dxfId="1">
      <formula>AND(COUNT(C27:J27)=8,G27&lt;9*0.4)</formula>
    </cfRule>
    <cfRule type="expression" priority="423" dxfId="2">
      <formula>AND(COUNT(C27:J27)=8,G27&gt;=9*0.4,G27&lt;9)</formula>
    </cfRule>
  </conditionalFormatting>
  <conditionalFormatting sqref="G28">
    <cfRule type="expression" priority="424" dxfId="0">
      <formula>AND(COUNT(C28:J28)=8,G28=9)</formula>
    </cfRule>
    <cfRule type="expression" priority="425" dxfId="1">
      <formula>AND(COUNT(C28:J28)=8,G28&lt;9*0.4)</formula>
    </cfRule>
    <cfRule type="expression" priority="426" dxfId="2">
      <formula>AND(COUNT(C28:J28)=8,G28&gt;=9*0.4,G28&lt;9)</formula>
    </cfRule>
  </conditionalFormatting>
  <conditionalFormatting sqref="G29">
    <cfRule type="expression" priority="427" dxfId="0">
      <formula>AND(COUNT(C29:J29)=8,G29=9)</formula>
    </cfRule>
    <cfRule type="expression" priority="428" dxfId="1">
      <formula>AND(COUNT(C29:J29)=8,G29&lt;9*0.4)</formula>
    </cfRule>
    <cfRule type="expression" priority="429" dxfId="2">
      <formula>AND(COUNT(C29:J29)=8,G29&gt;=9*0.4,G29&lt;9)</formula>
    </cfRule>
  </conditionalFormatting>
  <conditionalFormatting sqref="G30">
    <cfRule type="expression" priority="430" dxfId="0">
      <formula>AND(COUNT(C30:J30)=8,G30=9)</formula>
    </cfRule>
    <cfRule type="expression" priority="431" dxfId="1">
      <formula>AND(COUNT(C30:J30)=8,G30&lt;9*0.4)</formula>
    </cfRule>
    <cfRule type="expression" priority="432" dxfId="2">
      <formula>AND(COUNT(C30:J30)=8,G30&gt;=9*0.4,G30&lt;9)</formula>
    </cfRule>
  </conditionalFormatting>
  <conditionalFormatting sqref="G31">
    <cfRule type="expression" priority="433" dxfId="0">
      <formula>AND(COUNT(C31:J31)=8,G31=9)</formula>
    </cfRule>
    <cfRule type="expression" priority="434" dxfId="1">
      <formula>AND(COUNT(C31:J31)=8,G31&lt;9*0.4)</formula>
    </cfRule>
    <cfRule type="expression" priority="435" dxfId="2">
      <formula>AND(COUNT(C31:J31)=8,G31&gt;=9*0.4,G31&lt;9)</formula>
    </cfRule>
  </conditionalFormatting>
  <conditionalFormatting sqref="G32">
    <cfRule type="expression" priority="436" dxfId="0">
      <formula>AND(COUNT(C32:J32)=8,G32=9)</formula>
    </cfRule>
    <cfRule type="expression" priority="437" dxfId="1">
      <formula>AND(COUNT(C32:J32)=8,G32&lt;9*0.4)</formula>
    </cfRule>
    <cfRule type="expression" priority="438" dxfId="2">
      <formula>AND(COUNT(C32:J32)=8,G32&gt;=9*0.4,G32&lt;9)</formula>
    </cfRule>
  </conditionalFormatting>
  <conditionalFormatting sqref="G33">
    <cfRule type="expression" priority="439" dxfId="0">
      <formula>AND(COUNT(C33:J33)=8,G33=9)</formula>
    </cfRule>
    <cfRule type="expression" priority="440" dxfId="1">
      <formula>AND(COUNT(C33:J33)=8,G33&lt;9*0.4)</formula>
    </cfRule>
    <cfRule type="expression" priority="441" dxfId="2">
      <formula>AND(COUNT(C33:J33)=8,G33&gt;=9*0.4,G33&lt;9)</formula>
    </cfRule>
  </conditionalFormatting>
  <conditionalFormatting sqref="G34">
    <cfRule type="expression" priority="442" dxfId="0">
      <formula>AND(COUNT(C34:J34)=8,G34=9)</formula>
    </cfRule>
    <cfRule type="expression" priority="443" dxfId="1">
      <formula>AND(COUNT(C34:J34)=8,G34&lt;9*0.4)</formula>
    </cfRule>
    <cfRule type="expression" priority="444" dxfId="2">
      <formula>AND(COUNT(C34:J34)=8,G34&gt;=9*0.4,G34&lt;9)</formula>
    </cfRule>
  </conditionalFormatting>
  <conditionalFormatting sqref="G35">
    <cfRule type="expression" priority="445" dxfId="0">
      <formula>AND(COUNT(C35:J35)=8,G35=9)</formula>
    </cfRule>
    <cfRule type="expression" priority="446" dxfId="1">
      <formula>AND(COUNT(C35:J35)=8,G35&lt;9*0.4)</formula>
    </cfRule>
    <cfRule type="expression" priority="447" dxfId="2">
      <formula>AND(COUNT(C35:J35)=8,G35&gt;=9*0.4,G35&lt;9)</formula>
    </cfRule>
  </conditionalFormatting>
  <conditionalFormatting sqref="G36">
    <cfRule type="expression" priority="448" dxfId="0">
      <formula>AND(COUNT(C36:J36)=8,G36=9)</formula>
    </cfRule>
    <cfRule type="expression" priority="449" dxfId="1">
      <formula>AND(COUNT(C36:J36)=8,G36&lt;9*0.4)</formula>
    </cfRule>
    <cfRule type="expression" priority="450" dxfId="2">
      <formula>AND(COUNT(C36:J36)=8,G36&gt;=9*0.4,G36&lt;9)</formula>
    </cfRule>
  </conditionalFormatting>
  <conditionalFormatting sqref="G37">
    <cfRule type="expression" priority="451" dxfId="0">
      <formula>AND(COUNT(C37:J37)=8,G37=9)</formula>
    </cfRule>
    <cfRule type="expression" priority="452" dxfId="1">
      <formula>AND(COUNT(C37:J37)=8,G37&lt;9*0.4)</formula>
    </cfRule>
    <cfRule type="expression" priority="453" dxfId="2">
      <formula>AND(COUNT(C37:J37)=8,G37&gt;=9*0.4,G37&lt;9)</formula>
    </cfRule>
  </conditionalFormatting>
  <conditionalFormatting sqref="G38">
    <cfRule type="expression" priority="454" dxfId="0">
      <formula>AND(COUNT(C38:J38)=8,G38=9)</formula>
    </cfRule>
    <cfRule type="expression" priority="455" dxfId="1">
      <formula>AND(COUNT(C38:J38)=8,G38&lt;9*0.4)</formula>
    </cfRule>
    <cfRule type="expression" priority="456" dxfId="2">
      <formula>AND(COUNT(C38:J38)=8,G38&gt;=9*0.4,G38&lt;9)</formula>
    </cfRule>
  </conditionalFormatting>
  <conditionalFormatting sqref="G39">
    <cfRule type="expression" priority="457" dxfId="0">
      <formula>AND(COUNT(C39:J39)=8,G39=9)</formula>
    </cfRule>
    <cfRule type="expression" priority="458" dxfId="1">
      <formula>AND(COUNT(C39:J39)=8,G39&lt;9*0.4)</formula>
    </cfRule>
    <cfRule type="expression" priority="459" dxfId="2">
      <formula>AND(COUNT(C39:J39)=8,G39&gt;=9*0.4,G39&lt;9)</formula>
    </cfRule>
  </conditionalFormatting>
  <conditionalFormatting sqref="G40">
    <cfRule type="expression" priority="460" dxfId="0">
      <formula>AND(COUNT(C40:J40)=8,G40=9)</formula>
    </cfRule>
    <cfRule type="expression" priority="461" dxfId="1">
      <formula>AND(COUNT(C40:J40)=8,G40&lt;9*0.4)</formula>
    </cfRule>
    <cfRule type="expression" priority="462" dxfId="2">
      <formula>AND(COUNT(C40:J40)=8,G40&gt;=9*0.4,G40&lt;9)</formula>
    </cfRule>
  </conditionalFormatting>
  <conditionalFormatting sqref="G41">
    <cfRule type="expression" priority="463" dxfId="0">
      <formula>AND(COUNT(C41:J41)=8,G41=9)</formula>
    </cfRule>
    <cfRule type="expression" priority="464" dxfId="1">
      <formula>AND(COUNT(C41:J41)=8,G41&lt;9*0.4)</formula>
    </cfRule>
    <cfRule type="expression" priority="465" dxfId="2">
      <formula>AND(COUNT(C41:J41)=8,G41&gt;=9*0.4,G41&lt;9)</formula>
    </cfRule>
  </conditionalFormatting>
  <conditionalFormatting sqref="H11">
    <cfRule type="expression" priority="466" dxfId="0">
      <formula>AND(COUNT(C11:J11)=8,H11=9)</formula>
    </cfRule>
    <cfRule type="expression" priority="467" dxfId="1">
      <formula>AND(COUNT(C11:J11)=8,H11&lt;9*0.4)</formula>
    </cfRule>
    <cfRule type="expression" priority="468" dxfId="2">
      <formula>AND(COUNT(C11:J11)=8,H11&gt;=9*0.4,H11&lt;9)</formula>
    </cfRule>
  </conditionalFormatting>
  <conditionalFormatting sqref="H12">
    <cfRule type="expression" priority="469" dxfId="0">
      <formula>AND(COUNT(C12:J12)=8,H12=9)</formula>
    </cfRule>
    <cfRule type="expression" priority="470" dxfId="1">
      <formula>AND(COUNT(C12:J12)=8,H12&lt;9*0.4)</formula>
    </cfRule>
    <cfRule type="expression" priority="471" dxfId="2">
      <formula>AND(COUNT(C12:J12)=8,H12&gt;=9*0.4,H12&lt;9)</formula>
    </cfRule>
  </conditionalFormatting>
  <conditionalFormatting sqref="H13">
    <cfRule type="expression" priority="472" dxfId="0">
      <formula>AND(COUNT(C13:J13)=8,H13=9)</formula>
    </cfRule>
    <cfRule type="expression" priority="473" dxfId="1">
      <formula>AND(COUNT(C13:J13)=8,H13&lt;9*0.4)</formula>
    </cfRule>
    <cfRule type="expression" priority="474" dxfId="2">
      <formula>AND(COUNT(C13:J13)=8,H13&gt;=9*0.4,H13&lt;9)</formula>
    </cfRule>
  </conditionalFormatting>
  <conditionalFormatting sqref="H14">
    <cfRule type="expression" priority="475" dxfId="0">
      <formula>AND(COUNT(C14:J14)=8,H14=9)</formula>
    </cfRule>
    <cfRule type="expression" priority="476" dxfId="1">
      <formula>AND(COUNT(C14:J14)=8,H14&lt;9*0.4)</formula>
    </cfRule>
    <cfRule type="expression" priority="477" dxfId="2">
      <formula>AND(COUNT(C14:J14)=8,H14&gt;=9*0.4,H14&lt;9)</formula>
    </cfRule>
  </conditionalFormatting>
  <conditionalFormatting sqref="H15">
    <cfRule type="expression" priority="478" dxfId="0">
      <formula>AND(COUNT(C15:J15)=8,H15=9)</formula>
    </cfRule>
    <cfRule type="expression" priority="479" dxfId="1">
      <formula>AND(COUNT(C15:J15)=8,H15&lt;9*0.4)</formula>
    </cfRule>
    <cfRule type="expression" priority="480" dxfId="2">
      <formula>AND(COUNT(C15:J15)=8,H15&gt;=9*0.4,H15&lt;9)</formula>
    </cfRule>
  </conditionalFormatting>
  <conditionalFormatting sqref="H16">
    <cfRule type="expression" priority="481" dxfId="0">
      <formula>AND(COUNT(C16:J16)=8,H16=9)</formula>
    </cfRule>
    <cfRule type="expression" priority="482" dxfId="1">
      <formula>AND(COUNT(C16:J16)=8,H16&lt;9*0.4)</formula>
    </cfRule>
    <cfRule type="expression" priority="483" dxfId="2">
      <formula>AND(COUNT(C16:J16)=8,H16&gt;=9*0.4,H16&lt;9)</formula>
    </cfRule>
  </conditionalFormatting>
  <conditionalFormatting sqref="H17">
    <cfRule type="expression" priority="484" dxfId="0">
      <formula>AND(COUNT(C17:J17)=8,H17=9)</formula>
    </cfRule>
    <cfRule type="expression" priority="485" dxfId="1">
      <formula>AND(COUNT(C17:J17)=8,H17&lt;9*0.4)</formula>
    </cfRule>
    <cfRule type="expression" priority="486" dxfId="2">
      <formula>AND(COUNT(C17:J17)=8,H17&gt;=9*0.4,H17&lt;9)</formula>
    </cfRule>
  </conditionalFormatting>
  <conditionalFormatting sqref="H18">
    <cfRule type="expression" priority="487" dxfId="0">
      <formula>AND(COUNT(C18:J18)=8,H18=9)</formula>
    </cfRule>
    <cfRule type="expression" priority="488" dxfId="1">
      <formula>AND(COUNT(C18:J18)=8,H18&lt;9*0.4)</formula>
    </cfRule>
    <cfRule type="expression" priority="489" dxfId="2">
      <formula>AND(COUNT(C18:J18)=8,H18&gt;=9*0.4,H18&lt;9)</formula>
    </cfRule>
  </conditionalFormatting>
  <conditionalFormatting sqref="H19">
    <cfRule type="expression" priority="490" dxfId="0">
      <formula>AND(COUNT(C19:J19)=8,H19=9)</formula>
    </cfRule>
    <cfRule type="expression" priority="491" dxfId="1">
      <formula>AND(COUNT(C19:J19)=8,H19&lt;9*0.4)</formula>
    </cfRule>
    <cfRule type="expression" priority="492" dxfId="2">
      <formula>AND(COUNT(C19:J19)=8,H19&gt;=9*0.4,H19&lt;9)</formula>
    </cfRule>
  </conditionalFormatting>
  <conditionalFormatting sqref="H20">
    <cfRule type="expression" priority="493" dxfId="0">
      <formula>AND(COUNT(C20:J20)=8,H20=9)</formula>
    </cfRule>
    <cfRule type="expression" priority="494" dxfId="1">
      <formula>AND(COUNT(C20:J20)=8,H20&lt;9*0.4)</formula>
    </cfRule>
    <cfRule type="expression" priority="495" dxfId="2">
      <formula>AND(COUNT(C20:J20)=8,H20&gt;=9*0.4,H20&lt;9)</formula>
    </cfRule>
  </conditionalFormatting>
  <conditionalFormatting sqref="H21">
    <cfRule type="expression" priority="496" dxfId="0">
      <formula>AND(COUNT(C21:J21)=8,H21=9)</formula>
    </cfRule>
    <cfRule type="expression" priority="497" dxfId="1">
      <formula>AND(COUNT(C21:J21)=8,H21&lt;9*0.4)</formula>
    </cfRule>
    <cfRule type="expression" priority="498" dxfId="2">
      <formula>AND(COUNT(C21:J21)=8,H21&gt;=9*0.4,H21&lt;9)</formula>
    </cfRule>
  </conditionalFormatting>
  <conditionalFormatting sqref="H22">
    <cfRule type="expression" priority="499" dxfId="0">
      <formula>AND(COUNT(C22:J22)=8,H22=9)</formula>
    </cfRule>
    <cfRule type="expression" priority="500" dxfId="1">
      <formula>AND(COUNT(C22:J22)=8,H22&lt;9*0.4)</formula>
    </cfRule>
    <cfRule type="expression" priority="501" dxfId="2">
      <formula>AND(COUNT(C22:J22)=8,H22&gt;=9*0.4,H22&lt;9)</formula>
    </cfRule>
  </conditionalFormatting>
  <conditionalFormatting sqref="H23">
    <cfRule type="expression" priority="502" dxfId="0">
      <formula>AND(COUNT(C23:J23)=8,H23=9)</formula>
    </cfRule>
    <cfRule type="expression" priority="503" dxfId="1">
      <formula>AND(COUNT(C23:J23)=8,H23&lt;9*0.4)</formula>
    </cfRule>
    <cfRule type="expression" priority="504" dxfId="2">
      <formula>AND(COUNT(C23:J23)=8,H23&gt;=9*0.4,H23&lt;9)</formula>
    </cfRule>
  </conditionalFormatting>
  <conditionalFormatting sqref="H24">
    <cfRule type="expression" priority="505" dxfId="0">
      <formula>AND(COUNT(C24:J24)=8,H24=9)</formula>
    </cfRule>
    <cfRule type="expression" priority="506" dxfId="1">
      <formula>AND(COUNT(C24:J24)=8,H24&lt;9*0.4)</formula>
    </cfRule>
    <cfRule type="expression" priority="507" dxfId="2">
      <formula>AND(COUNT(C24:J24)=8,H24&gt;=9*0.4,H24&lt;9)</formula>
    </cfRule>
  </conditionalFormatting>
  <conditionalFormatting sqref="H25">
    <cfRule type="expression" priority="508" dxfId="0">
      <formula>AND(COUNT(C25:J25)=8,H25=9)</formula>
    </cfRule>
    <cfRule type="expression" priority="509" dxfId="1">
      <formula>AND(COUNT(C25:J25)=8,H25&lt;9*0.4)</formula>
    </cfRule>
    <cfRule type="expression" priority="510" dxfId="2">
      <formula>AND(COUNT(C25:J25)=8,H25&gt;=9*0.4,H25&lt;9)</formula>
    </cfRule>
  </conditionalFormatting>
  <conditionalFormatting sqref="H26">
    <cfRule type="expression" priority="511" dxfId="0">
      <formula>AND(COUNT(C26:J26)=8,H26=9)</formula>
    </cfRule>
    <cfRule type="expression" priority="512" dxfId="1">
      <formula>AND(COUNT(C26:J26)=8,H26&lt;9*0.4)</formula>
    </cfRule>
    <cfRule type="expression" priority="513" dxfId="2">
      <formula>AND(COUNT(C26:J26)=8,H26&gt;=9*0.4,H26&lt;9)</formula>
    </cfRule>
  </conditionalFormatting>
  <conditionalFormatting sqref="H27">
    <cfRule type="expression" priority="514" dxfId="0">
      <formula>AND(COUNT(C27:J27)=8,H27=9)</formula>
    </cfRule>
    <cfRule type="expression" priority="515" dxfId="1">
      <formula>AND(COUNT(C27:J27)=8,H27&lt;9*0.4)</formula>
    </cfRule>
    <cfRule type="expression" priority="516" dxfId="2">
      <formula>AND(COUNT(C27:J27)=8,H27&gt;=9*0.4,H27&lt;9)</formula>
    </cfRule>
  </conditionalFormatting>
  <conditionalFormatting sqref="H28">
    <cfRule type="expression" priority="517" dxfId="0">
      <formula>AND(COUNT(C28:J28)=8,H28=9)</formula>
    </cfRule>
    <cfRule type="expression" priority="518" dxfId="1">
      <formula>AND(COUNT(C28:J28)=8,H28&lt;9*0.4)</formula>
    </cfRule>
    <cfRule type="expression" priority="519" dxfId="2">
      <formula>AND(COUNT(C28:J28)=8,H28&gt;=9*0.4,H28&lt;9)</formula>
    </cfRule>
  </conditionalFormatting>
  <conditionalFormatting sqref="H29">
    <cfRule type="expression" priority="520" dxfId="0">
      <formula>AND(COUNT(C29:J29)=8,H29=9)</formula>
    </cfRule>
    <cfRule type="expression" priority="521" dxfId="1">
      <formula>AND(COUNT(C29:J29)=8,H29&lt;9*0.4)</formula>
    </cfRule>
    <cfRule type="expression" priority="522" dxfId="2">
      <formula>AND(COUNT(C29:J29)=8,H29&gt;=9*0.4,H29&lt;9)</formula>
    </cfRule>
  </conditionalFormatting>
  <conditionalFormatting sqref="H30">
    <cfRule type="expression" priority="523" dxfId="0">
      <formula>AND(COUNT(C30:J30)=8,H30=9)</formula>
    </cfRule>
    <cfRule type="expression" priority="524" dxfId="1">
      <formula>AND(COUNT(C30:J30)=8,H30&lt;9*0.4)</formula>
    </cfRule>
    <cfRule type="expression" priority="525" dxfId="2">
      <formula>AND(COUNT(C30:J30)=8,H30&gt;=9*0.4,H30&lt;9)</formula>
    </cfRule>
  </conditionalFormatting>
  <conditionalFormatting sqref="H31">
    <cfRule type="expression" priority="526" dxfId="0">
      <formula>AND(COUNT(C31:J31)=8,H31=9)</formula>
    </cfRule>
    <cfRule type="expression" priority="527" dxfId="1">
      <formula>AND(COUNT(C31:J31)=8,H31&lt;9*0.4)</formula>
    </cfRule>
    <cfRule type="expression" priority="528" dxfId="2">
      <formula>AND(COUNT(C31:J31)=8,H31&gt;=9*0.4,H31&lt;9)</formula>
    </cfRule>
  </conditionalFormatting>
  <conditionalFormatting sqref="H32">
    <cfRule type="expression" priority="529" dxfId="0">
      <formula>AND(COUNT(C32:J32)=8,H32=9)</formula>
    </cfRule>
    <cfRule type="expression" priority="530" dxfId="1">
      <formula>AND(COUNT(C32:J32)=8,H32&lt;9*0.4)</formula>
    </cfRule>
    <cfRule type="expression" priority="531" dxfId="2">
      <formula>AND(COUNT(C32:J32)=8,H32&gt;=9*0.4,H32&lt;9)</formula>
    </cfRule>
  </conditionalFormatting>
  <conditionalFormatting sqref="H33">
    <cfRule type="expression" priority="532" dxfId="0">
      <formula>AND(COUNT(C33:J33)=8,H33=9)</formula>
    </cfRule>
    <cfRule type="expression" priority="533" dxfId="1">
      <formula>AND(COUNT(C33:J33)=8,H33&lt;9*0.4)</formula>
    </cfRule>
    <cfRule type="expression" priority="534" dxfId="2">
      <formula>AND(COUNT(C33:J33)=8,H33&gt;=9*0.4,H33&lt;9)</formula>
    </cfRule>
  </conditionalFormatting>
  <conditionalFormatting sqref="H34">
    <cfRule type="expression" priority="535" dxfId="0">
      <formula>AND(COUNT(C34:J34)=8,H34=9)</formula>
    </cfRule>
    <cfRule type="expression" priority="536" dxfId="1">
      <formula>AND(COUNT(C34:J34)=8,H34&lt;9*0.4)</formula>
    </cfRule>
    <cfRule type="expression" priority="537" dxfId="2">
      <formula>AND(COUNT(C34:J34)=8,H34&gt;=9*0.4,H34&lt;9)</formula>
    </cfRule>
  </conditionalFormatting>
  <conditionalFormatting sqref="H35">
    <cfRule type="expression" priority="538" dxfId="0">
      <formula>AND(COUNT(C35:J35)=8,H35=9)</formula>
    </cfRule>
    <cfRule type="expression" priority="539" dxfId="1">
      <formula>AND(COUNT(C35:J35)=8,H35&lt;9*0.4)</formula>
    </cfRule>
    <cfRule type="expression" priority="540" dxfId="2">
      <formula>AND(COUNT(C35:J35)=8,H35&gt;=9*0.4,H35&lt;9)</formula>
    </cfRule>
  </conditionalFormatting>
  <conditionalFormatting sqref="H36">
    <cfRule type="expression" priority="541" dxfId="0">
      <formula>AND(COUNT(C36:J36)=8,H36=9)</formula>
    </cfRule>
    <cfRule type="expression" priority="542" dxfId="1">
      <formula>AND(COUNT(C36:J36)=8,H36&lt;9*0.4)</formula>
    </cfRule>
    <cfRule type="expression" priority="543" dxfId="2">
      <formula>AND(COUNT(C36:J36)=8,H36&gt;=9*0.4,H36&lt;9)</formula>
    </cfRule>
  </conditionalFormatting>
  <conditionalFormatting sqref="H37">
    <cfRule type="expression" priority="544" dxfId="0">
      <formula>AND(COUNT(C37:J37)=8,H37=9)</formula>
    </cfRule>
    <cfRule type="expression" priority="545" dxfId="1">
      <formula>AND(COUNT(C37:J37)=8,H37&lt;9*0.4)</formula>
    </cfRule>
    <cfRule type="expression" priority="546" dxfId="2">
      <formula>AND(COUNT(C37:J37)=8,H37&gt;=9*0.4,H37&lt;9)</formula>
    </cfRule>
  </conditionalFormatting>
  <conditionalFormatting sqref="H38">
    <cfRule type="expression" priority="547" dxfId="0">
      <formula>AND(COUNT(C38:J38)=8,H38=9)</formula>
    </cfRule>
    <cfRule type="expression" priority="548" dxfId="1">
      <formula>AND(COUNT(C38:J38)=8,H38&lt;9*0.4)</formula>
    </cfRule>
    <cfRule type="expression" priority="549" dxfId="2">
      <formula>AND(COUNT(C38:J38)=8,H38&gt;=9*0.4,H38&lt;9)</formula>
    </cfRule>
  </conditionalFormatting>
  <conditionalFormatting sqref="H39">
    <cfRule type="expression" priority="550" dxfId="0">
      <formula>AND(COUNT(C39:J39)=8,H39=9)</formula>
    </cfRule>
    <cfRule type="expression" priority="551" dxfId="1">
      <formula>AND(COUNT(C39:J39)=8,H39&lt;9*0.4)</formula>
    </cfRule>
    <cfRule type="expression" priority="552" dxfId="2">
      <formula>AND(COUNT(C39:J39)=8,H39&gt;=9*0.4,H39&lt;9)</formula>
    </cfRule>
  </conditionalFormatting>
  <conditionalFormatting sqref="H40">
    <cfRule type="expression" priority="553" dxfId="0">
      <formula>AND(COUNT(C40:J40)=8,H40=9)</formula>
    </cfRule>
    <cfRule type="expression" priority="554" dxfId="1">
      <formula>AND(COUNT(C40:J40)=8,H40&lt;9*0.4)</formula>
    </cfRule>
    <cfRule type="expression" priority="555" dxfId="2">
      <formula>AND(COUNT(C40:J40)=8,H40&gt;=9*0.4,H40&lt;9)</formula>
    </cfRule>
  </conditionalFormatting>
  <conditionalFormatting sqref="H41">
    <cfRule type="expression" priority="556" dxfId="0">
      <formula>AND(COUNT(C41:J41)=8,H41=9)</formula>
    </cfRule>
    <cfRule type="expression" priority="557" dxfId="1">
      <formula>AND(COUNT(C41:J41)=8,H41&lt;9*0.4)</formula>
    </cfRule>
    <cfRule type="expression" priority="558" dxfId="2">
      <formula>AND(COUNT(C41:J41)=8,H41&gt;=9*0.4,H41&lt;9)</formula>
    </cfRule>
  </conditionalFormatting>
  <conditionalFormatting sqref="I11">
    <cfRule type="expression" priority="559" dxfId="0">
      <formula>AND(COUNT(C11:J11)=8,I11=9)</formula>
    </cfRule>
    <cfRule type="expression" priority="560" dxfId="1">
      <formula>AND(COUNT(C11:J11)=8,I11&lt;9*0.4)</formula>
    </cfRule>
    <cfRule type="expression" priority="561" dxfId="2">
      <formula>AND(COUNT(C11:J11)=8,I11&gt;=9*0.4,I11&lt;9)</formula>
    </cfRule>
  </conditionalFormatting>
  <conditionalFormatting sqref="I12">
    <cfRule type="expression" priority="562" dxfId="0">
      <formula>AND(COUNT(C12:J12)=8,I12=9)</formula>
    </cfRule>
    <cfRule type="expression" priority="563" dxfId="1">
      <formula>AND(COUNT(C12:J12)=8,I12&lt;9*0.4)</formula>
    </cfRule>
    <cfRule type="expression" priority="564" dxfId="2">
      <formula>AND(COUNT(C12:J12)=8,I12&gt;=9*0.4,I12&lt;9)</formula>
    </cfRule>
  </conditionalFormatting>
  <conditionalFormatting sqref="I13">
    <cfRule type="expression" priority="565" dxfId="0">
      <formula>AND(COUNT(C13:J13)=8,I13=9)</formula>
    </cfRule>
    <cfRule type="expression" priority="566" dxfId="1">
      <formula>AND(COUNT(C13:J13)=8,I13&lt;9*0.4)</formula>
    </cfRule>
    <cfRule type="expression" priority="567" dxfId="2">
      <formula>AND(COUNT(C13:J13)=8,I13&gt;=9*0.4,I13&lt;9)</formula>
    </cfRule>
  </conditionalFormatting>
  <conditionalFormatting sqref="I14">
    <cfRule type="expression" priority="568" dxfId="0">
      <formula>AND(COUNT(C14:J14)=8,I14=9)</formula>
    </cfRule>
    <cfRule type="expression" priority="569" dxfId="1">
      <formula>AND(COUNT(C14:J14)=8,I14&lt;9*0.4)</formula>
    </cfRule>
    <cfRule type="expression" priority="570" dxfId="2">
      <formula>AND(COUNT(C14:J14)=8,I14&gt;=9*0.4,I14&lt;9)</formula>
    </cfRule>
  </conditionalFormatting>
  <conditionalFormatting sqref="I15">
    <cfRule type="expression" priority="571" dxfId="0">
      <formula>AND(COUNT(C15:J15)=8,I15=9)</formula>
    </cfRule>
    <cfRule type="expression" priority="572" dxfId="1">
      <formula>AND(COUNT(C15:J15)=8,I15&lt;9*0.4)</formula>
    </cfRule>
    <cfRule type="expression" priority="573" dxfId="2">
      <formula>AND(COUNT(C15:J15)=8,I15&gt;=9*0.4,I15&lt;9)</formula>
    </cfRule>
  </conditionalFormatting>
  <conditionalFormatting sqref="I16">
    <cfRule type="expression" priority="574" dxfId="0">
      <formula>AND(COUNT(C16:J16)=8,I16=9)</formula>
    </cfRule>
    <cfRule type="expression" priority="575" dxfId="1">
      <formula>AND(COUNT(C16:J16)=8,I16&lt;9*0.4)</formula>
    </cfRule>
    <cfRule type="expression" priority="576" dxfId="2">
      <formula>AND(COUNT(C16:J16)=8,I16&gt;=9*0.4,I16&lt;9)</formula>
    </cfRule>
  </conditionalFormatting>
  <conditionalFormatting sqref="I17">
    <cfRule type="expression" priority="577" dxfId="0">
      <formula>AND(COUNT(C17:J17)=8,I17=9)</formula>
    </cfRule>
    <cfRule type="expression" priority="578" dxfId="1">
      <formula>AND(COUNT(C17:J17)=8,I17&lt;9*0.4)</formula>
    </cfRule>
    <cfRule type="expression" priority="579" dxfId="2">
      <formula>AND(COUNT(C17:J17)=8,I17&gt;=9*0.4,I17&lt;9)</formula>
    </cfRule>
  </conditionalFormatting>
  <conditionalFormatting sqref="I18">
    <cfRule type="expression" priority="580" dxfId="0">
      <formula>AND(COUNT(C18:J18)=8,I18=9)</formula>
    </cfRule>
    <cfRule type="expression" priority="581" dxfId="1">
      <formula>AND(COUNT(C18:J18)=8,I18&lt;9*0.4)</formula>
    </cfRule>
    <cfRule type="expression" priority="582" dxfId="2">
      <formula>AND(COUNT(C18:J18)=8,I18&gt;=9*0.4,I18&lt;9)</formula>
    </cfRule>
  </conditionalFormatting>
  <conditionalFormatting sqref="I19">
    <cfRule type="expression" priority="583" dxfId="0">
      <formula>AND(COUNT(C19:J19)=8,I19=9)</formula>
    </cfRule>
    <cfRule type="expression" priority="584" dxfId="1">
      <formula>AND(COUNT(C19:J19)=8,I19&lt;9*0.4)</formula>
    </cfRule>
    <cfRule type="expression" priority="585" dxfId="2">
      <formula>AND(COUNT(C19:J19)=8,I19&gt;=9*0.4,I19&lt;9)</formula>
    </cfRule>
  </conditionalFormatting>
  <conditionalFormatting sqref="I20">
    <cfRule type="expression" priority="586" dxfId="0">
      <formula>AND(COUNT(C20:J20)=8,I20=9)</formula>
    </cfRule>
    <cfRule type="expression" priority="587" dxfId="1">
      <formula>AND(COUNT(C20:J20)=8,I20&lt;9*0.4)</formula>
    </cfRule>
    <cfRule type="expression" priority="588" dxfId="2">
      <formula>AND(COUNT(C20:J20)=8,I20&gt;=9*0.4,I20&lt;9)</formula>
    </cfRule>
  </conditionalFormatting>
  <conditionalFormatting sqref="I21">
    <cfRule type="expression" priority="589" dxfId="0">
      <formula>AND(COUNT(C21:J21)=8,I21=9)</formula>
    </cfRule>
    <cfRule type="expression" priority="590" dxfId="1">
      <formula>AND(COUNT(C21:J21)=8,I21&lt;9*0.4)</formula>
    </cfRule>
    <cfRule type="expression" priority="591" dxfId="2">
      <formula>AND(COUNT(C21:J21)=8,I21&gt;=9*0.4,I21&lt;9)</formula>
    </cfRule>
  </conditionalFormatting>
  <conditionalFormatting sqref="I22">
    <cfRule type="expression" priority="592" dxfId="0">
      <formula>AND(COUNT(C22:J22)=8,I22=9)</formula>
    </cfRule>
    <cfRule type="expression" priority="593" dxfId="1">
      <formula>AND(COUNT(C22:J22)=8,I22&lt;9*0.4)</formula>
    </cfRule>
    <cfRule type="expression" priority="594" dxfId="2">
      <formula>AND(COUNT(C22:J22)=8,I22&gt;=9*0.4,I22&lt;9)</formula>
    </cfRule>
  </conditionalFormatting>
  <conditionalFormatting sqref="I23">
    <cfRule type="expression" priority="595" dxfId="0">
      <formula>AND(COUNT(C23:J23)=8,I23=9)</formula>
    </cfRule>
    <cfRule type="expression" priority="596" dxfId="1">
      <formula>AND(COUNT(C23:J23)=8,I23&lt;9*0.4)</formula>
    </cfRule>
    <cfRule type="expression" priority="597" dxfId="2">
      <formula>AND(COUNT(C23:J23)=8,I23&gt;=9*0.4,I23&lt;9)</formula>
    </cfRule>
  </conditionalFormatting>
  <conditionalFormatting sqref="I24">
    <cfRule type="expression" priority="598" dxfId="0">
      <formula>AND(COUNT(C24:J24)=8,I24=9)</formula>
    </cfRule>
    <cfRule type="expression" priority="599" dxfId="1">
      <formula>AND(COUNT(C24:J24)=8,I24&lt;9*0.4)</formula>
    </cfRule>
    <cfRule type="expression" priority="600" dxfId="2">
      <formula>AND(COUNT(C24:J24)=8,I24&gt;=9*0.4,I24&lt;9)</formula>
    </cfRule>
  </conditionalFormatting>
  <conditionalFormatting sqref="I25">
    <cfRule type="expression" priority="601" dxfId="0">
      <formula>AND(COUNT(C25:J25)=8,I25=9)</formula>
    </cfRule>
    <cfRule type="expression" priority="602" dxfId="1">
      <formula>AND(COUNT(C25:J25)=8,I25&lt;9*0.4)</formula>
    </cfRule>
    <cfRule type="expression" priority="603" dxfId="2">
      <formula>AND(COUNT(C25:J25)=8,I25&gt;=9*0.4,I25&lt;9)</formula>
    </cfRule>
  </conditionalFormatting>
  <conditionalFormatting sqref="I26">
    <cfRule type="expression" priority="604" dxfId="0">
      <formula>AND(COUNT(C26:J26)=8,I26=9)</formula>
    </cfRule>
    <cfRule type="expression" priority="605" dxfId="1">
      <formula>AND(COUNT(C26:J26)=8,I26&lt;9*0.4)</formula>
    </cfRule>
    <cfRule type="expression" priority="606" dxfId="2">
      <formula>AND(COUNT(C26:J26)=8,I26&gt;=9*0.4,I26&lt;9)</formula>
    </cfRule>
  </conditionalFormatting>
  <conditionalFormatting sqref="I27">
    <cfRule type="expression" priority="607" dxfId="0">
      <formula>AND(COUNT(C27:J27)=8,I27=9)</formula>
    </cfRule>
    <cfRule type="expression" priority="608" dxfId="1">
      <formula>AND(COUNT(C27:J27)=8,I27&lt;9*0.4)</formula>
    </cfRule>
    <cfRule type="expression" priority="609" dxfId="2">
      <formula>AND(COUNT(C27:J27)=8,I27&gt;=9*0.4,I27&lt;9)</formula>
    </cfRule>
  </conditionalFormatting>
  <conditionalFormatting sqref="I28">
    <cfRule type="expression" priority="610" dxfId="0">
      <formula>AND(COUNT(C28:J28)=8,I28=9)</formula>
    </cfRule>
    <cfRule type="expression" priority="611" dxfId="1">
      <formula>AND(COUNT(C28:J28)=8,I28&lt;9*0.4)</formula>
    </cfRule>
    <cfRule type="expression" priority="612" dxfId="2">
      <formula>AND(COUNT(C28:J28)=8,I28&gt;=9*0.4,I28&lt;9)</formula>
    </cfRule>
  </conditionalFormatting>
  <conditionalFormatting sqref="I29">
    <cfRule type="expression" priority="613" dxfId="0">
      <formula>AND(COUNT(C29:J29)=8,I29=9)</formula>
    </cfRule>
    <cfRule type="expression" priority="614" dxfId="1">
      <formula>AND(COUNT(C29:J29)=8,I29&lt;9*0.4)</formula>
    </cfRule>
    <cfRule type="expression" priority="615" dxfId="2">
      <formula>AND(COUNT(C29:J29)=8,I29&gt;=9*0.4,I29&lt;9)</formula>
    </cfRule>
  </conditionalFormatting>
  <conditionalFormatting sqref="I30">
    <cfRule type="expression" priority="616" dxfId="0">
      <formula>AND(COUNT(C30:J30)=8,I30=9)</formula>
    </cfRule>
    <cfRule type="expression" priority="617" dxfId="1">
      <formula>AND(COUNT(C30:J30)=8,I30&lt;9*0.4)</formula>
    </cfRule>
    <cfRule type="expression" priority="618" dxfId="2">
      <formula>AND(COUNT(C30:J30)=8,I30&gt;=9*0.4,I30&lt;9)</formula>
    </cfRule>
  </conditionalFormatting>
  <conditionalFormatting sqref="I31">
    <cfRule type="expression" priority="619" dxfId="0">
      <formula>AND(COUNT(C31:J31)=8,I31=9)</formula>
    </cfRule>
    <cfRule type="expression" priority="620" dxfId="1">
      <formula>AND(COUNT(C31:J31)=8,I31&lt;9*0.4)</formula>
    </cfRule>
    <cfRule type="expression" priority="621" dxfId="2">
      <formula>AND(COUNT(C31:J31)=8,I31&gt;=9*0.4,I31&lt;9)</formula>
    </cfRule>
  </conditionalFormatting>
  <conditionalFormatting sqref="I32">
    <cfRule type="expression" priority="622" dxfId="0">
      <formula>AND(COUNT(C32:J32)=8,I32=9)</formula>
    </cfRule>
    <cfRule type="expression" priority="623" dxfId="1">
      <formula>AND(COUNT(C32:J32)=8,I32&lt;9*0.4)</formula>
    </cfRule>
    <cfRule type="expression" priority="624" dxfId="2">
      <formula>AND(COUNT(C32:J32)=8,I32&gt;=9*0.4,I32&lt;9)</formula>
    </cfRule>
  </conditionalFormatting>
  <conditionalFormatting sqref="I33">
    <cfRule type="expression" priority="625" dxfId="0">
      <formula>AND(COUNT(C33:J33)=8,I33=9)</formula>
    </cfRule>
    <cfRule type="expression" priority="626" dxfId="1">
      <formula>AND(COUNT(C33:J33)=8,I33&lt;9*0.4)</formula>
    </cfRule>
    <cfRule type="expression" priority="627" dxfId="2">
      <formula>AND(COUNT(C33:J33)=8,I33&gt;=9*0.4,I33&lt;9)</formula>
    </cfRule>
  </conditionalFormatting>
  <conditionalFormatting sqref="I34">
    <cfRule type="expression" priority="628" dxfId="0">
      <formula>AND(COUNT(C34:J34)=8,I34=9)</formula>
    </cfRule>
    <cfRule type="expression" priority="629" dxfId="1">
      <formula>AND(COUNT(C34:J34)=8,I34&lt;9*0.4)</formula>
    </cfRule>
    <cfRule type="expression" priority="630" dxfId="2">
      <formula>AND(COUNT(C34:J34)=8,I34&gt;=9*0.4,I34&lt;9)</formula>
    </cfRule>
  </conditionalFormatting>
  <conditionalFormatting sqref="I35">
    <cfRule type="expression" priority="631" dxfId="0">
      <formula>AND(COUNT(C35:J35)=8,I35=9)</formula>
    </cfRule>
    <cfRule type="expression" priority="632" dxfId="1">
      <formula>AND(COUNT(C35:J35)=8,I35&lt;9*0.4)</formula>
    </cfRule>
    <cfRule type="expression" priority="633" dxfId="2">
      <formula>AND(COUNT(C35:J35)=8,I35&gt;=9*0.4,I35&lt;9)</formula>
    </cfRule>
  </conditionalFormatting>
  <conditionalFormatting sqref="I36">
    <cfRule type="expression" priority="634" dxfId="0">
      <formula>AND(COUNT(C36:J36)=8,I36=9)</formula>
    </cfRule>
    <cfRule type="expression" priority="635" dxfId="1">
      <formula>AND(COUNT(C36:J36)=8,I36&lt;9*0.4)</formula>
    </cfRule>
    <cfRule type="expression" priority="636" dxfId="2">
      <formula>AND(COUNT(C36:J36)=8,I36&gt;=9*0.4,I36&lt;9)</formula>
    </cfRule>
  </conditionalFormatting>
  <conditionalFormatting sqref="I37">
    <cfRule type="expression" priority="637" dxfId="0">
      <formula>AND(COUNT(C37:J37)=8,I37=9)</formula>
    </cfRule>
    <cfRule type="expression" priority="638" dxfId="1">
      <formula>AND(COUNT(C37:J37)=8,I37&lt;9*0.4)</formula>
    </cfRule>
    <cfRule type="expression" priority="639" dxfId="2">
      <formula>AND(COUNT(C37:J37)=8,I37&gt;=9*0.4,I37&lt;9)</formula>
    </cfRule>
  </conditionalFormatting>
  <conditionalFormatting sqref="I38">
    <cfRule type="expression" priority="640" dxfId="0">
      <formula>AND(COUNT(C38:J38)=8,I38=9)</formula>
    </cfRule>
    <cfRule type="expression" priority="641" dxfId="1">
      <formula>AND(COUNT(C38:J38)=8,I38&lt;9*0.4)</formula>
    </cfRule>
    <cfRule type="expression" priority="642" dxfId="2">
      <formula>AND(COUNT(C38:J38)=8,I38&gt;=9*0.4,I38&lt;9)</formula>
    </cfRule>
  </conditionalFormatting>
  <conditionalFormatting sqref="I39">
    <cfRule type="expression" priority="643" dxfId="0">
      <formula>AND(COUNT(C39:J39)=8,I39=9)</formula>
    </cfRule>
    <cfRule type="expression" priority="644" dxfId="1">
      <formula>AND(COUNT(C39:J39)=8,I39&lt;9*0.4)</formula>
    </cfRule>
    <cfRule type="expression" priority="645" dxfId="2">
      <formula>AND(COUNT(C39:J39)=8,I39&gt;=9*0.4,I39&lt;9)</formula>
    </cfRule>
  </conditionalFormatting>
  <conditionalFormatting sqref="I40">
    <cfRule type="expression" priority="646" dxfId="0">
      <formula>AND(COUNT(C40:J40)=8,I40=9)</formula>
    </cfRule>
    <cfRule type="expression" priority="647" dxfId="1">
      <formula>AND(COUNT(C40:J40)=8,I40&lt;9*0.4)</formula>
    </cfRule>
    <cfRule type="expression" priority="648" dxfId="2">
      <formula>AND(COUNT(C40:J40)=8,I40&gt;=9*0.4,I40&lt;9)</formula>
    </cfRule>
  </conditionalFormatting>
  <conditionalFormatting sqref="I41">
    <cfRule type="expression" priority="649" dxfId="0">
      <formula>AND(COUNT(C41:J41)=8,I41=9)</formula>
    </cfRule>
    <cfRule type="expression" priority="650" dxfId="1">
      <formula>AND(COUNT(C41:J41)=8,I41&lt;9*0.4)</formula>
    </cfRule>
    <cfRule type="expression" priority="651" dxfId="2">
      <formula>AND(COUNT(C41:J41)=8,I41&gt;=9*0.4,I41&lt;9)</formula>
    </cfRule>
  </conditionalFormatting>
  <conditionalFormatting sqref="J11">
    <cfRule type="expression" priority="652" dxfId="0">
      <formula>AND(COUNT(C11:J11)=8,J11=9)</formula>
    </cfRule>
    <cfRule type="expression" priority="653" dxfId="1">
      <formula>AND(COUNT(C11:J11)=8,J11&lt;9*0.4)</formula>
    </cfRule>
    <cfRule type="expression" priority="654" dxfId="2">
      <formula>AND(COUNT(C11:J11)=8,J11&gt;=9*0.4,J11&lt;9)</formula>
    </cfRule>
  </conditionalFormatting>
  <conditionalFormatting sqref="J12">
    <cfRule type="expression" priority="655" dxfId="0">
      <formula>AND(COUNT(C12:J12)=8,J12=9)</formula>
    </cfRule>
    <cfRule type="expression" priority="656" dxfId="1">
      <formula>AND(COUNT(C12:J12)=8,J12&lt;9*0.4)</formula>
    </cfRule>
    <cfRule type="expression" priority="657" dxfId="2">
      <formula>AND(COUNT(C12:J12)=8,J12&gt;=9*0.4,J12&lt;9)</formula>
    </cfRule>
  </conditionalFormatting>
  <conditionalFormatting sqref="J13">
    <cfRule type="expression" priority="658" dxfId="0">
      <formula>AND(COUNT(C13:J13)=8,J13=9)</formula>
    </cfRule>
    <cfRule type="expression" priority="659" dxfId="1">
      <formula>AND(COUNT(C13:J13)=8,J13&lt;9*0.4)</formula>
    </cfRule>
    <cfRule type="expression" priority="660" dxfId="2">
      <formula>AND(COUNT(C13:J13)=8,J13&gt;=9*0.4,J13&lt;9)</formula>
    </cfRule>
  </conditionalFormatting>
  <conditionalFormatting sqref="J14">
    <cfRule type="expression" priority="661" dxfId="0">
      <formula>AND(COUNT(C14:J14)=8,J14=9)</formula>
    </cfRule>
    <cfRule type="expression" priority="662" dxfId="1">
      <formula>AND(COUNT(C14:J14)=8,J14&lt;9*0.4)</formula>
    </cfRule>
    <cfRule type="expression" priority="663" dxfId="2">
      <formula>AND(COUNT(C14:J14)=8,J14&gt;=9*0.4,J14&lt;9)</formula>
    </cfRule>
  </conditionalFormatting>
  <conditionalFormatting sqref="J15">
    <cfRule type="expression" priority="664" dxfId="0">
      <formula>AND(COUNT(C15:J15)=8,J15=9)</formula>
    </cfRule>
    <cfRule type="expression" priority="665" dxfId="1">
      <formula>AND(COUNT(C15:J15)=8,J15&lt;9*0.4)</formula>
    </cfRule>
    <cfRule type="expression" priority="666" dxfId="2">
      <formula>AND(COUNT(C15:J15)=8,J15&gt;=9*0.4,J15&lt;9)</formula>
    </cfRule>
  </conditionalFormatting>
  <conditionalFormatting sqref="J16">
    <cfRule type="expression" priority="667" dxfId="0">
      <formula>AND(COUNT(C16:J16)=8,J16=9)</formula>
    </cfRule>
    <cfRule type="expression" priority="668" dxfId="1">
      <formula>AND(COUNT(C16:J16)=8,J16&lt;9*0.4)</formula>
    </cfRule>
    <cfRule type="expression" priority="669" dxfId="2">
      <formula>AND(COUNT(C16:J16)=8,J16&gt;=9*0.4,J16&lt;9)</formula>
    </cfRule>
  </conditionalFormatting>
  <conditionalFormatting sqref="J17">
    <cfRule type="expression" priority="670" dxfId="0">
      <formula>AND(COUNT(C17:J17)=8,J17=9)</formula>
    </cfRule>
    <cfRule type="expression" priority="671" dxfId="1">
      <formula>AND(COUNT(C17:J17)=8,J17&lt;9*0.4)</formula>
    </cfRule>
    <cfRule type="expression" priority="672" dxfId="2">
      <formula>AND(COUNT(C17:J17)=8,J17&gt;=9*0.4,J17&lt;9)</formula>
    </cfRule>
  </conditionalFormatting>
  <conditionalFormatting sqref="J18">
    <cfRule type="expression" priority="673" dxfId="0">
      <formula>AND(COUNT(C18:J18)=8,J18=9)</formula>
    </cfRule>
    <cfRule type="expression" priority="674" dxfId="1">
      <formula>AND(COUNT(C18:J18)=8,J18&lt;9*0.4)</formula>
    </cfRule>
    <cfRule type="expression" priority="675" dxfId="2">
      <formula>AND(COUNT(C18:J18)=8,J18&gt;=9*0.4,J18&lt;9)</formula>
    </cfRule>
  </conditionalFormatting>
  <conditionalFormatting sqref="J19">
    <cfRule type="expression" priority="676" dxfId="0">
      <formula>AND(COUNT(C19:J19)=8,J19=9)</formula>
    </cfRule>
    <cfRule type="expression" priority="677" dxfId="1">
      <formula>AND(COUNT(C19:J19)=8,J19&lt;9*0.4)</formula>
    </cfRule>
    <cfRule type="expression" priority="678" dxfId="2">
      <formula>AND(COUNT(C19:J19)=8,J19&gt;=9*0.4,J19&lt;9)</formula>
    </cfRule>
  </conditionalFormatting>
  <conditionalFormatting sqref="J20">
    <cfRule type="expression" priority="679" dxfId="0">
      <formula>AND(COUNT(C20:J20)=8,J20=9)</formula>
    </cfRule>
    <cfRule type="expression" priority="680" dxfId="1">
      <formula>AND(COUNT(C20:J20)=8,J20&lt;9*0.4)</formula>
    </cfRule>
    <cfRule type="expression" priority="681" dxfId="2">
      <formula>AND(COUNT(C20:J20)=8,J20&gt;=9*0.4,J20&lt;9)</formula>
    </cfRule>
  </conditionalFormatting>
  <conditionalFormatting sqref="J21">
    <cfRule type="expression" priority="682" dxfId="0">
      <formula>AND(COUNT(C21:J21)=8,J21=9)</formula>
    </cfRule>
    <cfRule type="expression" priority="683" dxfId="1">
      <formula>AND(COUNT(C21:J21)=8,J21&lt;9*0.4)</formula>
    </cfRule>
    <cfRule type="expression" priority="684" dxfId="2">
      <formula>AND(COUNT(C21:J21)=8,J21&gt;=9*0.4,J21&lt;9)</formula>
    </cfRule>
  </conditionalFormatting>
  <conditionalFormatting sqref="J22">
    <cfRule type="expression" priority="685" dxfId="0">
      <formula>AND(COUNT(C22:J22)=8,J22=9)</formula>
    </cfRule>
    <cfRule type="expression" priority="686" dxfId="1">
      <formula>AND(COUNT(C22:J22)=8,J22&lt;9*0.4)</formula>
    </cfRule>
    <cfRule type="expression" priority="687" dxfId="2">
      <formula>AND(COUNT(C22:J22)=8,J22&gt;=9*0.4,J22&lt;9)</formula>
    </cfRule>
  </conditionalFormatting>
  <conditionalFormatting sqref="J23">
    <cfRule type="expression" priority="688" dxfId="0">
      <formula>AND(COUNT(C23:J23)=8,J23=9)</formula>
    </cfRule>
    <cfRule type="expression" priority="689" dxfId="1">
      <formula>AND(COUNT(C23:J23)=8,J23&lt;9*0.4)</formula>
    </cfRule>
    <cfRule type="expression" priority="690" dxfId="2">
      <formula>AND(COUNT(C23:J23)=8,J23&gt;=9*0.4,J23&lt;9)</formula>
    </cfRule>
  </conditionalFormatting>
  <conditionalFormatting sqref="J24">
    <cfRule type="expression" priority="691" dxfId="0">
      <formula>AND(COUNT(C24:J24)=8,J24=9)</formula>
    </cfRule>
    <cfRule type="expression" priority="692" dxfId="1">
      <formula>AND(COUNT(C24:J24)=8,J24&lt;9*0.4)</formula>
    </cfRule>
    <cfRule type="expression" priority="693" dxfId="2">
      <formula>AND(COUNT(C24:J24)=8,J24&gt;=9*0.4,J24&lt;9)</formula>
    </cfRule>
  </conditionalFormatting>
  <conditionalFormatting sqref="J25">
    <cfRule type="expression" priority="694" dxfId="0">
      <formula>AND(COUNT(C25:J25)=8,J25=9)</formula>
    </cfRule>
    <cfRule type="expression" priority="695" dxfId="1">
      <formula>AND(COUNT(C25:J25)=8,J25&lt;9*0.4)</formula>
    </cfRule>
    <cfRule type="expression" priority="696" dxfId="2">
      <formula>AND(COUNT(C25:J25)=8,J25&gt;=9*0.4,J25&lt;9)</formula>
    </cfRule>
  </conditionalFormatting>
  <conditionalFormatting sqref="J26">
    <cfRule type="expression" priority="697" dxfId="0">
      <formula>AND(COUNT(C26:J26)=8,J26=9)</formula>
    </cfRule>
    <cfRule type="expression" priority="698" dxfId="1">
      <formula>AND(COUNT(C26:J26)=8,J26&lt;9*0.4)</formula>
    </cfRule>
    <cfRule type="expression" priority="699" dxfId="2">
      <formula>AND(COUNT(C26:J26)=8,J26&gt;=9*0.4,J26&lt;9)</formula>
    </cfRule>
  </conditionalFormatting>
  <conditionalFormatting sqref="J27">
    <cfRule type="expression" priority="700" dxfId="0">
      <formula>AND(COUNT(C27:J27)=8,J27=9)</formula>
    </cfRule>
    <cfRule type="expression" priority="701" dxfId="1">
      <formula>AND(COUNT(C27:J27)=8,J27&lt;9*0.4)</formula>
    </cfRule>
    <cfRule type="expression" priority="702" dxfId="2">
      <formula>AND(COUNT(C27:J27)=8,J27&gt;=9*0.4,J27&lt;9)</formula>
    </cfRule>
  </conditionalFormatting>
  <conditionalFormatting sqref="J28">
    <cfRule type="expression" priority="703" dxfId="0">
      <formula>AND(COUNT(C28:J28)=8,J28=9)</formula>
    </cfRule>
    <cfRule type="expression" priority="704" dxfId="1">
      <formula>AND(COUNT(C28:J28)=8,J28&lt;9*0.4)</formula>
    </cfRule>
    <cfRule type="expression" priority="705" dxfId="2">
      <formula>AND(COUNT(C28:J28)=8,J28&gt;=9*0.4,J28&lt;9)</formula>
    </cfRule>
  </conditionalFormatting>
  <conditionalFormatting sqref="J29">
    <cfRule type="expression" priority="706" dxfId="0">
      <formula>AND(COUNT(C29:J29)=8,J29=9)</formula>
    </cfRule>
    <cfRule type="expression" priority="707" dxfId="1">
      <formula>AND(COUNT(C29:J29)=8,J29&lt;9*0.4)</formula>
    </cfRule>
    <cfRule type="expression" priority="708" dxfId="2">
      <formula>AND(COUNT(C29:J29)=8,J29&gt;=9*0.4,J29&lt;9)</formula>
    </cfRule>
  </conditionalFormatting>
  <conditionalFormatting sqref="J30">
    <cfRule type="expression" priority="709" dxfId="0">
      <formula>AND(COUNT(C30:J30)=8,J30=9)</formula>
    </cfRule>
    <cfRule type="expression" priority="710" dxfId="1">
      <formula>AND(COUNT(C30:J30)=8,J30&lt;9*0.4)</formula>
    </cfRule>
    <cfRule type="expression" priority="711" dxfId="2">
      <formula>AND(COUNT(C30:J30)=8,J30&gt;=9*0.4,J30&lt;9)</formula>
    </cfRule>
  </conditionalFormatting>
  <conditionalFormatting sqref="J31">
    <cfRule type="expression" priority="712" dxfId="0">
      <formula>AND(COUNT(C31:J31)=8,J31=9)</formula>
    </cfRule>
    <cfRule type="expression" priority="713" dxfId="1">
      <formula>AND(COUNT(C31:J31)=8,J31&lt;9*0.4)</formula>
    </cfRule>
    <cfRule type="expression" priority="714" dxfId="2">
      <formula>AND(COUNT(C31:J31)=8,J31&gt;=9*0.4,J31&lt;9)</formula>
    </cfRule>
  </conditionalFormatting>
  <conditionalFormatting sqref="J32">
    <cfRule type="expression" priority="715" dxfId="0">
      <formula>AND(COUNT(C32:J32)=8,J32=9)</formula>
    </cfRule>
    <cfRule type="expression" priority="716" dxfId="1">
      <formula>AND(COUNT(C32:J32)=8,J32&lt;9*0.4)</formula>
    </cfRule>
    <cfRule type="expression" priority="717" dxfId="2">
      <formula>AND(COUNT(C32:J32)=8,J32&gt;=9*0.4,J32&lt;9)</formula>
    </cfRule>
  </conditionalFormatting>
  <conditionalFormatting sqref="J33">
    <cfRule type="expression" priority="718" dxfId="0">
      <formula>AND(COUNT(C33:J33)=8,J33=9)</formula>
    </cfRule>
    <cfRule type="expression" priority="719" dxfId="1">
      <formula>AND(COUNT(C33:J33)=8,J33&lt;9*0.4)</formula>
    </cfRule>
    <cfRule type="expression" priority="720" dxfId="2">
      <formula>AND(COUNT(C33:J33)=8,J33&gt;=9*0.4,J33&lt;9)</formula>
    </cfRule>
  </conditionalFormatting>
  <conditionalFormatting sqref="J34">
    <cfRule type="expression" priority="721" dxfId="0">
      <formula>AND(COUNT(C34:J34)=8,J34=9)</formula>
    </cfRule>
    <cfRule type="expression" priority="722" dxfId="1">
      <formula>AND(COUNT(C34:J34)=8,J34&lt;9*0.4)</formula>
    </cfRule>
    <cfRule type="expression" priority="723" dxfId="2">
      <formula>AND(COUNT(C34:J34)=8,J34&gt;=9*0.4,J34&lt;9)</formula>
    </cfRule>
  </conditionalFormatting>
  <conditionalFormatting sqref="J35">
    <cfRule type="expression" priority="724" dxfId="0">
      <formula>AND(COUNT(C35:J35)=8,J35=9)</formula>
    </cfRule>
    <cfRule type="expression" priority="725" dxfId="1">
      <formula>AND(COUNT(C35:J35)=8,J35&lt;9*0.4)</formula>
    </cfRule>
    <cfRule type="expression" priority="726" dxfId="2">
      <formula>AND(COUNT(C35:J35)=8,J35&gt;=9*0.4,J35&lt;9)</formula>
    </cfRule>
  </conditionalFormatting>
  <conditionalFormatting sqref="J36">
    <cfRule type="expression" priority="727" dxfId="0">
      <formula>AND(COUNT(C36:J36)=8,J36=9)</formula>
    </cfRule>
    <cfRule type="expression" priority="728" dxfId="1">
      <formula>AND(COUNT(C36:J36)=8,J36&lt;9*0.4)</formula>
    </cfRule>
    <cfRule type="expression" priority="729" dxfId="2">
      <formula>AND(COUNT(C36:J36)=8,J36&gt;=9*0.4,J36&lt;9)</formula>
    </cfRule>
  </conditionalFormatting>
  <conditionalFormatting sqref="J37">
    <cfRule type="expression" priority="730" dxfId="0">
      <formula>AND(COUNT(C37:J37)=8,J37=9)</formula>
    </cfRule>
    <cfRule type="expression" priority="731" dxfId="1">
      <formula>AND(COUNT(C37:J37)=8,J37&lt;9*0.4)</formula>
    </cfRule>
    <cfRule type="expression" priority="732" dxfId="2">
      <formula>AND(COUNT(C37:J37)=8,J37&gt;=9*0.4,J37&lt;9)</formula>
    </cfRule>
  </conditionalFormatting>
  <conditionalFormatting sqref="J38">
    <cfRule type="expression" priority="733" dxfId="0">
      <formula>AND(COUNT(C38:J38)=8,J38=9)</formula>
    </cfRule>
    <cfRule type="expression" priority="734" dxfId="1">
      <formula>AND(COUNT(C38:J38)=8,J38&lt;9*0.4)</formula>
    </cfRule>
    <cfRule type="expression" priority="735" dxfId="2">
      <formula>AND(COUNT(C38:J38)=8,J38&gt;=9*0.4,J38&lt;9)</formula>
    </cfRule>
  </conditionalFormatting>
  <conditionalFormatting sqref="J39">
    <cfRule type="expression" priority="736" dxfId="0">
      <formula>AND(COUNT(C39:J39)=8,J39=9)</formula>
    </cfRule>
    <cfRule type="expression" priority="737" dxfId="1">
      <formula>AND(COUNT(C39:J39)=8,J39&lt;9*0.4)</formula>
    </cfRule>
    <cfRule type="expression" priority="738" dxfId="2">
      <formula>AND(COUNT(C39:J39)=8,J39&gt;=9*0.4,J39&lt;9)</formula>
    </cfRule>
  </conditionalFormatting>
  <conditionalFormatting sqref="J40">
    <cfRule type="expression" priority="739" dxfId="0">
      <formula>AND(COUNT(C40:J40)=8,J40=9)</formula>
    </cfRule>
    <cfRule type="expression" priority="740" dxfId="1">
      <formula>AND(COUNT(C40:J40)=8,J40&lt;9*0.4)</formula>
    </cfRule>
    <cfRule type="expression" priority="741" dxfId="2">
      <formula>AND(COUNT(C40:J40)=8,J40&gt;=9*0.4,J40&lt;9)</formula>
    </cfRule>
  </conditionalFormatting>
  <conditionalFormatting sqref="J41">
    <cfRule type="expression" priority="742" dxfId="0">
      <formula>AND(COUNT(C41:J41)=8,J41=9)</formula>
    </cfRule>
    <cfRule type="expression" priority="743" dxfId="1">
      <formula>AND(COUNT(C41:J41)=8,J41&lt;9*0.4)</formula>
    </cfRule>
    <cfRule type="expression" priority="744" dxfId="2">
      <formula>AND(COUNT(C41:J41)=8,J41&gt;=9*0.4,J41&lt;9)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45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Chapter 2 End of Topic Test 2 — Personal finance</t>
        </is>
      </c>
    </row>
    <row r="2">
      <c r="A2" s="2" t="inlineStr">
        <is>
          <t>Every block below pulls live from 'Ch2 EOT2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SUMPRODUCT(--ISNUMBER('Ch2 EOT2 Results'!M12:M41))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IF('Ch2 EOT2 Results'!M12="","","Chapter 2 End of Topic Test 2 — Personal finance")</f>
        <v/>
      </c>
      <c r="K5">
        <f>IF('Ch2 EOT2 Results'!M13="","","Chapter 2 End of Topic Test 2 — Personal finance")</f>
        <v/>
      </c>
    </row>
    <row r="6">
      <c r="A6">
        <f>IF('Ch2 EOT2 Results'!M12="","","Name: "&amp;'Ch2 EOT2 Results'!B12&amp;"   Class: "&amp;'Ch2 EOT2 Results'!$B$3&amp;"   Date: "&amp;TEXT('Ch2 EOT2 Results'!$B$5,"DD/MM/YY"))</f>
        <v/>
      </c>
      <c r="K6">
        <f>IF('Ch2 EOT2 Results'!M13="","","Name: "&amp;'Ch2 EOT2 Results'!B13&amp;"   Class: "&amp;'Ch2 EOT2 Results'!$B$3&amp;"   Date: "&amp;TEXT('Ch2 EOT2 Results'!$B$5,"DD/MM/YY"))</f>
        <v/>
      </c>
    </row>
    <row r="7">
      <c r="A7">
        <f>IF('Ch2 EOT2 Results'!M12="","","Total: "&amp;'Ch2 EOT2 Results'!K12&amp;"/71 ("&amp;TEXT('Ch2 EOT2 Results'!L12,"0%")&amp;")   Overall: "&amp;'Ch2 EOT2 Results'!M12)</f>
        <v/>
      </c>
      <c r="K7">
        <f>IF('Ch2 EOT2 Results'!M13="","","Total: "&amp;'Ch2 EOT2 Results'!K13&amp;"/71 ("&amp;TEXT('Ch2 EOT2 Results'!L13,"0%")&amp;")   Overall: "&amp;'Ch2 EOT2 Results'!M13)</f>
        <v/>
      </c>
    </row>
    <row r="8">
      <c r="A8">
        <f>IF('Ch2 EOT2 Results'!M12="","",IF('Ch2 EOT2 Results'!M12="Green",Parameters!$C$146,IF('Ch2 EOT2 Results'!M12="Yellow",Parameters!$C$145,Parameters!$C$144)))</f>
        <v/>
      </c>
      <c r="K8">
        <f>IF('Ch2 EOT2 Results'!M13="","",IF('Ch2 EOT2 Results'!M13="Green",Parameters!$C$146,IF('Ch2 EOT2 Results'!M13="Yellow",Parameters!$C$145,Parameters!$C$144)))</f>
        <v/>
      </c>
    </row>
    <row r="10">
      <c r="A10">
        <f>IF('Ch2 EOT2 Results'!M12="","","Breakdown:")</f>
        <v/>
      </c>
      <c r="K10">
        <f>IF('Ch2 EOT2 Results'!M13="","","Breakdown:")</f>
        <v/>
      </c>
    </row>
    <row r="11">
      <c r="A11">
        <f>IF('Ch2 EOT2 Results'!M12="","","Q1 Budgeting &amp; current accounts: "&amp;'Ch2 EOT2 Results'!C12&amp;"/9")</f>
        <v/>
      </c>
      <c r="K11">
        <f>IF('Ch2 EOT2 Results'!M13="","","Q1 Budgeting &amp; current accounts: "&amp;'Ch2 EOT2 Results'!C13&amp;"/9")</f>
        <v/>
      </c>
    </row>
    <row r="12">
      <c r="A12">
        <f>IF('Ch2 EOT2 Results'!M12="","","Q2 Income tax bands: "&amp;'Ch2 EOT2 Results'!D12&amp;"/9")</f>
        <v/>
      </c>
      <c r="K12">
        <f>IF('Ch2 EOT2 Results'!M13="","","Q2 Income tax bands: "&amp;'Ch2 EOT2 Results'!D13&amp;"/9")</f>
        <v/>
      </c>
    </row>
    <row r="13">
      <c r="A13">
        <f>IF('Ch2 EOT2 Results'!M12="","","Q3 Payslips &amp; deductions: "&amp;'Ch2 EOT2 Results'!E12&amp;"/9")</f>
        <v/>
      </c>
      <c r="K13">
        <f>IF('Ch2 EOT2 Results'!M13="","","Q3 Payslips &amp; deductions: "&amp;'Ch2 EOT2 Results'!E13&amp;"/9")</f>
        <v/>
      </c>
    </row>
    <row r="14">
      <c r="A14">
        <f>IF('Ch2 EOT2 Results'!M12="","","Q4 Exchange rates: "&amp;'Ch2 EOT2 Results'!F12&amp;"/8")</f>
        <v/>
      </c>
      <c r="K14">
        <f>IF('Ch2 EOT2 Results'!M13="","","Q4 Exchange rates: "&amp;'Ch2 EOT2 Results'!F13&amp;"/8")</f>
        <v/>
      </c>
    </row>
    <row r="15">
      <c r="A15">
        <f>IF('Ch2 EOT2 Results'!M12="","","Q5 Loans &amp; APR: "&amp;'Ch2 EOT2 Results'!G12&amp;"/9")</f>
        <v/>
      </c>
      <c r="K15">
        <f>IF('Ch2 EOT2 Results'!M13="","","Q5 Loans &amp; APR: "&amp;'Ch2 EOT2 Results'!G13&amp;"/9")</f>
        <v/>
      </c>
    </row>
    <row r="16">
      <c r="A16">
        <f>IF('Ch2 EOT2 Results'!M12="","","Q6 Savings &amp; AER: "&amp;'Ch2 EOT2 Results'!H12&amp;"/9")</f>
        <v/>
      </c>
      <c r="K16">
        <f>IF('Ch2 EOT2 Results'!M13="","","Q6 Savings &amp; AER: "&amp;'Ch2 EOT2 Results'!H13&amp;"/9")</f>
        <v/>
      </c>
    </row>
    <row r="17">
      <c r="A17">
        <f>IF('Ch2 EOT2 Results'!M12="","","Q7 Depreciation: "&amp;'Ch2 EOT2 Results'!I12&amp;"/9")</f>
        <v/>
      </c>
      <c r="K17">
        <f>IF('Ch2 EOT2 Results'!M13="","","Q7 Depreciation: "&amp;'Ch2 EOT2 Results'!I13&amp;"/9")</f>
        <v/>
      </c>
    </row>
    <row r="18">
      <c r="A18">
        <f>IF('Ch2 EOT2 Results'!M12="","","Q8 Inflation &amp; real value: "&amp;'Ch2 EOT2 Results'!J12&amp;"/9")</f>
        <v/>
      </c>
      <c r="K18">
        <f>IF('Ch2 EOT2 Results'!M13="","","Q8 Inflation &amp; real value: "&amp;'Ch2 EOT2 Results'!J13&amp;"/9")</f>
        <v/>
      </c>
    </row>
    <row r="19">
      <c r="A19">
        <f>IF(OR('Ch2 EOT2 Results'!M12="",'Ch2 EOT2 Results'!N12=""),"",'Ch2 EOT2 Results'!N12)</f>
        <v/>
      </c>
      <c r="K19">
        <f>IF(OR('Ch2 EOT2 Results'!M13="",'Ch2 EOT2 Results'!N13=""),"",'Ch2 EOT2 Results'!N13)</f>
        <v/>
      </c>
    </row>
    <row r="21">
      <c r="A21">
        <f>IF('Ch2 EOT2 Results'!M14="","","Chapter 2 End of Topic Test 2 — Personal finance")</f>
        <v/>
      </c>
      <c r="K21">
        <f>IF('Ch2 EOT2 Results'!M15="","","Chapter 2 End of Topic Test 2 — Personal finance")</f>
        <v/>
      </c>
    </row>
    <row r="22">
      <c r="A22">
        <f>IF('Ch2 EOT2 Results'!M14="","","Name: "&amp;'Ch2 EOT2 Results'!B14&amp;"   Class: "&amp;'Ch2 EOT2 Results'!$B$3&amp;"   Date: "&amp;TEXT('Ch2 EOT2 Results'!$B$5,"DD/MM/YY"))</f>
        <v/>
      </c>
      <c r="K22">
        <f>IF('Ch2 EOT2 Results'!M15="","","Name: "&amp;'Ch2 EOT2 Results'!B15&amp;"   Class: "&amp;'Ch2 EOT2 Results'!$B$3&amp;"   Date: "&amp;TEXT('Ch2 EOT2 Results'!$B$5,"DD/MM/YY"))</f>
        <v/>
      </c>
    </row>
    <row r="23">
      <c r="A23">
        <f>IF('Ch2 EOT2 Results'!M14="","","Total: "&amp;'Ch2 EOT2 Results'!K14&amp;"/71 ("&amp;TEXT('Ch2 EOT2 Results'!L14,"0%")&amp;")   Overall: "&amp;'Ch2 EOT2 Results'!M14)</f>
        <v/>
      </c>
      <c r="K23">
        <f>IF('Ch2 EOT2 Results'!M15="","","Total: "&amp;'Ch2 EOT2 Results'!K15&amp;"/71 ("&amp;TEXT('Ch2 EOT2 Results'!L15,"0%")&amp;")   Overall: "&amp;'Ch2 EOT2 Results'!M15)</f>
        <v/>
      </c>
    </row>
    <row r="24">
      <c r="A24">
        <f>IF('Ch2 EOT2 Results'!M14="","",IF('Ch2 EOT2 Results'!M14="Green",Parameters!$C$146,IF('Ch2 EOT2 Results'!M14="Yellow",Parameters!$C$145,Parameters!$C$144)))</f>
        <v/>
      </c>
      <c r="K24">
        <f>IF('Ch2 EOT2 Results'!M15="","",IF('Ch2 EOT2 Results'!M15="Green",Parameters!$C$146,IF('Ch2 EOT2 Results'!M15="Yellow",Parameters!$C$145,Parameters!$C$144)))</f>
        <v/>
      </c>
    </row>
    <row r="26">
      <c r="A26">
        <f>IF('Ch2 EOT2 Results'!M14="","","Breakdown:")</f>
        <v/>
      </c>
      <c r="K26">
        <f>IF('Ch2 EOT2 Results'!M15="","","Breakdown:")</f>
        <v/>
      </c>
    </row>
    <row r="27">
      <c r="A27">
        <f>IF('Ch2 EOT2 Results'!M14="","","Q1 Budgeting &amp; current accounts: "&amp;'Ch2 EOT2 Results'!C14&amp;"/9")</f>
        <v/>
      </c>
      <c r="K27">
        <f>IF('Ch2 EOT2 Results'!M15="","","Q1 Budgeting &amp; current accounts: "&amp;'Ch2 EOT2 Results'!C15&amp;"/9")</f>
        <v/>
      </c>
    </row>
    <row r="28">
      <c r="A28">
        <f>IF('Ch2 EOT2 Results'!M14="","","Q2 Income tax bands: "&amp;'Ch2 EOT2 Results'!D14&amp;"/9")</f>
        <v/>
      </c>
      <c r="K28">
        <f>IF('Ch2 EOT2 Results'!M15="","","Q2 Income tax bands: "&amp;'Ch2 EOT2 Results'!D15&amp;"/9")</f>
        <v/>
      </c>
    </row>
    <row r="29">
      <c r="A29">
        <f>IF('Ch2 EOT2 Results'!M14="","","Q3 Payslips &amp; deductions: "&amp;'Ch2 EOT2 Results'!E14&amp;"/9")</f>
        <v/>
      </c>
      <c r="K29">
        <f>IF('Ch2 EOT2 Results'!M15="","","Q3 Payslips &amp; deductions: "&amp;'Ch2 EOT2 Results'!E15&amp;"/9")</f>
        <v/>
      </c>
    </row>
    <row r="30">
      <c r="A30">
        <f>IF('Ch2 EOT2 Results'!M14="","","Q4 Exchange rates: "&amp;'Ch2 EOT2 Results'!F14&amp;"/8")</f>
        <v/>
      </c>
      <c r="K30">
        <f>IF('Ch2 EOT2 Results'!M15="","","Q4 Exchange rates: "&amp;'Ch2 EOT2 Results'!F15&amp;"/8")</f>
        <v/>
      </c>
    </row>
    <row r="31">
      <c r="A31">
        <f>IF('Ch2 EOT2 Results'!M14="","","Q5 Loans &amp; APR: "&amp;'Ch2 EOT2 Results'!G14&amp;"/9")</f>
        <v/>
      </c>
      <c r="K31">
        <f>IF('Ch2 EOT2 Results'!M15="","","Q5 Loans &amp; APR: "&amp;'Ch2 EOT2 Results'!G15&amp;"/9")</f>
        <v/>
      </c>
    </row>
    <row r="32">
      <c r="A32">
        <f>IF('Ch2 EOT2 Results'!M14="","","Q6 Savings &amp; AER: "&amp;'Ch2 EOT2 Results'!H14&amp;"/9")</f>
        <v/>
      </c>
      <c r="K32">
        <f>IF('Ch2 EOT2 Results'!M15="","","Q6 Savings &amp; AER: "&amp;'Ch2 EOT2 Results'!H15&amp;"/9")</f>
        <v/>
      </c>
    </row>
    <row r="33">
      <c r="A33">
        <f>IF('Ch2 EOT2 Results'!M14="","","Q7 Depreciation: "&amp;'Ch2 EOT2 Results'!I14&amp;"/9")</f>
        <v/>
      </c>
      <c r="K33">
        <f>IF('Ch2 EOT2 Results'!M15="","","Q7 Depreciation: "&amp;'Ch2 EOT2 Results'!I15&amp;"/9")</f>
        <v/>
      </c>
    </row>
    <row r="34">
      <c r="A34">
        <f>IF('Ch2 EOT2 Results'!M14="","","Q8 Inflation &amp; real value: "&amp;'Ch2 EOT2 Results'!J14&amp;"/9")</f>
        <v/>
      </c>
      <c r="K34">
        <f>IF('Ch2 EOT2 Results'!M15="","","Q8 Inflation &amp; real value: "&amp;'Ch2 EOT2 Results'!J15&amp;"/9")</f>
        <v/>
      </c>
    </row>
    <row r="35">
      <c r="A35">
        <f>IF(OR('Ch2 EOT2 Results'!M14="",'Ch2 EOT2 Results'!N14=""),"",'Ch2 EOT2 Results'!N14)</f>
        <v/>
      </c>
      <c r="K35">
        <f>IF(OR('Ch2 EOT2 Results'!M15="",'Ch2 EOT2 Results'!N15=""),"",'Ch2 EOT2 Results'!N15)</f>
        <v/>
      </c>
    </row>
    <row r="37">
      <c r="A37">
        <f>IF('Ch2 EOT2 Results'!M16="","","Chapter 2 End of Topic Test 2 — Personal finance")</f>
        <v/>
      </c>
      <c r="K37">
        <f>IF('Ch2 EOT2 Results'!M17="","","Chapter 2 End of Topic Test 2 — Personal finance")</f>
        <v/>
      </c>
    </row>
    <row r="38">
      <c r="A38">
        <f>IF('Ch2 EOT2 Results'!M16="","","Name: "&amp;'Ch2 EOT2 Results'!B16&amp;"   Class: "&amp;'Ch2 EOT2 Results'!$B$3&amp;"   Date: "&amp;TEXT('Ch2 EOT2 Results'!$B$5,"DD/MM/YY"))</f>
        <v/>
      </c>
      <c r="K38">
        <f>IF('Ch2 EOT2 Results'!M17="","","Name: "&amp;'Ch2 EOT2 Results'!B17&amp;"   Class: "&amp;'Ch2 EOT2 Results'!$B$3&amp;"   Date: "&amp;TEXT('Ch2 EOT2 Results'!$B$5,"DD/MM/YY"))</f>
        <v/>
      </c>
    </row>
    <row r="39">
      <c r="A39">
        <f>IF('Ch2 EOT2 Results'!M16="","","Total: "&amp;'Ch2 EOT2 Results'!K16&amp;"/71 ("&amp;TEXT('Ch2 EOT2 Results'!L16,"0%")&amp;")   Overall: "&amp;'Ch2 EOT2 Results'!M16)</f>
        <v/>
      </c>
      <c r="K39">
        <f>IF('Ch2 EOT2 Results'!M17="","","Total: "&amp;'Ch2 EOT2 Results'!K17&amp;"/71 ("&amp;TEXT('Ch2 EOT2 Results'!L17,"0%")&amp;")   Overall: "&amp;'Ch2 EOT2 Results'!M17)</f>
        <v/>
      </c>
    </row>
    <row r="40">
      <c r="A40">
        <f>IF('Ch2 EOT2 Results'!M16="","",IF('Ch2 EOT2 Results'!M16="Green",Parameters!$C$146,IF('Ch2 EOT2 Results'!M16="Yellow",Parameters!$C$145,Parameters!$C$144)))</f>
        <v/>
      </c>
      <c r="K40">
        <f>IF('Ch2 EOT2 Results'!M17="","",IF('Ch2 EOT2 Results'!M17="Green",Parameters!$C$146,IF('Ch2 EOT2 Results'!M17="Yellow",Parameters!$C$145,Parameters!$C$144)))</f>
        <v/>
      </c>
    </row>
    <row r="42">
      <c r="A42">
        <f>IF('Ch2 EOT2 Results'!M16="","","Breakdown:")</f>
        <v/>
      </c>
      <c r="K42">
        <f>IF('Ch2 EOT2 Results'!M17="","","Breakdown:")</f>
        <v/>
      </c>
    </row>
    <row r="43">
      <c r="A43">
        <f>IF('Ch2 EOT2 Results'!M16="","","Q1 Budgeting &amp; current accounts: "&amp;'Ch2 EOT2 Results'!C16&amp;"/9")</f>
        <v/>
      </c>
      <c r="K43">
        <f>IF('Ch2 EOT2 Results'!M17="","","Q1 Budgeting &amp; current accounts: "&amp;'Ch2 EOT2 Results'!C17&amp;"/9")</f>
        <v/>
      </c>
    </row>
    <row r="44">
      <c r="A44">
        <f>IF('Ch2 EOT2 Results'!M16="","","Q2 Income tax bands: "&amp;'Ch2 EOT2 Results'!D16&amp;"/9")</f>
        <v/>
      </c>
      <c r="K44">
        <f>IF('Ch2 EOT2 Results'!M17="","","Q2 Income tax bands: "&amp;'Ch2 EOT2 Results'!D17&amp;"/9")</f>
        <v/>
      </c>
    </row>
    <row r="45">
      <c r="A45">
        <f>IF('Ch2 EOT2 Results'!M16="","","Q3 Payslips &amp; deductions: "&amp;'Ch2 EOT2 Results'!E16&amp;"/9")</f>
        <v/>
      </c>
      <c r="K45">
        <f>IF('Ch2 EOT2 Results'!M17="","","Q3 Payslips &amp; deductions: "&amp;'Ch2 EOT2 Results'!E17&amp;"/9")</f>
        <v/>
      </c>
    </row>
    <row r="46">
      <c r="A46">
        <f>IF('Ch2 EOT2 Results'!M16="","","Q4 Exchange rates: "&amp;'Ch2 EOT2 Results'!F16&amp;"/8")</f>
        <v/>
      </c>
      <c r="K46">
        <f>IF('Ch2 EOT2 Results'!M17="","","Q4 Exchange rates: "&amp;'Ch2 EOT2 Results'!F17&amp;"/8")</f>
        <v/>
      </c>
    </row>
    <row r="47">
      <c r="A47">
        <f>IF('Ch2 EOT2 Results'!M16="","","Q5 Loans &amp; APR: "&amp;'Ch2 EOT2 Results'!G16&amp;"/9")</f>
        <v/>
      </c>
      <c r="K47">
        <f>IF('Ch2 EOT2 Results'!M17="","","Q5 Loans &amp; APR: "&amp;'Ch2 EOT2 Results'!G17&amp;"/9")</f>
        <v/>
      </c>
    </row>
    <row r="48">
      <c r="A48">
        <f>IF('Ch2 EOT2 Results'!M16="","","Q6 Savings &amp; AER: "&amp;'Ch2 EOT2 Results'!H16&amp;"/9")</f>
        <v/>
      </c>
      <c r="K48">
        <f>IF('Ch2 EOT2 Results'!M17="","","Q6 Savings &amp; AER: "&amp;'Ch2 EOT2 Results'!H17&amp;"/9")</f>
        <v/>
      </c>
    </row>
    <row r="49">
      <c r="A49">
        <f>IF('Ch2 EOT2 Results'!M16="","","Q7 Depreciation: "&amp;'Ch2 EOT2 Results'!I16&amp;"/9")</f>
        <v/>
      </c>
      <c r="K49">
        <f>IF('Ch2 EOT2 Results'!M17="","","Q7 Depreciation: "&amp;'Ch2 EOT2 Results'!I17&amp;"/9")</f>
        <v/>
      </c>
    </row>
    <row r="50">
      <c r="A50">
        <f>IF('Ch2 EOT2 Results'!M16="","","Q8 Inflation &amp; real value: "&amp;'Ch2 EOT2 Results'!J16&amp;"/9")</f>
        <v/>
      </c>
      <c r="K50">
        <f>IF('Ch2 EOT2 Results'!M17="","","Q8 Inflation &amp; real value: "&amp;'Ch2 EOT2 Results'!J17&amp;"/9")</f>
        <v/>
      </c>
    </row>
    <row r="51">
      <c r="A51">
        <f>IF(OR('Ch2 EOT2 Results'!M16="",'Ch2 EOT2 Results'!N16=""),"",'Ch2 EOT2 Results'!N16)</f>
        <v/>
      </c>
      <c r="K51">
        <f>IF(OR('Ch2 EOT2 Results'!M17="",'Ch2 EOT2 Results'!N17=""),"",'Ch2 EOT2 Results'!N17)</f>
        <v/>
      </c>
    </row>
    <row r="53">
      <c r="A53">
        <f>IF('Ch2 EOT2 Results'!M18="","","Chapter 2 End of Topic Test 2 — Personal finance")</f>
        <v/>
      </c>
      <c r="K53">
        <f>IF('Ch2 EOT2 Results'!M19="","","Chapter 2 End of Topic Test 2 — Personal finance")</f>
        <v/>
      </c>
    </row>
    <row r="54">
      <c r="A54">
        <f>IF('Ch2 EOT2 Results'!M18="","","Name: "&amp;'Ch2 EOT2 Results'!B18&amp;"   Class: "&amp;'Ch2 EOT2 Results'!$B$3&amp;"   Date: "&amp;TEXT('Ch2 EOT2 Results'!$B$5,"DD/MM/YY"))</f>
        <v/>
      </c>
      <c r="K54">
        <f>IF('Ch2 EOT2 Results'!M19="","","Name: "&amp;'Ch2 EOT2 Results'!B19&amp;"   Class: "&amp;'Ch2 EOT2 Results'!$B$3&amp;"   Date: "&amp;TEXT('Ch2 EOT2 Results'!$B$5,"DD/MM/YY"))</f>
        <v/>
      </c>
    </row>
    <row r="55">
      <c r="A55">
        <f>IF('Ch2 EOT2 Results'!M18="","","Total: "&amp;'Ch2 EOT2 Results'!K18&amp;"/71 ("&amp;TEXT('Ch2 EOT2 Results'!L18,"0%")&amp;")   Overall: "&amp;'Ch2 EOT2 Results'!M18)</f>
        <v/>
      </c>
      <c r="K55">
        <f>IF('Ch2 EOT2 Results'!M19="","","Total: "&amp;'Ch2 EOT2 Results'!K19&amp;"/71 ("&amp;TEXT('Ch2 EOT2 Results'!L19,"0%")&amp;")   Overall: "&amp;'Ch2 EOT2 Results'!M19)</f>
        <v/>
      </c>
    </row>
    <row r="56">
      <c r="A56">
        <f>IF('Ch2 EOT2 Results'!M18="","",IF('Ch2 EOT2 Results'!M18="Green",Parameters!$C$146,IF('Ch2 EOT2 Results'!M18="Yellow",Parameters!$C$145,Parameters!$C$144)))</f>
        <v/>
      </c>
      <c r="K56">
        <f>IF('Ch2 EOT2 Results'!M19="","",IF('Ch2 EOT2 Results'!M19="Green",Parameters!$C$146,IF('Ch2 EOT2 Results'!M19="Yellow",Parameters!$C$145,Parameters!$C$144)))</f>
        <v/>
      </c>
    </row>
    <row r="58">
      <c r="A58">
        <f>IF('Ch2 EOT2 Results'!M18="","","Breakdown:")</f>
        <v/>
      </c>
      <c r="K58">
        <f>IF('Ch2 EOT2 Results'!M19="","","Breakdown:")</f>
        <v/>
      </c>
    </row>
    <row r="59">
      <c r="A59">
        <f>IF('Ch2 EOT2 Results'!M18="","","Q1 Budgeting &amp; current accounts: "&amp;'Ch2 EOT2 Results'!C18&amp;"/9")</f>
        <v/>
      </c>
      <c r="K59">
        <f>IF('Ch2 EOT2 Results'!M19="","","Q1 Budgeting &amp; current accounts: "&amp;'Ch2 EOT2 Results'!C19&amp;"/9")</f>
        <v/>
      </c>
    </row>
    <row r="60">
      <c r="A60">
        <f>IF('Ch2 EOT2 Results'!M18="","","Q2 Income tax bands: "&amp;'Ch2 EOT2 Results'!D18&amp;"/9")</f>
        <v/>
      </c>
      <c r="K60">
        <f>IF('Ch2 EOT2 Results'!M19="","","Q2 Income tax bands: "&amp;'Ch2 EOT2 Results'!D19&amp;"/9")</f>
        <v/>
      </c>
    </row>
    <row r="61">
      <c r="A61">
        <f>IF('Ch2 EOT2 Results'!M18="","","Q3 Payslips &amp; deductions: "&amp;'Ch2 EOT2 Results'!E18&amp;"/9")</f>
        <v/>
      </c>
      <c r="K61">
        <f>IF('Ch2 EOT2 Results'!M19="","","Q3 Payslips &amp; deductions: "&amp;'Ch2 EOT2 Results'!E19&amp;"/9")</f>
        <v/>
      </c>
    </row>
    <row r="62">
      <c r="A62">
        <f>IF('Ch2 EOT2 Results'!M18="","","Q4 Exchange rates: "&amp;'Ch2 EOT2 Results'!F18&amp;"/8")</f>
        <v/>
      </c>
      <c r="K62">
        <f>IF('Ch2 EOT2 Results'!M19="","","Q4 Exchange rates: "&amp;'Ch2 EOT2 Results'!F19&amp;"/8")</f>
        <v/>
      </c>
    </row>
    <row r="63">
      <c r="A63">
        <f>IF('Ch2 EOT2 Results'!M18="","","Q5 Loans &amp; APR: "&amp;'Ch2 EOT2 Results'!G18&amp;"/9")</f>
        <v/>
      </c>
      <c r="K63">
        <f>IF('Ch2 EOT2 Results'!M19="","","Q5 Loans &amp; APR: "&amp;'Ch2 EOT2 Results'!G19&amp;"/9")</f>
        <v/>
      </c>
    </row>
    <row r="64">
      <c r="A64">
        <f>IF('Ch2 EOT2 Results'!M18="","","Q6 Savings &amp; AER: "&amp;'Ch2 EOT2 Results'!H18&amp;"/9")</f>
        <v/>
      </c>
      <c r="K64">
        <f>IF('Ch2 EOT2 Results'!M19="","","Q6 Savings &amp; AER: "&amp;'Ch2 EOT2 Results'!H19&amp;"/9")</f>
        <v/>
      </c>
    </row>
    <row r="65">
      <c r="A65">
        <f>IF('Ch2 EOT2 Results'!M18="","","Q7 Depreciation: "&amp;'Ch2 EOT2 Results'!I18&amp;"/9")</f>
        <v/>
      </c>
      <c r="K65">
        <f>IF('Ch2 EOT2 Results'!M19="","","Q7 Depreciation: "&amp;'Ch2 EOT2 Results'!I19&amp;"/9")</f>
        <v/>
      </c>
    </row>
    <row r="66">
      <c r="A66">
        <f>IF('Ch2 EOT2 Results'!M18="","","Q8 Inflation &amp; real value: "&amp;'Ch2 EOT2 Results'!J18&amp;"/9")</f>
        <v/>
      </c>
      <c r="K66">
        <f>IF('Ch2 EOT2 Results'!M19="","","Q8 Inflation &amp; real value: "&amp;'Ch2 EOT2 Results'!J19&amp;"/9")</f>
        <v/>
      </c>
    </row>
    <row r="67">
      <c r="A67">
        <f>IF(OR('Ch2 EOT2 Results'!M18="",'Ch2 EOT2 Results'!N18=""),"",'Ch2 EOT2 Results'!N18)</f>
        <v/>
      </c>
      <c r="K67">
        <f>IF(OR('Ch2 EOT2 Results'!M19="",'Ch2 EOT2 Results'!N19=""),"",'Ch2 EOT2 Results'!N19)</f>
        <v/>
      </c>
    </row>
    <row r="69">
      <c r="A69">
        <f>IF('Ch2 EOT2 Results'!M20="","","Chapter 2 End of Topic Test 2 — Personal finance")</f>
        <v/>
      </c>
      <c r="K69">
        <f>IF('Ch2 EOT2 Results'!M21="","","Chapter 2 End of Topic Test 2 — Personal finance")</f>
        <v/>
      </c>
    </row>
    <row r="70">
      <c r="A70">
        <f>IF('Ch2 EOT2 Results'!M20="","","Name: "&amp;'Ch2 EOT2 Results'!B20&amp;"   Class: "&amp;'Ch2 EOT2 Results'!$B$3&amp;"   Date: "&amp;TEXT('Ch2 EOT2 Results'!$B$5,"DD/MM/YY"))</f>
        <v/>
      </c>
      <c r="K70">
        <f>IF('Ch2 EOT2 Results'!M21="","","Name: "&amp;'Ch2 EOT2 Results'!B21&amp;"   Class: "&amp;'Ch2 EOT2 Results'!$B$3&amp;"   Date: "&amp;TEXT('Ch2 EOT2 Results'!$B$5,"DD/MM/YY"))</f>
        <v/>
      </c>
    </row>
    <row r="71">
      <c r="A71">
        <f>IF('Ch2 EOT2 Results'!M20="","","Total: "&amp;'Ch2 EOT2 Results'!K20&amp;"/71 ("&amp;TEXT('Ch2 EOT2 Results'!L20,"0%")&amp;")   Overall: "&amp;'Ch2 EOT2 Results'!M20)</f>
        <v/>
      </c>
      <c r="K71">
        <f>IF('Ch2 EOT2 Results'!M21="","","Total: "&amp;'Ch2 EOT2 Results'!K21&amp;"/71 ("&amp;TEXT('Ch2 EOT2 Results'!L21,"0%")&amp;")   Overall: "&amp;'Ch2 EOT2 Results'!M21)</f>
        <v/>
      </c>
    </row>
    <row r="72">
      <c r="A72">
        <f>IF('Ch2 EOT2 Results'!M20="","",IF('Ch2 EOT2 Results'!M20="Green",Parameters!$C$146,IF('Ch2 EOT2 Results'!M20="Yellow",Parameters!$C$145,Parameters!$C$144)))</f>
        <v/>
      </c>
      <c r="K72">
        <f>IF('Ch2 EOT2 Results'!M21="","",IF('Ch2 EOT2 Results'!M21="Green",Parameters!$C$146,IF('Ch2 EOT2 Results'!M21="Yellow",Parameters!$C$145,Parameters!$C$144)))</f>
        <v/>
      </c>
    </row>
    <row r="74">
      <c r="A74">
        <f>IF('Ch2 EOT2 Results'!M20="","","Breakdown:")</f>
        <v/>
      </c>
      <c r="K74">
        <f>IF('Ch2 EOT2 Results'!M21="","","Breakdown:")</f>
        <v/>
      </c>
    </row>
    <row r="75">
      <c r="A75">
        <f>IF('Ch2 EOT2 Results'!M20="","","Q1 Budgeting &amp; current accounts: "&amp;'Ch2 EOT2 Results'!C20&amp;"/9")</f>
        <v/>
      </c>
      <c r="K75">
        <f>IF('Ch2 EOT2 Results'!M21="","","Q1 Budgeting &amp; current accounts: "&amp;'Ch2 EOT2 Results'!C21&amp;"/9")</f>
        <v/>
      </c>
    </row>
    <row r="76">
      <c r="A76">
        <f>IF('Ch2 EOT2 Results'!M20="","","Q2 Income tax bands: "&amp;'Ch2 EOT2 Results'!D20&amp;"/9")</f>
        <v/>
      </c>
      <c r="K76">
        <f>IF('Ch2 EOT2 Results'!M21="","","Q2 Income tax bands: "&amp;'Ch2 EOT2 Results'!D21&amp;"/9")</f>
        <v/>
      </c>
    </row>
    <row r="77">
      <c r="A77">
        <f>IF('Ch2 EOT2 Results'!M20="","","Q3 Payslips &amp; deductions: "&amp;'Ch2 EOT2 Results'!E20&amp;"/9")</f>
        <v/>
      </c>
      <c r="K77">
        <f>IF('Ch2 EOT2 Results'!M21="","","Q3 Payslips &amp; deductions: "&amp;'Ch2 EOT2 Results'!E21&amp;"/9")</f>
        <v/>
      </c>
    </row>
    <row r="78">
      <c r="A78">
        <f>IF('Ch2 EOT2 Results'!M20="","","Q4 Exchange rates: "&amp;'Ch2 EOT2 Results'!F20&amp;"/8")</f>
        <v/>
      </c>
      <c r="K78">
        <f>IF('Ch2 EOT2 Results'!M21="","","Q4 Exchange rates: "&amp;'Ch2 EOT2 Results'!F21&amp;"/8")</f>
        <v/>
      </c>
    </row>
    <row r="79">
      <c r="A79">
        <f>IF('Ch2 EOT2 Results'!M20="","","Q5 Loans &amp; APR: "&amp;'Ch2 EOT2 Results'!G20&amp;"/9")</f>
        <v/>
      </c>
      <c r="K79">
        <f>IF('Ch2 EOT2 Results'!M21="","","Q5 Loans &amp; APR: "&amp;'Ch2 EOT2 Results'!G21&amp;"/9")</f>
        <v/>
      </c>
    </row>
    <row r="80">
      <c r="A80">
        <f>IF('Ch2 EOT2 Results'!M20="","","Q6 Savings &amp; AER: "&amp;'Ch2 EOT2 Results'!H20&amp;"/9")</f>
        <v/>
      </c>
      <c r="K80">
        <f>IF('Ch2 EOT2 Results'!M21="","","Q6 Savings &amp; AER: "&amp;'Ch2 EOT2 Results'!H21&amp;"/9")</f>
        <v/>
      </c>
    </row>
    <row r="81">
      <c r="A81">
        <f>IF('Ch2 EOT2 Results'!M20="","","Q7 Depreciation: "&amp;'Ch2 EOT2 Results'!I20&amp;"/9")</f>
        <v/>
      </c>
      <c r="K81">
        <f>IF('Ch2 EOT2 Results'!M21="","","Q7 Depreciation: "&amp;'Ch2 EOT2 Results'!I21&amp;"/9")</f>
        <v/>
      </c>
    </row>
    <row r="82">
      <c r="A82">
        <f>IF('Ch2 EOT2 Results'!M20="","","Q8 Inflation &amp; real value: "&amp;'Ch2 EOT2 Results'!J20&amp;"/9")</f>
        <v/>
      </c>
      <c r="K82">
        <f>IF('Ch2 EOT2 Results'!M21="","","Q8 Inflation &amp; real value: "&amp;'Ch2 EOT2 Results'!J21&amp;"/9")</f>
        <v/>
      </c>
    </row>
    <row r="83">
      <c r="A83">
        <f>IF(OR('Ch2 EOT2 Results'!M20="",'Ch2 EOT2 Results'!N20=""),"",'Ch2 EOT2 Results'!N20)</f>
        <v/>
      </c>
      <c r="K83">
        <f>IF(OR('Ch2 EOT2 Results'!M21="",'Ch2 EOT2 Results'!N21=""),"",'Ch2 EOT2 Results'!N21)</f>
        <v/>
      </c>
    </row>
    <row r="85">
      <c r="A85">
        <f>IF('Ch2 EOT2 Results'!M22="","","Chapter 2 End of Topic Test 2 — Personal finance")</f>
        <v/>
      </c>
      <c r="K85">
        <f>IF('Ch2 EOT2 Results'!M23="","","Chapter 2 End of Topic Test 2 — Personal finance")</f>
        <v/>
      </c>
    </row>
    <row r="86">
      <c r="A86">
        <f>IF('Ch2 EOT2 Results'!M22="","","Name: "&amp;'Ch2 EOT2 Results'!B22&amp;"   Class: "&amp;'Ch2 EOT2 Results'!$B$3&amp;"   Date: "&amp;TEXT('Ch2 EOT2 Results'!$B$5,"DD/MM/YY"))</f>
        <v/>
      </c>
      <c r="K86">
        <f>IF('Ch2 EOT2 Results'!M23="","","Name: "&amp;'Ch2 EOT2 Results'!B23&amp;"   Class: "&amp;'Ch2 EOT2 Results'!$B$3&amp;"   Date: "&amp;TEXT('Ch2 EOT2 Results'!$B$5,"DD/MM/YY"))</f>
        <v/>
      </c>
    </row>
    <row r="87">
      <c r="A87">
        <f>IF('Ch2 EOT2 Results'!M22="","","Total: "&amp;'Ch2 EOT2 Results'!K22&amp;"/71 ("&amp;TEXT('Ch2 EOT2 Results'!L22,"0%")&amp;")   Overall: "&amp;'Ch2 EOT2 Results'!M22)</f>
        <v/>
      </c>
      <c r="K87">
        <f>IF('Ch2 EOT2 Results'!M23="","","Total: "&amp;'Ch2 EOT2 Results'!K23&amp;"/71 ("&amp;TEXT('Ch2 EOT2 Results'!L23,"0%")&amp;")   Overall: "&amp;'Ch2 EOT2 Results'!M23)</f>
        <v/>
      </c>
    </row>
    <row r="88">
      <c r="A88">
        <f>IF('Ch2 EOT2 Results'!M22="","",IF('Ch2 EOT2 Results'!M22="Green",Parameters!$C$146,IF('Ch2 EOT2 Results'!M22="Yellow",Parameters!$C$145,Parameters!$C$144)))</f>
        <v/>
      </c>
      <c r="K88">
        <f>IF('Ch2 EOT2 Results'!M23="","",IF('Ch2 EOT2 Results'!M23="Green",Parameters!$C$146,IF('Ch2 EOT2 Results'!M23="Yellow",Parameters!$C$145,Parameters!$C$144)))</f>
        <v/>
      </c>
    </row>
    <row r="90">
      <c r="A90">
        <f>IF('Ch2 EOT2 Results'!M22="","","Breakdown:")</f>
        <v/>
      </c>
      <c r="K90">
        <f>IF('Ch2 EOT2 Results'!M23="","","Breakdown:")</f>
        <v/>
      </c>
    </row>
    <row r="91">
      <c r="A91">
        <f>IF('Ch2 EOT2 Results'!M22="","","Q1 Budgeting &amp; current accounts: "&amp;'Ch2 EOT2 Results'!C22&amp;"/9")</f>
        <v/>
      </c>
      <c r="K91">
        <f>IF('Ch2 EOT2 Results'!M23="","","Q1 Budgeting &amp; current accounts: "&amp;'Ch2 EOT2 Results'!C23&amp;"/9")</f>
        <v/>
      </c>
    </row>
    <row r="92">
      <c r="A92">
        <f>IF('Ch2 EOT2 Results'!M22="","","Q2 Income tax bands: "&amp;'Ch2 EOT2 Results'!D22&amp;"/9")</f>
        <v/>
      </c>
      <c r="K92">
        <f>IF('Ch2 EOT2 Results'!M23="","","Q2 Income tax bands: "&amp;'Ch2 EOT2 Results'!D23&amp;"/9")</f>
        <v/>
      </c>
    </row>
    <row r="93">
      <c r="A93">
        <f>IF('Ch2 EOT2 Results'!M22="","","Q3 Payslips &amp; deductions: "&amp;'Ch2 EOT2 Results'!E22&amp;"/9")</f>
        <v/>
      </c>
      <c r="K93">
        <f>IF('Ch2 EOT2 Results'!M23="","","Q3 Payslips &amp; deductions: "&amp;'Ch2 EOT2 Results'!E23&amp;"/9")</f>
        <v/>
      </c>
    </row>
    <row r="94">
      <c r="A94">
        <f>IF('Ch2 EOT2 Results'!M22="","","Q4 Exchange rates: "&amp;'Ch2 EOT2 Results'!F22&amp;"/8")</f>
        <v/>
      </c>
      <c r="K94">
        <f>IF('Ch2 EOT2 Results'!M23="","","Q4 Exchange rates: "&amp;'Ch2 EOT2 Results'!F23&amp;"/8")</f>
        <v/>
      </c>
    </row>
    <row r="95">
      <c r="A95">
        <f>IF('Ch2 EOT2 Results'!M22="","","Q5 Loans &amp; APR: "&amp;'Ch2 EOT2 Results'!G22&amp;"/9")</f>
        <v/>
      </c>
      <c r="K95">
        <f>IF('Ch2 EOT2 Results'!M23="","","Q5 Loans &amp; APR: "&amp;'Ch2 EOT2 Results'!G23&amp;"/9")</f>
        <v/>
      </c>
    </row>
    <row r="96">
      <c r="A96">
        <f>IF('Ch2 EOT2 Results'!M22="","","Q6 Savings &amp; AER: "&amp;'Ch2 EOT2 Results'!H22&amp;"/9")</f>
        <v/>
      </c>
      <c r="K96">
        <f>IF('Ch2 EOT2 Results'!M23="","","Q6 Savings &amp; AER: "&amp;'Ch2 EOT2 Results'!H23&amp;"/9")</f>
        <v/>
      </c>
    </row>
    <row r="97">
      <c r="A97">
        <f>IF('Ch2 EOT2 Results'!M22="","","Q7 Depreciation: "&amp;'Ch2 EOT2 Results'!I22&amp;"/9")</f>
        <v/>
      </c>
      <c r="K97">
        <f>IF('Ch2 EOT2 Results'!M23="","","Q7 Depreciation: "&amp;'Ch2 EOT2 Results'!I23&amp;"/9")</f>
        <v/>
      </c>
    </row>
    <row r="98">
      <c r="A98">
        <f>IF('Ch2 EOT2 Results'!M22="","","Q8 Inflation &amp; real value: "&amp;'Ch2 EOT2 Results'!J22&amp;"/9")</f>
        <v/>
      </c>
      <c r="K98">
        <f>IF('Ch2 EOT2 Results'!M23="","","Q8 Inflation &amp; real value: "&amp;'Ch2 EOT2 Results'!J23&amp;"/9")</f>
        <v/>
      </c>
    </row>
    <row r="99">
      <c r="A99">
        <f>IF(OR('Ch2 EOT2 Results'!M22="",'Ch2 EOT2 Results'!N22=""),"",'Ch2 EOT2 Results'!N22)</f>
        <v/>
      </c>
      <c r="K99">
        <f>IF(OR('Ch2 EOT2 Results'!M23="",'Ch2 EOT2 Results'!N23=""),"",'Ch2 EOT2 Results'!N23)</f>
        <v/>
      </c>
    </row>
    <row r="101">
      <c r="A101">
        <f>IF('Ch2 EOT2 Results'!M24="","","Chapter 2 End of Topic Test 2 — Personal finance")</f>
        <v/>
      </c>
      <c r="K101">
        <f>IF('Ch2 EOT2 Results'!M25="","","Chapter 2 End of Topic Test 2 — Personal finance")</f>
        <v/>
      </c>
    </row>
    <row r="102">
      <c r="A102">
        <f>IF('Ch2 EOT2 Results'!M24="","","Name: "&amp;'Ch2 EOT2 Results'!B24&amp;"   Class: "&amp;'Ch2 EOT2 Results'!$B$3&amp;"   Date: "&amp;TEXT('Ch2 EOT2 Results'!$B$5,"DD/MM/YY"))</f>
        <v/>
      </c>
      <c r="K102">
        <f>IF('Ch2 EOT2 Results'!M25="","","Name: "&amp;'Ch2 EOT2 Results'!B25&amp;"   Class: "&amp;'Ch2 EOT2 Results'!$B$3&amp;"   Date: "&amp;TEXT('Ch2 EOT2 Results'!$B$5,"DD/MM/YY"))</f>
        <v/>
      </c>
    </row>
    <row r="103">
      <c r="A103">
        <f>IF('Ch2 EOT2 Results'!M24="","","Total: "&amp;'Ch2 EOT2 Results'!K24&amp;"/71 ("&amp;TEXT('Ch2 EOT2 Results'!L24,"0%")&amp;")   Overall: "&amp;'Ch2 EOT2 Results'!M24)</f>
        <v/>
      </c>
      <c r="K103">
        <f>IF('Ch2 EOT2 Results'!M25="","","Total: "&amp;'Ch2 EOT2 Results'!K25&amp;"/71 ("&amp;TEXT('Ch2 EOT2 Results'!L25,"0%")&amp;")   Overall: "&amp;'Ch2 EOT2 Results'!M25)</f>
        <v/>
      </c>
    </row>
    <row r="104">
      <c r="A104">
        <f>IF('Ch2 EOT2 Results'!M24="","",IF('Ch2 EOT2 Results'!M24="Green",Parameters!$C$146,IF('Ch2 EOT2 Results'!M24="Yellow",Parameters!$C$145,Parameters!$C$144)))</f>
        <v/>
      </c>
      <c r="K104">
        <f>IF('Ch2 EOT2 Results'!M25="","",IF('Ch2 EOT2 Results'!M25="Green",Parameters!$C$146,IF('Ch2 EOT2 Results'!M25="Yellow",Parameters!$C$145,Parameters!$C$144)))</f>
        <v/>
      </c>
    </row>
    <row r="106">
      <c r="A106">
        <f>IF('Ch2 EOT2 Results'!M24="","","Breakdown:")</f>
        <v/>
      </c>
      <c r="K106">
        <f>IF('Ch2 EOT2 Results'!M25="","","Breakdown:")</f>
        <v/>
      </c>
    </row>
    <row r="107">
      <c r="A107">
        <f>IF('Ch2 EOT2 Results'!M24="","","Q1 Budgeting &amp; current accounts: "&amp;'Ch2 EOT2 Results'!C24&amp;"/9")</f>
        <v/>
      </c>
      <c r="K107">
        <f>IF('Ch2 EOT2 Results'!M25="","","Q1 Budgeting &amp; current accounts: "&amp;'Ch2 EOT2 Results'!C25&amp;"/9")</f>
        <v/>
      </c>
    </row>
    <row r="108">
      <c r="A108">
        <f>IF('Ch2 EOT2 Results'!M24="","","Q2 Income tax bands: "&amp;'Ch2 EOT2 Results'!D24&amp;"/9")</f>
        <v/>
      </c>
      <c r="K108">
        <f>IF('Ch2 EOT2 Results'!M25="","","Q2 Income tax bands: "&amp;'Ch2 EOT2 Results'!D25&amp;"/9")</f>
        <v/>
      </c>
    </row>
    <row r="109">
      <c r="A109">
        <f>IF('Ch2 EOT2 Results'!M24="","","Q3 Payslips &amp; deductions: "&amp;'Ch2 EOT2 Results'!E24&amp;"/9")</f>
        <v/>
      </c>
      <c r="K109">
        <f>IF('Ch2 EOT2 Results'!M25="","","Q3 Payslips &amp; deductions: "&amp;'Ch2 EOT2 Results'!E25&amp;"/9")</f>
        <v/>
      </c>
    </row>
    <row r="110">
      <c r="A110">
        <f>IF('Ch2 EOT2 Results'!M24="","","Q4 Exchange rates: "&amp;'Ch2 EOT2 Results'!F24&amp;"/8")</f>
        <v/>
      </c>
      <c r="K110">
        <f>IF('Ch2 EOT2 Results'!M25="","","Q4 Exchange rates: "&amp;'Ch2 EOT2 Results'!F25&amp;"/8")</f>
        <v/>
      </c>
    </row>
    <row r="111">
      <c r="A111">
        <f>IF('Ch2 EOT2 Results'!M24="","","Q5 Loans &amp; APR: "&amp;'Ch2 EOT2 Results'!G24&amp;"/9")</f>
        <v/>
      </c>
      <c r="K111">
        <f>IF('Ch2 EOT2 Results'!M25="","","Q5 Loans &amp; APR: "&amp;'Ch2 EOT2 Results'!G25&amp;"/9")</f>
        <v/>
      </c>
    </row>
    <row r="112">
      <c r="A112">
        <f>IF('Ch2 EOT2 Results'!M24="","","Q6 Savings &amp; AER: "&amp;'Ch2 EOT2 Results'!H24&amp;"/9")</f>
        <v/>
      </c>
      <c r="K112">
        <f>IF('Ch2 EOT2 Results'!M25="","","Q6 Savings &amp; AER: "&amp;'Ch2 EOT2 Results'!H25&amp;"/9")</f>
        <v/>
      </c>
    </row>
    <row r="113">
      <c r="A113">
        <f>IF('Ch2 EOT2 Results'!M24="","","Q7 Depreciation: "&amp;'Ch2 EOT2 Results'!I24&amp;"/9")</f>
        <v/>
      </c>
      <c r="K113">
        <f>IF('Ch2 EOT2 Results'!M25="","","Q7 Depreciation: "&amp;'Ch2 EOT2 Results'!I25&amp;"/9")</f>
        <v/>
      </c>
    </row>
    <row r="114">
      <c r="A114">
        <f>IF('Ch2 EOT2 Results'!M24="","","Q8 Inflation &amp; real value: "&amp;'Ch2 EOT2 Results'!J24&amp;"/9")</f>
        <v/>
      </c>
      <c r="K114">
        <f>IF('Ch2 EOT2 Results'!M25="","","Q8 Inflation &amp; real value: "&amp;'Ch2 EOT2 Results'!J25&amp;"/9")</f>
        <v/>
      </c>
    </row>
    <row r="115">
      <c r="A115">
        <f>IF(OR('Ch2 EOT2 Results'!M24="",'Ch2 EOT2 Results'!N24=""),"",'Ch2 EOT2 Results'!N24)</f>
        <v/>
      </c>
      <c r="K115">
        <f>IF(OR('Ch2 EOT2 Results'!M25="",'Ch2 EOT2 Results'!N25=""),"",'Ch2 EOT2 Results'!N25)</f>
        <v/>
      </c>
    </row>
    <row r="117">
      <c r="A117">
        <f>IF('Ch2 EOT2 Results'!M26="","","Chapter 2 End of Topic Test 2 — Personal finance")</f>
        <v/>
      </c>
      <c r="K117">
        <f>IF('Ch2 EOT2 Results'!M27="","","Chapter 2 End of Topic Test 2 — Personal finance")</f>
        <v/>
      </c>
    </row>
    <row r="118">
      <c r="A118">
        <f>IF('Ch2 EOT2 Results'!M26="","","Name: "&amp;'Ch2 EOT2 Results'!B26&amp;"   Class: "&amp;'Ch2 EOT2 Results'!$B$3&amp;"   Date: "&amp;TEXT('Ch2 EOT2 Results'!$B$5,"DD/MM/YY"))</f>
        <v/>
      </c>
      <c r="K118">
        <f>IF('Ch2 EOT2 Results'!M27="","","Name: "&amp;'Ch2 EOT2 Results'!B27&amp;"   Class: "&amp;'Ch2 EOT2 Results'!$B$3&amp;"   Date: "&amp;TEXT('Ch2 EOT2 Results'!$B$5,"DD/MM/YY"))</f>
        <v/>
      </c>
    </row>
    <row r="119">
      <c r="A119">
        <f>IF('Ch2 EOT2 Results'!M26="","","Total: "&amp;'Ch2 EOT2 Results'!K26&amp;"/71 ("&amp;TEXT('Ch2 EOT2 Results'!L26,"0%")&amp;")   Overall: "&amp;'Ch2 EOT2 Results'!M26)</f>
        <v/>
      </c>
      <c r="K119">
        <f>IF('Ch2 EOT2 Results'!M27="","","Total: "&amp;'Ch2 EOT2 Results'!K27&amp;"/71 ("&amp;TEXT('Ch2 EOT2 Results'!L27,"0%")&amp;")   Overall: "&amp;'Ch2 EOT2 Results'!M27)</f>
        <v/>
      </c>
    </row>
    <row r="120">
      <c r="A120">
        <f>IF('Ch2 EOT2 Results'!M26="","",IF('Ch2 EOT2 Results'!M26="Green",Parameters!$C$146,IF('Ch2 EOT2 Results'!M26="Yellow",Parameters!$C$145,Parameters!$C$144)))</f>
        <v/>
      </c>
      <c r="K120">
        <f>IF('Ch2 EOT2 Results'!M27="","",IF('Ch2 EOT2 Results'!M27="Green",Parameters!$C$146,IF('Ch2 EOT2 Results'!M27="Yellow",Parameters!$C$145,Parameters!$C$144)))</f>
        <v/>
      </c>
    </row>
    <row r="122">
      <c r="A122">
        <f>IF('Ch2 EOT2 Results'!M26="","","Breakdown:")</f>
        <v/>
      </c>
      <c r="K122">
        <f>IF('Ch2 EOT2 Results'!M27="","","Breakdown:")</f>
        <v/>
      </c>
    </row>
    <row r="123">
      <c r="A123">
        <f>IF('Ch2 EOT2 Results'!M26="","","Q1 Budgeting &amp; current accounts: "&amp;'Ch2 EOT2 Results'!C26&amp;"/9")</f>
        <v/>
      </c>
      <c r="K123">
        <f>IF('Ch2 EOT2 Results'!M27="","","Q1 Budgeting &amp; current accounts: "&amp;'Ch2 EOT2 Results'!C27&amp;"/9")</f>
        <v/>
      </c>
    </row>
    <row r="124">
      <c r="A124">
        <f>IF('Ch2 EOT2 Results'!M26="","","Q2 Income tax bands: "&amp;'Ch2 EOT2 Results'!D26&amp;"/9")</f>
        <v/>
      </c>
      <c r="K124">
        <f>IF('Ch2 EOT2 Results'!M27="","","Q2 Income tax bands: "&amp;'Ch2 EOT2 Results'!D27&amp;"/9")</f>
        <v/>
      </c>
    </row>
    <row r="125">
      <c r="A125">
        <f>IF('Ch2 EOT2 Results'!M26="","","Q3 Payslips &amp; deductions: "&amp;'Ch2 EOT2 Results'!E26&amp;"/9")</f>
        <v/>
      </c>
      <c r="K125">
        <f>IF('Ch2 EOT2 Results'!M27="","","Q3 Payslips &amp; deductions: "&amp;'Ch2 EOT2 Results'!E27&amp;"/9")</f>
        <v/>
      </c>
    </row>
    <row r="126">
      <c r="A126">
        <f>IF('Ch2 EOT2 Results'!M26="","","Q4 Exchange rates: "&amp;'Ch2 EOT2 Results'!F26&amp;"/8")</f>
        <v/>
      </c>
      <c r="K126">
        <f>IF('Ch2 EOT2 Results'!M27="","","Q4 Exchange rates: "&amp;'Ch2 EOT2 Results'!F27&amp;"/8")</f>
        <v/>
      </c>
    </row>
    <row r="127">
      <c r="A127">
        <f>IF('Ch2 EOT2 Results'!M26="","","Q5 Loans &amp; APR: "&amp;'Ch2 EOT2 Results'!G26&amp;"/9")</f>
        <v/>
      </c>
      <c r="K127">
        <f>IF('Ch2 EOT2 Results'!M27="","","Q5 Loans &amp; APR: "&amp;'Ch2 EOT2 Results'!G27&amp;"/9")</f>
        <v/>
      </c>
    </row>
    <row r="128">
      <c r="A128">
        <f>IF('Ch2 EOT2 Results'!M26="","","Q6 Savings &amp; AER: "&amp;'Ch2 EOT2 Results'!H26&amp;"/9")</f>
        <v/>
      </c>
      <c r="K128">
        <f>IF('Ch2 EOT2 Results'!M27="","","Q6 Savings &amp; AER: "&amp;'Ch2 EOT2 Results'!H27&amp;"/9")</f>
        <v/>
      </c>
    </row>
    <row r="129">
      <c r="A129">
        <f>IF('Ch2 EOT2 Results'!M26="","","Q7 Depreciation: "&amp;'Ch2 EOT2 Results'!I26&amp;"/9")</f>
        <v/>
      </c>
      <c r="K129">
        <f>IF('Ch2 EOT2 Results'!M27="","","Q7 Depreciation: "&amp;'Ch2 EOT2 Results'!I27&amp;"/9")</f>
        <v/>
      </c>
    </row>
    <row r="130">
      <c r="A130">
        <f>IF('Ch2 EOT2 Results'!M26="","","Q8 Inflation &amp; real value: "&amp;'Ch2 EOT2 Results'!J26&amp;"/9")</f>
        <v/>
      </c>
      <c r="K130">
        <f>IF('Ch2 EOT2 Results'!M27="","","Q8 Inflation &amp; real value: "&amp;'Ch2 EOT2 Results'!J27&amp;"/9")</f>
        <v/>
      </c>
    </row>
    <row r="131">
      <c r="A131">
        <f>IF(OR('Ch2 EOT2 Results'!M26="",'Ch2 EOT2 Results'!N26=""),"",'Ch2 EOT2 Results'!N26)</f>
        <v/>
      </c>
      <c r="K131">
        <f>IF(OR('Ch2 EOT2 Results'!M27="",'Ch2 EOT2 Results'!N27=""),"",'Ch2 EOT2 Results'!N27)</f>
        <v/>
      </c>
    </row>
    <row r="133">
      <c r="A133">
        <f>IF('Ch2 EOT2 Results'!M28="","","Chapter 2 End of Topic Test 2 — Personal finance")</f>
        <v/>
      </c>
      <c r="K133">
        <f>IF('Ch2 EOT2 Results'!M29="","","Chapter 2 End of Topic Test 2 — Personal finance")</f>
        <v/>
      </c>
    </row>
    <row r="134">
      <c r="A134">
        <f>IF('Ch2 EOT2 Results'!M28="","","Name: "&amp;'Ch2 EOT2 Results'!B28&amp;"   Class: "&amp;'Ch2 EOT2 Results'!$B$3&amp;"   Date: "&amp;TEXT('Ch2 EOT2 Results'!$B$5,"DD/MM/YY"))</f>
        <v/>
      </c>
      <c r="K134">
        <f>IF('Ch2 EOT2 Results'!M29="","","Name: "&amp;'Ch2 EOT2 Results'!B29&amp;"   Class: "&amp;'Ch2 EOT2 Results'!$B$3&amp;"   Date: "&amp;TEXT('Ch2 EOT2 Results'!$B$5,"DD/MM/YY"))</f>
        <v/>
      </c>
    </row>
    <row r="135">
      <c r="A135">
        <f>IF('Ch2 EOT2 Results'!M28="","","Total: "&amp;'Ch2 EOT2 Results'!K28&amp;"/71 ("&amp;TEXT('Ch2 EOT2 Results'!L28,"0%")&amp;")   Overall: "&amp;'Ch2 EOT2 Results'!M28)</f>
        <v/>
      </c>
      <c r="K135">
        <f>IF('Ch2 EOT2 Results'!M29="","","Total: "&amp;'Ch2 EOT2 Results'!K29&amp;"/71 ("&amp;TEXT('Ch2 EOT2 Results'!L29,"0%")&amp;")   Overall: "&amp;'Ch2 EOT2 Results'!M29)</f>
        <v/>
      </c>
    </row>
    <row r="136">
      <c r="A136">
        <f>IF('Ch2 EOT2 Results'!M28="","",IF('Ch2 EOT2 Results'!M28="Green",Parameters!$C$146,IF('Ch2 EOT2 Results'!M28="Yellow",Parameters!$C$145,Parameters!$C$144)))</f>
        <v/>
      </c>
      <c r="K136">
        <f>IF('Ch2 EOT2 Results'!M29="","",IF('Ch2 EOT2 Results'!M29="Green",Parameters!$C$146,IF('Ch2 EOT2 Results'!M29="Yellow",Parameters!$C$145,Parameters!$C$144)))</f>
        <v/>
      </c>
    </row>
    <row r="138">
      <c r="A138">
        <f>IF('Ch2 EOT2 Results'!M28="","","Breakdown:")</f>
        <v/>
      </c>
      <c r="K138">
        <f>IF('Ch2 EOT2 Results'!M29="","","Breakdown:")</f>
        <v/>
      </c>
    </row>
    <row r="139">
      <c r="A139">
        <f>IF('Ch2 EOT2 Results'!M28="","","Q1 Budgeting &amp; current accounts: "&amp;'Ch2 EOT2 Results'!C28&amp;"/9")</f>
        <v/>
      </c>
      <c r="K139">
        <f>IF('Ch2 EOT2 Results'!M29="","","Q1 Budgeting &amp; current accounts: "&amp;'Ch2 EOT2 Results'!C29&amp;"/9")</f>
        <v/>
      </c>
    </row>
    <row r="140">
      <c r="A140">
        <f>IF('Ch2 EOT2 Results'!M28="","","Q2 Income tax bands: "&amp;'Ch2 EOT2 Results'!D28&amp;"/9")</f>
        <v/>
      </c>
      <c r="K140">
        <f>IF('Ch2 EOT2 Results'!M29="","","Q2 Income tax bands: "&amp;'Ch2 EOT2 Results'!D29&amp;"/9")</f>
        <v/>
      </c>
    </row>
    <row r="141">
      <c r="A141">
        <f>IF('Ch2 EOT2 Results'!M28="","","Q3 Payslips &amp; deductions: "&amp;'Ch2 EOT2 Results'!E28&amp;"/9")</f>
        <v/>
      </c>
      <c r="K141">
        <f>IF('Ch2 EOT2 Results'!M29="","","Q3 Payslips &amp; deductions: "&amp;'Ch2 EOT2 Results'!E29&amp;"/9")</f>
        <v/>
      </c>
    </row>
    <row r="142">
      <c r="A142">
        <f>IF('Ch2 EOT2 Results'!M28="","","Q4 Exchange rates: "&amp;'Ch2 EOT2 Results'!F28&amp;"/8")</f>
        <v/>
      </c>
      <c r="K142">
        <f>IF('Ch2 EOT2 Results'!M29="","","Q4 Exchange rates: "&amp;'Ch2 EOT2 Results'!F29&amp;"/8")</f>
        <v/>
      </c>
    </row>
    <row r="143">
      <c r="A143">
        <f>IF('Ch2 EOT2 Results'!M28="","","Q5 Loans &amp; APR: "&amp;'Ch2 EOT2 Results'!G28&amp;"/9")</f>
        <v/>
      </c>
      <c r="K143">
        <f>IF('Ch2 EOT2 Results'!M29="","","Q5 Loans &amp; APR: "&amp;'Ch2 EOT2 Results'!G29&amp;"/9")</f>
        <v/>
      </c>
    </row>
    <row r="144">
      <c r="A144">
        <f>IF('Ch2 EOT2 Results'!M28="","","Q6 Savings &amp; AER: "&amp;'Ch2 EOT2 Results'!H28&amp;"/9")</f>
        <v/>
      </c>
      <c r="K144">
        <f>IF('Ch2 EOT2 Results'!M29="","","Q6 Savings &amp; AER: "&amp;'Ch2 EOT2 Results'!H29&amp;"/9")</f>
        <v/>
      </c>
    </row>
    <row r="145">
      <c r="A145">
        <f>IF('Ch2 EOT2 Results'!M28="","","Q7 Depreciation: "&amp;'Ch2 EOT2 Results'!I28&amp;"/9")</f>
        <v/>
      </c>
      <c r="K145">
        <f>IF('Ch2 EOT2 Results'!M29="","","Q7 Depreciation: "&amp;'Ch2 EOT2 Results'!I29&amp;"/9")</f>
        <v/>
      </c>
    </row>
    <row r="146">
      <c r="A146">
        <f>IF('Ch2 EOT2 Results'!M28="","","Q8 Inflation &amp; real value: "&amp;'Ch2 EOT2 Results'!J28&amp;"/9")</f>
        <v/>
      </c>
      <c r="K146">
        <f>IF('Ch2 EOT2 Results'!M29="","","Q8 Inflation &amp; real value: "&amp;'Ch2 EOT2 Results'!J29&amp;"/9")</f>
        <v/>
      </c>
    </row>
    <row r="147">
      <c r="A147">
        <f>IF(OR('Ch2 EOT2 Results'!M28="",'Ch2 EOT2 Results'!N28=""),"",'Ch2 EOT2 Results'!N28)</f>
        <v/>
      </c>
      <c r="K147">
        <f>IF(OR('Ch2 EOT2 Results'!M29="",'Ch2 EOT2 Results'!N29=""),"",'Ch2 EOT2 Results'!N29)</f>
        <v/>
      </c>
    </row>
    <row r="149">
      <c r="A149">
        <f>IF('Ch2 EOT2 Results'!M30="","","Chapter 2 End of Topic Test 2 — Personal finance")</f>
        <v/>
      </c>
      <c r="K149">
        <f>IF('Ch2 EOT2 Results'!M31="","","Chapter 2 End of Topic Test 2 — Personal finance")</f>
        <v/>
      </c>
    </row>
    <row r="150">
      <c r="A150">
        <f>IF('Ch2 EOT2 Results'!M30="","","Name: "&amp;'Ch2 EOT2 Results'!B30&amp;"   Class: "&amp;'Ch2 EOT2 Results'!$B$3&amp;"   Date: "&amp;TEXT('Ch2 EOT2 Results'!$B$5,"DD/MM/YY"))</f>
        <v/>
      </c>
      <c r="K150">
        <f>IF('Ch2 EOT2 Results'!M31="","","Name: "&amp;'Ch2 EOT2 Results'!B31&amp;"   Class: "&amp;'Ch2 EOT2 Results'!$B$3&amp;"   Date: "&amp;TEXT('Ch2 EOT2 Results'!$B$5,"DD/MM/YY"))</f>
        <v/>
      </c>
    </row>
    <row r="151">
      <c r="A151">
        <f>IF('Ch2 EOT2 Results'!M30="","","Total: "&amp;'Ch2 EOT2 Results'!K30&amp;"/71 ("&amp;TEXT('Ch2 EOT2 Results'!L30,"0%")&amp;")   Overall: "&amp;'Ch2 EOT2 Results'!M30)</f>
        <v/>
      </c>
      <c r="K151">
        <f>IF('Ch2 EOT2 Results'!M31="","","Total: "&amp;'Ch2 EOT2 Results'!K31&amp;"/71 ("&amp;TEXT('Ch2 EOT2 Results'!L31,"0%")&amp;")   Overall: "&amp;'Ch2 EOT2 Results'!M31)</f>
        <v/>
      </c>
    </row>
    <row r="152">
      <c r="A152">
        <f>IF('Ch2 EOT2 Results'!M30="","",IF('Ch2 EOT2 Results'!M30="Green",Parameters!$C$146,IF('Ch2 EOT2 Results'!M30="Yellow",Parameters!$C$145,Parameters!$C$144)))</f>
        <v/>
      </c>
      <c r="K152">
        <f>IF('Ch2 EOT2 Results'!M31="","",IF('Ch2 EOT2 Results'!M31="Green",Parameters!$C$146,IF('Ch2 EOT2 Results'!M31="Yellow",Parameters!$C$145,Parameters!$C$144)))</f>
        <v/>
      </c>
    </row>
    <row r="154">
      <c r="A154">
        <f>IF('Ch2 EOT2 Results'!M30="","","Breakdown:")</f>
        <v/>
      </c>
      <c r="K154">
        <f>IF('Ch2 EOT2 Results'!M31="","","Breakdown:")</f>
        <v/>
      </c>
    </row>
    <row r="155">
      <c r="A155">
        <f>IF('Ch2 EOT2 Results'!M30="","","Q1 Budgeting &amp; current accounts: "&amp;'Ch2 EOT2 Results'!C30&amp;"/9")</f>
        <v/>
      </c>
      <c r="K155">
        <f>IF('Ch2 EOT2 Results'!M31="","","Q1 Budgeting &amp; current accounts: "&amp;'Ch2 EOT2 Results'!C31&amp;"/9")</f>
        <v/>
      </c>
    </row>
    <row r="156">
      <c r="A156">
        <f>IF('Ch2 EOT2 Results'!M30="","","Q2 Income tax bands: "&amp;'Ch2 EOT2 Results'!D30&amp;"/9")</f>
        <v/>
      </c>
      <c r="K156">
        <f>IF('Ch2 EOT2 Results'!M31="","","Q2 Income tax bands: "&amp;'Ch2 EOT2 Results'!D31&amp;"/9")</f>
        <v/>
      </c>
    </row>
    <row r="157">
      <c r="A157">
        <f>IF('Ch2 EOT2 Results'!M30="","","Q3 Payslips &amp; deductions: "&amp;'Ch2 EOT2 Results'!E30&amp;"/9")</f>
        <v/>
      </c>
      <c r="K157">
        <f>IF('Ch2 EOT2 Results'!M31="","","Q3 Payslips &amp; deductions: "&amp;'Ch2 EOT2 Results'!E31&amp;"/9")</f>
        <v/>
      </c>
    </row>
    <row r="158">
      <c r="A158">
        <f>IF('Ch2 EOT2 Results'!M30="","","Q4 Exchange rates: "&amp;'Ch2 EOT2 Results'!F30&amp;"/8")</f>
        <v/>
      </c>
      <c r="K158">
        <f>IF('Ch2 EOT2 Results'!M31="","","Q4 Exchange rates: "&amp;'Ch2 EOT2 Results'!F31&amp;"/8")</f>
        <v/>
      </c>
    </row>
    <row r="159">
      <c r="A159">
        <f>IF('Ch2 EOT2 Results'!M30="","","Q5 Loans &amp; APR: "&amp;'Ch2 EOT2 Results'!G30&amp;"/9")</f>
        <v/>
      </c>
      <c r="K159">
        <f>IF('Ch2 EOT2 Results'!M31="","","Q5 Loans &amp; APR: "&amp;'Ch2 EOT2 Results'!G31&amp;"/9")</f>
        <v/>
      </c>
    </row>
    <row r="160">
      <c r="A160">
        <f>IF('Ch2 EOT2 Results'!M30="","","Q6 Savings &amp; AER: "&amp;'Ch2 EOT2 Results'!H30&amp;"/9")</f>
        <v/>
      </c>
      <c r="K160">
        <f>IF('Ch2 EOT2 Results'!M31="","","Q6 Savings &amp; AER: "&amp;'Ch2 EOT2 Results'!H31&amp;"/9")</f>
        <v/>
      </c>
    </row>
    <row r="161">
      <c r="A161">
        <f>IF('Ch2 EOT2 Results'!M30="","","Q7 Depreciation: "&amp;'Ch2 EOT2 Results'!I30&amp;"/9")</f>
        <v/>
      </c>
      <c r="K161">
        <f>IF('Ch2 EOT2 Results'!M31="","","Q7 Depreciation: "&amp;'Ch2 EOT2 Results'!I31&amp;"/9")</f>
        <v/>
      </c>
    </row>
    <row r="162">
      <c r="A162">
        <f>IF('Ch2 EOT2 Results'!M30="","","Q8 Inflation &amp; real value: "&amp;'Ch2 EOT2 Results'!J30&amp;"/9")</f>
        <v/>
      </c>
      <c r="K162">
        <f>IF('Ch2 EOT2 Results'!M31="","","Q8 Inflation &amp; real value: "&amp;'Ch2 EOT2 Results'!J31&amp;"/9")</f>
        <v/>
      </c>
    </row>
    <row r="163">
      <c r="A163">
        <f>IF(OR('Ch2 EOT2 Results'!M30="",'Ch2 EOT2 Results'!N30=""),"",'Ch2 EOT2 Results'!N30)</f>
        <v/>
      </c>
      <c r="K163">
        <f>IF(OR('Ch2 EOT2 Results'!M31="",'Ch2 EOT2 Results'!N31=""),"",'Ch2 EOT2 Results'!N31)</f>
        <v/>
      </c>
    </row>
    <row r="165">
      <c r="A165">
        <f>IF('Ch2 EOT2 Results'!M32="","","Chapter 2 End of Topic Test 2 — Personal finance")</f>
        <v/>
      </c>
      <c r="K165">
        <f>IF('Ch2 EOT2 Results'!M33="","","Chapter 2 End of Topic Test 2 — Personal finance")</f>
        <v/>
      </c>
    </row>
    <row r="166">
      <c r="A166">
        <f>IF('Ch2 EOT2 Results'!M32="","","Name: "&amp;'Ch2 EOT2 Results'!B32&amp;"   Class: "&amp;'Ch2 EOT2 Results'!$B$3&amp;"   Date: "&amp;TEXT('Ch2 EOT2 Results'!$B$5,"DD/MM/YY"))</f>
        <v/>
      </c>
      <c r="K166">
        <f>IF('Ch2 EOT2 Results'!M33="","","Name: "&amp;'Ch2 EOT2 Results'!B33&amp;"   Class: "&amp;'Ch2 EOT2 Results'!$B$3&amp;"   Date: "&amp;TEXT('Ch2 EOT2 Results'!$B$5,"DD/MM/YY"))</f>
        <v/>
      </c>
    </row>
    <row r="167">
      <c r="A167">
        <f>IF('Ch2 EOT2 Results'!M32="","","Total: "&amp;'Ch2 EOT2 Results'!K32&amp;"/71 ("&amp;TEXT('Ch2 EOT2 Results'!L32,"0%")&amp;")   Overall: "&amp;'Ch2 EOT2 Results'!M32)</f>
        <v/>
      </c>
      <c r="K167">
        <f>IF('Ch2 EOT2 Results'!M33="","","Total: "&amp;'Ch2 EOT2 Results'!K33&amp;"/71 ("&amp;TEXT('Ch2 EOT2 Results'!L33,"0%")&amp;")   Overall: "&amp;'Ch2 EOT2 Results'!M33)</f>
        <v/>
      </c>
    </row>
    <row r="168">
      <c r="A168">
        <f>IF('Ch2 EOT2 Results'!M32="","",IF('Ch2 EOT2 Results'!M32="Green",Parameters!$C$146,IF('Ch2 EOT2 Results'!M32="Yellow",Parameters!$C$145,Parameters!$C$144)))</f>
        <v/>
      </c>
      <c r="K168">
        <f>IF('Ch2 EOT2 Results'!M33="","",IF('Ch2 EOT2 Results'!M33="Green",Parameters!$C$146,IF('Ch2 EOT2 Results'!M33="Yellow",Parameters!$C$145,Parameters!$C$144)))</f>
        <v/>
      </c>
    </row>
    <row r="170">
      <c r="A170">
        <f>IF('Ch2 EOT2 Results'!M32="","","Breakdown:")</f>
        <v/>
      </c>
      <c r="K170">
        <f>IF('Ch2 EOT2 Results'!M33="","","Breakdown:")</f>
        <v/>
      </c>
    </row>
    <row r="171">
      <c r="A171">
        <f>IF('Ch2 EOT2 Results'!M32="","","Q1 Budgeting &amp; current accounts: "&amp;'Ch2 EOT2 Results'!C32&amp;"/9")</f>
        <v/>
      </c>
      <c r="K171">
        <f>IF('Ch2 EOT2 Results'!M33="","","Q1 Budgeting &amp; current accounts: "&amp;'Ch2 EOT2 Results'!C33&amp;"/9")</f>
        <v/>
      </c>
    </row>
    <row r="172">
      <c r="A172">
        <f>IF('Ch2 EOT2 Results'!M32="","","Q2 Income tax bands: "&amp;'Ch2 EOT2 Results'!D32&amp;"/9")</f>
        <v/>
      </c>
      <c r="K172">
        <f>IF('Ch2 EOT2 Results'!M33="","","Q2 Income tax bands: "&amp;'Ch2 EOT2 Results'!D33&amp;"/9")</f>
        <v/>
      </c>
    </row>
    <row r="173">
      <c r="A173">
        <f>IF('Ch2 EOT2 Results'!M32="","","Q3 Payslips &amp; deductions: "&amp;'Ch2 EOT2 Results'!E32&amp;"/9")</f>
        <v/>
      </c>
      <c r="K173">
        <f>IF('Ch2 EOT2 Results'!M33="","","Q3 Payslips &amp; deductions: "&amp;'Ch2 EOT2 Results'!E33&amp;"/9")</f>
        <v/>
      </c>
    </row>
    <row r="174">
      <c r="A174">
        <f>IF('Ch2 EOT2 Results'!M32="","","Q4 Exchange rates: "&amp;'Ch2 EOT2 Results'!F32&amp;"/8")</f>
        <v/>
      </c>
      <c r="K174">
        <f>IF('Ch2 EOT2 Results'!M33="","","Q4 Exchange rates: "&amp;'Ch2 EOT2 Results'!F33&amp;"/8")</f>
        <v/>
      </c>
    </row>
    <row r="175">
      <c r="A175">
        <f>IF('Ch2 EOT2 Results'!M32="","","Q5 Loans &amp; APR: "&amp;'Ch2 EOT2 Results'!G32&amp;"/9")</f>
        <v/>
      </c>
      <c r="K175">
        <f>IF('Ch2 EOT2 Results'!M33="","","Q5 Loans &amp; APR: "&amp;'Ch2 EOT2 Results'!G33&amp;"/9")</f>
        <v/>
      </c>
    </row>
    <row r="176">
      <c r="A176">
        <f>IF('Ch2 EOT2 Results'!M32="","","Q6 Savings &amp; AER: "&amp;'Ch2 EOT2 Results'!H32&amp;"/9")</f>
        <v/>
      </c>
      <c r="K176">
        <f>IF('Ch2 EOT2 Results'!M33="","","Q6 Savings &amp; AER: "&amp;'Ch2 EOT2 Results'!H33&amp;"/9")</f>
        <v/>
      </c>
    </row>
    <row r="177">
      <c r="A177">
        <f>IF('Ch2 EOT2 Results'!M32="","","Q7 Depreciation: "&amp;'Ch2 EOT2 Results'!I32&amp;"/9")</f>
        <v/>
      </c>
      <c r="K177">
        <f>IF('Ch2 EOT2 Results'!M33="","","Q7 Depreciation: "&amp;'Ch2 EOT2 Results'!I33&amp;"/9")</f>
        <v/>
      </c>
    </row>
    <row r="178">
      <c r="A178">
        <f>IF('Ch2 EOT2 Results'!M32="","","Q8 Inflation &amp; real value: "&amp;'Ch2 EOT2 Results'!J32&amp;"/9")</f>
        <v/>
      </c>
      <c r="K178">
        <f>IF('Ch2 EOT2 Results'!M33="","","Q8 Inflation &amp; real value: "&amp;'Ch2 EOT2 Results'!J33&amp;"/9")</f>
        <v/>
      </c>
    </row>
    <row r="179">
      <c r="A179">
        <f>IF(OR('Ch2 EOT2 Results'!M32="",'Ch2 EOT2 Results'!N32=""),"",'Ch2 EOT2 Results'!N32)</f>
        <v/>
      </c>
      <c r="K179">
        <f>IF(OR('Ch2 EOT2 Results'!M33="",'Ch2 EOT2 Results'!N33=""),"",'Ch2 EOT2 Results'!N33)</f>
        <v/>
      </c>
    </row>
    <row r="181">
      <c r="A181">
        <f>IF('Ch2 EOT2 Results'!M34="","","Chapter 2 End of Topic Test 2 — Personal finance")</f>
        <v/>
      </c>
      <c r="K181">
        <f>IF('Ch2 EOT2 Results'!M35="","","Chapter 2 End of Topic Test 2 — Personal finance")</f>
        <v/>
      </c>
    </row>
    <row r="182">
      <c r="A182">
        <f>IF('Ch2 EOT2 Results'!M34="","","Name: "&amp;'Ch2 EOT2 Results'!B34&amp;"   Class: "&amp;'Ch2 EOT2 Results'!$B$3&amp;"   Date: "&amp;TEXT('Ch2 EOT2 Results'!$B$5,"DD/MM/YY"))</f>
        <v/>
      </c>
      <c r="K182">
        <f>IF('Ch2 EOT2 Results'!M35="","","Name: "&amp;'Ch2 EOT2 Results'!B35&amp;"   Class: "&amp;'Ch2 EOT2 Results'!$B$3&amp;"   Date: "&amp;TEXT('Ch2 EOT2 Results'!$B$5,"DD/MM/YY"))</f>
        <v/>
      </c>
    </row>
    <row r="183">
      <c r="A183">
        <f>IF('Ch2 EOT2 Results'!M34="","","Total: "&amp;'Ch2 EOT2 Results'!K34&amp;"/71 ("&amp;TEXT('Ch2 EOT2 Results'!L34,"0%")&amp;")   Overall: "&amp;'Ch2 EOT2 Results'!M34)</f>
        <v/>
      </c>
      <c r="K183">
        <f>IF('Ch2 EOT2 Results'!M35="","","Total: "&amp;'Ch2 EOT2 Results'!K35&amp;"/71 ("&amp;TEXT('Ch2 EOT2 Results'!L35,"0%")&amp;")   Overall: "&amp;'Ch2 EOT2 Results'!M35)</f>
        <v/>
      </c>
    </row>
    <row r="184">
      <c r="A184">
        <f>IF('Ch2 EOT2 Results'!M34="","",IF('Ch2 EOT2 Results'!M34="Green",Parameters!$C$146,IF('Ch2 EOT2 Results'!M34="Yellow",Parameters!$C$145,Parameters!$C$144)))</f>
        <v/>
      </c>
      <c r="K184">
        <f>IF('Ch2 EOT2 Results'!M35="","",IF('Ch2 EOT2 Results'!M35="Green",Parameters!$C$146,IF('Ch2 EOT2 Results'!M35="Yellow",Parameters!$C$145,Parameters!$C$144)))</f>
        <v/>
      </c>
    </row>
    <row r="186">
      <c r="A186">
        <f>IF('Ch2 EOT2 Results'!M34="","","Breakdown:")</f>
        <v/>
      </c>
      <c r="K186">
        <f>IF('Ch2 EOT2 Results'!M35="","","Breakdown:")</f>
        <v/>
      </c>
    </row>
    <row r="187">
      <c r="A187">
        <f>IF('Ch2 EOT2 Results'!M34="","","Q1 Budgeting &amp; current accounts: "&amp;'Ch2 EOT2 Results'!C34&amp;"/9")</f>
        <v/>
      </c>
      <c r="K187">
        <f>IF('Ch2 EOT2 Results'!M35="","","Q1 Budgeting &amp; current accounts: "&amp;'Ch2 EOT2 Results'!C35&amp;"/9")</f>
        <v/>
      </c>
    </row>
    <row r="188">
      <c r="A188">
        <f>IF('Ch2 EOT2 Results'!M34="","","Q2 Income tax bands: "&amp;'Ch2 EOT2 Results'!D34&amp;"/9")</f>
        <v/>
      </c>
      <c r="K188">
        <f>IF('Ch2 EOT2 Results'!M35="","","Q2 Income tax bands: "&amp;'Ch2 EOT2 Results'!D35&amp;"/9")</f>
        <v/>
      </c>
    </row>
    <row r="189">
      <c r="A189">
        <f>IF('Ch2 EOT2 Results'!M34="","","Q3 Payslips &amp; deductions: "&amp;'Ch2 EOT2 Results'!E34&amp;"/9")</f>
        <v/>
      </c>
      <c r="K189">
        <f>IF('Ch2 EOT2 Results'!M35="","","Q3 Payslips &amp; deductions: "&amp;'Ch2 EOT2 Results'!E35&amp;"/9")</f>
        <v/>
      </c>
    </row>
    <row r="190">
      <c r="A190">
        <f>IF('Ch2 EOT2 Results'!M34="","","Q4 Exchange rates: "&amp;'Ch2 EOT2 Results'!F34&amp;"/8")</f>
        <v/>
      </c>
      <c r="K190">
        <f>IF('Ch2 EOT2 Results'!M35="","","Q4 Exchange rates: "&amp;'Ch2 EOT2 Results'!F35&amp;"/8")</f>
        <v/>
      </c>
    </row>
    <row r="191">
      <c r="A191">
        <f>IF('Ch2 EOT2 Results'!M34="","","Q5 Loans &amp; APR: "&amp;'Ch2 EOT2 Results'!G34&amp;"/9")</f>
        <v/>
      </c>
      <c r="K191">
        <f>IF('Ch2 EOT2 Results'!M35="","","Q5 Loans &amp; APR: "&amp;'Ch2 EOT2 Results'!G35&amp;"/9")</f>
        <v/>
      </c>
    </row>
    <row r="192">
      <c r="A192">
        <f>IF('Ch2 EOT2 Results'!M34="","","Q6 Savings &amp; AER: "&amp;'Ch2 EOT2 Results'!H34&amp;"/9")</f>
        <v/>
      </c>
      <c r="K192">
        <f>IF('Ch2 EOT2 Results'!M35="","","Q6 Savings &amp; AER: "&amp;'Ch2 EOT2 Results'!H35&amp;"/9")</f>
        <v/>
      </c>
    </row>
    <row r="193">
      <c r="A193">
        <f>IF('Ch2 EOT2 Results'!M34="","","Q7 Depreciation: "&amp;'Ch2 EOT2 Results'!I34&amp;"/9")</f>
        <v/>
      </c>
      <c r="K193">
        <f>IF('Ch2 EOT2 Results'!M35="","","Q7 Depreciation: "&amp;'Ch2 EOT2 Results'!I35&amp;"/9")</f>
        <v/>
      </c>
    </row>
    <row r="194">
      <c r="A194">
        <f>IF('Ch2 EOT2 Results'!M34="","","Q8 Inflation &amp; real value: "&amp;'Ch2 EOT2 Results'!J34&amp;"/9")</f>
        <v/>
      </c>
      <c r="K194">
        <f>IF('Ch2 EOT2 Results'!M35="","","Q8 Inflation &amp; real value: "&amp;'Ch2 EOT2 Results'!J35&amp;"/9")</f>
        <v/>
      </c>
    </row>
    <row r="195">
      <c r="A195">
        <f>IF(OR('Ch2 EOT2 Results'!M34="",'Ch2 EOT2 Results'!N34=""),"",'Ch2 EOT2 Results'!N34)</f>
        <v/>
      </c>
      <c r="K195">
        <f>IF(OR('Ch2 EOT2 Results'!M35="",'Ch2 EOT2 Results'!N35=""),"",'Ch2 EOT2 Results'!N35)</f>
        <v/>
      </c>
    </row>
    <row r="197">
      <c r="A197">
        <f>IF('Ch2 EOT2 Results'!M36="","","Chapter 2 End of Topic Test 2 — Personal finance")</f>
        <v/>
      </c>
      <c r="K197">
        <f>IF('Ch2 EOT2 Results'!M37="","","Chapter 2 End of Topic Test 2 — Personal finance")</f>
        <v/>
      </c>
    </row>
    <row r="198">
      <c r="A198">
        <f>IF('Ch2 EOT2 Results'!M36="","","Name: "&amp;'Ch2 EOT2 Results'!B36&amp;"   Class: "&amp;'Ch2 EOT2 Results'!$B$3&amp;"   Date: "&amp;TEXT('Ch2 EOT2 Results'!$B$5,"DD/MM/YY"))</f>
        <v/>
      </c>
      <c r="K198">
        <f>IF('Ch2 EOT2 Results'!M37="","","Name: "&amp;'Ch2 EOT2 Results'!B37&amp;"   Class: "&amp;'Ch2 EOT2 Results'!$B$3&amp;"   Date: "&amp;TEXT('Ch2 EOT2 Results'!$B$5,"DD/MM/YY"))</f>
        <v/>
      </c>
    </row>
    <row r="199">
      <c r="A199">
        <f>IF('Ch2 EOT2 Results'!M36="","","Total: "&amp;'Ch2 EOT2 Results'!K36&amp;"/71 ("&amp;TEXT('Ch2 EOT2 Results'!L36,"0%")&amp;")   Overall: "&amp;'Ch2 EOT2 Results'!M36)</f>
        <v/>
      </c>
      <c r="K199">
        <f>IF('Ch2 EOT2 Results'!M37="","","Total: "&amp;'Ch2 EOT2 Results'!K37&amp;"/71 ("&amp;TEXT('Ch2 EOT2 Results'!L37,"0%")&amp;")   Overall: "&amp;'Ch2 EOT2 Results'!M37)</f>
        <v/>
      </c>
    </row>
    <row r="200">
      <c r="A200">
        <f>IF('Ch2 EOT2 Results'!M36="","",IF('Ch2 EOT2 Results'!M36="Green",Parameters!$C$146,IF('Ch2 EOT2 Results'!M36="Yellow",Parameters!$C$145,Parameters!$C$144)))</f>
        <v/>
      </c>
      <c r="K200">
        <f>IF('Ch2 EOT2 Results'!M37="","",IF('Ch2 EOT2 Results'!M37="Green",Parameters!$C$146,IF('Ch2 EOT2 Results'!M37="Yellow",Parameters!$C$145,Parameters!$C$144)))</f>
        <v/>
      </c>
    </row>
    <row r="202">
      <c r="A202">
        <f>IF('Ch2 EOT2 Results'!M36="","","Breakdown:")</f>
        <v/>
      </c>
      <c r="K202">
        <f>IF('Ch2 EOT2 Results'!M37="","","Breakdown:")</f>
        <v/>
      </c>
    </row>
    <row r="203">
      <c r="A203">
        <f>IF('Ch2 EOT2 Results'!M36="","","Q1 Budgeting &amp; current accounts: "&amp;'Ch2 EOT2 Results'!C36&amp;"/9")</f>
        <v/>
      </c>
      <c r="K203">
        <f>IF('Ch2 EOT2 Results'!M37="","","Q1 Budgeting &amp; current accounts: "&amp;'Ch2 EOT2 Results'!C37&amp;"/9")</f>
        <v/>
      </c>
    </row>
    <row r="204">
      <c r="A204">
        <f>IF('Ch2 EOT2 Results'!M36="","","Q2 Income tax bands: "&amp;'Ch2 EOT2 Results'!D36&amp;"/9")</f>
        <v/>
      </c>
      <c r="K204">
        <f>IF('Ch2 EOT2 Results'!M37="","","Q2 Income tax bands: "&amp;'Ch2 EOT2 Results'!D37&amp;"/9")</f>
        <v/>
      </c>
    </row>
    <row r="205">
      <c r="A205">
        <f>IF('Ch2 EOT2 Results'!M36="","","Q3 Payslips &amp; deductions: "&amp;'Ch2 EOT2 Results'!E36&amp;"/9")</f>
        <v/>
      </c>
      <c r="K205">
        <f>IF('Ch2 EOT2 Results'!M37="","","Q3 Payslips &amp; deductions: "&amp;'Ch2 EOT2 Results'!E37&amp;"/9")</f>
        <v/>
      </c>
    </row>
    <row r="206">
      <c r="A206">
        <f>IF('Ch2 EOT2 Results'!M36="","","Q4 Exchange rates: "&amp;'Ch2 EOT2 Results'!F36&amp;"/8")</f>
        <v/>
      </c>
      <c r="K206">
        <f>IF('Ch2 EOT2 Results'!M37="","","Q4 Exchange rates: "&amp;'Ch2 EOT2 Results'!F37&amp;"/8")</f>
        <v/>
      </c>
    </row>
    <row r="207">
      <c r="A207">
        <f>IF('Ch2 EOT2 Results'!M36="","","Q5 Loans &amp; APR: "&amp;'Ch2 EOT2 Results'!G36&amp;"/9")</f>
        <v/>
      </c>
      <c r="K207">
        <f>IF('Ch2 EOT2 Results'!M37="","","Q5 Loans &amp; APR: "&amp;'Ch2 EOT2 Results'!G37&amp;"/9")</f>
        <v/>
      </c>
    </row>
    <row r="208">
      <c r="A208">
        <f>IF('Ch2 EOT2 Results'!M36="","","Q6 Savings &amp; AER: "&amp;'Ch2 EOT2 Results'!H36&amp;"/9")</f>
        <v/>
      </c>
      <c r="K208">
        <f>IF('Ch2 EOT2 Results'!M37="","","Q6 Savings &amp; AER: "&amp;'Ch2 EOT2 Results'!H37&amp;"/9")</f>
        <v/>
      </c>
    </row>
    <row r="209">
      <c r="A209">
        <f>IF('Ch2 EOT2 Results'!M36="","","Q7 Depreciation: "&amp;'Ch2 EOT2 Results'!I36&amp;"/9")</f>
        <v/>
      </c>
      <c r="K209">
        <f>IF('Ch2 EOT2 Results'!M37="","","Q7 Depreciation: "&amp;'Ch2 EOT2 Results'!I37&amp;"/9")</f>
        <v/>
      </c>
    </row>
    <row r="210">
      <c r="A210">
        <f>IF('Ch2 EOT2 Results'!M36="","","Q8 Inflation &amp; real value: "&amp;'Ch2 EOT2 Results'!J36&amp;"/9")</f>
        <v/>
      </c>
      <c r="K210">
        <f>IF('Ch2 EOT2 Results'!M37="","","Q8 Inflation &amp; real value: "&amp;'Ch2 EOT2 Results'!J37&amp;"/9")</f>
        <v/>
      </c>
    </row>
    <row r="211">
      <c r="A211">
        <f>IF(OR('Ch2 EOT2 Results'!M36="",'Ch2 EOT2 Results'!N36=""),"",'Ch2 EOT2 Results'!N36)</f>
        <v/>
      </c>
      <c r="K211">
        <f>IF(OR('Ch2 EOT2 Results'!M37="",'Ch2 EOT2 Results'!N37=""),"",'Ch2 EOT2 Results'!N37)</f>
        <v/>
      </c>
    </row>
    <row r="213">
      <c r="A213">
        <f>IF('Ch2 EOT2 Results'!M38="","","Chapter 2 End of Topic Test 2 — Personal finance")</f>
        <v/>
      </c>
      <c r="K213">
        <f>IF('Ch2 EOT2 Results'!M39="","","Chapter 2 End of Topic Test 2 — Personal finance")</f>
        <v/>
      </c>
    </row>
    <row r="214">
      <c r="A214">
        <f>IF('Ch2 EOT2 Results'!M38="","","Name: "&amp;'Ch2 EOT2 Results'!B38&amp;"   Class: "&amp;'Ch2 EOT2 Results'!$B$3&amp;"   Date: "&amp;TEXT('Ch2 EOT2 Results'!$B$5,"DD/MM/YY"))</f>
        <v/>
      </c>
      <c r="K214">
        <f>IF('Ch2 EOT2 Results'!M39="","","Name: "&amp;'Ch2 EOT2 Results'!B39&amp;"   Class: "&amp;'Ch2 EOT2 Results'!$B$3&amp;"   Date: "&amp;TEXT('Ch2 EOT2 Results'!$B$5,"DD/MM/YY"))</f>
        <v/>
      </c>
    </row>
    <row r="215">
      <c r="A215">
        <f>IF('Ch2 EOT2 Results'!M38="","","Total: "&amp;'Ch2 EOT2 Results'!K38&amp;"/71 ("&amp;TEXT('Ch2 EOT2 Results'!L38,"0%")&amp;")   Overall: "&amp;'Ch2 EOT2 Results'!M38)</f>
        <v/>
      </c>
      <c r="K215">
        <f>IF('Ch2 EOT2 Results'!M39="","","Total: "&amp;'Ch2 EOT2 Results'!K39&amp;"/71 ("&amp;TEXT('Ch2 EOT2 Results'!L39,"0%")&amp;")   Overall: "&amp;'Ch2 EOT2 Results'!M39)</f>
        <v/>
      </c>
    </row>
    <row r="216">
      <c r="A216">
        <f>IF('Ch2 EOT2 Results'!M38="","",IF('Ch2 EOT2 Results'!M38="Green",Parameters!$C$146,IF('Ch2 EOT2 Results'!M38="Yellow",Parameters!$C$145,Parameters!$C$144)))</f>
        <v/>
      </c>
      <c r="K216">
        <f>IF('Ch2 EOT2 Results'!M39="","",IF('Ch2 EOT2 Results'!M39="Green",Parameters!$C$146,IF('Ch2 EOT2 Results'!M39="Yellow",Parameters!$C$145,Parameters!$C$144)))</f>
        <v/>
      </c>
    </row>
    <row r="218">
      <c r="A218">
        <f>IF('Ch2 EOT2 Results'!M38="","","Breakdown:")</f>
        <v/>
      </c>
      <c r="K218">
        <f>IF('Ch2 EOT2 Results'!M39="","","Breakdown:")</f>
        <v/>
      </c>
    </row>
    <row r="219">
      <c r="A219">
        <f>IF('Ch2 EOT2 Results'!M38="","","Q1 Budgeting &amp; current accounts: "&amp;'Ch2 EOT2 Results'!C38&amp;"/9")</f>
        <v/>
      </c>
      <c r="K219">
        <f>IF('Ch2 EOT2 Results'!M39="","","Q1 Budgeting &amp; current accounts: "&amp;'Ch2 EOT2 Results'!C39&amp;"/9")</f>
        <v/>
      </c>
    </row>
    <row r="220">
      <c r="A220">
        <f>IF('Ch2 EOT2 Results'!M38="","","Q2 Income tax bands: "&amp;'Ch2 EOT2 Results'!D38&amp;"/9")</f>
        <v/>
      </c>
      <c r="K220">
        <f>IF('Ch2 EOT2 Results'!M39="","","Q2 Income tax bands: "&amp;'Ch2 EOT2 Results'!D39&amp;"/9")</f>
        <v/>
      </c>
    </row>
    <row r="221">
      <c r="A221">
        <f>IF('Ch2 EOT2 Results'!M38="","","Q3 Payslips &amp; deductions: "&amp;'Ch2 EOT2 Results'!E38&amp;"/9")</f>
        <v/>
      </c>
      <c r="K221">
        <f>IF('Ch2 EOT2 Results'!M39="","","Q3 Payslips &amp; deductions: "&amp;'Ch2 EOT2 Results'!E39&amp;"/9")</f>
        <v/>
      </c>
    </row>
    <row r="222">
      <c r="A222">
        <f>IF('Ch2 EOT2 Results'!M38="","","Q4 Exchange rates: "&amp;'Ch2 EOT2 Results'!F38&amp;"/8")</f>
        <v/>
      </c>
      <c r="K222">
        <f>IF('Ch2 EOT2 Results'!M39="","","Q4 Exchange rates: "&amp;'Ch2 EOT2 Results'!F39&amp;"/8")</f>
        <v/>
      </c>
    </row>
    <row r="223">
      <c r="A223">
        <f>IF('Ch2 EOT2 Results'!M38="","","Q5 Loans &amp; APR: "&amp;'Ch2 EOT2 Results'!G38&amp;"/9")</f>
        <v/>
      </c>
      <c r="K223">
        <f>IF('Ch2 EOT2 Results'!M39="","","Q5 Loans &amp; APR: "&amp;'Ch2 EOT2 Results'!G39&amp;"/9")</f>
        <v/>
      </c>
    </row>
    <row r="224">
      <c r="A224">
        <f>IF('Ch2 EOT2 Results'!M38="","","Q6 Savings &amp; AER: "&amp;'Ch2 EOT2 Results'!H38&amp;"/9")</f>
        <v/>
      </c>
      <c r="K224">
        <f>IF('Ch2 EOT2 Results'!M39="","","Q6 Savings &amp; AER: "&amp;'Ch2 EOT2 Results'!H39&amp;"/9")</f>
        <v/>
      </c>
    </row>
    <row r="225">
      <c r="A225">
        <f>IF('Ch2 EOT2 Results'!M38="","","Q7 Depreciation: "&amp;'Ch2 EOT2 Results'!I38&amp;"/9")</f>
        <v/>
      </c>
      <c r="K225">
        <f>IF('Ch2 EOT2 Results'!M39="","","Q7 Depreciation: "&amp;'Ch2 EOT2 Results'!I39&amp;"/9")</f>
        <v/>
      </c>
    </row>
    <row r="226">
      <c r="A226">
        <f>IF('Ch2 EOT2 Results'!M38="","","Q8 Inflation &amp; real value: "&amp;'Ch2 EOT2 Results'!J38&amp;"/9")</f>
        <v/>
      </c>
      <c r="K226">
        <f>IF('Ch2 EOT2 Results'!M39="","","Q8 Inflation &amp; real value: "&amp;'Ch2 EOT2 Results'!J39&amp;"/9")</f>
        <v/>
      </c>
    </row>
    <row r="227">
      <c r="A227">
        <f>IF(OR('Ch2 EOT2 Results'!M38="",'Ch2 EOT2 Results'!N38=""),"",'Ch2 EOT2 Results'!N38)</f>
        <v/>
      </c>
      <c r="K227">
        <f>IF(OR('Ch2 EOT2 Results'!M39="",'Ch2 EOT2 Results'!N39=""),"",'Ch2 EOT2 Results'!N39)</f>
        <v/>
      </c>
    </row>
    <row r="229">
      <c r="A229">
        <f>IF('Ch2 EOT2 Results'!M40="","","Chapter 2 End of Topic Test 2 — Personal finance")</f>
        <v/>
      </c>
      <c r="K229">
        <f>IF('Ch2 EOT2 Results'!M41="","","Chapter 2 End of Topic Test 2 — Personal finance")</f>
        <v/>
      </c>
    </row>
    <row r="230">
      <c r="A230">
        <f>IF('Ch2 EOT2 Results'!M40="","","Name: "&amp;'Ch2 EOT2 Results'!B40&amp;"   Class: "&amp;'Ch2 EOT2 Results'!$B$3&amp;"   Date: "&amp;TEXT('Ch2 EOT2 Results'!$B$5,"DD/MM/YY"))</f>
        <v/>
      </c>
      <c r="K230">
        <f>IF('Ch2 EOT2 Results'!M41="","","Name: "&amp;'Ch2 EOT2 Results'!B41&amp;"   Class: "&amp;'Ch2 EOT2 Results'!$B$3&amp;"   Date: "&amp;TEXT('Ch2 EOT2 Results'!$B$5,"DD/MM/YY"))</f>
        <v/>
      </c>
    </row>
    <row r="231">
      <c r="A231">
        <f>IF('Ch2 EOT2 Results'!M40="","","Total: "&amp;'Ch2 EOT2 Results'!K40&amp;"/71 ("&amp;TEXT('Ch2 EOT2 Results'!L40,"0%")&amp;")   Overall: "&amp;'Ch2 EOT2 Results'!M40)</f>
        <v/>
      </c>
      <c r="K231">
        <f>IF('Ch2 EOT2 Results'!M41="","","Total: "&amp;'Ch2 EOT2 Results'!K41&amp;"/71 ("&amp;TEXT('Ch2 EOT2 Results'!L41,"0%")&amp;")   Overall: "&amp;'Ch2 EOT2 Results'!M41)</f>
        <v/>
      </c>
    </row>
    <row r="232">
      <c r="A232">
        <f>IF('Ch2 EOT2 Results'!M40="","",IF('Ch2 EOT2 Results'!M40="Green",Parameters!$C$146,IF('Ch2 EOT2 Results'!M40="Yellow",Parameters!$C$145,Parameters!$C$144)))</f>
        <v/>
      </c>
      <c r="K232">
        <f>IF('Ch2 EOT2 Results'!M41="","",IF('Ch2 EOT2 Results'!M41="Green",Parameters!$C$146,IF('Ch2 EOT2 Results'!M41="Yellow",Parameters!$C$145,Parameters!$C$144)))</f>
        <v/>
      </c>
    </row>
    <row r="234">
      <c r="A234">
        <f>IF('Ch2 EOT2 Results'!M40="","","Breakdown:")</f>
        <v/>
      </c>
      <c r="K234">
        <f>IF('Ch2 EOT2 Results'!M41="","","Breakdown:")</f>
        <v/>
      </c>
    </row>
    <row r="235">
      <c r="A235">
        <f>IF('Ch2 EOT2 Results'!M40="","","Q1 Budgeting &amp; current accounts: "&amp;'Ch2 EOT2 Results'!C40&amp;"/9")</f>
        <v/>
      </c>
      <c r="K235">
        <f>IF('Ch2 EOT2 Results'!M41="","","Q1 Budgeting &amp; current accounts: "&amp;'Ch2 EOT2 Results'!C41&amp;"/9")</f>
        <v/>
      </c>
    </row>
    <row r="236">
      <c r="A236">
        <f>IF('Ch2 EOT2 Results'!M40="","","Q2 Income tax bands: "&amp;'Ch2 EOT2 Results'!D40&amp;"/9")</f>
        <v/>
      </c>
      <c r="K236">
        <f>IF('Ch2 EOT2 Results'!M41="","","Q2 Income tax bands: "&amp;'Ch2 EOT2 Results'!D41&amp;"/9")</f>
        <v/>
      </c>
    </row>
    <row r="237">
      <c r="A237">
        <f>IF('Ch2 EOT2 Results'!M40="","","Q3 Payslips &amp; deductions: "&amp;'Ch2 EOT2 Results'!E40&amp;"/9")</f>
        <v/>
      </c>
      <c r="K237">
        <f>IF('Ch2 EOT2 Results'!M41="","","Q3 Payslips &amp; deductions: "&amp;'Ch2 EOT2 Results'!E41&amp;"/9")</f>
        <v/>
      </c>
    </row>
    <row r="238">
      <c r="A238">
        <f>IF('Ch2 EOT2 Results'!M40="","","Q4 Exchange rates: "&amp;'Ch2 EOT2 Results'!F40&amp;"/8")</f>
        <v/>
      </c>
      <c r="K238">
        <f>IF('Ch2 EOT2 Results'!M41="","","Q4 Exchange rates: "&amp;'Ch2 EOT2 Results'!F41&amp;"/8")</f>
        <v/>
      </c>
    </row>
    <row r="239">
      <c r="A239">
        <f>IF('Ch2 EOT2 Results'!M40="","","Q5 Loans &amp; APR: "&amp;'Ch2 EOT2 Results'!G40&amp;"/9")</f>
        <v/>
      </c>
      <c r="K239">
        <f>IF('Ch2 EOT2 Results'!M41="","","Q5 Loans &amp; APR: "&amp;'Ch2 EOT2 Results'!G41&amp;"/9")</f>
        <v/>
      </c>
    </row>
    <row r="240">
      <c r="A240">
        <f>IF('Ch2 EOT2 Results'!M40="","","Q6 Savings &amp; AER: "&amp;'Ch2 EOT2 Results'!H40&amp;"/9")</f>
        <v/>
      </c>
      <c r="K240">
        <f>IF('Ch2 EOT2 Results'!M41="","","Q6 Savings &amp; AER: "&amp;'Ch2 EOT2 Results'!H41&amp;"/9")</f>
        <v/>
      </c>
    </row>
    <row r="241">
      <c r="A241">
        <f>IF('Ch2 EOT2 Results'!M40="","","Q7 Depreciation: "&amp;'Ch2 EOT2 Results'!I40&amp;"/9")</f>
        <v/>
      </c>
      <c r="K241">
        <f>IF('Ch2 EOT2 Results'!M41="","","Q7 Depreciation: "&amp;'Ch2 EOT2 Results'!I41&amp;"/9")</f>
        <v/>
      </c>
    </row>
    <row r="242">
      <c r="A242">
        <f>IF('Ch2 EOT2 Results'!M40="","","Q8 Inflation &amp; real value: "&amp;'Ch2 EOT2 Results'!J40&amp;"/9")</f>
        <v/>
      </c>
      <c r="K242">
        <f>IF('Ch2 EOT2 Results'!M41="","","Q8 Inflation &amp; real value: "&amp;'Ch2 EOT2 Results'!J41&amp;"/9")</f>
        <v/>
      </c>
    </row>
    <row r="243">
      <c r="A243">
        <f>IF(OR('Ch2 EOT2 Results'!M40="",'Ch2 EOT2 Results'!N40=""),"",'Ch2 EOT2 Results'!N40)</f>
        <v/>
      </c>
      <c r="K243">
        <f>IF(OR('Ch2 EOT2 Results'!M41="",'Ch2 EOT2 Results'!N41=""),"",'Ch2 EOT2 Results'!N41)</f>
        <v/>
      </c>
    </row>
    <row r="245">
      <c r="A245">
        <f>IF('Ch2 EOT2 Results'!M40="","","Comments:")</f>
        <v/>
      </c>
      <c r="K245">
        <f>IF('Ch2 EOT2 Results'!M41="","","Comments:")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0" customWidth="1" min="7" max="7"/>
    <col width="8" customWidth="1" min="8" max="8"/>
    <col width="10" customWidth="1" min="9" max="9"/>
    <col width="45" customWidth="1" min="10" max="10"/>
  </cols>
  <sheetData>
    <row r="1">
      <c r="A1" s="11" t="inlineStr">
        <is>
          <t>Mini Test 3.1 — Modelling and Estimation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Fermi estimate
(/7)</t>
        </is>
      </c>
      <c r="D9" s="12" t="inlineStr">
        <is>
          <t>Q2
Degree of accuracy
(/5)</t>
        </is>
      </c>
      <c r="E9" s="12" t="inlineStr">
        <is>
          <t>Q3
Upper/lower bounds
(/6)</t>
        </is>
      </c>
      <c r="F9" s="12" t="inlineStr">
        <is>
          <t>Q4
Estimating capacity
(/4)</t>
        </is>
      </c>
      <c r="G9" s="12" t="inlineStr">
        <is>
          <t>Total
(/22)</t>
        </is>
      </c>
      <c r="H9" s="12" t="inlineStr">
        <is>
          <t>%</t>
        </is>
      </c>
      <c r="I9" s="12" t="inlineStr">
        <is>
          <t>Overall</t>
        </is>
      </c>
      <c r="J9" s="12" t="inlineStr">
        <is>
          <t>Focus for next steps</t>
        </is>
      </c>
      <c r="K9" s="12" t="inlineStr">
        <is>
          <t>Q1%</t>
        </is>
      </c>
      <c r="L9" s="12" t="inlineStr">
        <is>
          <t>Q2%</t>
        </is>
      </c>
      <c r="M9" s="12" t="inlineStr">
        <is>
          <t>Q3%</t>
        </is>
      </c>
      <c r="N9" s="12" t="inlineStr">
        <is>
          <t>Q4%</t>
        </is>
      </c>
    </row>
    <row r="10">
      <c r="A10" s="3" t="n"/>
      <c r="B10" s="3" t="inlineStr">
        <is>
          <t>Max marks</t>
        </is>
      </c>
      <c r="C10" s="3" t="n">
        <v>7</v>
      </c>
      <c r="D10" s="3" t="n">
        <v>5</v>
      </c>
      <c r="E10" s="3" t="n">
        <v>6</v>
      </c>
      <c r="F10" s="3" t="n">
        <v>4</v>
      </c>
      <c r="G10" s="3" t="n">
        <v>22</v>
      </c>
      <c r="H10" s="3" t="inlineStr">
        <is>
          <t>100%</t>
        </is>
      </c>
      <c r="I10" s="3" t="n"/>
      <c r="J10" s="3" t="n"/>
      <c r="K10" s="3" t="n"/>
      <c r="L10" s="3" t="n"/>
      <c r="M10" s="3" t="n"/>
      <c r="N10" s="3" t="n"/>
    </row>
    <row r="11">
      <c r="A11" s="13" t="n">
        <v>1</v>
      </c>
      <c r="B11" s="13" t="inlineStr">
        <is>
          <t>Example pupil (edit me)</t>
        </is>
      </c>
      <c r="C11" s="13" t="n">
        <v>6</v>
      </c>
      <c r="D11" s="13" t="n">
        <v>4</v>
      </c>
      <c r="E11" s="13" t="n">
        <v>5</v>
      </c>
      <c r="F11" s="13" t="n">
        <v>3</v>
      </c>
      <c r="G11" s="13">
        <f>IF(COUNT(C11:F11)&lt;4,"",SUM(C11:F11))</f>
        <v/>
      </c>
      <c r="H11" s="13">
        <f>IF(COUNT(C11:F11)&lt;4,"",G11/22)</f>
        <v/>
      </c>
      <c r="I11" s="13">
        <f>IF(COUNT(C11:F11)&lt;4,"",IF(H11&gt;=0.8,"Green",IF(H11&gt;=0.5,"Yellow","Red")))</f>
        <v/>
      </c>
      <c r="J11" s="13">
        <f>IF(COUNT(C11:F11)&lt;4,"",IF(I11="Green","Well done! "&amp;Parameters!$C$161,"Revise: "&amp;_xlfn.TEXTJOIN(", ",TRUE(),IF(K11&lt;1,Parameters!$A$152,""),IF(L11&lt;1,Parameters!$A$153,""),IF(M11&lt;1,Parameters!$A$154,""),IF(N11&lt;1,Parameters!$A$155,""))))</f>
        <v/>
      </c>
      <c r="K11" s="13">
        <f>IF(C11="","",C11/7)</f>
        <v/>
      </c>
      <c r="L11" s="13">
        <f>IF(D11="","",D11/5)</f>
        <v/>
      </c>
      <c r="M11" s="13">
        <f>IF(E11="","",E11/6)</f>
        <v/>
      </c>
      <c r="N11" s="13">
        <f>IF(F11="","",F11/4)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3">
        <f>IF(COUNT(C12:F12)&lt;4,"",SUM(C12:F12))</f>
        <v/>
      </c>
      <c r="H12" s="13">
        <f>IF(COUNT(C12:F12)&lt;4,"",G12/22)</f>
        <v/>
      </c>
      <c r="I12" s="13">
        <f>IF(COUNT(C12:F12)&lt;4,"",IF(H12&gt;=0.8,"Green",IF(H12&gt;=0.5,"Yellow","Red")))</f>
        <v/>
      </c>
      <c r="J12" s="13">
        <f>IF(COUNT(C12:F12)&lt;4,"",IF(I12="Green","Well done! "&amp;Parameters!$C$161,"Revise: "&amp;_xlfn.TEXTJOIN(", ",TRUE(),IF(K12&lt;1,Parameters!$A$152,""),IF(L12&lt;1,Parameters!$A$153,""),IF(M12&lt;1,Parameters!$A$154,""),IF(N12&lt;1,Parameters!$A$155,""))))</f>
        <v/>
      </c>
      <c r="K12" s="13">
        <f>IF(C12="","",C12/7)</f>
        <v/>
      </c>
      <c r="L12" s="13">
        <f>IF(D12="","",D12/5)</f>
        <v/>
      </c>
      <c r="M12" s="13">
        <f>IF(E12="","",E12/6)</f>
        <v/>
      </c>
      <c r="N12" s="13">
        <f>IF(F12="","",F12/4)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3">
        <f>IF(COUNT(C13:F13)&lt;4,"",SUM(C13:F13))</f>
        <v/>
      </c>
      <c r="H13" s="13">
        <f>IF(COUNT(C13:F13)&lt;4,"",G13/22)</f>
        <v/>
      </c>
      <c r="I13" s="13">
        <f>IF(COUNT(C13:F13)&lt;4,"",IF(H13&gt;=0.8,"Green",IF(H13&gt;=0.5,"Yellow","Red")))</f>
        <v/>
      </c>
      <c r="J13" s="13">
        <f>IF(COUNT(C13:F13)&lt;4,"",IF(I13="Green","Well done! "&amp;Parameters!$C$161,"Revise: "&amp;_xlfn.TEXTJOIN(", ",TRUE(),IF(K13&lt;1,Parameters!$A$152,""),IF(L13&lt;1,Parameters!$A$153,""),IF(M13&lt;1,Parameters!$A$154,""),IF(N13&lt;1,Parameters!$A$155,""))))</f>
        <v/>
      </c>
      <c r="K13" s="13">
        <f>IF(C13="","",C13/7)</f>
        <v/>
      </c>
      <c r="L13" s="13">
        <f>IF(D13="","",D13/5)</f>
        <v/>
      </c>
      <c r="M13" s="13">
        <f>IF(E13="","",E13/6)</f>
        <v/>
      </c>
      <c r="N13" s="13">
        <f>IF(F13="","",F13/4)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3">
        <f>IF(COUNT(C14:F14)&lt;4,"",SUM(C14:F14))</f>
        <v/>
      </c>
      <c r="H14" s="13">
        <f>IF(COUNT(C14:F14)&lt;4,"",G14/22)</f>
        <v/>
      </c>
      <c r="I14" s="13">
        <f>IF(COUNT(C14:F14)&lt;4,"",IF(H14&gt;=0.8,"Green",IF(H14&gt;=0.5,"Yellow","Red")))</f>
        <v/>
      </c>
      <c r="J14" s="13">
        <f>IF(COUNT(C14:F14)&lt;4,"",IF(I14="Green","Well done! "&amp;Parameters!$C$161,"Revise: "&amp;_xlfn.TEXTJOIN(", ",TRUE(),IF(K14&lt;1,Parameters!$A$152,""),IF(L14&lt;1,Parameters!$A$153,""),IF(M14&lt;1,Parameters!$A$154,""),IF(N14&lt;1,Parameters!$A$155,""))))</f>
        <v/>
      </c>
      <c r="K14" s="13">
        <f>IF(C14="","",C14/7)</f>
        <v/>
      </c>
      <c r="L14" s="13">
        <f>IF(D14="","",D14/5)</f>
        <v/>
      </c>
      <c r="M14" s="13">
        <f>IF(E14="","",E14/6)</f>
        <v/>
      </c>
      <c r="N14" s="13">
        <f>IF(F14="","",F14/4)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3">
        <f>IF(COUNT(C15:F15)&lt;4,"",SUM(C15:F15))</f>
        <v/>
      </c>
      <c r="H15" s="13">
        <f>IF(COUNT(C15:F15)&lt;4,"",G15/22)</f>
        <v/>
      </c>
      <c r="I15" s="13">
        <f>IF(COUNT(C15:F15)&lt;4,"",IF(H15&gt;=0.8,"Green",IF(H15&gt;=0.5,"Yellow","Red")))</f>
        <v/>
      </c>
      <c r="J15" s="13">
        <f>IF(COUNT(C15:F15)&lt;4,"",IF(I15="Green","Well done! "&amp;Parameters!$C$161,"Revise: "&amp;_xlfn.TEXTJOIN(", ",TRUE(),IF(K15&lt;1,Parameters!$A$152,""),IF(L15&lt;1,Parameters!$A$153,""),IF(M15&lt;1,Parameters!$A$154,""),IF(N15&lt;1,Parameters!$A$155,""))))</f>
        <v/>
      </c>
      <c r="K15" s="13">
        <f>IF(C15="","",C15/7)</f>
        <v/>
      </c>
      <c r="L15" s="13">
        <f>IF(D15="","",D15/5)</f>
        <v/>
      </c>
      <c r="M15" s="13">
        <f>IF(E15="","",E15/6)</f>
        <v/>
      </c>
      <c r="N15" s="13">
        <f>IF(F15="","",F15/4)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3">
        <f>IF(COUNT(C16:F16)&lt;4,"",SUM(C16:F16))</f>
        <v/>
      </c>
      <c r="H16" s="13">
        <f>IF(COUNT(C16:F16)&lt;4,"",G16/22)</f>
        <v/>
      </c>
      <c r="I16" s="13">
        <f>IF(COUNT(C16:F16)&lt;4,"",IF(H16&gt;=0.8,"Green",IF(H16&gt;=0.5,"Yellow","Red")))</f>
        <v/>
      </c>
      <c r="J16" s="13">
        <f>IF(COUNT(C16:F16)&lt;4,"",IF(I16="Green","Well done! "&amp;Parameters!$C$161,"Revise: "&amp;_xlfn.TEXTJOIN(", ",TRUE(),IF(K16&lt;1,Parameters!$A$152,""),IF(L16&lt;1,Parameters!$A$153,""),IF(M16&lt;1,Parameters!$A$154,""),IF(N16&lt;1,Parameters!$A$155,""))))</f>
        <v/>
      </c>
      <c r="K16" s="13">
        <f>IF(C16="","",C16/7)</f>
        <v/>
      </c>
      <c r="L16" s="13">
        <f>IF(D16="","",D16/5)</f>
        <v/>
      </c>
      <c r="M16" s="13">
        <f>IF(E16="","",E16/6)</f>
        <v/>
      </c>
      <c r="N16" s="13">
        <f>IF(F16="","",F16/4)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3">
        <f>IF(COUNT(C17:F17)&lt;4,"",SUM(C17:F17))</f>
        <v/>
      </c>
      <c r="H17" s="13">
        <f>IF(COUNT(C17:F17)&lt;4,"",G17/22)</f>
        <v/>
      </c>
      <c r="I17" s="13">
        <f>IF(COUNT(C17:F17)&lt;4,"",IF(H17&gt;=0.8,"Green",IF(H17&gt;=0.5,"Yellow","Red")))</f>
        <v/>
      </c>
      <c r="J17" s="13">
        <f>IF(COUNT(C17:F17)&lt;4,"",IF(I17="Green","Well done! "&amp;Parameters!$C$161,"Revise: "&amp;_xlfn.TEXTJOIN(", ",TRUE(),IF(K17&lt;1,Parameters!$A$152,""),IF(L17&lt;1,Parameters!$A$153,""),IF(M17&lt;1,Parameters!$A$154,""),IF(N17&lt;1,Parameters!$A$155,""))))</f>
        <v/>
      </c>
      <c r="K17" s="13">
        <f>IF(C17="","",C17/7)</f>
        <v/>
      </c>
      <c r="L17" s="13">
        <f>IF(D17="","",D17/5)</f>
        <v/>
      </c>
      <c r="M17" s="13">
        <f>IF(E17="","",E17/6)</f>
        <v/>
      </c>
      <c r="N17" s="13">
        <f>IF(F17="","",F17/4)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3">
        <f>IF(COUNT(C18:F18)&lt;4,"",SUM(C18:F18))</f>
        <v/>
      </c>
      <c r="H18" s="13">
        <f>IF(COUNT(C18:F18)&lt;4,"",G18/22)</f>
        <v/>
      </c>
      <c r="I18" s="13">
        <f>IF(COUNT(C18:F18)&lt;4,"",IF(H18&gt;=0.8,"Green",IF(H18&gt;=0.5,"Yellow","Red")))</f>
        <v/>
      </c>
      <c r="J18" s="13">
        <f>IF(COUNT(C18:F18)&lt;4,"",IF(I18="Green","Well done! "&amp;Parameters!$C$161,"Revise: "&amp;_xlfn.TEXTJOIN(", ",TRUE(),IF(K18&lt;1,Parameters!$A$152,""),IF(L18&lt;1,Parameters!$A$153,""),IF(M18&lt;1,Parameters!$A$154,""),IF(N18&lt;1,Parameters!$A$155,""))))</f>
        <v/>
      </c>
      <c r="K18" s="13">
        <f>IF(C18="","",C18/7)</f>
        <v/>
      </c>
      <c r="L18" s="13">
        <f>IF(D18="","",D18/5)</f>
        <v/>
      </c>
      <c r="M18" s="13">
        <f>IF(E18="","",E18/6)</f>
        <v/>
      </c>
      <c r="N18" s="13">
        <f>IF(F18="","",F18/4)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3">
        <f>IF(COUNT(C19:F19)&lt;4,"",SUM(C19:F19))</f>
        <v/>
      </c>
      <c r="H19" s="13">
        <f>IF(COUNT(C19:F19)&lt;4,"",G19/22)</f>
        <v/>
      </c>
      <c r="I19" s="13">
        <f>IF(COUNT(C19:F19)&lt;4,"",IF(H19&gt;=0.8,"Green",IF(H19&gt;=0.5,"Yellow","Red")))</f>
        <v/>
      </c>
      <c r="J19" s="13">
        <f>IF(COUNT(C19:F19)&lt;4,"",IF(I19="Green","Well done! "&amp;Parameters!$C$161,"Revise: "&amp;_xlfn.TEXTJOIN(", ",TRUE(),IF(K19&lt;1,Parameters!$A$152,""),IF(L19&lt;1,Parameters!$A$153,""),IF(M19&lt;1,Parameters!$A$154,""),IF(N19&lt;1,Parameters!$A$155,""))))</f>
        <v/>
      </c>
      <c r="K19" s="13">
        <f>IF(C19="","",C19/7)</f>
        <v/>
      </c>
      <c r="L19" s="13">
        <f>IF(D19="","",D19/5)</f>
        <v/>
      </c>
      <c r="M19" s="13">
        <f>IF(E19="","",E19/6)</f>
        <v/>
      </c>
      <c r="N19" s="13">
        <f>IF(F19="","",F19/4)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3">
        <f>IF(COUNT(C20:F20)&lt;4,"",SUM(C20:F20))</f>
        <v/>
      </c>
      <c r="H20" s="13">
        <f>IF(COUNT(C20:F20)&lt;4,"",G20/22)</f>
        <v/>
      </c>
      <c r="I20" s="13">
        <f>IF(COUNT(C20:F20)&lt;4,"",IF(H20&gt;=0.8,"Green",IF(H20&gt;=0.5,"Yellow","Red")))</f>
        <v/>
      </c>
      <c r="J20" s="13">
        <f>IF(COUNT(C20:F20)&lt;4,"",IF(I20="Green","Well done! "&amp;Parameters!$C$161,"Revise: "&amp;_xlfn.TEXTJOIN(", ",TRUE(),IF(K20&lt;1,Parameters!$A$152,""),IF(L20&lt;1,Parameters!$A$153,""),IF(M20&lt;1,Parameters!$A$154,""),IF(N20&lt;1,Parameters!$A$155,""))))</f>
        <v/>
      </c>
      <c r="K20" s="13">
        <f>IF(C20="","",C20/7)</f>
        <v/>
      </c>
      <c r="L20" s="13">
        <f>IF(D20="","",D20/5)</f>
        <v/>
      </c>
      <c r="M20" s="13">
        <f>IF(E20="","",E20/6)</f>
        <v/>
      </c>
      <c r="N20" s="13">
        <f>IF(F20="","",F20/4)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3">
        <f>IF(COUNT(C21:F21)&lt;4,"",SUM(C21:F21))</f>
        <v/>
      </c>
      <c r="H21" s="13">
        <f>IF(COUNT(C21:F21)&lt;4,"",G21/22)</f>
        <v/>
      </c>
      <c r="I21" s="13">
        <f>IF(COUNT(C21:F21)&lt;4,"",IF(H21&gt;=0.8,"Green",IF(H21&gt;=0.5,"Yellow","Red")))</f>
        <v/>
      </c>
      <c r="J21" s="13">
        <f>IF(COUNT(C21:F21)&lt;4,"",IF(I21="Green","Well done! "&amp;Parameters!$C$161,"Revise: "&amp;_xlfn.TEXTJOIN(", ",TRUE(),IF(K21&lt;1,Parameters!$A$152,""),IF(L21&lt;1,Parameters!$A$153,""),IF(M21&lt;1,Parameters!$A$154,""),IF(N21&lt;1,Parameters!$A$155,""))))</f>
        <v/>
      </c>
      <c r="K21" s="13">
        <f>IF(C21="","",C21/7)</f>
        <v/>
      </c>
      <c r="L21" s="13">
        <f>IF(D21="","",D21/5)</f>
        <v/>
      </c>
      <c r="M21" s="13">
        <f>IF(E21="","",E21/6)</f>
        <v/>
      </c>
      <c r="N21" s="13">
        <f>IF(F21="","",F21/4)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3">
        <f>IF(COUNT(C22:F22)&lt;4,"",SUM(C22:F22))</f>
        <v/>
      </c>
      <c r="H22" s="13">
        <f>IF(COUNT(C22:F22)&lt;4,"",G22/22)</f>
        <v/>
      </c>
      <c r="I22" s="13">
        <f>IF(COUNT(C22:F22)&lt;4,"",IF(H22&gt;=0.8,"Green",IF(H22&gt;=0.5,"Yellow","Red")))</f>
        <v/>
      </c>
      <c r="J22" s="13">
        <f>IF(COUNT(C22:F22)&lt;4,"",IF(I22="Green","Well done! "&amp;Parameters!$C$161,"Revise: "&amp;_xlfn.TEXTJOIN(", ",TRUE(),IF(K22&lt;1,Parameters!$A$152,""),IF(L22&lt;1,Parameters!$A$153,""),IF(M22&lt;1,Parameters!$A$154,""),IF(N22&lt;1,Parameters!$A$155,""))))</f>
        <v/>
      </c>
      <c r="K22" s="13">
        <f>IF(C22="","",C22/7)</f>
        <v/>
      </c>
      <c r="L22" s="13">
        <f>IF(D22="","",D22/5)</f>
        <v/>
      </c>
      <c r="M22" s="13">
        <f>IF(E22="","",E22/6)</f>
        <v/>
      </c>
      <c r="N22" s="13">
        <f>IF(F22="","",F22/4)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3">
        <f>IF(COUNT(C23:F23)&lt;4,"",SUM(C23:F23))</f>
        <v/>
      </c>
      <c r="H23" s="13">
        <f>IF(COUNT(C23:F23)&lt;4,"",G23/22)</f>
        <v/>
      </c>
      <c r="I23" s="13">
        <f>IF(COUNT(C23:F23)&lt;4,"",IF(H23&gt;=0.8,"Green",IF(H23&gt;=0.5,"Yellow","Red")))</f>
        <v/>
      </c>
      <c r="J23" s="13">
        <f>IF(COUNT(C23:F23)&lt;4,"",IF(I23="Green","Well done! "&amp;Parameters!$C$161,"Revise: "&amp;_xlfn.TEXTJOIN(", ",TRUE(),IF(K23&lt;1,Parameters!$A$152,""),IF(L23&lt;1,Parameters!$A$153,""),IF(M23&lt;1,Parameters!$A$154,""),IF(N23&lt;1,Parameters!$A$155,""))))</f>
        <v/>
      </c>
      <c r="K23" s="13">
        <f>IF(C23="","",C23/7)</f>
        <v/>
      </c>
      <c r="L23" s="13">
        <f>IF(D23="","",D23/5)</f>
        <v/>
      </c>
      <c r="M23" s="13">
        <f>IF(E23="","",E23/6)</f>
        <v/>
      </c>
      <c r="N23" s="13">
        <f>IF(F23="","",F23/4)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3">
        <f>IF(COUNT(C24:F24)&lt;4,"",SUM(C24:F24))</f>
        <v/>
      </c>
      <c r="H24" s="13">
        <f>IF(COUNT(C24:F24)&lt;4,"",G24/22)</f>
        <v/>
      </c>
      <c r="I24" s="13">
        <f>IF(COUNT(C24:F24)&lt;4,"",IF(H24&gt;=0.8,"Green",IF(H24&gt;=0.5,"Yellow","Red")))</f>
        <v/>
      </c>
      <c r="J24" s="13">
        <f>IF(COUNT(C24:F24)&lt;4,"",IF(I24="Green","Well done! "&amp;Parameters!$C$161,"Revise: "&amp;_xlfn.TEXTJOIN(", ",TRUE(),IF(K24&lt;1,Parameters!$A$152,""),IF(L24&lt;1,Parameters!$A$153,""),IF(M24&lt;1,Parameters!$A$154,""),IF(N24&lt;1,Parameters!$A$155,""))))</f>
        <v/>
      </c>
      <c r="K24" s="13">
        <f>IF(C24="","",C24/7)</f>
        <v/>
      </c>
      <c r="L24" s="13">
        <f>IF(D24="","",D24/5)</f>
        <v/>
      </c>
      <c r="M24" s="13">
        <f>IF(E24="","",E24/6)</f>
        <v/>
      </c>
      <c r="N24" s="13">
        <f>IF(F24="","",F24/4)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3">
        <f>IF(COUNT(C25:F25)&lt;4,"",SUM(C25:F25))</f>
        <v/>
      </c>
      <c r="H25" s="13">
        <f>IF(COUNT(C25:F25)&lt;4,"",G25/22)</f>
        <v/>
      </c>
      <c r="I25" s="13">
        <f>IF(COUNT(C25:F25)&lt;4,"",IF(H25&gt;=0.8,"Green",IF(H25&gt;=0.5,"Yellow","Red")))</f>
        <v/>
      </c>
      <c r="J25" s="13">
        <f>IF(COUNT(C25:F25)&lt;4,"",IF(I25="Green","Well done! "&amp;Parameters!$C$161,"Revise: "&amp;_xlfn.TEXTJOIN(", ",TRUE(),IF(K25&lt;1,Parameters!$A$152,""),IF(L25&lt;1,Parameters!$A$153,""),IF(M25&lt;1,Parameters!$A$154,""),IF(N25&lt;1,Parameters!$A$155,""))))</f>
        <v/>
      </c>
      <c r="K25" s="13">
        <f>IF(C25="","",C25/7)</f>
        <v/>
      </c>
      <c r="L25" s="13">
        <f>IF(D25="","",D25/5)</f>
        <v/>
      </c>
      <c r="M25" s="13">
        <f>IF(E25="","",E25/6)</f>
        <v/>
      </c>
      <c r="N25" s="13">
        <f>IF(F25="","",F25/4)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3">
        <f>IF(COUNT(C26:F26)&lt;4,"",SUM(C26:F26))</f>
        <v/>
      </c>
      <c r="H26" s="13">
        <f>IF(COUNT(C26:F26)&lt;4,"",G26/22)</f>
        <v/>
      </c>
      <c r="I26" s="13">
        <f>IF(COUNT(C26:F26)&lt;4,"",IF(H26&gt;=0.8,"Green",IF(H26&gt;=0.5,"Yellow","Red")))</f>
        <v/>
      </c>
      <c r="J26" s="13">
        <f>IF(COUNT(C26:F26)&lt;4,"",IF(I26="Green","Well done! "&amp;Parameters!$C$161,"Revise: "&amp;_xlfn.TEXTJOIN(", ",TRUE(),IF(K26&lt;1,Parameters!$A$152,""),IF(L26&lt;1,Parameters!$A$153,""),IF(M26&lt;1,Parameters!$A$154,""),IF(N26&lt;1,Parameters!$A$155,""))))</f>
        <v/>
      </c>
      <c r="K26" s="13">
        <f>IF(C26="","",C26/7)</f>
        <v/>
      </c>
      <c r="L26" s="13">
        <f>IF(D26="","",D26/5)</f>
        <v/>
      </c>
      <c r="M26" s="13">
        <f>IF(E26="","",E26/6)</f>
        <v/>
      </c>
      <c r="N26" s="13">
        <f>IF(F26="","",F26/4)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3">
        <f>IF(COUNT(C27:F27)&lt;4,"",SUM(C27:F27))</f>
        <v/>
      </c>
      <c r="H27" s="13">
        <f>IF(COUNT(C27:F27)&lt;4,"",G27/22)</f>
        <v/>
      </c>
      <c r="I27" s="13">
        <f>IF(COUNT(C27:F27)&lt;4,"",IF(H27&gt;=0.8,"Green",IF(H27&gt;=0.5,"Yellow","Red")))</f>
        <v/>
      </c>
      <c r="J27" s="13">
        <f>IF(COUNT(C27:F27)&lt;4,"",IF(I27="Green","Well done! "&amp;Parameters!$C$161,"Revise: "&amp;_xlfn.TEXTJOIN(", ",TRUE(),IF(K27&lt;1,Parameters!$A$152,""),IF(L27&lt;1,Parameters!$A$153,""),IF(M27&lt;1,Parameters!$A$154,""),IF(N27&lt;1,Parameters!$A$155,""))))</f>
        <v/>
      </c>
      <c r="K27" s="13">
        <f>IF(C27="","",C27/7)</f>
        <v/>
      </c>
      <c r="L27" s="13">
        <f>IF(D27="","",D27/5)</f>
        <v/>
      </c>
      <c r="M27" s="13">
        <f>IF(E27="","",E27/6)</f>
        <v/>
      </c>
      <c r="N27" s="13">
        <f>IF(F27="","",F27/4)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3">
        <f>IF(COUNT(C28:F28)&lt;4,"",SUM(C28:F28))</f>
        <v/>
      </c>
      <c r="H28" s="13">
        <f>IF(COUNT(C28:F28)&lt;4,"",G28/22)</f>
        <v/>
      </c>
      <c r="I28" s="13">
        <f>IF(COUNT(C28:F28)&lt;4,"",IF(H28&gt;=0.8,"Green",IF(H28&gt;=0.5,"Yellow","Red")))</f>
        <v/>
      </c>
      <c r="J28" s="13">
        <f>IF(COUNT(C28:F28)&lt;4,"",IF(I28="Green","Well done! "&amp;Parameters!$C$161,"Revise: "&amp;_xlfn.TEXTJOIN(", ",TRUE(),IF(K28&lt;1,Parameters!$A$152,""),IF(L28&lt;1,Parameters!$A$153,""),IF(M28&lt;1,Parameters!$A$154,""),IF(N28&lt;1,Parameters!$A$155,""))))</f>
        <v/>
      </c>
      <c r="K28" s="13">
        <f>IF(C28="","",C28/7)</f>
        <v/>
      </c>
      <c r="L28" s="13">
        <f>IF(D28="","",D28/5)</f>
        <v/>
      </c>
      <c r="M28" s="13">
        <f>IF(E28="","",E28/6)</f>
        <v/>
      </c>
      <c r="N28" s="13">
        <f>IF(F28="","",F28/4)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3">
        <f>IF(COUNT(C29:F29)&lt;4,"",SUM(C29:F29))</f>
        <v/>
      </c>
      <c r="H29" s="13">
        <f>IF(COUNT(C29:F29)&lt;4,"",G29/22)</f>
        <v/>
      </c>
      <c r="I29" s="13">
        <f>IF(COUNT(C29:F29)&lt;4,"",IF(H29&gt;=0.8,"Green",IF(H29&gt;=0.5,"Yellow","Red")))</f>
        <v/>
      </c>
      <c r="J29" s="13">
        <f>IF(COUNT(C29:F29)&lt;4,"",IF(I29="Green","Well done! "&amp;Parameters!$C$161,"Revise: "&amp;_xlfn.TEXTJOIN(", ",TRUE(),IF(K29&lt;1,Parameters!$A$152,""),IF(L29&lt;1,Parameters!$A$153,""),IF(M29&lt;1,Parameters!$A$154,""),IF(N29&lt;1,Parameters!$A$155,""))))</f>
        <v/>
      </c>
      <c r="K29" s="13">
        <f>IF(C29="","",C29/7)</f>
        <v/>
      </c>
      <c r="L29" s="13">
        <f>IF(D29="","",D29/5)</f>
        <v/>
      </c>
      <c r="M29" s="13">
        <f>IF(E29="","",E29/6)</f>
        <v/>
      </c>
      <c r="N29" s="13">
        <f>IF(F29="","",F29/4)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3">
        <f>IF(COUNT(C30:F30)&lt;4,"",SUM(C30:F30))</f>
        <v/>
      </c>
      <c r="H30" s="13">
        <f>IF(COUNT(C30:F30)&lt;4,"",G30/22)</f>
        <v/>
      </c>
      <c r="I30" s="13">
        <f>IF(COUNT(C30:F30)&lt;4,"",IF(H30&gt;=0.8,"Green",IF(H30&gt;=0.5,"Yellow","Red")))</f>
        <v/>
      </c>
      <c r="J30" s="13">
        <f>IF(COUNT(C30:F30)&lt;4,"",IF(I30="Green","Well done! "&amp;Parameters!$C$161,"Revise: "&amp;_xlfn.TEXTJOIN(", ",TRUE(),IF(K30&lt;1,Parameters!$A$152,""),IF(L30&lt;1,Parameters!$A$153,""),IF(M30&lt;1,Parameters!$A$154,""),IF(N30&lt;1,Parameters!$A$155,""))))</f>
        <v/>
      </c>
      <c r="K30" s="13">
        <f>IF(C30="","",C30/7)</f>
        <v/>
      </c>
      <c r="L30" s="13">
        <f>IF(D30="","",D30/5)</f>
        <v/>
      </c>
      <c r="M30" s="13">
        <f>IF(E30="","",E30/6)</f>
        <v/>
      </c>
      <c r="N30" s="13">
        <f>IF(F30="","",F30/4)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3">
        <f>IF(COUNT(C31:F31)&lt;4,"",SUM(C31:F31))</f>
        <v/>
      </c>
      <c r="H31" s="13">
        <f>IF(COUNT(C31:F31)&lt;4,"",G31/22)</f>
        <v/>
      </c>
      <c r="I31" s="13">
        <f>IF(COUNT(C31:F31)&lt;4,"",IF(H31&gt;=0.8,"Green",IF(H31&gt;=0.5,"Yellow","Red")))</f>
        <v/>
      </c>
      <c r="J31" s="13">
        <f>IF(COUNT(C31:F31)&lt;4,"",IF(I31="Green","Well done! "&amp;Parameters!$C$161,"Revise: "&amp;_xlfn.TEXTJOIN(", ",TRUE(),IF(K31&lt;1,Parameters!$A$152,""),IF(L31&lt;1,Parameters!$A$153,""),IF(M31&lt;1,Parameters!$A$154,""),IF(N31&lt;1,Parameters!$A$155,""))))</f>
        <v/>
      </c>
      <c r="K31" s="13">
        <f>IF(C31="","",C31/7)</f>
        <v/>
      </c>
      <c r="L31" s="13">
        <f>IF(D31="","",D31/5)</f>
        <v/>
      </c>
      <c r="M31" s="13">
        <f>IF(E31="","",E31/6)</f>
        <v/>
      </c>
      <c r="N31" s="13">
        <f>IF(F31="","",F31/4)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3">
        <f>IF(COUNT(C32:F32)&lt;4,"",SUM(C32:F32))</f>
        <v/>
      </c>
      <c r="H32" s="13">
        <f>IF(COUNT(C32:F32)&lt;4,"",G32/22)</f>
        <v/>
      </c>
      <c r="I32" s="13">
        <f>IF(COUNT(C32:F32)&lt;4,"",IF(H32&gt;=0.8,"Green",IF(H32&gt;=0.5,"Yellow","Red")))</f>
        <v/>
      </c>
      <c r="J32" s="13">
        <f>IF(COUNT(C32:F32)&lt;4,"",IF(I32="Green","Well done! "&amp;Parameters!$C$161,"Revise: "&amp;_xlfn.TEXTJOIN(", ",TRUE(),IF(K32&lt;1,Parameters!$A$152,""),IF(L32&lt;1,Parameters!$A$153,""),IF(M32&lt;1,Parameters!$A$154,""),IF(N32&lt;1,Parameters!$A$155,""))))</f>
        <v/>
      </c>
      <c r="K32" s="13">
        <f>IF(C32="","",C32/7)</f>
        <v/>
      </c>
      <c r="L32" s="13">
        <f>IF(D32="","",D32/5)</f>
        <v/>
      </c>
      <c r="M32" s="13">
        <f>IF(E32="","",E32/6)</f>
        <v/>
      </c>
      <c r="N32" s="13">
        <f>IF(F32="","",F32/4)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3">
        <f>IF(COUNT(C33:F33)&lt;4,"",SUM(C33:F33))</f>
        <v/>
      </c>
      <c r="H33" s="13">
        <f>IF(COUNT(C33:F33)&lt;4,"",G33/22)</f>
        <v/>
      </c>
      <c r="I33" s="13">
        <f>IF(COUNT(C33:F33)&lt;4,"",IF(H33&gt;=0.8,"Green",IF(H33&gt;=0.5,"Yellow","Red")))</f>
        <v/>
      </c>
      <c r="J33" s="13">
        <f>IF(COUNT(C33:F33)&lt;4,"",IF(I33="Green","Well done! "&amp;Parameters!$C$161,"Revise: "&amp;_xlfn.TEXTJOIN(", ",TRUE(),IF(K33&lt;1,Parameters!$A$152,""),IF(L33&lt;1,Parameters!$A$153,""),IF(M33&lt;1,Parameters!$A$154,""),IF(N33&lt;1,Parameters!$A$155,""))))</f>
        <v/>
      </c>
      <c r="K33" s="13">
        <f>IF(C33="","",C33/7)</f>
        <v/>
      </c>
      <c r="L33" s="13">
        <f>IF(D33="","",D33/5)</f>
        <v/>
      </c>
      <c r="M33" s="13">
        <f>IF(E33="","",E33/6)</f>
        <v/>
      </c>
      <c r="N33" s="13">
        <f>IF(F33="","",F33/4)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3">
        <f>IF(COUNT(C34:F34)&lt;4,"",SUM(C34:F34))</f>
        <v/>
      </c>
      <c r="H34" s="13">
        <f>IF(COUNT(C34:F34)&lt;4,"",G34/22)</f>
        <v/>
      </c>
      <c r="I34" s="13">
        <f>IF(COUNT(C34:F34)&lt;4,"",IF(H34&gt;=0.8,"Green",IF(H34&gt;=0.5,"Yellow","Red")))</f>
        <v/>
      </c>
      <c r="J34" s="13">
        <f>IF(COUNT(C34:F34)&lt;4,"",IF(I34="Green","Well done! "&amp;Parameters!$C$161,"Revise: "&amp;_xlfn.TEXTJOIN(", ",TRUE(),IF(K34&lt;1,Parameters!$A$152,""),IF(L34&lt;1,Parameters!$A$153,""),IF(M34&lt;1,Parameters!$A$154,""),IF(N34&lt;1,Parameters!$A$155,""))))</f>
        <v/>
      </c>
      <c r="K34" s="13">
        <f>IF(C34="","",C34/7)</f>
        <v/>
      </c>
      <c r="L34" s="13">
        <f>IF(D34="","",D34/5)</f>
        <v/>
      </c>
      <c r="M34" s="13">
        <f>IF(E34="","",E34/6)</f>
        <v/>
      </c>
      <c r="N34" s="13">
        <f>IF(F34="","",F34/4)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3">
        <f>IF(COUNT(C35:F35)&lt;4,"",SUM(C35:F35))</f>
        <v/>
      </c>
      <c r="H35" s="13">
        <f>IF(COUNT(C35:F35)&lt;4,"",G35/22)</f>
        <v/>
      </c>
      <c r="I35" s="13">
        <f>IF(COUNT(C35:F35)&lt;4,"",IF(H35&gt;=0.8,"Green",IF(H35&gt;=0.5,"Yellow","Red")))</f>
        <v/>
      </c>
      <c r="J35" s="13">
        <f>IF(COUNT(C35:F35)&lt;4,"",IF(I35="Green","Well done! "&amp;Parameters!$C$161,"Revise: "&amp;_xlfn.TEXTJOIN(", ",TRUE(),IF(K35&lt;1,Parameters!$A$152,""),IF(L35&lt;1,Parameters!$A$153,""),IF(M35&lt;1,Parameters!$A$154,""),IF(N35&lt;1,Parameters!$A$155,""))))</f>
        <v/>
      </c>
      <c r="K35" s="13">
        <f>IF(C35="","",C35/7)</f>
        <v/>
      </c>
      <c r="L35" s="13">
        <f>IF(D35="","",D35/5)</f>
        <v/>
      </c>
      <c r="M35" s="13">
        <f>IF(E35="","",E35/6)</f>
        <v/>
      </c>
      <c r="N35" s="13">
        <f>IF(F35="","",F35/4)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3">
        <f>IF(COUNT(C36:F36)&lt;4,"",SUM(C36:F36))</f>
        <v/>
      </c>
      <c r="H36" s="13">
        <f>IF(COUNT(C36:F36)&lt;4,"",G36/22)</f>
        <v/>
      </c>
      <c r="I36" s="13">
        <f>IF(COUNT(C36:F36)&lt;4,"",IF(H36&gt;=0.8,"Green",IF(H36&gt;=0.5,"Yellow","Red")))</f>
        <v/>
      </c>
      <c r="J36" s="13">
        <f>IF(COUNT(C36:F36)&lt;4,"",IF(I36="Green","Well done! "&amp;Parameters!$C$161,"Revise: "&amp;_xlfn.TEXTJOIN(", ",TRUE(),IF(K36&lt;1,Parameters!$A$152,""),IF(L36&lt;1,Parameters!$A$153,""),IF(M36&lt;1,Parameters!$A$154,""),IF(N36&lt;1,Parameters!$A$155,""))))</f>
        <v/>
      </c>
      <c r="K36" s="13">
        <f>IF(C36="","",C36/7)</f>
        <v/>
      </c>
      <c r="L36" s="13">
        <f>IF(D36="","",D36/5)</f>
        <v/>
      </c>
      <c r="M36" s="13">
        <f>IF(E36="","",E36/6)</f>
        <v/>
      </c>
      <c r="N36" s="13">
        <f>IF(F36="","",F36/4)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3">
        <f>IF(COUNT(C37:F37)&lt;4,"",SUM(C37:F37))</f>
        <v/>
      </c>
      <c r="H37" s="13">
        <f>IF(COUNT(C37:F37)&lt;4,"",G37/22)</f>
        <v/>
      </c>
      <c r="I37" s="13">
        <f>IF(COUNT(C37:F37)&lt;4,"",IF(H37&gt;=0.8,"Green",IF(H37&gt;=0.5,"Yellow","Red")))</f>
        <v/>
      </c>
      <c r="J37" s="13">
        <f>IF(COUNT(C37:F37)&lt;4,"",IF(I37="Green","Well done! "&amp;Parameters!$C$161,"Revise: "&amp;_xlfn.TEXTJOIN(", ",TRUE(),IF(K37&lt;1,Parameters!$A$152,""),IF(L37&lt;1,Parameters!$A$153,""),IF(M37&lt;1,Parameters!$A$154,""),IF(N37&lt;1,Parameters!$A$155,""))))</f>
        <v/>
      </c>
      <c r="K37" s="13">
        <f>IF(C37="","",C37/7)</f>
        <v/>
      </c>
      <c r="L37" s="13">
        <f>IF(D37="","",D37/5)</f>
        <v/>
      </c>
      <c r="M37" s="13">
        <f>IF(E37="","",E37/6)</f>
        <v/>
      </c>
      <c r="N37" s="13">
        <f>IF(F37="","",F37/4)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3">
        <f>IF(COUNT(C38:F38)&lt;4,"",SUM(C38:F38))</f>
        <v/>
      </c>
      <c r="H38" s="13">
        <f>IF(COUNT(C38:F38)&lt;4,"",G38/22)</f>
        <v/>
      </c>
      <c r="I38" s="13">
        <f>IF(COUNT(C38:F38)&lt;4,"",IF(H38&gt;=0.8,"Green",IF(H38&gt;=0.5,"Yellow","Red")))</f>
        <v/>
      </c>
      <c r="J38" s="13">
        <f>IF(COUNT(C38:F38)&lt;4,"",IF(I38="Green","Well done! "&amp;Parameters!$C$161,"Revise: "&amp;_xlfn.TEXTJOIN(", ",TRUE(),IF(K38&lt;1,Parameters!$A$152,""),IF(L38&lt;1,Parameters!$A$153,""),IF(M38&lt;1,Parameters!$A$154,""),IF(N38&lt;1,Parameters!$A$155,""))))</f>
        <v/>
      </c>
      <c r="K38" s="13">
        <f>IF(C38="","",C38/7)</f>
        <v/>
      </c>
      <c r="L38" s="13">
        <f>IF(D38="","",D38/5)</f>
        <v/>
      </c>
      <c r="M38" s="13">
        <f>IF(E38="","",E38/6)</f>
        <v/>
      </c>
      <c r="N38" s="13">
        <f>IF(F38="","",F38/4)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3">
        <f>IF(COUNT(C39:F39)&lt;4,"",SUM(C39:F39))</f>
        <v/>
      </c>
      <c r="H39" s="13">
        <f>IF(COUNT(C39:F39)&lt;4,"",G39/22)</f>
        <v/>
      </c>
      <c r="I39" s="13">
        <f>IF(COUNT(C39:F39)&lt;4,"",IF(H39&gt;=0.8,"Green",IF(H39&gt;=0.5,"Yellow","Red")))</f>
        <v/>
      </c>
      <c r="J39" s="13">
        <f>IF(COUNT(C39:F39)&lt;4,"",IF(I39="Green","Well done! "&amp;Parameters!$C$161,"Revise: "&amp;_xlfn.TEXTJOIN(", ",TRUE(),IF(K39&lt;1,Parameters!$A$152,""),IF(L39&lt;1,Parameters!$A$153,""),IF(M39&lt;1,Parameters!$A$154,""),IF(N39&lt;1,Parameters!$A$155,""))))</f>
        <v/>
      </c>
      <c r="K39" s="13">
        <f>IF(C39="","",C39/7)</f>
        <v/>
      </c>
      <c r="L39" s="13">
        <f>IF(D39="","",D39/5)</f>
        <v/>
      </c>
      <c r="M39" s="13">
        <f>IF(E39="","",E39/6)</f>
        <v/>
      </c>
      <c r="N39" s="13">
        <f>IF(F39="","",F39/4)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3">
        <f>IF(COUNT(C40:F40)&lt;4,"",SUM(C40:F40))</f>
        <v/>
      </c>
      <c r="H40" s="13">
        <f>IF(COUNT(C40:F40)&lt;4,"",G40/22)</f>
        <v/>
      </c>
      <c r="I40" s="13">
        <f>IF(COUNT(C40:F40)&lt;4,"",IF(H40&gt;=0.8,"Green",IF(H40&gt;=0.5,"Yellow","Red")))</f>
        <v/>
      </c>
      <c r="J40" s="13">
        <f>IF(COUNT(C40:F40)&lt;4,"",IF(I40="Green","Well done! "&amp;Parameters!$C$161,"Revise: "&amp;_xlfn.TEXTJOIN(", ",TRUE(),IF(K40&lt;1,Parameters!$A$152,""),IF(L40&lt;1,Parameters!$A$153,""),IF(M40&lt;1,Parameters!$A$154,""),IF(N40&lt;1,Parameters!$A$155,""))))</f>
        <v/>
      </c>
      <c r="K40" s="13">
        <f>IF(C40="","",C40/7)</f>
        <v/>
      </c>
      <c r="L40" s="13">
        <f>IF(D40="","",D40/5)</f>
        <v/>
      </c>
      <c r="M40" s="13">
        <f>IF(E40="","",E40/6)</f>
        <v/>
      </c>
      <c r="N40" s="13">
        <f>IF(F40="","",F40/4)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3">
        <f>IF(COUNT(C41:F41)&lt;4,"",SUM(C41:F41))</f>
        <v/>
      </c>
      <c r="H41" s="13">
        <f>IF(COUNT(C41:F41)&lt;4,"",G41/22)</f>
        <v/>
      </c>
      <c r="I41" s="13">
        <f>IF(COUNT(C41:F41)&lt;4,"",IF(H41&gt;=0.8,"Green",IF(H41&gt;=0.5,"Yellow","Red")))</f>
        <v/>
      </c>
      <c r="J41" s="13">
        <f>IF(COUNT(C41:F41)&lt;4,"",IF(I41="Green","Well done! "&amp;Parameters!$C$161,"Revise: "&amp;_xlfn.TEXTJOIN(", ",TRUE(),IF(K41&lt;1,Parameters!$A$152,""),IF(L41&lt;1,Parameters!$A$153,""),IF(M41&lt;1,Parameters!$A$154,""),IF(N41&lt;1,Parameters!$A$155,""))))</f>
        <v/>
      </c>
      <c r="K41" s="13">
        <f>IF(C41="","",C41/7)</f>
        <v/>
      </c>
      <c r="L41" s="13">
        <f>IF(D41="","",D41/5)</f>
        <v/>
      </c>
      <c r="M41" s="13">
        <f>IF(E41="","",E41/6)</f>
        <v/>
      </c>
      <c r="N41" s="13">
        <f>IF(F41="","",F41/4)</f>
        <v/>
      </c>
    </row>
  </sheetData>
  <conditionalFormatting sqref="C11">
    <cfRule type="expression" priority="1" dxfId="0">
      <formula>AND(COUNT(C11:F11)=4,C11=7)</formula>
    </cfRule>
    <cfRule type="expression" priority="2" dxfId="1">
      <formula>AND(COUNT(C11:F11)=4,C11&lt;7*0.4)</formula>
    </cfRule>
    <cfRule type="expression" priority="3" dxfId="2">
      <formula>AND(COUNT(C11:F11)=4,C11&gt;=7*0.4,C11&lt;7)</formula>
    </cfRule>
  </conditionalFormatting>
  <conditionalFormatting sqref="C12">
    <cfRule type="expression" priority="4" dxfId="0">
      <formula>AND(COUNT(C12:F12)=4,C12=7)</formula>
    </cfRule>
    <cfRule type="expression" priority="5" dxfId="1">
      <formula>AND(COUNT(C12:F12)=4,C12&lt;7*0.4)</formula>
    </cfRule>
    <cfRule type="expression" priority="6" dxfId="2">
      <formula>AND(COUNT(C12:F12)=4,C12&gt;=7*0.4,C12&lt;7)</formula>
    </cfRule>
  </conditionalFormatting>
  <conditionalFormatting sqref="C13">
    <cfRule type="expression" priority="7" dxfId="0">
      <formula>AND(COUNT(C13:F13)=4,C13=7)</formula>
    </cfRule>
    <cfRule type="expression" priority="8" dxfId="1">
      <formula>AND(COUNT(C13:F13)=4,C13&lt;7*0.4)</formula>
    </cfRule>
    <cfRule type="expression" priority="9" dxfId="2">
      <formula>AND(COUNT(C13:F13)=4,C13&gt;=7*0.4,C13&lt;7)</formula>
    </cfRule>
  </conditionalFormatting>
  <conditionalFormatting sqref="C14">
    <cfRule type="expression" priority="10" dxfId="0">
      <formula>AND(COUNT(C14:F14)=4,C14=7)</formula>
    </cfRule>
    <cfRule type="expression" priority="11" dxfId="1">
      <formula>AND(COUNT(C14:F14)=4,C14&lt;7*0.4)</formula>
    </cfRule>
    <cfRule type="expression" priority="12" dxfId="2">
      <formula>AND(COUNT(C14:F14)=4,C14&gt;=7*0.4,C14&lt;7)</formula>
    </cfRule>
  </conditionalFormatting>
  <conditionalFormatting sqref="C15">
    <cfRule type="expression" priority="13" dxfId="0">
      <formula>AND(COUNT(C15:F15)=4,C15=7)</formula>
    </cfRule>
    <cfRule type="expression" priority="14" dxfId="1">
      <formula>AND(COUNT(C15:F15)=4,C15&lt;7*0.4)</formula>
    </cfRule>
    <cfRule type="expression" priority="15" dxfId="2">
      <formula>AND(COUNT(C15:F15)=4,C15&gt;=7*0.4,C15&lt;7)</formula>
    </cfRule>
  </conditionalFormatting>
  <conditionalFormatting sqref="C16">
    <cfRule type="expression" priority="16" dxfId="0">
      <formula>AND(COUNT(C16:F16)=4,C16=7)</formula>
    </cfRule>
    <cfRule type="expression" priority="17" dxfId="1">
      <formula>AND(COUNT(C16:F16)=4,C16&lt;7*0.4)</formula>
    </cfRule>
    <cfRule type="expression" priority="18" dxfId="2">
      <formula>AND(COUNT(C16:F16)=4,C16&gt;=7*0.4,C16&lt;7)</formula>
    </cfRule>
  </conditionalFormatting>
  <conditionalFormatting sqref="C17">
    <cfRule type="expression" priority="19" dxfId="0">
      <formula>AND(COUNT(C17:F17)=4,C17=7)</formula>
    </cfRule>
    <cfRule type="expression" priority="20" dxfId="1">
      <formula>AND(COUNT(C17:F17)=4,C17&lt;7*0.4)</formula>
    </cfRule>
    <cfRule type="expression" priority="21" dxfId="2">
      <formula>AND(COUNT(C17:F17)=4,C17&gt;=7*0.4,C17&lt;7)</formula>
    </cfRule>
  </conditionalFormatting>
  <conditionalFormatting sqref="C18">
    <cfRule type="expression" priority="22" dxfId="0">
      <formula>AND(COUNT(C18:F18)=4,C18=7)</formula>
    </cfRule>
    <cfRule type="expression" priority="23" dxfId="1">
      <formula>AND(COUNT(C18:F18)=4,C18&lt;7*0.4)</formula>
    </cfRule>
    <cfRule type="expression" priority="24" dxfId="2">
      <formula>AND(COUNT(C18:F18)=4,C18&gt;=7*0.4,C18&lt;7)</formula>
    </cfRule>
  </conditionalFormatting>
  <conditionalFormatting sqref="C19">
    <cfRule type="expression" priority="25" dxfId="0">
      <formula>AND(COUNT(C19:F19)=4,C19=7)</formula>
    </cfRule>
    <cfRule type="expression" priority="26" dxfId="1">
      <formula>AND(COUNT(C19:F19)=4,C19&lt;7*0.4)</formula>
    </cfRule>
    <cfRule type="expression" priority="27" dxfId="2">
      <formula>AND(COUNT(C19:F19)=4,C19&gt;=7*0.4,C19&lt;7)</formula>
    </cfRule>
  </conditionalFormatting>
  <conditionalFormatting sqref="C20">
    <cfRule type="expression" priority="28" dxfId="0">
      <formula>AND(COUNT(C20:F20)=4,C20=7)</formula>
    </cfRule>
    <cfRule type="expression" priority="29" dxfId="1">
      <formula>AND(COUNT(C20:F20)=4,C20&lt;7*0.4)</formula>
    </cfRule>
    <cfRule type="expression" priority="30" dxfId="2">
      <formula>AND(COUNT(C20:F20)=4,C20&gt;=7*0.4,C20&lt;7)</formula>
    </cfRule>
  </conditionalFormatting>
  <conditionalFormatting sqref="C21">
    <cfRule type="expression" priority="31" dxfId="0">
      <formula>AND(COUNT(C21:F21)=4,C21=7)</formula>
    </cfRule>
    <cfRule type="expression" priority="32" dxfId="1">
      <formula>AND(COUNT(C21:F21)=4,C21&lt;7*0.4)</formula>
    </cfRule>
    <cfRule type="expression" priority="33" dxfId="2">
      <formula>AND(COUNT(C21:F21)=4,C21&gt;=7*0.4,C21&lt;7)</formula>
    </cfRule>
  </conditionalFormatting>
  <conditionalFormatting sqref="C22">
    <cfRule type="expression" priority="34" dxfId="0">
      <formula>AND(COUNT(C22:F22)=4,C22=7)</formula>
    </cfRule>
    <cfRule type="expression" priority="35" dxfId="1">
      <formula>AND(COUNT(C22:F22)=4,C22&lt;7*0.4)</formula>
    </cfRule>
    <cfRule type="expression" priority="36" dxfId="2">
      <formula>AND(COUNT(C22:F22)=4,C22&gt;=7*0.4,C22&lt;7)</formula>
    </cfRule>
  </conditionalFormatting>
  <conditionalFormatting sqref="C23">
    <cfRule type="expression" priority="37" dxfId="0">
      <formula>AND(COUNT(C23:F23)=4,C23=7)</formula>
    </cfRule>
    <cfRule type="expression" priority="38" dxfId="1">
      <formula>AND(COUNT(C23:F23)=4,C23&lt;7*0.4)</formula>
    </cfRule>
    <cfRule type="expression" priority="39" dxfId="2">
      <formula>AND(COUNT(C23:F23)=4,C23&gt;=7*0.4,C23&lt;7)</formula>
    </cfRule>
  </conditionalFormatting>
  <conditionalFormatting sqref="C24">
    <cfRule type="expression" priority="40" dxfId="0">
      <formula>AND(COUNT(C24:F24)=4,C24=7)</formula>
    </cfRule>
    <cfRule type="expression" priority="41" dxfId="1">
      <formula>AND(COUNT(C24:F24)=4,C24&lt;7*0.4)</formula>
    </cfRule>
    <cfRule type="expression" priority="42" dxfId="2">
      <formula>AND(COUNT(C24:F24)=4,C24&gt;=7*0.4,C24&lt;7)</formula>
    </cfRule>
  </conditionalFormatting>
  <conditionalFormatting sqref="C25">
    <cfRule type="expression" priority="43" dxfId="0">
      <formula>AND(COUNT(C25:F25)=4,C25=7)</formula>
    </cfRule>
    <cfRule type="expression" priority="44" dxfId="1">
      <formula>AND(COUNT(C25:F25)=4,C25&lt;7*0.4)</formula>
    </cfRule>
    <cfRule type="expression" priority="45" dxfId="2">
      <formula>AND(COUNT(C25:F25)=4,C25&gt;=7*0.4,C25&lt;7)</formula>
    </cfRule>
  </conditionalFormatting>
  <conditionalFormatting sqref="C26">
    <cfRule type="expression" priority="46" dxfId="0">
      <formula>AND(COUNT(C26:F26)=4,C26=7)</formula>
    </cfRule>
    <cfRule type="expression" priority="47" dxfId="1">
      <formula>AND(COUNT(C26:F26)=4,C26&lt;7*0.4)</formula>
    </cfRule>
    <cfRule type="expression" priority="48" dxfId="2">
      <formula>AND(COUNT(C26:F26)=4,C26&gt;=7*0.4,C26&lt;7)</formula>
    </cfRule>
  </conditionalFormatting>
  <conditionalFormatting sqref="C27">
    <cfRule type="expression" priority="49" dxfId="0">
      <formula>AND(COUNT(C27:F27)=4,C27=7)</formula>
    </cfRule>
    <cfRule type="expression" priority="50" dxfId="1">
      <formula>AND(COUNT(C27:F27)=4,C27&lt;7*0.4)</formula>
    </cfRule>
    <cfRule type="expression" priority="51" dxfId="2">
      <formula>AND(COUNT(C27:F27)=4,C27&gt;=7*0.4,C27&lt;7)</formula>
    </cfRule>
  </conditionalFormatting>
  <conditionalFormatting sqref="C28">
    <cfRule type="expression" priority="52" dxfId="0">
      <formula>AND(COUNT(C28:F28)=4,C28=7)</formula>
    </cfRule>
    <cfRule type="expression" priority="53" dxfId="1">
      <formula>AND(COUNT(C28:F28)=4,C28&lt;7*0.4)</formula>
    </cfRule>
    <cfRule type="expression" priority="54" dxfId="2">
      <formula>AND(COUNT(C28:F28)=4,C28&gt;=7*0.4,C28&lt;7)</formula>
    </cfRule>
  </conditionalFormatting>
  <conditionalFormatting sqref="C29">
    <cfRule type="expression" priority="55" dxfId="0">
      <formula>AND(COUNT(C29:F29)=4,C29=7)</formula>
    </cfRule>
    <cfRule type="expression" priority="56" dxfId="1">
      <formula>AND(COUNT(C29:F29)=4,C29&lt;7*0.4)</formula>
    </cfRule>
    <cfRule type="expression" priority="57" dxfId="2">
      <formula>AND(COUNT(C29:F29)=4,C29&gt;=7*0.4,C29&lt;7)</formula>
    </cfRule>
  </conditionalFormatting>
  <conditionalFormatting sqref="C30">
    <cfRule type="expression" priority="58" dxfId="0">
      <formula>AND(COUNT(C30:F30)=4,C30=7)</formula>
    </cfRule>
    <cfRule type="expression" priority="59" dxfId="1">
      <formula>AND(COUNT(C30:F30)=4,C30&lt;7*0.4)</formula>
    </cfRule>
    <cfRule type="expression" priority="60" dxfId="2">
      <formula>AND(COUNT(C30:F30)=4,C30&gt;=7*0.4,C30&lt;7)</formula>
    </cfRule>
  </conditionalFormatting>
  <conditionalFormatting sqref="C31">
    <cfRule type="expression" priority="61" dxfId="0">
      <formula>AND(COUNT(C31:F31)=4,C31=7)</formula>
    </cfRule>
    <cfRule type="expression" priority="62" dxfId="1">
      <formula>AND(COUNT(C31:F31)=4,C31&lt;7*0.4)</formula>
    </cfRule>
    <cfRule type="expression" priority="63" dxfId="2">
      <formula>AND(COUNT(C31:F31)=4,C31&gt;=7*0.4,C31&lt;7)</formula>
    </cfRule>
  </conditionalFormatting>
  <conditionalFormatting sqref="C32">
    <cfRule type="expression" priority="64" dxfId="0">
      <formula>AND(COUNT(C32:F32)=4,C32=7)</formula>
    </cfRule>
    <cfRule type="expression" priority="65" dxfId="1">
      <formula>AND(COUNT(C32:F32)=4,C32&lt;7*0.4)</formula>
    </cfRule>
    <cfRule type="expression" priority="66" dxfId="2">
      <formula>AND(COUNT(C32:F32)=4,C32&gt;=7*0.4,C32&lt;7)</formula>
    </cfRule>
  </conditionalFormatting>
  <conditionalFormatting sqref="C33">
    <cfRule type="expression" priority="67" dxfId="0">
      <formula>AND(COUNT(C33:F33)=4,C33=7)</formula>
    </cfRule>
    <cfRule type="expression" priority="68" dxfId="1">
      <formula>AND(COUNT(C33:F33)=4,C33&lt;7*0.4)</formula>
    </cfRule>
    <cfRule type="expression" priority="69" dxfId="2">
      <formula>AND(COUNT(C33:F33)=4,C33&gt;=7*0.4,C33&lt;7)</formula>
    </cfRule>
  </conditionalFormatting>
  <conditionalFormatting sqref="C34">
    <cfRule type="expression" priority="70" dxfId="0">
      <formula>AND(COUNT(C34:F34)=4,C34=7)</formula>
    </cfRule>
    <cfRule type="expression" priority="71" dxfId="1">
      <formula>AND(COUNT(C34:F34)=4,C34&lt;7*0.4)</formula>
    </cfRule>
    <cfRule type="expression" priority="72" dxfId="2">
      <formula>AND(COUNT(C34:F34)=4,C34&gt;=7*0.4,C34&lt;7)</formula>
    </cfRule>
  </conditionalFormatting>
  <conditionalFormatting sqref="C35">
    <cfRule type="expression" priority="73" dxfId="0">
      <formula>AND(COUNT(C35:F35)=4,C35=7)</formula>
    </cfRule>
    <cfRule type="expression" priority="74" dxfId="1">
      <formula>AND(COUNT(C35:F35)=4,C35&lt;7*0.4)</formula>
    </cfRule>
    <cfRule type="expression" priority="75" dxfId="2">
      <formula>AND(COUNT(C35:F35)=4,C35&gt;=7*0.4,C35&lt;7)</formula>
    </cfRule>
  </conditionalFormatting>
  <conditionalFormatting sqref="C36">
    <cfRule type="expression" priority="76" dxfId="0">
      <formula>AND(COUNT(C36:F36)=4,C36=7)</formula>
    </cfRule>
    <cfRule type="expression" priority="77" dxfId="1">
      <formula>AND(COUNT(C36:F36)=4,C36&lt;7*0.4)</formula>
    </cfRule>
    <cfRule type="expression" priority="78" dxfId="2">
      <formula>AND(COUNT(C36:F36)=4,C36&gt;=7*0.4,C36&lt;7)</formula>
    </cfRule>
  </conditionalFormatting>
  <conditionalFormatting sqref="C37">
    <cfRule type="expression" priority="79" dxfId="0">
      <formula>AND(COUNT(C37:F37)=4,C37=7)</formula>
    </cfRule>
    <cfRule type="expression" priority="80" dxfId="1">
      <formula>AND(COUNT(C37:F37)=4,C37&lt;7*0.4)</formula>
    </cfRule>
    <cfRule type="expression" priority="81" dxfId="2">
      <formula>AND(COUNT(C37:F37)=4,C37&gt;=7*0.4,C37&lt;7)</formula>
    </cfRule>
  </conditionalFormatting>
  <conditionalFormatting sqref="C38">
    <cfRule type="expression" priority="82" dxfId="0">
      <formula>AND(COUNT(C38:F38)=4,C38=7)</formula>
    </cfRule>
    <cfRule type="expression" priority="83" dxfId="1">
      <formula>AND(COUNT(C38:F38)=4,C38&lt;7*0.4)</formula>
    </cfRule>
    <cfRule type="expression" priority="84" dxfId="2">
      <formula>AND(COUNT(C38:F38)=4,C38&gt;=7*0.4,C38&lt;7)</formula>
    </cfRule>
  </conditionalFormatting>
  <conditionalFormatting sqref="C39">
    <cfRule type="expression" priority="85" dxfId="0">
      <formula>AND(COUNT(C39:F39)=4,C39=7)</formula>
    </cfRule>
    <cfRule type="expression" priority="86" dxfId="1">
      <formula>AND(COUNT(C39:F39)=4,C39&lt;7*0.4)</formula>
    </cfRule>
    <cfRule type="expression" priority="87" dxfId="2">
      <formula>AND(COUNT(C39:F39)=4,C39&gt;=7*0.4,C39&lt;7)</formula>
    </cfRule>
  </conditionalFormatting>
  <conditionalFormatting sqref="C40">
    <cfRule type="expression" priority="88" dxfId="0">
      <formula>AND(COUNT(C40:F40)=4,C40=7)</formula>
    </cfRule>
    <cfRule type="expression" priority="89" dxfId="1">
      <formula>AND(COUNT(C40:F40)=4,C40&lt;7*0.4)</formula>
    </cfRule>
    <cfRule type="expression" priority="90" dxfId="2">
      <formula>AND(COUNT(C40:F40)=4,C40&gt;=7*0.4,C40&lt;7)</formula>
    </cfRule>
  </conditionalFormatting>
  <conditionalFormatting sqref="C41">
    <cfRule type="expression" priority="91" dxfId="0">
      <formula>AND(COUNT(C41:F41)=4,C41=7)</formula>
    </cfRule>
    <cfRule type="expression" priority="92" dxfId="1">
      <formula>AND(COUNT(C41:F41)=4,C41&lt;7*0.4)</formula>
    </cfRule>
    <cfRule type="expression" priority="93" dxfId="2">
      <formula>AND(COUNT(C41:F41)=4,C41&gt;=7*0.4,C41&lt;7)</formula>
    </cfRule>
  </conditionalFormatting>
  <conditionalFormatting sqref="D11">
    <cfRule type="expression" priority="94" dxfId="0">
      <formula>AND(COUNT(C11:F11)=4,D11=5)</formula>
    </cfRule>
    <cfRule type="expression" priority="95" dxfId="1">
      <formula>AND(COUNT(C11:F11)=4,D11&lt;5*0.4)</formula>
    </cfRule>
    <cfRule type="expression" priority="96" dxfId="2">
      <formula>AND(COUNT(C11:F11)=4,D11&gt;=5*0.4,D11&lt;5)</formula>
    </cfRule>
  </conditionalFormatting>
  <conditionalFormatting sqref="D12">
    <cfRule type="expression" priority="97" dxfId="0">
      <formula>AND(COUNT(C12:F12)=4,D12=5)</formula>
    </cfRule>
    <cfRule type="expression" priority="98" dxfId="1">
      <formula>AND(COUNT(C12:F12)=4,D12&lt;5*0.4)</formula>
    </cfRule>
    <cfRule type="expression" priority="99" dxfId="2">
      <formula>AND(COUNT(C12:F12)=4,D12&gt;=5*0.4,D12&lt;5)</formula>
    </cfRule>
  </conditionalFormatting>
  <conditionalFormatting sqref="D13">
    <cfRule type="expression" priority="100" dxfId="0">
      <formula>AND(COUNT(C13:F13)=4,D13=5)</formula>
    </cfRule>
    <cfRule type="expression" priority="101" dxfId="1">
      <formula>AND(COUNT(C13:F13)=4,D13&lt;5*0.4)</formula>
    </cfRule>
    <cfRule type="expression" priority="102" dxfId="2">
      <formula>AND(COUNT(C13:F13)=4,D13&gt;=5*0.4,D13&lt;5)</formula>
    </cfRule>
  </conditionalFormatting>
  <conditionalFormatting sqref="D14">
    <cfRule type="expression" priority="103" dxfId="0">
      <formula>AND(COUNT(C14:F14)=4,D14=5)</formula>
    </cfRule>
    <cfRule type="expression" priority="104" dxfId="1">
      <formula>AND(COUNT(C14:F14)=4,D14&lt;5*0.4)</formula>
    </cfRule>
    <cfRule type="expression" priority="105" dxfId="2">
      <formula>AND(COUNT(C14:F14)=4,D14&gt;=5*0.4,D14&lt;5)</formula>
    </cfRule>
  </conditionalFormatting>
  <conditionalFormatting sqref="D15">
    <cfRule type="expression" priority="106" dxfId="0">
      <formula>AND(COUNT(C15:F15)=4,D15=5)</formula>
    </cfRule>
    <cfRule type="expression" priority="107" dxfId="1">
      <formula>AND(COUNT(C15:F15)=4,D15&lt;5*0.4)</formula>
    </cfRule>
    <cfRule type="expression" priority="108" dxfId="2">
      <formula>AND(COUNT(C15:F15)=4,D15&gt;=5*0.4,D15&lt;5)</formula>
    </cfRule>
  </conditionalFormatting>
  <conditionalFormatting sqref="D16">
    <cfRule type="expression" priority="109" dxfId="0">
      <formula>AND(COUNT(C16:F16)=4,D16=5)</formula>
    </cfRule>
    <cfRule type="expression" priority="110" dxfId="1">
      <formula>AND(COUNT(C16:F16)=4,D16&lt;5*0.4)</formula>
    </cfRule>
    <cfRule type="expression" priority="111" dxfId="2">
      <formula>AND(COUNT(C16:F16)=4,D16&gt;=5*0.4,D16&lt;5)</formula>
    </cfRule>
  </conditionalFormatting>
  <conditionalFormatting sqref="D17">
    <cfRule type="expression" priority="112" dxfId="0">
      <formula>AND(COUNT(C17:F17)=4,D17=5)</formula>
    </cfRule>
    <cfRule type="expression" priority="113" dxfId="1">
      <formula>AND(COUNT(C17:F17)=4,D17&lt;5*0.4)</formula>
    </cfRule>
    <cfRule type="expression" priority="114" dxfId="2">
      <formula>AND(COUNT(C17:F17)=4,D17&gt;=5*0.4,D17&lt;5)</formula>
    </cfRule>
  </conditionalFormatting>
  <conditionalFormatting sqref="D18">
    <cfRule type="expression" priority="115" dxfId="0">
      <formula>AND(COUNT(C18:F18)=4,D18=5)</formula>
    </cfRule>
    <cfRule type="expression" priority="116" dxfId="1">
      <formula>AND(COUNT(C18:F18)=4,D18&lt;5*0.4)</formula>
    </cfRule>
    <cfRule type="expression" priority="117" dxfId="2">
      <formula>AND(COUNT(C18:F18)=4,D18&gt;=5*0.4,D18&lt;5)</formula>
    </cfRule>
  </conditionalFormatting>
  <conditionalFormatting sqref="D19">
    <cfRule type="expression" priority="118" dxfId="0">
      <formula>AND(COUNT(C19:F19)=4,D19=5)</formula>
    </cfRule>
    <cfRule type="expression" priority="119" dxfId="1">
      <formula>AND(COUNT(C19:F19)=4,D19&lt;5*0.4)</formula>
    </cfRule>
    <cfRule type="expression" priority="120" dxfId="2">
      <formula>AND(COUNT(C19:F19)=4,D19&gt;=5*0.4,D19&lt;5)</formula>
    </cfRule>
  </conditionalFormatting>
  <conditionalFormatting sqref="D20">
    <cfRule type="expression" priority="121" dxfId="0">
      <formula>AND(COUNT(C20:F20)=4,D20=5)</formula>
    </cfRule>
    <cfRule type="expression" priority="122" dxfId="1">
      <formula>AND(COUNT(C20:F20)=4,D20&lt;5*0.4)</formula>
    </cfRule>
    <cfRule type="expression" priority="123" dxfId="2">
      <formula>AND(COUNT(C20:F20)=4,D20&gt;=5*0.4,D20&lt;5)</formula>
    </cfRule>
  </conditionalFormatting>
  <conditionalFormatting sqref="D21">
    <cfRule type="expression" priority="124" dxfId="0">
      <formula>AND(COUNT(C21:F21)=4,D21=5)</formula>
    </cfRule>
    <cfRule type="expression" priority="125" dxfId="1">
      <formula>AND(COUNT(C21:F21)=4,D21&lt;5*0.4)</formula>
    </cfRule>
    <cfRule type="expression" priority="126" dxfId="2">
      <formula>AND(COUNT(C21:F21)=4,D21&gt;=5*0.4,D21&lt;5)</formula>
    </cfRule>
  </conditionalFormatting>
  <conditionalFormatting sqref="D22">
    <cfRule type="expression" priority="127" dxfId="0">
      <formula>AND(COUNT(C22:F22)=4,D22=5)</formula>
    </cfRule>
    <cfRule type="expression" priority="128" dxfId="1">
      <formula>AND(COUNT(C22:F22)=4,D22&lt;5*0.4)</formula>
    </cfRule>
    <cfRule type="expression" priority="129" dxfId="2">
      <formula>AND(COUNT(C22:F22)=4,D22&gt;=5*0.4,D22&lt;5)</formula>
    </cfRule>
  </conditionalFormatting>
  <conditionalFormatting sqref="D23">
    <cfRule type="expression" priority="130" dxfId="0">
      <formula>AND(COUNT(C23:F23)=4,D23=5)</formula>
    </cfRule>
    <cfRule type="expression" priority="131" dxfId="1">
      <formula>AND(COUNT(C23:F23)=4,D23&lt;5*0.4)</formula>
    </cfRule>
    <cfRule type="expression" priority="132" dxfId="2">
      <formula>AND(COUNT(C23:F23)=4,D23&gt;=5*0.4,D23&lt;5)</formula>
    </cfRule>
  </conditionalFormatting>
  <conditionalFormatting sqref="D24">
    <cfRule type="expression" priority="133" dxfId="0">
      <formula>AND(COUNT(C24:F24)=4,D24=5)</formula>
    </cfRule>
    <cfRule type="expression" priority="134" dxfId="1">
      <formula>AND(COUNT(C24:F24)=4,D24&lt;5*0.4)</formula>
    </cfRule>
    <cfRule type="expression" priority="135" dxfId="2">
      <formula>AND(COUNT(C24:F24)=4,D24&gt;=5*0.4,D24&lt;5)</formula>
    </cfRule>
  </conditionalFormatting>
  <conditionalFormatting sqref="D25">
    <cfRule type="expression" priority="136" dxfId="0">
      <formula>AND(COUNT(C25:F25)=4,D25=5)</formula>
    </cfRule>
    <cfRule type="expression" priority="137" dxfId="1">
      <formula>AND(COUNT(C25:F25)=4,D25&lt;5*0.4)</formula>
    </cfRule>
    <cfRule type="expression" priority="138" dxfId="2">
      <formula>AND(COUNT(C25:F25)=4,D25&gt;=5*0.4,D25&lt;5)</formula>
    </cfRule>
  </conditionalFormatting>
  <conditionalFormatting sqref="D26">
    <cfRule type="expression" priority="139" dxfId="0">
      <formula>AND(COUNT(C26:F26)=4,D26=5)</formula>
    </cfRule>
    <cfRule type="expression" priority="140" dxfId="1">
      <formula>AND(COUNT(C26:F26)=4,D26&lt;5*0.4)</formula>
    </cfRule>
    <cfRule type="expression" priority="141" dxfId="2">
      <formula>AND(COUNT(C26:F26)=4,D26&gt;=5*0.4,D26&lt;5)</formula>
    </cfRule>
  </conditionalFormatting>
  <conditionalFormatting sqref="D27">
    <cfRule type="expression" priority="142" dxfId="0">
      <formula>AND(COUNT(C27:F27)=4,D27=5)</formula>
    </cfRule>
    <cfRule type="expression" priority="143" dxfId="1">
      <formula>AND(COUNT(C27:F27)=4,D27&lt;5*0.4)</formula>
    </cfRule>
    <cfRule type="expression" priority="144" dxfId="2">
      <formula>AND(COUNT(C27:F27)=4,D27&gt;=5*0.4,D27&lt;5)</formula>
    </cfRule>
  </conditionalFormatting>
  <conditionalFormatting sqref="D28">
    <cfRule type="expression" priority="145" dxfId="0">
      <formula>AND(COUNT(C28:F28)=4,D28=5)</formula>
    </cfRule>
    <cfRule type="expression" priority="146" dxfId="1">
      <formula>AND(COUNT(C28:F28)=4,D28&lt;5*0.4)</formula>
    </cfRule>
    <cfRule type="expression" priority="147" dxfId="2">
      <formula>AND(COUNT(C28:F28)=4,D28&gt;=5*0.4,D28&lt;5)</formula>
    </cfRule>
  </conditionalFormatting>
  <conditionalFormatting sqref="D29">
    <cfRule type="expression" priority="148" dxfId="0">
      <formula>AND(COUNT(C29:F29)=4,D29=5)</formula>
    </cfRule>
    <cfRule type="expression" priority="149" dxfId="1">
      <formula>AND(COUNT(C29:F29)=4,D29&lt;5*0.4)</formula>
    </cfRule>
    <cfRule type="expression" priority="150" dxfId="2">
      <formula>AND(COUNT(C29:F29)=4,D29&gt;=5*0.4,D29&lt;5)</formula>
    </cfRule>
  </conditionalFormatting>
  <conditionalFormatting sqref="D30">
    <cfRule type="expression" priority="151" dxfId="0">
      <formula>AND(COUNT(C30:F30)=4,D30=5)</formula>
    </cfRule>
    <cfRule type="expression" priority="152" dxfId="1">
      <formula>AND(COUNT(C30:F30)=4,D30&lt;5*0.4)</formula>
    </cfRule>
    <cfRule type="expression" priority="153" dxfId="2">
      <formula>AND(COUNT(C30:F30)=4,D30&gt;=5*0.4,D30&lt;5)</formula>
    </cfRule>
  </conditionalFormatting>
  <conditionalFormatting sqref="D31">
    <cfRule type="expression" priority="154" dxfId="0">
      <formula>AND(COUNT(C31:F31)=4,D31=5)</formula>
    </cfRule>
    <cfRule type="expression" priority="155" dxfId="1">
      <formula>AND(COUNT(C31:F31)=4,D31&lt;5*0.4)</formula>
    </cfRule>
    <cfRule type="expression" priority="156" dxfId="2">
      <formula>AND(COUNT(C31:F31)=4,D31&gt;=5*0.4,D31&lt;5)</formula>
    </cfRule>
  </conditionalFormatting>
  <conditionalFormatting sqref="D32">
    <cfRule type="expression" priority="157" dxfId="0">
      <formula>AND(COUNT(C32:F32)=4,D32=5)</formula>
    </cfRule>
    <cfRule type="expression" priority="158" dxfId="1">
      <formula>AND(COUNT(C32:F32)=4,D32&lt;5*0.4)</formula>
    </cfRule>
    <cfRule type="expression" priority="159" dxfId="2">
      <formula>AND(COUNT(C32:F32)=4,D32&gt;=5*0.4,D32&lt;5)</formula>
    </cfRule>
  </conditionalFormatting>
  <conditionalFormatting sqref="D33">
    <cfRule type="expression" priority="160" dxfId="0">
      <formula>AND(COUNT(C33:F33)=4,D33=5)</formula>
    </cfRule>
    <cfRule type="expression" priority="161" dxfId="1">
      <formula>AND(COUNT(C33:F33)=4,D33&lt;5*0.4)</formula>
    </cfRule>
    <cfRule type="expression" priority="162" dxfId="2">
      <formula>AND(COUNT(C33:F33)=4,D33&gt;=5*0.4,D33&lt;5)</formula>
    </cfRule>
  </conditionalFormatting>
  <conditionalFormatting sqref="D34">
    <cfRule type="expression" priority="163" dxfId="0">
      <formula>AND(COUNT(C34:F34)=4,D34=5)</formula>
    </cfRule>
    <cfRule type="expression" priority="164" dxfId="1">
      <formula>AND(COUNT(C34:F34)=4,D34&lt;5*0.4)</formula>
    </cfRule>
    <cfRule type="expression" priority="165" dxfId="2">
      <formula>AND(COUNT(C34:F34)=4,D34&gt;=5*0.4,D34&lt;5)</formula>
    </cfRule>
  </conditionalFormatting>
  <conditionalFormatting sqref="D35">
    <cfRule type="expression" priority="166" dxfId="0">
      <formula>AND(COUNT(C35:F35)=4,D35=5)</formula>
    </cfRule>
    <cfRule type="expression" priority="167" dxfId="1">
      <formula>AND(COUNT(C35:F35)=4,D35&lt;5*0.4)</formula>
    </cfRule>
    <cfRule type="expression" priority="168" dxfId="2">
      <formula>AND(COUNT(C35:F35)=4,D35&gt;=5*0.4,D35&lt;5)</formula>
    </cfRule>
  </conditionalFormatting>
  <conditionalFormatting sqref="D36">
    <cfRule type="expression" priority="169" dxfId="0">
      <formula>AND(COUNT(C36:F36)=4,D36=5)</formula>
    </cfRule>
    <cfRule type="expression" priority="170" dxfId="1">
      <formula>AND(COUNT(C36:F36)=4,D36&lt;5*0.4)</formula>
    </cfRule>
    <cfRule type="expression" priority="171" dxfId="2">
      <formula>AND(COUNT(C36:F36)=4,D36&gt;=5*0.4,D36&lt;5)</formula>
    </cfRule>
  </conditionalFormatting>
  <conditionalFormatting sqref="D37">
    <cfRule type="expression" priority="172" dxfId="0">
      <formula>AND(COUNT(C37:F37)=4,D37=5)</formula>
    </cfRule>
    <cfRule type="expression" priority="173" dxfId="1">
      <formula>AND(COUNT(C37:F37)=4,D37&lt;5*0.4)</formula>
    </cfRule>
    <cfRule type="expression" priority="174" dxfId="2">
      <formula>AND(COUNT(C37:F37)=4,D37&gt;=5*0.4,D37&lt;5)</formula>
    </cfRule>
  </conditionalFormatting>
  <conditionalFormatting sqref="D38">
    <cfRule type="expression" priority="175" dxfId="0">
      <formula>AND(COUNT(C38:F38)=4,D38=5)</formula>
    </cfRule>
    <cfRule type="expression" priority="176" dxfId="1">
      <formula>AND(COUNT(C38:F38)=4,D38&lt;5*0.4)</formula>
    </cfRule>
    <cfRule type="expression" priority="177" dxfId="2">
      <formula>AND(COUNT(C38:F38)=4,D38&gt;=5*0.4,D38&lt;5)</formula>
    </cfRule>
  </conditionalFormatting>
  <conditionalFormatting sqref="D39">
    <cfRule type="expression" priority="178" dxfId="0">
      <formula>AND(COUNT(C39:F39)=4,D39=5)</formula>
    </cfRule>
    <cfRule type="expression" priority="179" dxfId="1">
      <formula>AND(COUNT(C39:F39)=4,D39&lt;5*0.4)</formula>
    </cfRule>
    <cfRule type="expression" priority="180" dxfId="2">
      <formula>AND(COUNT(C39:F39)=4,D39&gt;=5*0.4,D39&lt;5)</formula>
    </cfRule>
  </conditionalFormatting>
  <conditionalFormatting sqref="D40">
    <cfRule type="expression" priority="181" dxfId="0">
      <formula>AND(COUNT(C40:F40)=4,D40=5)</formula>
    </cfRule>
    <cfRule type="expression" priority="182" dxfId="1">
      <formula>AND(COUNT(C40:F40)=4,D40&lt;5*0.4)</formula>
    </cfRule>
    <cfRule type="expression" priority="183" dxfId="2">
      <formula>AND(COUNT(C40:F40)=4,D40&gt;=5*0.4,D40&lt;5)</formula>
    </cfRule>
  </conditionalFormatting>
  <conditionalFormatting sqref="D41">
    <cfRule type="expression" priority="184" dxfId="0">
      <formula>AND(COUNT(C41:F41)=4,D41=5)</formula>
    </cfRule>
    <cfRule type="expression" priority="185" dxfId="1">
      <formula>AND(COUNT(C41:F41)=4,D41&lt;5*0.4)</formula>
    </cfRule>
    <cfRule type="expression" priority="186" dxfId="2">
      <formula>AND(COUNT(C41:F41)=4,D41&gt;=5*0.4,D41&lt;5)</formula>
    </cfRule>
  </conditionalFormatting>
  <conditionalFormatting sqref="E11">
    <cfRule type="expression" priority="187" dxfId="0">
      <formula>AND(COUNT(C11:F11)=4,E11=6)</formula>
    </cfRule>
    <cfRule type="expression" priority="188" dxfId="1">
      <formula>AND(COUNT(C11:F11)=4,E11&lt;6*0.4)</formula>
    </cfRule>
    <cfRule type="expression" priority="189" dxfId="2">
      <formula>AND(COUNT(C11:F11)=4,E11&gt;=6*0.4,E11&lt;6)</formula>
    </cfRule>
  </conditionalFormatting>
  <conditionalFormatting sqref="E12">
    <cfRule type="expression" priority="190" dxfId="0">
      <formula>AND(COUNT(C12:F12)=4,E12=6)</formula>
    </cfRule>
    <cfRule type="expression" priority="191" dxfId="1">
      <formula>AND(COUNT(C12:F12)=4,E12&lt;6*0.4)</formula>
    </cfRule>
    <cfRule type="expression" priority="192" dxfId="2">
      <formula>AND(COUNT(C12:F12)=4,E12&gt;=6*0.4,E12&lt;6)</formula>
    </cfRule>
  </conditionalFormatting>
  <conditionalFormatting sqref="E13">
    <cfRule type="expression" priority="193" dxfId="0">
      <formula>AND(COUNT(C13:F13)=4,E13=6)</formula>
    </cfRule>
    <cfRule type="expression" priority="194" dxfId="1">
      <formula>AND(COUNT(C13:F13)=4,E13&lt;6*0.4)</formula>
    </cfRule>
    <cfRule type="expression" priority="195" dxfId="2">
      <formula>AND(COUNT(C13:F13)=4,E13&gt;=6*0.4,E13&lt;6)</formula>
    </cfRule>
  </conditionalFormatting>
  <conditionalFormatting sqref="E14">
    <cfRule type="expression" priority="196" dxfId="0">
      <formula>AND(COUNT(C14:F14)=4,E14=6)</formula>
    </cfRule>
    <cfRule type="expression" priority="197" dxfId="1">
      <formula>AND(COUNT(C14:F14)=4,E14&lt;6*0.4)</formula>
    </cfRule>
    <cfRule type="expression" priority="198" dxfId="2">
      <formula>AND(COUNT(C14:F14)=4,E14&gt;=6*0.4,E14&lt;6)</formula>
    </cfRule>
  </conditionalFormatting>
  <conditionalFormatting sqref="E15">
    <cfRule type="expression" priority="199" dxfId="0">
      <formula>AND(COUNT(C15:F15)=4,E15=6)</formula>
    </cfRule>
    <cfRule type="expression" priority="200" dxfId="1">
      <formula>AND(COUNT(C15:F15)=4,E15&lt;6*0.4)</formula>
    </cfRule>
    <cfRule type="expression" priority="201" dxfId="2">
      <formula>AND(COUNT(C15:F15)=4,E15&gt;=6*0.4,E15&lt;6)</formula>
    </cfRule>
  </conditionalFormatting>
  <conditionalFormatting sqref="E16">
    <cfRule type="expression" priority="202" dxfId="0">
      <formula>AND(COUNT(C16:F16)=4,E16=6)</formula>
    </cfRule>
    <cfRule type="expression" priority="203" dxfId="1">
      <formula>AND(COUNT(C16:F16)=4,E16&lt;6*0.4)</formula>
    </cfRule>
    <cfRule type="expression" priority="204" dxfId="2">
      <formula>AND(COUNT(C16:F16)=4,E16&gt;=6*0.4,E16&lt;6)</formula>
    </cfRule>
  </conditionalFormatting>
  <conditionalFormatting sqref="E17">
    <cfRule type="expression" priority="205" dxfId="0">
      <formula>AND(COUNT(C17:F17)=4,E17=6)</formula>
    </cfRule>
    <cfRule type="expression" priority="206" dxfId="1">
      <formula>AND(COUNT(C17:F17)=4,E17&lt;6*0.4)</formula>
    </cfRule>
    <cfRule type="expression" priority="207" dxfId="2">
      <formula>AND(COUNT(C17:F17)=4,E17&gt;=6*0.4,E17&lt;6)</formula>
    </cfRule>
  </conditionalFormatting>
  <conditionalFormatting sqref="E18">
    <cfRule type="expression" priority="208" dxfId="0">
      <formula>AND(COUNT(C18:F18)=4,E18=6)</formula>
    </cfRule>
    <cfRule type="expression" priority="209" dxfId="1">
      <formula>AND(COUNT(C18:F18)=4,E18&lt;6*0.4)</formula>
    </cfRule>
    <cfRule type="expression" priority="210" dxfId="2">
      <formula>AND(COUNT(C18:F18)=4,E18&gt;=6*0.4,E18&lt;6)</formula>
    </cfRule>
  </conditionalFormatting>
  <conditionalFormatting sqref="E19">
    <cfRule type="expression" priority="211" dxfId="0">
      <formula>AND(COUNT(C19:F19)=4,E19=6)</formula>
    </cfRule>
    <cfRule type="expression" priority="212" dxfId="1">
      <formula>AND(COUNT(C19:F19)=4,E19&lt;6*0.4)</formula>
    </cfRule>
    <cfRule type="expression" priority="213" dxfId="2">
      <formula>AND(COUNT(C19:F19)=4,E19&gt;=6*0.4,E19&lt;6)</formula>
    </cfRule>
  </conditionalFormatting>
  <conditionalFormatting sqref="E20">
    <cfRule type="expression" priority="214" dxfId="0">
      <formula>AND(COUNT(C20:F20)=4,E20=6)</formula>
    </cfRule>
    <cfRule type="expression" priority="215" dxfId="1">
      <formula>AND(COUNT(C20:F20)=4,E20&lt;6*0.4)</formula>
    </cfRule>
    <cfRule type="expression" priority="216" dxfId="2">
      <formula>AND(COUNT(C20:F20)=4,E20&gt;=6*0.4,E20&lt;6)</formula>
    </cfRule>
  </conditionalFormatting>
  <conditionalFormatting sqref="E21">
    <cfRule type="expression" priority="217" dxfId="0">
      <formula>AND(COUNT(C21:F21)=4,E21=6)</formula>
    </cfRule>
    <cfRule type="expression" priority="218" dxfId="1">
      <formula>AND(COUNT(C21:F21)=4,E21&lt;6*0.4)</formula>
    </cfRule>
    <cfRule type="expression" priority="219" dxfId="2">
      <formula>AND(COUNT(C21:F21)=4,E21&gt;=6*0.4,E21&lt;6)</formula>
    </cfRule>
  </conditionalFormatting>
  <conditionalFormatting sqref="E22">
    <cfRule type="expression" priority="220" dxfId="0">
      <formula>AND(COUNT(C22:F22)=4,E22=6)</formula>
    </cfRule>
    <cfRule type="expression" priority="221" dxfId="1">
      <formula>AND(COUNT(C22:F22)=4,E22&lt;6*0.4)</formula>
    </cfRule>
    <cfRule type="expression" priority="222" dxfId="2">
      <formula>AND(COUNT(C22:F22)=4,E22&gt;=6*0.4,E22&lt;6)</formula>
    </cfRule>
  </conditionalFormatting>
  <conditionalFormatting sqref="E23">
    <cfRule type="expression" priority="223" dxfId="0">
      <formula>AND(COUNT(C23:F23)=4,E23=6)</formula>
    </cfRule>
    <cfRule type="expression" priority="224" dxfId="1">
      <formula>AND(COUNT(C23:F23)=4,E23&lt;6*0.4)</formula>
    </cfRule>
    <cfRule type="expression" priority="225" dxfId="2">
      <formula>AND(COUNT(C23:F23)=4,E23&gt;=6*0.4,E23&lt;6)</formula>
    </cfRule>
  </conditionalFormatting>
  <conditionalFormatting sqref="E24">
    <cfRule type="expression" priority="226" dxfId="0">
      <formula>AND(COUNT(C24:F24)=4,E24=6)</formula>
    </cfRule>
    <cfRule type="expression" priority="227" dxfId="1">
      <formula>AND(COUNT(C24:F24)=4,E24&lt;6*0.4)</formula>
    </cfRule>
    <cfRule type="expression" priority="228" dxfId="2">
      <formula>AND(COUNT(C24:F24)=4,E24&gt;=6*0.4,E24&lt;6)</formula>
    </cfRule>
  </conditionalFormatting>
  <conditionalFormatting sqref="E25">
    <cfRule type="expression" priority="229" dxfId="0">
      <formula>AND(COUNT(C25:F25)=4,E25=6)</formula>
    </cfRule>
    <cfRule type="expression" priority="230" dxfId="1">
      <formula>AND(COUNT(C25:F25)=4,E25&lt;6*0.4)</formula>
    </cfRule>
    <cfRule type="expression" priority="231" dxfId="2">
      <formula>AND(COUNT(C25:F25)=4,E25&gt;=6*0.4,E25&lt;6)</formula>
    </cfRule>
  </conditionalFormatting>
  <conditionalFormatting sqref="E26">
    <cfRule type="expression" priority="232" dxfId="0">
      <formula>AND(COUNT(C26:F26)=4,E26=6)</formula>
    </cfRule>
    <cfRule type="expression" priority="233" dxfId="1">
      <formula>AND(COUNT(C26:F26)=4,E26&lt;6*0.4)</formula>
    </cfRule>
    <cfRule type="expression" priority="234" dxfId="2">
      <formula>AND(COUNT(C26:F26)=4,E26&gt;=6*0.4,E26&lt;6)</formula>
    </cfRule>
  </conditionalFormatting>
  <conditionalFormatting sqref="E27">
    <cfRule type="expression" priority="235" dxfId="0">
      <formula>AND(COUNT(C27:F27)=4,E27=6)</formula>
    </cfRule>
    <cfRule type="expression" priority="236" dxfId="1">
      <formula>AND(COUNT(C27:F27)=4,E27&lt;6*0.4)</formula>
    </cfRule>
    <cfRule type="expression" priority="237" dxfId="2">
      <formula>AND(COUNT(C27:F27)=4,E27&gt;=6*0.4,E27&lt;6)</formula>
    </cfRule>
  </conditionalFormatting>
  <conditionalFormatting sqref="E28">
    <cfRule type="expression" priority="238" dxfId="0">
      <formula>AND(COUNT(C28:F28)=4,E28=6)</formula>
    </cfRule>
    <cfRule type="expression" priority="239" dxfId="1">
      <formula>AND(COUNT(C28:F28)=4,E28&lt;6*0.4)</formula>
    </cfRule>
    <cfRule type="expression" priority="240" dxfId="2">
      <formula>AND(COUNT(C28:F28)=4,E28&gt;=6*0.4,E28&lt;6)</formula>
    </cfRule>
  </conditionalFormatting>
  <conditionalFormatting sqref="E29">
    <cfRule type="expression" priority="241" dxfId="0">
      <formula>AND(COUNT(C29:F29)=4,E29=6)</formula>
    </cfRule>
    <cfRule type="expression" priority="242" dxfId="1">
      <formula>AND(COUNT(C29:F29)=4,E29&lt;6*0.4)</formula>
    </cfRule>
    <cfRule type="expression" priority="243" dxfId="2">
      <formula>AND(COUNT(C29:F29)=4,E29&gt;=6*0.4,E29&lt;6)</formula>
    </cfRule>
  </conditionalFormatting>
  <conditionalFormatting sqref="E30">
    <cfRule type="expression" priority="244" dxfId="0">
      <formula>AND(COUNT(C30:F30)=4,E30=6)</formula>
    </cfRule>
    <cfRule type="expression" priority="245" dxfId="1">
      <formula>AND(COUNT(C30:F30)=4,E30&lt;6*0.4)</formula>
    </cfRule>
    <cfRule type="expression" priority="246" dxfId="2">
      <formula>AND(COUNT(C30:F30)=4,E30&gt;=6*0.4,E30&lt;6)</formula>
    </cfRule>
  </conditionalFormatting>
  <conditionalFormatting sqref="E31">
    <cfRule type="expression" priority="247" dxfId="0">
      <formula>AND(COUNT(C31:F31)=4,E31=6)</formula>
    </cfRule>
    <cfRule type="expression" priority="248" dxfId="1">
      <formula>AND(COUNT(C31:F31)=4,E31&lt;6*0.4)</formula>
    </cfRule>
    <cfRule type="expression" priority="249" dxfId="2">
      <formula>AND(COUNT(C31:F31)=4,E31&gt;=6*0.4,E31&lt;6)</formula>
    </cfRule>
  </conditionalFormatting>
  <conditionalFormatting sqref="E32">
    <cfRule type="expression" priority="250" dxfId="0">
      <formula>AND(COUNT(C32:F32)=4,E32=6)</formula>
    </cfRule>
    <cfRule type="expression" priority="251" dxfId="1">
      <formula>AND(COUNT(C32:F32)=4,E32&lt;6*0.4)</formula>
    </cfRule>
    <cfRule type="expression" priority="252" dxfId="2">
      <formula>AND(COUNT(C32:F32)=4,E32&gt;=6*0.4,E32&lt;6)</formula>
    </cfRule>
  </conditionalFormatting>
  <conditionalFormatting sqref="E33">
    <cfRule type="expression" priority="253" dxfId="0">
      <formula>AND(COUNT(C33:F33)=4,E33=6)</formula>
    </cfRule>
    <cfRule type="expression" priority="254" dxfId="1">
      <formula>AND(COUNT(C33:F33)=4,E33&lt;6*0.4)</formula>
    </cfRule>
    <cfRule type="expression" priority="255" dxfId="2">
      <formula>AND(COUNT(C33:F33)=4,E33&gt;=6*0.4,E33&lt;6)</formula>
    </cfRule>
  </conditionalFormatting>
  <conditionalFormatting sqref="E34">
    <cfRule type="expression" priority="256" dxfId="0">
      <formula>AND(COUNT(C34:F34)=4,E34=6)</formula>
    </cfRule>
    <cfRule type="expression" priority="257" dxfId="1">
      <formula>AND(COUNT(C34:F34)=4,E34&lt;6*0.4)</formula>
    </cfRule>
    <cfRule type="expression" priority="258" dxfId="2">
      <formula>AND(COUNT(C34:F34)=4,E34&gt;=6*0.4,E34&lt;6)</formula>
    </cfRule>
  </conditionalFormatting>
  <conditionalFormatting sqref="E35">
    <cfRule type="expression" priority="259" dxfId="0">
      <formula>AND(COUNT(C35:F35)=4,E35=6)</formula>
    </cfRule>
    <cfRule type="expression" priority="260" dxfId="1">
      <formula>AND(COUNT(C35:F35)=4,E35&lt;6*0.4)</formula>
    </cfRule>
    <cfRule type="expression" priority="261" dxfId="2">
      <formula>AND(COUNT(C35:F35)=4,E35&gt;=6*0.4,E35&lt;6)</formula>
    </cfRule>
  </conditionalFormatting>
  <conditionalFormatting sqref="E36">
    <cfRule type="expression" priority="262" dxfId="0">
      <formula>AND(COUNT(C36:F36)=4,E36=6)</formula>
    </cfRule>
    <cfRule type="expression" priority="263" dxfId="1">
      <formula>AND(COUNT(C36:F36)=4,E36&lt;6*0.4)</formula>
    </cfRule>
    <cfRule type="expression" priority="264" dxfId="2">
      <formula>AND(COUNT(C36:F36)=4,E36&gt;=6*0.4,E36&lt;6)</formula>
    </cfRule>
  </conditionalFormatting>
  <conditionalFormatting sqref="E37">
    <cfRule type="expression" priority="265" dxfId="0">
      <formula>AND(COUNT(C37:F37)=4,E37=6)</formula>
    </cfRule>
    <cfRule type="expression" priority="266" dxfId="1">
      <formula>AND(COUNT(C37:F37)=4,E37&lt;6*0.4)</formula>
    </cfRule>
    <cfRule type="expression" priority="267" dxfId="2">
      <formula>AND(COUNT(C37:F37)=4,E37&gt;=6*0.4,E37&lt;6)</formula>
    </cfRule>
  </conditionalFormatting>
  <conditionalFormatting sqref="E38">
    <cfRule type="expression" priority="268" dxfId="0">
      <formula>AND(COUNT(C38:F38)=4,E38=6)</formula>
    </cfRule>
    <cfRule type="expression" priority="269" dxfId="1">
      <formula>AND(COUNT(C38:F38)=4,E38&lt;6*0.4)</formula>
    </cfRule>
    <cfRule type="expression" priority="270" dxfId="2">
      <formula>AND(COUNT(C38:F38)=4,E38&gt;=6*0.4,E38&lt;6)</formula>
    </cfRule>
  </conditionalFormatting>
  <conditionalFormatting sqref="E39">
    <cfRule type="expression" priority="271" dxfId="0">
      <formula>AND(COUNT(C39:F39)=4,E39=6)</formula>
    </cfRule>
    <cfRule type="expression" priority="272" dxfId="1">
      <formula>AND(COUNT(C39:F39)=4,E39&lt;6*0.4)</formula>
    </cfRule>
    <cfRule type="expression" priority="273" dxfId="2">
      <formula>AND(COUNT(C39:F39)=4,E39&gt;=6*0.4,E39&lt;6)</formula>
    </cfRule>
  </conditionalFormatting>
  <conditionalFormatting sqref="E40">
    <cfRule type="expression" priority="274" dxfId="0">
      <formula>AND(COUNT(C40:F40)=4,E40=6)</formula>
    </cfRule>
    <cfRule type="expression" priority="275" dxfId="1">
      <formula>AND(COUNT(C40:F40)=4,E40&lt;6*0.4)</formula>
    </cfRule>
    <cfRule type="expression" priority="276" dxfId="2">
      <formula>AND(COUNT(C40:F40)=4,E40&gt;=6*0.4,E40&lt;6)</formula>
    </cfRule>
  </conditionalFormatting>
  <conditionalFormatting sqref="E41">
    <cfRule type="expression" priority="277" dxfId="0">
      <formula>AND(COUNT(C41:F41)=4,E41=6)</formula>
    </cfRule>
    <cfRule type="expression" priority="278" dxfId="1">
      <formula>AND(COUNT(C41:F41)=4,E41&lt;6*0.4)</formula>
    </cfRule>
    <cfRule type="expression" priority="279" dxfId="2">
      <formula>AND(COUNT(C41:F41)=4,E41&gt;=6*0.4,E41&lt;6)</formula>
    </cfRule>
  </conditionalFormatting>
  <conditionalFormatting sqref="F11">
    <cfRule type="expression" priority="280" dxfId="0">
      <formula>AND(COUNT(C11:F11)=4,F11=4)</formula>
    </cfRule>
    <cfRule type="expression" priority="281" dxfId="1">
      <formula>AND(COUNT(C11:F11)=4,F11&lt;4*0.4)</formula>
    </cfRule>
    <cfRule type="expression" priority="282" dxfId="2">
      <formula>AND(COUNT(C11:F11)=4,F11&gt;=4*0.4,F11&lt;4)</formula>
    </cfRule>
  </conditionalFormatting>
  <conditionalFormatting sqref="F12">
    <cfRule type="expression" priority="283" dxfId="0">
      <formula>AND(COUNT(C12:F12)=4,F12=4)</formula>
    </cfRule>
    <cfRule type="expression" priority="284" dxfId="1">
      <formula>AND(COUNT(C12:F12)=4,F12&lt;4*0.4)</formula>
    </cfRule>
    <cfRule type="expression" priority="285" dxfId="2">
      <formula>AND(COUNT(C12:F12)=4,F12&gt;=4*0.4,F12&lt;4)</formula>
    </cfRule>
  </conditionalFormatting>
  <conditionalFormatting sqref="F13">
    <cfRule type="expression" priority="286" dxfId="0">
      <formula>AND(COUNT(C13:F13)=4,F13=4)</formula>
    </cfRule>
    <cfRule type="expression" priority="287" dxfId="1">
      <formula>AND(COUNT(C13:F13)=4,F13&lt;4*0.4)</formula>
    </cfRule>
    <cfRule type="expression" priority="288" dxfId="2">
      <formula>AND(COUNT(C13:F13)=4,F13&gt;=4*0.4,F13&lt;4)</formula>
    </cfRule>
  </conditionalFormatting>
  <conditionalFormatting sqref="F14">
    <cfRule type="expression" priority="289" dxfId="0">
      <formula>AND(COUNT(C14:F14)=4,F14=4)</formula>
    </cfRule>
    <cfRule type="expression" priority="290" dxfId="1">
      <formula>AND(COUNT(C14:F14)=4,F14&lt;4*0.4)</formula>
    </cfRule>
    <cfRule type="expression" priority="291" dxfId="2">
      <formula>AND(COUNT(C14:F14)=4,F14&gt;=4*0.4,F14&lt;4)</formula>
    </cfRule>
  </conditionalFormatting>
  <conditionalFormatting sqref="F15">
    <cfRule type="expression" priority="292" dxfId="0">
      <formula>AND(COUNT(C15:F15)=4,F15=4)</formula>
    </cfRule>
    <cfRule type="expression" priority="293" dxfId="1">
      <formula>AND(COUNT(C15:F15)=4,F15&lt;4*0.4)</formula>
    </cfRule>
    <cfRule type="expression" priority="294" dxfId="2">
      <formula>AND(COUNT(C15:F15)=4,F15&gt;=4*0.4,F15&lt;4)</formula>
    </cfRule>
  </conditionalFormatting>
  <conditionalFormatting sqref="F16">
    <cfRule type="expression" priority="295" dxfId="0">
      <formula>AND(COUNT(C16:F16)=4,F16=4)</formula>
    </cfRule>
    <cfRule type="expression" priority="296" dxfId="1">
      <formula>AND(COUNT(C16:F16)=4,F16&lt;4*0.4)</formula>
    </cfRule>
    <cfRule type="expression" priority="297" dxfId="2">
      <formula>AND(COUNT(C16:F16)=4,F16&gt;=4*0.4,F16&lt;4)</formula>
    </cfRule>
  </conditionalFormatting>
  <conditionalFormatting sqref="F17">
    <cfRule type="expression" priority="298" dxfId="0">
      <formula>AND(COUNT(C17:F17)=4,F17=4)</formula>
    </cfRule>
    <cfRule type="expression" priority="299" dxfId="1">
      <formula>AND(COUNT(C17:F17)=4,F17&lt;4*0.4)</formula>
    </cfRule>
    <cfRule type="expression" priority="300" dxfId="2">
      <formula>AND(COUNT(C17:F17)=4,F17&gt;=4*0.4,F17&lt;4)</formula>
    </cfRule>
  </conditionalFormatting>
  <conditionalFormatting sqref="F18">
    <cfRule type="expression" priority="301" dxfId="0">
      <formula>AND(COUNT(C18:F18)=4,F18=4)</formula>
    </cfRule>
    <cfRule type="expression" priority="302" dxfId="1">
      <formula>AND(COUNT(C18:F18)=4,F18&lt;4*0.4)</formula>
    </cfRule>
    <cfRule type="expression" priority="303" dxfId="2">
      <formula>AND(COUNT(C18:F18)=4,F18&gt;=4*0.4,F18&lt;4)</formula>
    </cfRule>
  </conditionalFormatting>
  <conditionalFormatting sqref="F19">
    <cfRule type="expression" priority="304" dxfId="0">
      <formula>AND(COUNT(C19:F19)=4,F19=4)</formula>
    </cfRule>
    <cfRule type="expression" priority="305" dxfId="1">
      <formula>AND(COUNT(C19:F19)=4,F19&lt;4*0.4)</formula>
    </cfRule>
    <cfRule type="expression" priority="306" dxfId="2">
      <formula>AND(COUNT(C19:F19)=4,F19&gt;=4*0.4,F19&lt;4)</formula>
    </cfRule>
  </conditionalFormatting>
  <conditionalFormatting sqref="F20">
    <cfRule type="expression" priority="307" dxfId="0">
      <formula>AND(COUNT(C20:F20)=4,F20=4)</formula>
    </cfRule>
    <cfRule type="expression" priority="308" dxfId="1">
      <formula>AND(COUNT(C20:F20)=4,F20&lt;4*0.4)</formula>
    </cfRule>
    <cfRule type="expression" priority="309" dxfId="2">
      <formula>AND(COUNT(C20:F20)=4,F20&gt;=4*0.4,F20&lt;4)</formula>
    </cfRule>
  </conditionalFormatting>
  <conditionalFormatting sqref="F21">
    <cfRule type="expression" priority="310" dxfId="0">
      <formula>AND(COUNT(C21:F21)=4,F21=4)</formula>
    </cfRule>
    <cfRule type="expression" priority="311" dxfId="1">
      <formula>AND(COUNT(C21:F21)=4,F21&lt;4*0.4)</formula>
    </cfRule>
    <cfRule type="expression" priority="312" dxfId="2">
      <formula>AND(COUNT(C21:F21)=4,F21&gt;=4*0.4,F21&lt;4)</formula>
    </cfRule>
  </conditionalFormatting>
  <conditionalFormatting sqref="F22">
    <cfRule type="expression" priority="313" dxfId="0">
      <formula>AND(COUNT(C22:F22)=4,F22=4)</formula>
    </cfRule>
    <cfRule type="expression" priority="314" dxfId="1">
      <formula>AND(COUNT(C22:F22)=4,F22&lt;4*0.4)</formula>
    </cfRule>
    <cfRule type="expression" priority="315" dxfId="2">
      <formula>AND(COUNT(C22:F22)=4,F22&gt;=4*0.4,F22&lt;4)</formula>
    </cfRule>
  </conditionalFormatting>
  <conditionalFormatting sqref="F23">
    <cfRule type="expression" priority="316" dxfId="0">
      <formula>AND(COUNT(C23:F23)=4,F23=4)</formula>
    </cfRule>
    <cfRule type="expression" priority="317" dxfId="1">
      <formula>AND(COUNT(C23:F23)=4,F23&lt;4*0.4)</formula>
    </cfRule>
    <cfRule type="expression" priority="318" dxfId="2">
      <formula>AND(COUNT(C23:F23)=4,F23&gt;=4*0.4,F23&lt;4)</formula>
    </cfRule>
  </conditionalFormatting>
  <conditionalFormatting sqref="F24">
    <cfRule type="expression" priority="319" dxfId="0">
      <formula>AND(COUNT(C24:F24)=4,F24=4)</formula>
    </cfRule>
    <cfRule type="expression" priority="320" dxfId="1">
      <formula>AND(COUNT(C24:F24)=4,F24&lt;4*0.4)</formula>
    </cfRule>
    <cfRule type="expression" priority="321" dxfId="2">
      <formula>AND(COUNT(C24:F24)=4,F24&gt;=4*0.4,F24&lt;4)</formula>
    </cfRule>
  </conditionalFormatting>
  <conditionalFormatting sqref="F25">
    <cfRule type="expression" priority="322" dxfId="0">
      <formula>AND(COUNT(C25:F25)=4,F25=4)</formula>
    </cfRule>
    <cfRule type="expression" priority="323" dxfId="1">
      <formula>AND(COUNT(C25:F25)=4,F25&lt;4*0.4)</formula>
    </cfRule>
    <cfRule type="expression" priority="324" dxfId="2">
      <formula>AND(COUNT(C25:F25)=4,F25&gt;=4*0.4,F25&lt;4)</formula>
    </cfRule>
  </conditionalFormatting>
  <conditionalFormatting sqref="F26">
    <cfRule type="expression" priority="325" dxfId="0">
      <formula>AND(COUNT(C26:F26)=4,F26=4)</formula>
    </cfRule>
    <cfRule type="expression" priority="326" dxfId="1">
      <formula>AND(COUNT(C26:F26)=4,F26&lt;4*0.4)</formula>
    </cfRule>
    <cfRule type="expression" priority="327" dxfId="2">
      <formula>AND(COUNT(C26:F26)=4,F26&gt;=4*0.4,F26&lt;4)</formula>
    </cfRule>
  </conditionalFormatting>
  <conditionalFormatting sqref="F27">
    <cfRule type="expression" priority="328" dxfId="0">
      <formula>AND(COUNT(C27:F27)=4,F27=4)</formula>
    </cfRule>
    <cfRule type="expression" priority="329" dxfId="1">
      <formula>AND(COUNT(C27:F27)=4,F27&lt;4*0.4)</formula>
    </cfRule>
    <cfRule type="expression" priority="330" dxfId="2">
      <formula>AND(COUNT(C27:F27)=4,F27&gt;=4*0.4,F27&lt;4)</formula>
    </cfRule>
  </conditionalFormatting>
  <conditionalFormatting sqref="F28">
    <cfRule type="expression" priority="331" dxfId="0">
      <formula>AND(COUNT(C28:F28)=4,F28=4)</formula>
    </cfRule>
    <cfRule type="expression" priority="332" dxfId="1">
      <formula>AND(COUNT(C28:F28)=4,F28&lt;4*0.4)</formula>
    </cfRule>
    <cfRule type="expression" priority="333" dxfId="2">
      <formula>AND(COUNT(C28:F28)=4,F28&gt;=4*0.4,F28&lt;4)</formula>
    </cfRule>
  </conditionalFormatting>
  <conditionalFormatting sqref="F29">
    <cfRule type="expression" priority="334" dxfId="0">
      <formula>AND(COUNT(C29:F29)=4,F29=4)</formula>
    </cfRule>
    <cfRule type="expression" priority="335" dxfId="1">
      <formula>AND(COUNT(C29:F29)=4,F29&lt;4*0.4)</formula>
    </cfRule>
    <cfRule type="expression" priority="336" dxfId="2">
      <formula>AND(COUNT(C29:F29)=4,F29&gt;=4*0.4,F29&lt;4)</formula>
    </cfRule>
  </conditionalFormatting>
  <conditionalFormatting sqref="F30">
    <cfRule type="expression" priority="337" dxfId="0">
      <formula>AND(COUNT(C30:F30)=4,F30=4)</formula>
    </cfRule>
    <cfRule type="expression" priority="338" dxfId="1">
      <formula>AND(COUNT(C30:F30)=4,F30&lt;4*0.4)</formula>
    </cfRule>
    <cfRule type="expression" priority="339" dxfId="2">
      <formula>AND(COUNT(C30:F30)=4,F30&gt;=4*0.4,F30&lt;4)</formula>
    </cfRule>
  </conditionalFormatting>
  <conditionalFormatting sqref="F31">
    <cfRule type="expression" priority="340" dxfId="0">
      <formula>AND(COUNT(C31:F31)=4,F31=4)</formula>
    </cfRule>
    <cfRule type="expression" priority="341" dxfId="1">
      <formula>AND(COUNT(C31:F31)=4,F31&lt;4*0.4)</formula>
    </cfRule>
    <cfRule type="expression" priority="342" dxfId="2">
      <formula>AND(COUNT(C31:F31)=4,F31&gt;=4*0.4,F31&lt;4)</formula>
    </cfRule>
  </conditionalFormatting>
  <conditionalFormatting sqref="F32">
    <cfRule type="expression" priority="343" dxfId="0">
      <formula>AND(COUNT(C32:F32)=4,F32=4)</formula>
    </cfRule>
    <cfRule type="expression" priority="344" dxfId="1">
      <formula>AND(COUNT(C32:F32)=4,F32&lt;4*0.4)</formula>
    </cfRule>
    <cfRule type="expression" priority="345" dxfId="2">
      <formula>AND(COUNT(C32:F32)=4,F32&gt;=4*0.4,F32&lt;4)</formula>
    </cfRule>
  </conditionalFormatting>
  <conditionalFormatting sqref="F33">
    <cfRule type="expression" priority="346" dxfId="0">
      <formula>AND(COUNT(C33:F33)=4,F33=4)</formula>
    </cfRule>
    <cfRule type="expression" priority="347" dxfId="1">
      <formula>AND(COUNT(C33:F33)=4,F33&lt;4*0.4)</formula>
    </cfRule>
    <cfRule type="expression" priority="348" dxfId="2">
      <formula>AND(COUNT(C33:F33)=4,F33&gt;=4*0.4,F33&lt;4)</formula>
    </cfRule>
  </conditionalFormatting>
  <conditionalFormatting sqref="F34">
    <cfRule type="expression" priority="349" dxfId="0">
      <formula>AND(COUNT(C34:F34)=4,F34=4)</formula>
    </cfRule>
    <cfRule type="expression" priority="350" dxfId="1">
      <formula>AND(COUNT(C34:F34)=4,F34&lt;4*0.4)</formula>
    </cfRule>
    <cfRule type="expression" priority="351" dxfId="2">
      <formula>AND(COUNT(C34:F34)=4,F34&gt;=4*0.4,F34&lt;4)</formula>
    </cfRule>
  </conditionalFormatting>
  <conditionalFormatting sqref="F35">
    <cfRule type="expression" priority="352" dxfId="0">
      <formula>AND(COUNT(C35:F35)=4,F35=4)</formula>
    </cfRule>
    <cfRule type="expression" priority="353" dxfId="1">
      <formula>AND(COUNT(C35:F35)=4,F35&lt;4*0.4)</formula>
    </cfRule>
    <cfRule type="expression" priority="354" dxfId="2">
      <formula>AND(COUNT(C35:F35)=4,F35&gt;=4*0.4,F35&lt;4)</formula>
    </cfRule>
  </conditionalFormatting>
  <conditionalFormatting sqref="F36">
    <cfRule type="expression" priority="355" dxfId="0">
      <formula>AND(COUNT(C36:F36)=4,F36=4)</formula>
    </cfRule>
    <cfRule type="expression" priority="356" dxfId="1">
      <formula>AND(COUNT(C36:F36)=4,F36&lt;4*0.4)</formula>
    </cfRule>
    <cfRule type="expression" priority="357" dxfId="2">
      <formula>AND(COUNT(C36:F36)=4,F36&gt;=4*0.4,F36&lt;4)</formula>
    </cfRule>
  </conditionalFormatting>
  <conditionalFormatting sqref="F37">
    <cfRule type="expression" priority="358" dxfId="0">
      <formula>AND(COUNT(C37:F37)=4,F37=4)</formula>
    </cfRule>
    <cfRule type="expression" priority="359" dxfId="1">
      <formula>AND(COUNT(C37:F37)=4,F37&lt;4*0.4)</formula>
    </cfRule>
    <cfRule type="expression" priority="360" dxfId="2">
      <formula>AND(COUNT(C37:F37)=4,F37&gt;=4*0.4,F37&lt;4)</formula>
    </cfRule>
  </conditionalFormatting>
  <conditionalFormatting sqref="F38">
    <cfRule type="expression" priority="361" dxfId="0">
      <formula>AND(COUNT(C38:F38)=4,F38=4)</formula>
    </cfRule>
    <cfRule type="expression" priority="362" dxfId="1">
      <formula>AND(COUNT(C38:F38)=4,F38&lt;4*0.4)</formula>
    </cfRule>
    <cfRule type="expression" priority="363" dxfId="2">
      <formula>AND(COUNT(C38:F38)=4,F38&gt;=4*0.4,F38&lt;4)</formula>
    </cfRule>
  </conditionalFormatting>
  <conditionalFormatting sqref="F39">
    <cfRule type="expression" priority="364" dxfId="0">
      <formula>AND(COUNT(C39:F39)=4,F39=4)</formula>
    </cfRule>
    <cfRule type="expression" priority="365" dxfId="1">
      <formula>AND(COUNT(C39:F39)=4,F39&lt;4*0.4)</formula>
    </cfRule>
    <cfRule type="expression" priority="366" dxfId="2">
      <formula>AND(COUNT(C39:F39)=4,F39&gt;=4*0.4,F39&lt;4)</formula>
    </cfRule>
  </conditionalFormatting>
  <conditionalFormatting sqref="F40">
    <cfRule type="expression" priority="367" dxfId="0">
      <formula>AND(COUNT(C40:F40)=4,F40=4)</formula>
    </cfRule>
    <cfRule type="expression" priority="368" dxfId="1">
      <formula>AND(COUNT(C40:F40)=4,F40&lt;4*0.4)</formula>
    </cfRule>
    <cfRule type="expression" priority="369" dxfId="2">
      <formula>AND(COUNT(C40:F40)=4,F40&gt;=4*0.4,F40&lt;4)</formula>
    </cfRule>
  </conditionalFormatting>
  <conditionalFormatting sqref="F41">
    <cfRule type="expression" priority="370" dxfId="0">
      <formula>AND(COUNT(C41:F41)=4,F41=4)</formula>
    </cfRule>
    <cfRule type="expression" priority="371" dxfId="1">
      <formula>AND(COUNT(C41:F41)=4,F41&lt;4*0.4)</formula>
    </cfRule>
    <cfRule type="expression" priority="372" dxfId="2">
      <formula>AND(COUNT(C41:F41)=4,F41&gt;=4*0.4,F41&lt;4)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Mini Test 3.1 — Modelling and Estimation</t>
        </is>
      </c>
    </row>
    <row r="2">
      <c r="A2" s="2" t="inlineStr">
        <is>
          <t>Every block below pulls live from 'MT 3.1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SUMPRODUCT(--ISNUMBER('MT 3.1 Results'!I12:I41))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IF('MT 3.1 Results'!I12="","","Mini Test 3.1 — Modelling and Estimation")</f>
        <v/>
      </c>
      <c r="K5">
        <f>IF('MT 3.1 Results'!I13="","","Mini Test 3.1 — Modelling and Estimation")</f>
        <v/>
      </c>
    </row>
    <row r="6">
      <c r="A6">
        <f>IF('MT 3.1 Results'!I12="","","Name: "&amp;'MT 3.1 Results'!B12&amp;"   Class: "&amp;'MT 3.1 Results'!$B$3&amp;"   Date: "&amp;TEXT('MT 3.1 Results'!$B$5,"DD/MM/YY"))</f>
        <v/>
      </c>
      <c r="K6">
        <f>IF('MT 3.1 Results'!I13="","","Name: "&amp;'MT 3.1 Results'!B13&amp;"   Class: "&amp;'MT 3.1 Results'!$B$3&amp;"   Date: "&amp;TEXT('MT 3.1 Results'!$B$5,"DD/MM/YY"))</f>
        <v/>
      </c>
    </row>
    <row r="7">
      <c r="A7">
        <f>IF('MT 3.1 Results'!I12="","","Total: "&amp;'MT 3.1 Results'!G12&amp;"/22 ("&amp;TEXT('MT 3.1 Results'!H12,"0%")&amp;")   Overall: "&amp;'MT 3.1 Results'!I12)</f>
        <v/>
      </c>
      <c r="K7">
        <f>IF('MT 3.1 Results'!I13="","","Total: "&amp;'MT 3.1 Results'!G13&amp;"/22 ("&amp;TEXT('MT 3.1 Results'!H13,"0%")&amp;")   Overall: "&amp;'MT 3.1 Results'!I13)</f>
        <v/>
      </c>
    </row>
    <row r="8">
      <c r="A8">
        <f>IF('MT 3.1 Results'!I12="","",IF('MT 3.1 Results'!I12="Green",Parameters!$C$161,IF('MT 3.1 Results'!I12="Yellow",Parameters!$C$160,Parameters!$C$159)))</f>
        <v/>
      </c>
      <c r="K8">
        <f>IF('MT 3.1 Results'!I13="","",IF('MT 3.1 Results'!I13="Green",Parameters!$C$161,IF('MT 3.1 Results'!I13="Yellow",Parameters!$C$160,Parameters!$C$159)))</f>
        <v/>
      </c>
    </row>
    <row r="10">
      <c r="A10">
        <f>IF('MT 3.1 Results'!I12="","","Breakdown:")</f>
        <v/>
      </c>
      <c r="K10">
        <f>IF('MT 3.1 Results'!I13="","","Breakdown:")</f>
        <v/>
      </c>
    </row>
    <row r="11">
      <c r="A11">
        <f>IF('MT 3.1 Results'!I12="","","Q1 Fermi estimate (assumptions): "&amp;'MT 3.1 Results'!C12&amp;"/7")</f>
        <v/>
      </c>
      <c r="K11">
        <f>IF('MT 3.1 Results'!I13="","","Q1 Fermi estimate (assumptions): "&amp;'MT 3.1 Results'!C13&amp;"/7")</f>
        <v/>
      </c>
    </row>
    <row r="12">
      <c r="A12">
        <f>IF('MT 3.1 Results'!I12="","","Q2 Degree of accuracy: "&amp;'MT 3.1 Results'!D12&amp;"/5")</f>
        <v/>
      </c>
      <c r="K12">
        <f>IF('MT 3.1 Results'!I13="","","Q2 Degree of accuracy: "&amp;'MT 3.1 Results'!D13&amp;"/5")</f>
        <v/>
      </c>
    </row>
    <row r="13">
      <c r="A13">
        <f>IF('MT 3.1 Results'!I12="","","Q3 Upper/lower bounds: "&amp;'MT 3.1 Results'!E12&amp;"/6")</f>
        <v/>
      </c>
      <c r="K13">
        <f>IF('MT 3.1 Results'!I13="","","Q3 Upper/lower bounds: "&amp;'MT 3.1 Results'!E13&amp;"/6")</f>
        <v/>
      </c>
    </row>
    <row r="14">
      <c r="A14">
        <f>IF('MT 3.1 Results'!I12="","","Q4 Estimating capacity: "&amp;'MT 3.1 Results'!F12&amp;"/4")</f>
        <v/>
      </c>
      <c r="K14">
        <f>IF('MT 3.1 Results'!I13="","","Q4 Estimating capacity: "&amp;'MT 3.1 Results'!F13&amp;"/4")</f>
        <v/>
      </c>
    </row>
    <row r="15">
      <c r="A15">
        <f>IF(OR('MT 3.1 Results'!I12="",'MT 3.1 Results'!J12=""),"",'MT 3.1 Results'!J12)</f>
        <v/>
      </c>
      <c r="K15">
        <f>IF(OR('MT 3.1 Results'!I13="",'MT 3.1 Results'!J13=""),"",'MT 3.1 Results'!J13)</f>
        <v/>
      </c>
    </row>
    <row r="17">
      <c r="A17">
        <f>IF('MT 3.1 Results'!I12="","","Comments:")</f>
        <v/>
      </c>
      <c r="K17">
        <f>IF('MT 3.1 Results'!I13="","","Comments:")</f>
        <v/>
      </c>
    </row>
    <row r="21">
      <c r="A21">
        <f>IF('MT 3.1 Results'!I14="","","Mini Test 3.1 — Modelling and Estimation")</f>
        <v/>
      </c>
      <c r="K21">
        <f>IF('MT 3.1 Results'!I15="","","Mini Test 3.1 — Modelling and Estimation")</f>
        <v/>
      </c>
    </row>
    <row r="22">
      <c r="A22">
        <f>IF('MT 3.1 Results'!I14="","","Name: "&amp;'MT 3.1 Results'!B14&amp;"   Class: "&amp;'MT 3.1 Results'!$B$3&amp;"   Date: "&amp;TEXT('MT 3.1 Results'!$B$5,"DD/MM/YY"))</f>
        <v/>
      </c>
      <c r="K22">
        <f>IF('MT 3.1 Results'!I15="","","Name: "&amp;'MT 3.1 Results'!B15&amp;"   Class: "&amp;'MT 3.1 Results'!$B$3&amp;"   Date: "&amp;TEXT('MT 3.1 Results'!$B$5,"DD/MM/YY"))</f>
        <v/>
      </c>
    </row>
    <row r="23">
      <c r="A23">
        <f>IF('MT 3.1 Results'!I14="","","Total: "&amp;'MT 3.1 Results'!G14&amp;"/22 ("&amp;TEXT('MT 3.1 Results'!H14,"0%")&amp;")   Overall: "&amp;'MT 3.1 Results'!I14)</f>
        <v/>
      </c>
      <c r="K23">
        <f>IF('MT 3.1 Results'!I15="","","Total: "&amp;'MT 3.1 Results'!G15&amp;"/22 ("&amp;TEXT('MT 3.1 Results'!H15,"0%")&amp;")   Overall: "&amp;'MT 3.1 Results'!I15)</f>
        <v/>
      </c>
    </row>
    <row r="24">
      <c r="A24">
        <f>IF('MT 3.1 Results'!I14="","",IF('MT 3.1 Results'!I14="Green",Parameters!$C$161,IF('MT 3.1 Results'!I14="Yellow",Parameters!$C$160,Parameters!$C$159)))</f>
        <v/>
      </c>
      <c r="K24">
        <f>IF('MT 3.1 Results'!I15="","",IF('MT 3.1 Results'!I15="Green",Parameters!$C$161,IF('MT 3.1 Results'!I15="Yellow",Parameters!$C$160,Parameters!$C$159)))</f>
        <v/>
      </c>
    </row>
    <row r="26">
      <c r="A26">
        <f>IF('MT 3.1 Results'!I14="","","Breakdown:")</f>
        <v/>
      </c>
      <c r="K26">
        <f>IF('MT 3.1 Results'!I15="","","Breakdown:")</f>
        <v/>
      </c>
    </row>
    <row r="27">
      <c r="A27">
        <f>IF('MT 3.1 Results'!I14="","","Q1 Fermi estimate (assumptions): "&amp;'MT 3.1 Results'!C14&amp;"/7")</f>
        <v/>
      </c>
      <c r="K27">
        <f>IF('MT 3.1 Results'!I15="","","Q1 Fermi estimate (assumptions): "&amp;'MT 3.1 Results'!C15&amp;"/7")</f>
        <v/>
      </c>
    </row>
    <row r="28">
      <c r="A28">
        <f>IF('MT 3.1 Results'!I14="","","Q2 Degree of accuracy: "&amp;'MT 3.1 Results'!D14&amp;"/5")</f>
        <v/>
      </c>
      <c r="K28">
        <f>IF('MT 3.1 Results'!I15="","","Q2 Degree of accuracy: "&amp;'MT 3.1 Results'!D15&amp;"/5")</f>
        <v/>
      </c>
    </row>
    <row r="29">
      <c r="A29">
        <f>IF('MT 3.1 Results'!I14="","","Q3 Upper/lower bounds: "&amp;'MT 3.1 Results'!E14&amp;"/6")</f>
        <v/>
      </c>
      <c r="K29">
        <f>IF('MT 3.1 Results'!I15="","","Q3 Upper/lower bounds: "&amp;'MT 3.1 Results'!E15&amp;"/6")</f>
        <v/>
      </c>
    </row>
    <row r="30">
      <c r="A30">
        <f>IF('MT 3.1 Results'!I14="","","Q4 Estimating capacity: "&amp;'MT 3.1 Results'!F14&amp;"/4")</f>
        <v/>
      </c>
      <c r="K30">
        <f>IF('MT 3.1 Results'!I15="","","Q4 Estimating capacity: "&amp;'MT 3.1 Results'!F15&amp;"/4")</f>
        <v/>
      </c>
    </row>
    <row r="31">
      <c r="A31">
        <f>IF(OR('MT 3.1 Results'!I14="",'MT 3.1 Results'!J14=""),"",'MT 3.1 Results'!J14)</f>
        <v/>
      </c>
      <c r="K31">
        <f>IF(OR('MT 3.1 Results'!I15="",'MT 3.1 Results'!J15=""),"",'MT 3.1 Results'!J15)</f>
        <v/>
      </c>
    </row>
    <row r="33">
      <c r="A33">
        <f>IF('MT 3.1 Results'!I14="","","Comments:")</f>
        <v/>
      </c>
      <c r="K33">
        <f>IF('MT 3.1 Results'!I15="","","Comments:")</f>
        <v/>
      </c>
    </row>
    <row r="37">
      <c r="A37">
        <f>IF('MT 3.1 Results'!I16="","","Mini Test 3.1 — Modelling and Estimation")</f>
        <v/>
      </c>
      <c r="K37">
        <f>IF('MT 3.1 Results'!I17="","","Mini Test 3.1 — Modelling and Estimation")</f>
        <v/>
      </c>
    </row>
    <row r="38">
      <c r="A38">
        <f>IF('MT 3.1 Results'!I16="","","Name: "&amp;'MT 3.1 Results'!B16&amp;"   Class: "&amp;'MT 3.1 Results'!$B$3&amp;"   Date: "&amp;TEXT('MT 3.1 Results'!$B$5,"DD/MM/YY"))</f>
        <v/>
      </c>
      <c r="K38">
        <f>IF('MT 3.1 Results'!I17="","","Name: "&amp;'MT 3.1 Results'!B17&amp;"   Class: "&amp;'MT 3.1 Results'!$B$3&amp;"   Date: "&amp;TEXT('MT 3.1 Results'!$B$5,"DD/MM/YY"))</f>
        <v/>
      </c>
    </row>
    <row r="39">
      <c r="A39">
        <f>IF('MT 3.1 Results'!I16="","","Total: "&amp;'MT 3.1 Results'!G16&amp;"/22 ("&amp;TEXT('MT 3.1 Results'!H16,"0%")&amp;")   Overall: "&amp;'MT 3.1 Results'!I16)</f>
        <v/>
      </c>
      <c r="K39">
        <f>IF('MT 3.1 Results'!I17="","","Total: "&amp;'MT 3.1 Results'!G17&amp;"/22 ("&amp;TEXT('MT 3.1 Results'!H17,"0%")&amp;")   Overall: "&amp;'MT 3.1 Results'!I17)</f>
        <v/>
      </c>
    </row>
    <row r="40">
      <c r="A40">
        <f>IF('MT 3.1 Results'!I16="","",IF('MT 3.1 Results'!I16="Green",Parameters!$C$161,IF('MT 3.1 Results'!I16="Yellow",Parameters!$C$160,Parameters!$C$159)))</f>
        <v/>
      </c>
      <c r="K40">
        <f>IF('MT 3.1 Results'!I17="","",IF('MT 3.1 Results'!I17="Green",Parameters!$C$161,IF('MT 3.1 Results'!I17="Yellow",Parameters!$C$160,Parameters!$C$159)))</f>
        <v/>
      </c>
    </row>
    <row r="42">
      <c r="A42">
        <f>IF('MT 3.1 Results'!I16="","","Breakdown:")</f>
        <v/>
      </c>
      <c r="K42">
        <f>IF('MT 3.1 Results'!I17="","","Breakdown:")</f>
        <v/>
      </c>
    </row>
    <row r="43">
      <c r="A43">
        <f>IF('MT 3.1 Results'!I16="","","Q1 Fermi estimate (assumptions): "&amp;'MT 3.1 Results'!C16&amp;"/7")</f>
        <v/>
      </c>
      <c r="K43">
        <f>IF('MT 3.1 Results'!I17="","","Q1 Fermi estimate (assumptions): "&amp;'MT 3.1 Results'!C17&amp;"/7")</f>
        <v/>
      </c>
    </row>
    <row r="44">
      <c r="A44">
        <f>IF('MT 3.1 Results'!I16="","","Q2 Degree of accuracy: "&amp;'MT 3.1 Results'!D16&amp;"/5")</f>
        <v/>
      </c>
      <c r="K44">
        <f>IF('MT 3.1 Results'!I17="","","Q2 Degree of accuracy: "&amp;'MT 3.1 Results'!D17&amp;"/5")</f>
        <v/>
      </c>
    </row>
    <row r="45">
      <c r="A45">
        <f>IF('MT 3.1 Results'!I16="","","Q3 Upper/lower bounds: "&amp;'MT 3.1 Results'!E16&amp;"/6")</f>
        <v/>
      </c>
      <c r="K45">
        <f>IF('MT 3.1 Results'!I17="","","Q3 Upper/lower bounds: "&amp;'MT 3.1 Results'!E17&amp;"/6")</f>
        <v/>
      </c>
    </row>
    <row r="46">
      <c r="A46">
        <f>IF('MT 3.1 Results'!I16="","","Q4 Estimating capacity: "&amp;'MT 3.1 Results'!F16&amp;"/4")</f>
        <v/>
      </c>
      <c r="K46">
        <f>IF('MT 3.1 Results'!I17="","","Q4 Estimating capacity: "&amp;'MT 3.1 Results'!F17&amp;"/4")</f>
        <v/>
      </c>
    </row>
    <row r="47">
      <c r="A47">
        <f>IF(OR('MT 3.1 Results'!I16="",'MT 3.1 Results'!J16=""),"",'MT 3.1 Results'!J16)</f>
        <v/>
      </c>
      <c r="K47">
        <f>IF(OR('MT 3.1 Results'!I17="",'MT 3.1 Results'!J17=""),"",'MT 3.1 Results'!J17)</f>
        <v/>
      </c>
    </row>
    <row r="49">
      <c r="A49">
        <f>IF('MT 3.1 Results'!I16="","","Comments:")</f>
        <v/>
      </c>
      <c r="K49">
        <f>IF('MT 3.1 Results'!I17="","","Comments:")</f>
        <v/>
      </c>
    </row>
    <row r="53">
      <c r="A53">
        <f>IF('MT 3.1 Results'!I18="","","Mini Test 3.1 — Modelling and Estimation")</f>
        <v/>
      </c>
      <c r="K53">
        <f>IF('MT 3.1 Results'!I19="","","Mini Test 3.1 — Modelling and Estimation")</f>
        <v/>
      </c>
    </row>
    <row r="54">
      <c r="A54">
        <f>IF('MT 3.1 Results'!I18="","","Name: "&amp;'MT 3.1 Results'!B18&amp;"   Class: "&amp;'MT 3.1 Results'!$B$3&amp;"   Date: "&amp;TEXT('MT 3.1 Results'!$B$5,"DD/MM/YY"))</f>
        <v/>
      </c>
      <c r="K54">
        <f>IF('MT 3.1 Results'!I19="","","Name: "&amp;'MT 3.1 Results'!B19&amp;"   Class: "&amp;'MT 3.1 Results'!$B$3&amp;"   Date: "&amp;TEXT('MT 3.1 Results'!$B$5,"DD/MM/YY"))</f>
        <v/>
      </c>
    </row>
    <row r="55">
      <c r="A55">
        <f>IF('MT 3.1 Results'!I18="","","Total: "&amp;'MT 3.1 Results'!G18&amp;"/22 ("&amp;TEXT('MT 3.1 Results'!H18,"0%")&amp;")   Overall: "&amp;'MT 3.1 Results'!I18)</f>
        <v/>
      </c>
      <c r="K55">
        <f>IF('MT 3.1 Results'!I19="","","Total: "&amp;'MT 3.1 Results'!G19&amp;"/22 ("&amp;TEXT('MT 3.1 Results'!H19,"0%")&amp;")   Overall: "&amp;'MT 3.1 Results'!I19)</f>
        <v/>
      </c>
    </row>
    <row r="56">
      <c r="A56">
        <f>IF('MT 3.1 Results'!I18="","",IF('MT 3.1 Results'!I18="Green",Parameters!$C$161,IF('MT 3.1 Results'!I18="Yellow",Parameters!$C$160,Parameters!$C$159)))</f>
        <v/>
      </c>
      <c r="K56">
        <f>IF('MT 3.1 Results'!I19="","",IF('MT 3.1 Results'!I19="Green",Parameters!$C$161,IF('MT 3.1 Results'!I19="Yellow",Parameters!$C$160,Parameters!$C$159)))</f>
        <v/>
      </c>
    </row>
    <row r="58">
      <c r="A58">
        <f>IF('MT 3.1 Results'!I18="","","Breakdown:")</f>
        <v/>
      </c>
      <c r="K58">
        <f>IF('MT 3.1 Results'!I19="","","Breakdown:")</f>
        <v/>
      </c>
    </row>
    <row r="59">
      <c r="A59">
        <f>IF('MT 3.1 Results'!I18="","","Q1 Fermi estimate (assumptions): "&amp;'MT 3.1 Results'!C18&amp;"/7")</f>
        <v/>
      </c>
      <c r="K59">
        <f>IF('MT 3.1 Results'!I19="","","Q1 Fermi estimate (assumptions): "&amp;'MT 3.1 Results'!C19&amp;"/7")</f>
        <v/>
      </c>
    </row>
    <row r="60">
      <c r="A60">
        <f>IF('MT 3.1 Results'!I18="","","Q2 Degree of accuracy: "&amp;'MT 3.1 Results'!D18&amp;"/5")</f>
        <v/>
      </c>
      <c r="K60">
        <f>IF('MT 3.1 Results'!I19="","","Q2 Degree of accuracy: "&amp;'MT 3.1 Results'!D19&amp;"/5")</f>
        <v/>
      </c>
    </row>
    <row r="61">
      <c r="A61">
        <f>IF('MT 3.1 Results'!I18="","","Q3 Upper/lower bounds: "&amp;'MT 3.1 Results'!E18&amp;"/6")</f>
        <v/>
      </c>
      <c r="K61">
        <f>IF('MT 3.1 Results'!I19="","","Q3 Upper/lower bounds: "&amp;'MT 3.1 Results'!E19&amp;"/6")</f>
        <v/>
      </c>
    </row>
    <row r="62">
      <c r="A62">
        <f>IF('MT 3.1 Results'!I18="","","Q4 Estimating capacity: "&amp;'MT 3.1 Results'!F18&amp;"/4")</f>
        <v/>
      </c>
      <c r="K62">
        <f>IF('MT 3.1 Results'!I19="","","Q4 Estimating capacity: "&amp;'MT 3.1 Results'!F19&amp;"/4")</f>
        <v/>
      </c>
    </row>
    <row r="63">
      <c r="A63">
        <f>IF(OR('MT 3.1 Results'!I18="",'MT 3.1 Results'!J18=""),"",'MT 3.1 Results'!J18)</f>
        <v/>
      </c>
      <c r="K63">
        <f>IF(OR('MT 3.1 Results'!I19="",'MT 3.1 Results'!J19=""),"",'MT 3.1 Results'!J19)</f>
        <v/>
      </c>
    </row>
    <row r="65">
      <c r="A65">
        <f>IF('MT 3.1 Results'!I18="","","Comments:")</f>
        <v/>
      </c>
      <c r="K65">
        <f>IF('MT 3.1 Results'!I19="","","Comments:")</f>
        <v/>
      </c>
    </row>
    <row r="69">
      <c r="A69">
        <f>IF('MT 3.1 Results'!I20="","","Mini Test 3.1 — Modelling and Estimation")</f>
        <v/>
      </c>
      <c r="K69">
        <f>IF('MT 3.1 Results'!I21="","","Mini Test 3.1 — Modelling and Estimation")</f>
        <v/>
      </c>
    </row>
    <row r="70">
      <c r="A70">
        <f>IF('MT 3.1 Results'!I20="","","Name: "&amp;'MT 3.1 Results'!B20&amp;"   Class: "&amp;'MT 3.1 Results'!$B$3&amp;"   Date: "&amp;TEXT('MT 3.1 Results'!$B$5,"DD/MM/YY"))</f>
        <v/>
      </c>
      <c r="K70">
        <f>IF('MT 3.1 Results'!I21="","","Name: "&amp;'MT 3.1 Results'!B21&amp;"   Class: "&amp;'MT 3.1 Results'!$B$3&amp;"   Date: "&amp;TEXT('MT 3.1 Results'!$B$5,"DD/MM/YY"))</f>
        <v/>
      </c>
    </row>
    <row r="71">
      <c r="A71">
        <f>IF('MT 3.1 Results'!I20="","","Total: "&amp;'MT 3.1 Results'!G20&amp;"/22 ("&amp;TEXT('MT 3.1 Results'!H20,"0%")&amp;")   Overall: "&amp;'MT 3.1 Results'!I20)</f>
        <v/>
      </c>
      <c r="K71">
        <f>IF('MT 3.1 Results'!I21="","","Total: "&amp;'MT 3.1 Results'!G21&amp;"/22 ("&amp;TEXT('MT 3.1 Results'!H21,"0%")&amp;")   Overall: "&amp;'MT 3.1 Results'!I21)</f>
        <v/>
      </c>
    </row>
    <row r="72">
      <c r="A72">
        <f>IF('MT 3.1 Results'!I20="","",IF('MT 3.1 Results'!I20="Green",Parameters!$C$161,IF('MT 3.1 Results'!I20="Yellow",Parameters!$C$160,Parameters!$C$159)))</f>
        <v/>
      </c>
      <c r="K72">
        <f>IF('MT 3.1 Results'!I21="","",IF('MT 3.1 Results'!I21="Green",Parameters!$C$161,IF('MT 3.1 Results'!I21="Yellow",Parameters!$C$160,Parameters!$C$159)))</f>
        <v/>
      </c>
    </row>
    <row r="74">
      <c r="A74">
        <f>IF('MT 3.1 Results'!I20="","","Breakdown:")</f>
        <v/>
      </c>
      <c r="K74">
        <f>IF('MT 3.1 Results'!I21="","","Breakdown:")</f>
        <v/>
      </c>
    </row>
    <row r="75">
      <c r="A75">
        <f>IF('MT 3.1 Results'!I20="","","Q1 Fermi estimate (assumptions): "&amp;'MT 3.1 Results'!C20&amp;"/7")</f>
        <v/>
      </c>
      <c r="K75">
        <f>IF('MT 3.1 Results'!I21="","","Q1 Fermi estimate (assumptions): "&amp;'MT 3.1 Results'!C21&amp;"/7")</f>
        <v/>
      </c>
    </row>
    <row r="76">
      <c r="A76">
        <f>IF('MT 3.1 Results'!I20="","","Q2 Degree of accuracy: "&amp;'MT 3.1 Results'!D20&amp;"/5")</f>
        <v/>
      </c>
      <c r="K76">
        <f>IF('MT 3.1 Results'!I21="","","Q2 Degree of accuracy: "&amp;'MT 3.1 Results'!D21&amp;"/5")</f>
        <v/>
      </c>
    </row>
    <row r="77">
      <c r="A77">
        <f>IF('MT 3.1 Results'!I20="","","Q3 Upper/lower bounds: "&amp;'MT 3.1 Results'!E20&amp;"/6")</f>
        <v/>
      </c>
      <c r="K77">
        <f>IF('MT 3.1 Results'!I21="","","Q3 Upper/lower bounds: "&amp;'MT 3.1 Results'!E21&amp;"/6")</f>
        <v/>
      </c>
    </row>
    <row r="78">
      <c r="A78">
        <f>IF('MT 3.1 Results'!I20="","","Q4 Estimating capacity: "&amp;'MT 3.1 Results'!F20&amp;"/4")</f>
        <v/>
      </c>
      <c r="K78">
        <f>IF('MT 3.1 Results'!I21="","","Q4 Estimating capacity: "&amp;'MT 3.1 Results'!F21&amp;"/4")</f>
        <v/>
      </c>
    </row>
    <row r="79">
      <c r="A79">
        <f>IF(OR('MT 3.1 Results'!I20="",'MT 3.1 Results'!J20=""),"",'MT 3.1 Results'!J20)</f>
        <v/>
      </c>
      <c r="K79">
        <f>IF(OR('MT 3.1 Results'!I21="",'MT 3.1 Results'!J21=""),"",'MT 3.1 Results'!J21)</f>
        <v/>
      </c>
    </row>
    <row r="81">
      <c r="A81">
        <f>IF('MT 3.1 Results'!I20="","","Comments:")</f>
        <v/>
      </c>
      <c r="K81">
        <f>IF('MT 3.1 Results'!I21="","","Comments:")</f>
        <v/>
      </c>
    </row>
    <row r="85">
      <c r="A85">
        <f>IF('MT 3.1 Results'!I22="","","Mini Test 3.1 — Modelling and Estimation")</f>
        <v/>
      </c>
      <c r="K85">
        <f>IF('MT 3.1 Results'!I23="","","Mini Test 3.1 — Modelling and Estimation")</f>
        <v/>
      </c>
    </row>
    <row r="86">
      <c r="A86">
        <f>IF('MT 3.1 Results'!I22="","","Name: "&amp;'MT 3.1 Results'!B22&amp;"   Class: "&amp;'MT 3.1 Results'!$B$3&amp;"   Date: "&amp;TEXT('MT 3.1 Results'!$B$5,"DD/MM/YY"))</f>
        <v/>
      </c>
      <c r="K86">
        <f>IF('MT 3.1 Results'!I23="","","Name: "&amp;'MT 3.1 Results'!B23&amp;"   Class: "&amp;'MT 3.1 Results'!$B$3&amp;"   Date: "&amp;TEXT('MT 3.1 Results'!$B$5,"DD/MM/YY"))</f>
        <v/>
      </c>
    </row>
    <row r="87">
      <c r="A87">
        <f>IF('MT 3.1 Results'!I22="","","Total: "&amp;'MT 3.1 Results'!G22&amp;"/22 ("&amp;TEXT('MT 3.1 Results'!H22,"0%")&amp;")   Overall: "&amp;'MT 3.1 Results'!I22)</f>
        <v/>
      </c>
      <c r="K87">
        <f>IF('MT 3.1 Results'!I23="","","Total: "&amp;'MT 3.1 Results'!G23&amp;"/22 ("&amp;TEXT('MT 3.1 Results'!H23,"0%")&amp;")   Overall: "&amp;'MT 3.1 Results'!I23)</f>
        <v/>
      </c>
    </row>
    <row r="88">
      <c r="A88">
        <f>IF('MT 3.1 Results'!I22="","",IF('MT 3.1 Results'!I22="Green",Parameters!$C$161,IF('MT 3.1 Results'!I22="Yellow",Parameters!$C$160,Parameters!$C$159)))</f>
        <v/>
      </c>
      <c r="K88">
        <f>IF('MT 3.1 Results'!I23="","",IF('MT 3.1 Results'!I23="Green",Parameters!$C$161,IF('MT 3.1 Results'!I23="Yellow",Parameters!$C$160,Parameters!$C$159)))</f>
        <v/>
      </c>
    </row>
    <row r="90">
      <c r="A90">
        <f>IF('MT 3.1 Results'!I22="","","Breakdown:")</f>
        <v/>
      </c>
      <c r="K90">
        <f>IF('MT 3.1 Results'!I23="","","Breakdown:")</f>
        <v/>
      </c>
    </row>
    <row r="91">
      <c r="A91">
        <f>IF('MT 3.1 Results'!I22="","","Q1 Fermi estimate (assumptions): "&amp;'MT 3.1 Results'!C22&amp;"/7")</f>
        <v/>
      </c>
      <c r="K91">
        <f>IF('MT 3.1 Results'!I23="","","Q1 Fermi estimate (assumptions): "&amp;'MT 3.1 Results'!C23&amp;"/7")</f>
        <v/>
      </c>
    </row>
    <row r="92">
      <c r="A92">
        <f>IF('MT 3.1 Results'!I22="","","Q2 Degree of accuracy: "&amp;'MT 3.1 Results'!D22&amp;"/5")</f>
        <v/>
      </c>
      <c r="K92">
        <f>IF('MT 3.1 Results'!I23="","","Q2 Degree of accuracy: "&amp;'MT 3.1 Results'!D23&amp;"/5")</f>
        <v/>
      </c>
    </row>
    <row r="93">
      <c r="A93">
        <f>IF('MT 3.1 Results'!I22="","","Q3 Upper/lower bounds: "&amp;'MT 3.1 Results'!E22&amp;"/6")</f>
        <v/>
      </c>
      <c r="K93">
        <f>IF('MT 3.1 Results'!I23="","","Q3 Upper/lower bounds: "&amp;'MT 3.1 Results'!E23&amp;"/6")</f>
        <v/>
      </c>
    </row>
    <row r="94">
      <c r="A94">
        <f>IF('MT 3.1 Results'!I22="","","Q4 Estimating capacity: "&amp;'MT 3.1 Results'!F22&amp;"/4")</f>
        <v/>
      </c>
      <c r="K94">
        <f>IF('MT 3.1 Results'!I23="","","Q4 Estimating capacity: "&amp;'MT 3.1 Results'!F23&amp;"/4")</f>
        <v/>
      </c>
    </row>
    <row r="95">
      <c r="A95">
        <f>IF(OR('MT 3.1 Results'!I22="",'MT 3.1 Results'!J22=""),"",'MT 3.1 Results'!J22)</f>
        <v/>
      </c>
      <c r="K95">
        <f>IF(OR('MT 3.1 Results'!I23="",'MT 3.1 Results'!J23=""),"",'MT 3.1 Results'!J23)</f>
        <v/>
      </c>
    </row>
    <row r="97">
      <c r="A97">
        <f>IF('MT 3.1 Results'!I22="","","Comments:")</f>
        <v/>
      </c>
      <c r="K97">
        <f>IF('MT 3.1 Results'!I23="","","Comments:")</f>
        <v/>
      </c>
    </row>
    <row r="101">
      <c r="A101">
        <f>IF('MT 3.1 Results'!I24="","","Mini Test 3.1 — Modelling and Estimation")</f>
        <v/>
      </c>
      <c r="K101">
        <f>IF('MT 3.1 Results'!I25="","","Mini Test 3.1 — Modelling and Estimation")</f>
        <v/>
      </c>
    </row>
    <row r="102">
      <c r="A102">
        <f>IF('MT 3.1 Results'!I24="","","Name: "&amp;'MT 3.1 Results'!B24&amp;"   Class: "&amp;'MT 3.1 Results'!$B$3&amp;"   Date: "&amp;TEXT('MT 3.1 Results'!$B$5,"DD/MM/YY"))</f>
        <v/>
      </c>
      <c r="K102">
        <f>IF('MT 3.1 Results'!I25="","","Name: "&amp;'MT 3.1 Results'!B25&amp;"   Class: "&amp;'MT 3.1 Results'!$B$3&amp;"   Date: "&amp;TEXT('MT 3.1 Results'!$B$5,"DD/MM/YY"))</f>
        <v/>
      </c>
    </row>
    <row r="103">
      <c r="A103">
        <f>IF('MT 3.1 Results'!I24="","","Total: "&amp;'MT 3.1 Results'!G24&amp;"/22 ("&amp;TEXT('MT 3.1 Results'!H24,"0%")&amp;")   Overall: "&amp;'MT 3.1 Results'!I24)</f>
        <v/>
      </c>
      <c r="K103">
        <f>IF('MT 3.1 Results'!I25="","","Total: "&amp;'MT 3.1 Results'!G25&amp;"/22 ("&amp;TEXT('MT 3.1 Results'!H25,"0%")&amp;")   Overall: "&amp;'MT 3.1 Results'!I25)</f>
        <v/>
      </c>
    </row>
    <row r="104">
      <c r="A104">
        <f>IF('MT 3.1 Results'!I24="","",IF('MT 3.1 Results'!I24="Green",Parameters!$C$161,IF('MT 3.1 Results'!I24="Yellow",Parameters!$C$160,Parameters!$C$159)))</f>
        <v/>
      </c>
      <c r="K104">
        <f>IF('MT 3.1 Results'!I25="","",IF('MT 3.1 Results'!I25="Green",Parameters!$C$161,IF('MT 3.1 Results'!I25="Yellow",Parameters!$C$160,Parameters!$C$159)))</f>
        <v/>
      </c>
    </row>
    <row r="106">
      <c r="A106">
        <f>IF('MT 3.1 Results'!I24="","","Breakdown:")</f>
        <v/>
      </c>
      <c r="K106">
        <f>IF('MT 3.1 Results'!I25="","","Breakdown:")</f>
        <v/>
      </c>
    </row>
    <row r="107">
      <c r="A107">
        <f>IF('MT 3.1 Results'!I24="","","Q1 Fermi estimate (assumptions): "&amp;'MT 3.1 Results'!C24&amp;"/7")</f>
        <v/>
      </c>
      <c r="K107">
        <f>IF('MT 3.1 Results'!I25="","","Q1 Fermi estimate (assumptions): "&amp;'MT 3.1 Results'!C25&amp;"/7")</f>
        <v/>
      </c>
    </row>
    <row r="108">
      <c r="A108">
        <f>IF('MT 3.1 Results'!I24="","","Q2 Degree of accuracy: "&amp;'MT 3.1 Results'!D24&amp;"/5")</f>
        <v/>
      </c>
      <c r="K108">
        <f>IF('MT 3.1 Results'!I25="","","Q2 Degree of accuracy: "&amp;'MT 3.1 Results'!D25&amp;"/5")</f>
        <v/>
      </c>
    </row>
    <row r="109">
      <c r="A109">
        <f>IF('MT 3.1 Results'!I24="","","Q3 Upper/lower bounds: "&amp;'MT 3.1 Results'!E24&amp;"/6")</f>
        <v/>
      </c>
      <c r="K109">
        <f>IF('MT 3.1 Results'!I25="","","Q3 Upper/lower bounds: "&amp;'MT 3.1 Results'!E25&amp;"/6")</f>
        <v/>
      </c>
    </row>
    <row r="110">
      <c r="A110">
        <f>IF('MT 3.1 Results'!I24="","","Q4 Estimating capacity: "&amp;'MT 3.1 Results'!F24&amp;"/4")</f>
        <v/>
      </c>
      <c r="K110">
        <f>IF('MT 3.1 Results'!I25="","","Q4 Estimating capacity: "&amp;'MT 3.1 Results'!F25&amp;"/4")</f>
        <v/>
      </c>
    </row>
    <row r="111">
      <c r="A111">
        <f>IF(OR('MT 3.1 Results'!I24="",'MT 3.1 Results'!J24=""),"",'MT 3.1 Results'!J24)</f>
        <v/>
      </c>
      <c r="K111">
        <f>IF(OR('MT 3.1 Results'!I25="",'MT 3.1 Results'!J25=""),"",'MT 3.1 Results'!J25)</f>
        <v/>
      </c>
    </row>
    <row r="113">
      <c r="A113">
        <f>IF('MT 3.1 Results'!I24="","","Comments:")</f>
        <v/>
      </c>
      <c r="K113">
        <f>IF('MT 3.1 Results'!I25="","","Comments:")</f>
        <v/>
      </c>
    </row>
    <row r="117">
      <c r="A117">
        <f>IF('MT 3.1 Results'!I26="","","Mini Test 3.1 — Modelling and Estimation")</f>
        <v/>
      </c>
      <c r="K117">
        <f>IF('MT 3.1 Results'!I27="","","Mini Test 3.1 — Modelling and Estimation")</f>
        <v/>
      </c>
    </row>
    <row r="118">
      <c r="A118">
        <f>IF('MT 3.1 Results'!I26="","","Name: "&amp;'MT 3.1 Results'!B26&amp;"   Class: "&amp;'MT 3.1 Results'!$B$3&amp;"   Date: "&amp;TEXT('MT 3.1 Results'!$B$5,"DD/MM/YY"))</f>
        <v/>
      </c>
      <c r="K118">
        <f>IF('MT 3.1 Results'!I27="","","Name: "&amp;'MT 3.1 Results'!B27&amp;"   Class: "&amp;'MT 3.1 Results'!$B$3&amp;"   Date: "&amp;TEXT('MT 3.1 Results'!$B$5,"DD/MM/YY"))</f>
        <v/>
      </c>
    </row>
    <row r="119">
      <c r="A119">
        <f>IF('MT 3.1 Results'!I26="","","Total: "&amp;'MT 3.1 Results'!G26&amp;"/22 ("&amp;TEXT('MT 3.1 Results'!H26,"0%")&amp;")   Overall: "&amp;'MT 3.1 Results'!I26)</f>
        <v/>
      </c>
      <c r="K119">
        <f>IF('MT 3.1 Results'!I27="","","Total: "&amp;'MT 3.1 Results'!G27&amp;"/22 ("&amp;TEXT('MT 3.1 Results'!H27,"0%")&amp;")   Overall: "&amp;'MT 3.1 Results'!I27)</f>
        <v/>
      </c>
    </row>
    <row r="120">
      <c r="A120">
        <f>IF('MT 3.1 Results'!I26="","",IF('MT 3.1 Results'!I26="Green",Parameters!$C$161,IF('MT 3.1 Results'!I26="Yellow",Parameters!$C$160,Parameters!$C$159)))</f>
        <v/>
      </c>
      <c r="K120">
        <f>IF('MT 3.1 Results'!I27="","",IF('MT 3.1 Results'!I27="Green",Parameters!$C$161,IF('MT 3.1 Results'!I27="Yellow",Parameters!$C$160,Parameters!$C$159)))</f>
        <v/>
      </c>
    </row>
    <row r="122">
      <c r="A122">
        <f>IF('MT 3.1 Results'!I26="","","Breakdown:")</f>
        <v/>
      </c>
      <c r="K122">
        <f>IF('MT 3.1 Results'!I27="","","Breakdown:")</f>
        <v/>
      </c>
    </row>
    <row r="123">
      <c r="A123">
        <f>IF('MT 3.1 Results'!I26="","","Q1 Fermi estimate (assumptions): "&amp;'MT 3.1 Results'!C26&amp;"/7")</f>
        <v/>
      </c>
      <c r="K123">
        <f>IF('MT 3.1 Results'!I27="","","Q1 Fermi estimate (assumptions): "&amp;'MT 3.1 Results'!C27&amp;"/7")</f>
        <v/>
      </c>
    </row>
    <row r="124">
      <c r="A124">
        <f>IF('MT 3.1 Results'!I26="","","Q2 Degree of accuracy: "&amp;'MT 3.1 Results'!D26&amp;"/5")</f>
        <v/>
      </c>
      <c r="K124">
        <f>IF('MT 3.1 Results'!I27="","","Q2 Degree of accuracy: "&amp;'MT 3.1 Results'!D27&amp;"/5")</f>
        <v/>
      </c>
    </row>
    <row r="125">
      <c r="A125">
        <f>IF('MT 3.1 Results'!I26="","","Q3 Upper/lower bounds: "&amp;'MT 3.1 Results'!E26&amp;"/6")</f>
        <v/>
      </c>
      <c r="K125">
        <f>IF('MT 3.1 Results'!I27="","","Q3 Upper/lower bounds: "&amp;'MT 3.1 Results'!E27&amp;"/6")</f>
        <v/>
      </c>
    </row>
    <row r="126">
      <c r="A126">
        <f>IF('MT 3.1 Results'!I26="","","Q4 Estimating capacity: "&amp;'MT 3.1 Results'!F26&amp;"/4")</f>
        <v/>
      </c>
      <c r="K126">
        <f>IF('MT 3.1 Results'!I27="","","Q4 Estimating capacity: "&amp;'MT 3.1 Results'!F27&amp;"/4")</f>
        <v/>
      </c>
    </row>
    <row r="127">
      <c r="A127">
        <f>IF(OR('MT 3.1 Results'!I26="",'MT 3.1 Results'!J26=""),"",'MT 3.1 Results'!J26)</f>
        <v/>
      </c>
      <c r="K127">
        <f>IF(OR('MT 3.1 Results'!I27="",'MT 3.1 Results'!J27=""),"",'MT 3.1 Results'!J27)</f>
        <v/>
      </c>
    </row>
    <row r="129">
      <c r="A129">
        <f>IF('MT 3.1 Results'!I26="","","Comments:")</f>
        <v/>
      </c>
      <c r="K129">
        <f>IF('MT 3.1 Results'!I27="","","Comments:")</f>
        <v/>
      </c>
    </row>
    <row r="133">
      <c r="A133">
        <f>IF('MT 3.1 Results'!I28="","","Mini Test 3.1 — Modelling and Estimation")</f>
        <v/>
      </c>
      <c r="K133">
        <f>IF('MT 3.1 Results'!I29="","","Mini Test 3.1 — Modelling and Estimation")</f>
        <v/>
      </c>
    </row>
    <row r="134">
      <c r="A134">
        <f>IF('MT 3.1 Results'!I28="","","Name: "&amp;'MT 3.1 Results'!B28&amp;"   Class: "&amp;'MT 3.1 Results'!$B$3&amp;"   Date: "&amp;TEXT('MT 3.1 Results'!$B$5,"DD/MM/YY"))</f>
        <v/>
      </c>
      <c r="K134">
        <f>IF('MT 3.1 Results'!I29="","","Name: "&amp;'MT 3.1 Results'!B29&amp;"   Class: "&amp;'MT 3.1 Results'!$B$3&amp;"   Date: "&amp;TEXT('MT 3.1 Results'!$B$5,"DD/MM/YY"))</f>
        <v/>
      </c>
    </row>
    <row r="135">
      <c r="A135">
        <f>IF('MT 3.1 Results'!I28="","","Total: "&amp;'MT 3.1 Results'!G28&amp;"/22 ("&amp;TEXT('MT 3.1 Results'!H28,"0%")&amp;")   Overall: "&amp;'MT 3.1 Results'!I28)</f>
        <v/>
      </c>
      <c r="K135">
        <f>IF('MT 3.1 Results'!I29="","","Total: "&amp;'MT 3.1 Results'!G29&amp;"/22 ("&amp;TEXT('MT 3.1 Results'!H29,"0%")&amp;")   Overall: "&amp;'MT 3.1 Results'!I29)</f>
        <v/>
      </c>
    </row>
    <row r="136">
      <c r="A136">
        <f>IF('MT 3.1 Results'!I28="","",IF('MT 3.1 Results'!I28="Green",Parameters!$C$161,IF('MT 3.1 Results'!I28="Yellow",Parameters!$C$160,Parameters!$C$159)))</f>
        <v/>
      </c>
      <c r="K136">
        <f>IF('MT 3.1 Results'!I29="","",IF('MT 3.1 Results'!I29="Green",Parameters!$C$161,IF('MT 3.1 Results'!I29="Yellow",Parameters!$C$160,Parameters!$C$159)))</f>
        <v/>
      </c>
    </row>
    <row r="138">
      <c r="A138">
        <f>IF('MT 3.1 Results'!I28="","","Breakdown:")</f>
        <v/>
      </c>
      <c r="K138">
        <f>IF('MT 3.1 Results'!I29="","","Breakdown:")</f>
        <v/>
      </c>
    </row>
    <row r="139">
      <c r="A139">
        <f>IF('MT 3.1 Results'!I28="","","Q1 Fermi estimate (assumptions): "&amp;'MT 3.1 Results'!C28&amp;"/7")</f>
        <v/>
      </c>
      <c r="K139">
        <f>IF('MT 3.1 Results'!I29="","","Q1 Fermi estimate (assumptions): "&amp;'MT 3.1 Results'!C29&amp;"/7")</f>
        <v/>
      </c>
    </row>
    <row r="140">
      <c r="A140">
        <f>IF('MT 3.1 Results'!I28="","","Q2 Degree of accuracy: "&amp;'MT 3.1 Results'!D28&amp;"/5")</f>
        <v/>
      </c>
      <c r="K140">
        <f>IF('MT 3.1 Results'!I29="","","Q2 Degree of accuracy: "&amp;'MT 3.1 Results'!D29&amp;"/5")</f>
        <v/>
      </c>
    </row>
    <row r="141">
      <c r="A141">
        <f>IF('MT 3.1 Results'!I28="","","Q3 Upper/lower bounds: "&amp;'MT 3.1 Results'!E28&amp;"/6")</f>
        <v/>
      </c>
      <c r="K141">
        <f>IF('MT 3.1 Results'!I29="","","Q3 Upper/lower bounds: "&amp;'MT 3.1 Results'!E29&amp;"/6")</f>
        <v/>
      </c>
    </row>
    <row r="142">
      <c r="A142">
        <f>IF('MT 3.1 Results'!I28="","","Q4 Estimating capacity: "&amp;'MT 3.1 Results'!F28&amp;"/4")</f>
        <v/>
      </c>
      <c r="K142">
        <f>IF('MT 3.1 Results'!I29="","","Q4 Estimating capacity: "&amp;'MT 3.1 Results'!F29&amp;"/4")</f>
        <v/>
      </c>
    </row>
    <row r="143">
      <c r="A143">
        <f>IF(OR('MT 3.1 Results'!I28="",'MT 3.1 Results'!J28=""),"",'MT 3.1 Results'!J28)</f>
        <v/>
      </c>
      <c r="K143">
        <f>IF(OR('MT 3.1 Results'!I29="",'MT 3.1 Results'!J29=""),"",'MT 3.1 Results'!J29)</f>
        <v/>
      </c>
    </row>
    <row r="145">
      <c r="A145">
        <f>IF('MT 3.1 Results'!I28="","","Comments:")</f>
        <v/>
      </c>
      <c r="K145">
        <f>IF('MT 3.1 Results'!I29="","","Comments:")</f>
        <v/>
      </c>
    </row>
    <row r="149">
      <c r="A149">
        <f>IF('MT 3.1 Results'!I30="","","Mini Test 3.1 — Modelling and Estimation")</f>
        <v/>
      </c>
      <c r="K149">
        <f>IF('MT 3.1 Results'!I31="","","Mini Test 3.1 — Modelling and Estimation")</f>
        <v/>
      </c>
    </row>
    <row r="150">
      <c r="A150">
        <f>IF('MT 3.1 Results'!I30="","","Name: "&amp;'MT 3.1 Results'!B30&amp;"   Class: "&amp;'MT 3.1 Results'!$B$3&amp;"   Date: "&amp;TEXT('MT 3.1 Results'!$B$5,"DD/MM/YY"))</f>
        <v/>
      </c>
      <c r="K150">
        <f>IF('MT 3.1 Results'!I31="","","Name: "&amp;'MT 3.1 Results'!B31&amp;"   Class: "&amp;'MT 3.1 Results'!$B$3&amp;"   Date: "&amp;TEXT('MT 3.1 Results'!$B$5,"DD/MM/YY"))</f>
        <v/>
      </c>
    </row>
    <row r="151">
      <c r="A151">
        <f>IF('MT 3.1 Results'!I30="","","Total: "&amp;'MT 3.1 Results'!G30&amp;"/22 ("&amp;TEXT('MT 3.1 Results'!H30,"0%")&amp;")   Overall: "&amp;'MT 3.1 Results'!I30)</f>
        <v/>
      </c>
      <c r="K151">
        <f>IF('MT 3.1 Results'!I31="","","Total: "&amp;'MT 3.1 Results'!G31&amp;"/22 ("&amp;TEXT('MT 3.1 Results'!H31,"0%")&amp;")   Overall: "&amp;'MT 3.1 Results'!I31)</f>
        <v/>
      </c>
    </row>
    <row r="152">
      <c r="A152">
        <f>IF('MT 3.1 Results'!I30="","",IF('MT 3.1 Results'!I30="Green",Parameters!$C$161,IF('MT 3.1 Results'!I30="Yellow",Parameters!$C$160,Parameters!$C$159)))</f>
        <v/>
      </c>
      <c r="K152">
        <f>IF('MT 3.1 Results'!I31="","",IF('MT 3.1 Results'!I31="Green",Parameters!$C$161,IF('MT 3.1 Results'!I31="Yellow",Parameters!$C$160,Parameters!$C$159)))</f>
        <v/>
      </c>
    </row>
    <row r="154">
      <c r="A154">
        <f>IF('MT 3.1 Results'!I30="","","Breakdown:")</f>
        <v/>
      </c>
      <c r="K154">
        <f>IF('MT 3.1 Results'!I31="","","Breakdown:")</f>
        <v/>
      </c>
    </row>
    <row r="155">
      <c r="A155">
        <f>IF('MT 3.1 Results'!I30="","","Q1 Fermi estimate (assumptions): "&amp;'MT 3.1 Results'!C30&amp;"/7")</f>
        <v/>
      </c>
      <c r="K155">
        <f>IF('MT 3.1 Results'!I31="","","Q1 Fermi estimate (assumptions): "&amp;'MT 3.1 Results'!C31&amp;"/7")</f>
        <v/>
      </c>
    </row>
    <row r="156">
      <c r="A156">
        <f>IF('MT 3.1 Results'!I30="","","Q2 Degree of accuracy: "&amp;'MT 3.1 Results'!D30&amp;"/5")</f>
        <v/>
      </c>
      <c r="K156">
        <f>IF('MT 3.1 Results'!I31="","","Q2 Degree of accuracy: "&amp;'MT 3.1 Results'!D31&amp;"/5")</f>
        <v/>
      </c>
    </row>
    <row r="157">
      <c r="A157">
        <f>IF('MT 3.1 Results'!I30="","","Q3 Upper/lower bounds: "&amp;'MT 3.1 Results'!E30&amp;"/6")</f>
        <v/>
      </c>
      <c r="K157">
        <f>IF('MT 3.1 Results'!I31="","","Q3 Upper/lower bounds: "&amp;'MT 3.1 Results'!E31&amp;"/6")</f>
        <v/>
      </c>
    </row>
    <row r="158">
      <c r="A158">
        <f>IF('MT 3.1 Results'!I30="","","Q4 Estimating capacity: "&amp;'MT 3.1 Results'!F30&amp;"/4")</f>
        <v/>
      </c>
      <c r="K158">
        <f>IF('MT 3.1 Results'!I31="","","Q4 Estimating capacity: "&amp;'MT 3.1 Results'!F31&amp;"/4")</f>
        <v/>
      </c>
    </row>
    <row r="159">
      <c r="A159">
        <f>IF(OR('MT 3.1 Results'!I30="",'MT 3.1 Results'!J30=""),"",'MT 3.1 Results'!J30)</f>
        <v/>
      </c>
      <c r="K159">
        <f>IF(OR('MT 3.1 Results'!I31="",'MT 3.1 Results'!J31=""),"",'MT 3.1 Results'!J31)</f>
        <v/>
      </c>
    </row>
    <row r="161">
      <c r="A161">
        <f>IF('MT 3.1 Results'!I30="","","Comments:")</f>
        <v/>
      </c>
      <c r="K161">
        <f>IF('MT 3.1 Results'!I31="","","Comments:")</f>
        <v/>
      </c>
    </row>
    <row r="165">
      <c r="A165">
        <f>IF('MT 3.1 Results'!I32="","","Mini Test 3.1 — Modelling and Estimation")</f>
        <v/>
      </c>
      <c r="K165">
        <f>IF('MT 3.1 Results'!I33="","","Mini Test 3.1 — Modelling and Estimation")</f>
        <v/>
      </c>
    </row>
    <row r="166">
      <c r="A166">
        <f>IF('MT 3.1 Results'!I32="","","Name: "&amp;'MT 3.1 Results'!B32&amp;"   Class: "&amp;'MT 3.1 Results'!$B$3&amp;"   Date: "&amp;TEXT('MT 3.1 Results'!$B$5,"DD/MM/YY"))</f>
        <v/>
      </c>
      <c r="K166">
        <f>IF('MT 3.1 Results'!I33="","","Name: "&amp;'MT 3.1 Results'!B33&amp;"   Class: "&amp;'MT 3.1 Results'!$B$3&amp;"   Date: "&amp;TEXT('MT 3.1 Results'!$B$5,"DD/MM/YY"))</f>
        <v/>
      </c>
    </row>
    <row r="167">
      <c r="A167">
        <f>IF('MT 3.1 Results'!I32="","","Total: "&amp;'MT 3.1 Results'!G32&amp;"/22 ("&amp;TEXT('MT 3.1 Results'!H32,"0%")&amp;")   Overall: "&amp;'MT 3.1 Results'!I32)</f>
        <v/>
      </c>
      <c r="K167">
        <f>IF('MT 3.1 Results'!I33="","","Total: "&amp;'MT 3.1 Results'!G33&amp;"/22 ("&amp;TEXT('MT 3.1 Results'!H33,"0%")&amp;")   Overall: "&amp;'MT 3.1 Results'!I33)</f>
        <v/>
      </c>
    </row>
    <row r="168">
      <c r="A168">
        <f>IF('MT 3.1 Results'!I32="","",IF('MT 3.1 Results'!I32="Green",Parameters!$C$161,IF('MT 3.1 Results'!I32="Yellow",Parameters!$C$160,Parameters!$C$159)))</f>
        <v/>
      </c>
      <c r="K168">
        <f>IF('MT 3.1 Results'!I33="","",IF('MT 3.1 Results'!I33="Green",Parameters!$C$161,IF('MT 3.1 Results'!I33="Yellow",Parameters!$C$160,Parameters!$C$159)))</f>
        <v/>
      </c>
    </row>
    <row r="170">
      <c r="A170">
        <f>IF('MT 3.1 Results'!I32="","","Breakdown:")</f>
        <v/>
      </c>
      <c r="K170">
        <f>IF('MT 3.1 Results'!I33="","","Breakdown:")</f>
        <v/>
      </c>
    </row>
    <row r="171">
      <c r="A171">
        <f>IF('MT 3.1 Results'!I32="","","Q1 Fermi estimate (assumptions): "&amp;'MT 3.1 Results'!C32&amp;"/7")</f>
        <v/>
      </c>
      <c r="K171">
        <f>IF('MT 3.1 Results'!I33="","","Q1 Fermi estimate (assumptions): "&amp;'MT 3.1 Results'!C33&amp;"/7")</f>
        <v/>
      </c>
    </row>
    <row r="172">
      <c r="A172">
        <f>IF('MT 3.1 Results'!I32="","","Q2 Degree of accuracy: "&amp;'MT 3.1 Results'!D32&amp;"/5")</f>
        <v/>
      </c>
      <c r="K172">
        <f>IF('MT 3.1 Results'!I33="","","Q2 Degree of accuracy: "&amp;'MT 3.1 Results'!D33&amp;"/5")</f>
        <v/>
      </c>
    </row>
    <row r="173">
      <c r="A173">
        <f>IF('MT 3.1 Results'!I32="","","Q3 Upper/lower bounds: "&amp;'MT 3.1 Results'!E32&amp;"/6")</f>
        <v/>
      </c>
      <c r="K173">
        <f>IF('MT 3.1 Results'!I33="","","Q3 Upper/lower bounds: "&amp;'MT 3.1 Results'!E33&amp;"/6")</f>
        <v/>
      </c>
    </row>
    <row r="174">
      <c r="A174">
        <f>IF('MT 3.1 Results'!I32="","","Q4 Estimating capacity: "&amp;'MT 3.1 Results'!F32&amp;"/4")</f>
        <v/>
      </c>
      <c r="K174">
        <f>IF('MT 3.1 Results'!I33="","","Q4 Estimating capacity: "&amp;'MT 3.1 Results'!F33&amp;"/4")</f>
        <v/>
      </c>
    </row>
    <row r="175">
      <c r="A175">
        <f>IF(OR('MT 3.1 Results'!I32="",'MT 3.1 Results'!J32=""),"",'MT 3.1 Results'!J32)</f>
        <v/>
      </c>
      <c r="K175">
        <f>IF(OR('MT 3.1 Results'!I33="",'MT 3.1 Results'!J33=""),"",'MT 3.1 Results'!J33)</f>
        <v/>
      </c>
    </row>
    <row r="177">
      <c r="A177">
        <f>IF('MT 3.1 Results'!I32="","","Comments:")</f>
        <v/>
      </c>
      <c r="K177">
        <f>IF('MT 3.1 Results'!I33="","","Comments:")</f>
        <v/>
      </c>
    </row>
    <row r="181">
      <c r="A181">
        <f>IF('MT 3.1 Results'!I34="","","Mini Test 3.1 — Modelling and Estimation")</f>
        <v/>
      </c>
      <c r="K181">
        <f>IF('MT 3.1 Results'!I35="","","Mini Test 3.1 — Modelling and Estimation")</f>
        <v/>
      </c>
    </row>
    <row r="182">
      <c r="A182">
        <f>IF('MT 3.1 Results'!I34="","","Name: "&amp;'MT 3.1 Results'!B34&amp;"   Class: "&amp;'MT 3.1 Results'!$B$3&amp;"   Date: "&amp;TEXT('MT 3.1 Results'!$B$5,"DD/MM/YY"))</f>
        <v/>
      </c>
      <c r="K182">
        <f>IF('MT 3.1 Results'!I35="","","Name: "&amp;'MT 3.1 Results'!B35&amp;"   Class: "&amp;'MT 3.1 Results'!$B$3&amp;"   Date: "&amp;TEXT('MT 3.1 Results'!$B$5,"DD/MM/YY"))</f>
        <v/>
      </c>
    </row>
    <row r="183">
      <c r="A183">
        <f>IF('MT 3.1 Results'!I34="","","Total: "&amp;'MT 3.1 Results'!G34&amp;"/22 ("&amp;TEXT('MT 3.1 Results'!H34,"0%")&amp;")   Overall: "&amp;'MT 3.1 Results'!I34)</f>
        <v/>
      </c>
      <c r="K183">
        <f>IF('MT 3.1 Results'!I35="","","Total: "&amp;'MT 3.1 Results'!G35&amp;"/22 ("&amp;TEXT('MT 3.1 Results'!H35,"0%")&amp;")   Overall: "&amp;'MT 3.1 Results'!I35)</f>
        <v/>
      </c>
    </row>
    <row r="184">
      <c r="A184">
        <f>IF('MT 3.1 Results'!I34="","",IF('MT 3.1 Results'!I34="Green",Parameters!$C$161,IF('MT 3.1 Results'!I34="Yellow",Parameters!$C$160,Parameters!$C$159)))</f>
        <v/>
      </c>
      <c r="K184">
        <f>IF('MT 3.1 Results'!I35="","",IF('MT 3.1 Results'!I35="Green",Parameters!$C$161,IF('MT 3.1 Results'!I35="Yellow",Parameters!$C$160,Parameters!$C$159)))</f>
        <v/>
      </c>
    </row>
    <row r="186">
      <c r="A186">
        <f>IF('MT 3.1 Results'!I34="","","Breakdown:")</f>
        <v/>
      </c>
      <c r="K186">
        <f>IF('MT 3.1 Results'!I35="","","Breakdown:")</f>
        <v/>
      </c>
    </row>
    <row r="187">
      <c r="A187">
        <f>IF('MT 3.1 Results'!I34="","","Q1 Fermi estimate (assumptions): "&amp;'MT 3.1 Results'!C34&amp;"/7")</f>
        <v/>
      </c>
      <c r="K187">
        <f>IF('MT 3.1 Results'!I35="","","Q1 Fermi estimate (assumptions): "&amp;'MT 3.1 Results'!C35&amp;"/7")</f>
        <v/>
      </c>
    </row>
    <row r="188">
      <c r="A188">
        <f>IF('MT 3.1 Results'!I34="","","Q2 Degree of accuracy: "&amp;'MT 3.1 Results'!D34&amp;"/5")</f>
        <v/>
      </c>
      <c r="K188">
        <f>IF('MT 3.1 Results'!I35="","","Q2 Degree of accuracy: "&amp;'MT 3.1 Results'!D35&amp;"/5")</f>
        <v/>
      </c>
    </row>
    <row r="189">
      <c r="A189">
        <f>IF('MT 3.1 Results'!I34="","","Q3 Upper/lower bounds: "&amp;'MT 3.1 Results'!E34&amp;"/6")</f>
        <v/>
      </c>
      <c r="K189">
        <f>IF('MT 3.1 Results'!I35="","","Q3 Upper/lower bounds: "&amp;'MT 3.1 Results'!E35&amp;"/6")</f>
        <v/>
      </c>
    </row>
    <row r="190">
      <c r="A190">
        <f>IF('MT 3.1 Results'!I34="","","Q4 Estimating capacity: "&amp;'MT 3.1 Results'!F34&amp;"/4")</f>
        <v/>
      </c>
      <c r="K190">
        <f>IF('MT 3.1 Results'!I35="","","Q4 Estimating capacity: "&amp;'MT 3.1 Results'!F35&amp;"/4")</f>
        <v/>
      </c>
    </row>
    <row r="191">
      <c r="A191">
        <f>IF(OR('MT 3.1 Results'!I34="",'MT 3.1 Results'!J34=""),"",'MT 3.1 Results'!J34)</f>
        <v/>
      </c>
      <c r="K191">
        <f>IF(OR('MT 3.1 Results'!I35="",'MT 3.1 Results'!J35=""),"",'MT 3.1 Results'!J35)</f>
        <v/>
      </c>
    </row>
    <row r="193">
      <c r="A193">
        <f>IF('MT 3.1 Results'!I34="","","Comments:")</f>
        <v/>
      </c>
      <c r="K193">
        <f>IF('MT 3.1 Results'!I35="","","Comments:")</f>
        <v/>
      </c>
    </row>
    <row r="197">
      <c r="A197">
        <f>IF('MT 3.1 Results'!I36="","","Mini Test 3.1 — Modelling and Estimation")</f>
        <v/>
      </c>
      <c r="K197">
        <f>IF('MT 3.1 Results'!I37="","","Mini Test 3.1 — Modelling and Estimation")</f>
        <v/>
      </c>
    </row>
    <row r="198">
      <c r="A198">
        <f>IF('MT 3.1 Results'!I36="","","Name: "&amp;'MT 3.1 Results'!B36&amp;"   Class: "&amp;'MT 3.1 Results'!$B$3&amp;"   Date: "&amp;TEXT('MT 3.1 Results'!$B$5,"DD/MM/YY"))</f>
        <v/>
      </c>
      <c r="K198">
        <f>IF('MT 3.1 Results'!I37="","","Name: "&amp;'MT 3.1 Results'!B37&amp;"   Class: "&amp;'MT 3.1 Results'!$B$3&amp;"   Date: "&amp;TEXT('MT 3.1 Results'!$B$5,"DD/MM/YY"))</f>
        <v/>
      </c>
    </row>
    <row r="199">
      <c r="A199">
        <f>IF('MT 3.1 Results'!I36="","","Total: "&amp;'MT 3.1 Results'!G36&amp;"/22 ("&amp;TEXT('MT 3.1 Results'!H36,"0%")&amp;")   Overall: "&amp;'MT 3.1 Results'!I36)</f>
        <v/>
      </c>
      <c r="K199">
        <f>IF('MT 3.1 Results'!I37="","","Total: "&amp;'MT 3.1 Results'!G37&amp;"/22 ("&amp;TEXT('MT 3.1 Results'!H37,"0%")&amp;")   Overall: "&amp;'MT 3.1 Results'!I37)</f>
        <v/>
      </c>
    </row>
    <row r="200">
      <c r="A200">
        <f>IF('MT 3.1 Results'!I36="","",IF('MT 3.1 Results'!I36="Green",Parameters!$C$161,IF('MT 3.1 Results'!I36="Yellow",Parameters!$C$160,Parameters!$C$159)))</f>
        <v/>
      </c>
      <c r="K200">
        <f>IF('MT 3.1 Results'!I37="","",IF('MT 3.1 Results'!I37="Green",Parameters!$C$161,IF('MT 3.1 Results'!I37="Yellow",Parameters!$C$160,Parameters!$C$159)))</f>
        <v/>
      </c>
    </row>
    <row r="202">
      <c r="A202">
        <f>IF('MT 3.1 Results'!I36="","","Breakdown:")</f>
        <v/>
      </c>
      <c r="K202">
        <f>IF('MT 3.1 Results'!I37="","","Breakdown:")</f>
        <v/>
      </c>
    </row>
    <row r="203">
      <c r="A203">
        <f>IF('MT 3.1 Results'!I36="","","Q1 Fermi estimate (assumptions): "&amp;'MT 3.1 Results'!C36&amp;"/7")</f>
        <v/>
      </c>
      <c r="K203">
        <f>IF('MT 3.1 Results'!I37="","","Q1 Fermi estimate (assumptions): "&amp;'MT 3.1 Results'!C37&amp;"/7")</f>
        <v/>
      </c>
    </row>
    <row r="204">
      <c r="A204">
        <f>IF('MT 3.1 Results'!I36="","","Q2 Degree of accuracy: "&amp;'MT 3.1 Results'!D36&amp;"/5")</f>
        <v/>
      </c>
      <c r="K204">
        <f>IF('MT 3.1 Results'!I37="","","Q2 Degree of accuracy: "&amp;'MT 3.1 Results'!D37&amp;"/5")</f>
        <v/>
      </c>
    </row>
    <row r="205">
      <c r="A205">
        <f>IF('MT 3.1 Results'!I36="","","Q3 Upper/lower bounds: "&amp;'MT 3.1 Results'!E36&amp;"/6")</f>
        <v/>
      </c>
      <c r="K205">
        <f>IF('MT 3.1 Results'!I37="","","Q3 Upper/lower bounds: "&amp;'MT 3.1 Results'!E37&amp;"/6")</f>
        <v/>
      </c>
    </row>
    <row r="206">
      <c r="A206">
        <f>IF('MT 3.1 Results'!I36="","","Q4 Estimating capacity: "&amp;'MT 3.1 Results'!F36&amp;"/4")</f>
        <v/>
      </c>
      <c r="K206">
        <f>IF('MT 3.1 Results'!I37="","","Q4 Estimating capacity: "&amp;'MT 3.1 Results'!F37&amp;"/4")</f>
        <v/>
      </c>
    </row>
    <row r="207">
      <c r="A207">
        <f>IF(OR('MT 3.1 Results'!I36="",'MT 3.1 Results'!J36=""),"",'MT 3.1 Results'!J36)</f>
        <v/>
      </c>
      <c r="K207">
        <f>IF(OR('MT 3.1 Results'!I37="",'MT 3.1 Results'!J37=""),"",'MT 3.1 Results'!J37)</f>
        <v/>
      </c>
    </row>
    <row r="209">
      <c r="A209">
        <f>IF('MT 3.1 Results'!I36="","","Comments:")</f>
        <v/>
      </c>
      <c r="K209">
        <f>IF('MT 3.1 Results'!I37="","","Comments:")</f>
        <v/>
      </c>
    </row>
    <row r="213">
      <c r="A213">
        <f>IF('MT 3.1 Results'!I38="","","Mini Test 3.1 — Modelling and Estimation")</f>
        <v/>
      </c>
      <c r="K213">
        <f>IF('MT 3.1 Results'!I39="","","Mini Test 3.1 — Modelling and Estimation")</f>
        <v/>
      </c>
    </row>
    <row r="214">
      <c r="A214">
        <f>IF('MT 3.1 Results'!I38="","","Name: "&amp;'MT 3.1 Results'!B38&amp;"   Class: "&amp;'MT 3.1 Results'!$B$3&amp;"   Date: "&amp;TEXT('MT 3.1 Results'!$B$5,"DD/MM/YY"))</f>
        <v/>
      </c>
      <c r="K214">
        <f>IF('MT 3.1 Results'!I39="","","Name: "&amp;'MT 3.1 Results'!B39&amp;"   Class: "&amp;'MT 3.1 Results'!$B$3&amp;"   Date: "&amp;TEXT('MT 3.1 Results'!$B$5,"DD/MM/YY"))</f>
        <v/>
      </c>
    </row>
    <row r="215">
      <c r="A215">
        <f>IF('MT 3.1 Results'!I38="","","Total: "&amp;'MT 3.1 Results'!G38&amp;"/22 ("&amp;TEXT('MT 3.1 Results'!H38,"0%")&amp;")   Overall: "&amp;'MT 3.1 Results'!I38)</f>
        <v/>
      </c>
      <c r="K215">
        <f>IF('MT 3.1 Results'!I39="","","Total: "&amp;'MT 3.1 Results'!G39&amp;"/22 ("&amp;TEXT('MT 3.1 Results'!H39,"0%")&amp;")   Overall: "&amp;'MT 3.1 Results'!I39)</f>
        <v/>
      </c>
    </row>
    <row r="216">
      <c r="A216">
        <f>IF('MT 3.1 Results'!I38="","",IF('MT 3.1 Results'!I38="Green",Parameters!$C$161,IF('MT 3.1 Results'!I38="Yellow",Parameters!$C$160,Parameters!$C$159)))</f>
        <v/>
      </c>
      <c r="K216">
        <f>IF('MT 3.1 Results'!I39="","",IF('MT 3.1 Results'!I39="Green",Parameters!$C$161,IF('MT 3.1 Results'!I39="Yellow",Parameters!$C$160,Parameters!$C$159)))</f>
        <v/>
      </c>
    </row>
    <row r="218">
      <c r="A218">
        <f>IF('MT 3.1 Results'!I38="","","Breakdown:")</f>
        <v/>
      </c>
      <c r="K218">
        <f>IF('MT 3.1 Results'!I39="","","Breakdown:")</f>
        <v/>
      </c>
    </row>
    <row r="219">
      <c r="A219">
        <f>IF('MT 3.1 Results'!I38="","","Q1 Fermi estimate (assumptions): "&amp;'MT 3.1 Results'!C38&amp;"/7")</f>
        <v/>
      </c>
      <c r="K219">
        <f>IF('MT 3.1 Results'!I39="","","Q1 Fermi estimate (assumptions): "&amp;'MT 3.1 Results'!C39&amp;"/7")</f>
        <v/>
      </c>
    </row>
    <row r="220">
      <c r="A220">
        <f>IF('MT 3.1 Results'!I38="","","Q2 Degree of accuracy: "&amp;'MT 3.1 Results'!D38&amp;"/5")</f>
        <v/>
      </c>
      <c r="K220">
        <f>IF('MT 3.1 Results'!I39="","","Q2 Degree of accuracy: "&amp;'MT 3.1 Results'!D39&amp;"/5")</f>
        <v/>
      </c>
    </row>
    <row r="221">
      <c r="A221">
        <f>IF('MT 3.1 Results'!I38="","","Q3 Upper/lower bounds: "&amp;'MT 3.1 Results'!E38&amp;"/6")</f>
        <v/>
      </c>
      <c r="K221">
        <f>IF('MT 3.1 Results'!I39="","","Q3 Upper/lower bounds: "&amp;'MT 3.1 Results'!E39&amp;"/6")</f>
        <v/>
      </c>
    </row>
    <row r="222">
      <c r="A222">
        <f>IF('MT 3.1 Results'!I38="","","Q4 Estimating capacity: "&amp;'MT 3.1 Results'!F38&amp;"/4")</f>
        <v/>
      </c>
      <c r="K222">
        <f>IF('MT 3.1 Results'!I39="","","Q4 Estimating capacity: "&amp;'MT 3.1 Results'!F39&amp;"/4")</f>
        <v/>
      </c>
    </row>
    <row r="223">
      <c r="A223">
        <f>IF(OR('MT 3.1 Results'!I38="",'MT 3.1 Results'!J38=""),"",'MT 3.1 Results'!J38)</f>
        <v/>
      </c>
      <c r="K223">
        <f>IF(OR('MT 3.1 Results'!I39="",'MT 3.1 Results'!J39=""),"",'MT 3.1 Results'!J39)</f>
        <v/>
      </c>
    </row>
    <row r="225">
      <c r="A225">
        <f>IF('MT 3.1 Results'!I38="","","Comments:")</f>
        <v/>
      </c>
      <c r="K225">
        <f>IF('MT 3.1 Results'!I39="","","Comments:")</f>
        <v/>
      </c>
    </row>
    <row r="229">
      <c r="A229">
        <f>IF('MT 3.1 Results'!I40="","","Mini Test 3.1 — Modelling and Estimation")</f>
        <v/>
      </c>
      <c r="K229">
        <f>IF('MT 3.1 Results'!I41="","","Mini Test 3.1 — Modelling and Estimation")</f>
        <v/>
      </c>
    </row>
    <row r="230">
      <c r="A230">
        <f>IF('MT 3.1 Results'!I40="","","Name: "&amp;'MT 3.1 Results'!B40&amp;"   Class: "&amp;'MT 3.1 Results'!$B$3&amp;"   Date: "&amp;TEXT('MT 3.1 Results'!$B$5,"DD/MM/YY"))</f>
        <v/>
      </c>
      <c r="K230">
        <f>IF('MT 3.1 Results'!I41="","","Name: "&amp;'MT 3.1 Results'!B41&amp;"   Class: "&amp;'MT 3.1 Results'!$B$3&amp;"   Date: "&amp;TEXT('MT 3.1 Results'!$B$5,"DD/MM/YY"))</f>
        <v/>
      </c>
    </row>
    <row r="231">
      <c r="A231">
        <f>IF('MT 3.1 Results'!I40="","","Total: "&amp;'MT 3.1 Results'!G40&amp;"/22 ("&amp;TEXT('MT 3.1 Results'!H40,"0%")&amp;")   Overall: "&amp;'MT 3.1 Results'!I40)</f>
        <v/>
      </c>
      <c r="K231">
        <f>IF('MT 3.1 Results'!I41="","","Total: "&amp;'MT 3.1 Results'!G41&amp;"/22 ("&amp;TEXT('MT 3.1 Results'!H41,"0%")&amp;")   Overall: "&amp;'MT 3.1 Results'!I41)</f>
        <v/>
      </c>
    </row>
    <row r="232">
      <c r="A232">
        <f>IF('MT 3.1 Results'!I40="","",IF('MT 3.1 Results'!I40="Green",Parameters!$C$161,IF('MT 3.1 Results'!I40="Yellow",Parameters!$C$160,Parameters!$C$159)))</f>
        <v/>
      </c>
      <c r="K232">
        <f>IF('MT 3.1 Results'!I41="","",IF('MT 3.1 Results'!I41="Green",Parameters!$C$161,IF('MT 3.1 Results'!I41="Yellow",Parameters!$C$160,Parameters!$C$159)))</f>
        <v/>
      </c>
    </row>
    <row r="234">
      <c r="A234">
        <f>IF('MT 3.1 Results'!I40="","","Breakdown:")</f>
        <v/>
      </c>
      <c r="K234">
        <f>IF('MT 3.1 Results'!I41="","","Breakdown:")</f>
        <v/>
      </c>
    </row>
    <row r="235">
      <c r="A235">
        <f>IF('MT 3.1 Results'!I40="","","Q1 Fermi estimate (assumptions): "&amp;'MT 3.1 Results'!C40&amp;"/7")</f>
        <v/>
      </c>
      <c r="K235">
        <f>IF('MT 3.1 Results'!I41="","","Q1 Fermi estimate (assumptions): "&amp;'MT 3.1 Results'!C41&amp;"/7")</f>
        <v/>
      </c>
    </row>
    <row r="236">
      <c r="A236">
        <f>IF('MT 3.1 Results'!I40="","","Q2 Degree of accuracy: "&amp;'MT 3.1 Results'!D40&amp;"/5")</f>
        <v/>
      </c>
      <c r="K236">
        <f>IF('MT 3.1 Results'!I41="","","Q2 Degree of accuracy: "&amp;'MT 3.1 Results'!D41&amp;"/5")</f>
        <v/>
      </c>
    </row>
    <row r="237">
      <c r="A237">
        <f>IF('MT 3.1 Results'!I40="","","Q3 Upper/lower bounds: "&amp;'MT 3.1 Results'!E40&amp;"/6")</f>
        <v/>
      </c>
      <c r="K237">
        <f>IF('MT 3.1 Results'!I41="","","Q3 Upper/lower bounds: "&amp;'MT 3.1 Results'!E41&amp;"/6")</f>
        <v/>
      </c>
    </row>
    <row r="238">
      <c r="A238">
        <f>IF('MT 3.1 Results'!I40="","","Q4 Estimating capacity: "&amp;'MT 3.1 Results'!F40&amp;"/4")</f>
        <v/>
      </c>
      <c r="K238">
        <f>IF('MT 3.1 Results'!I41="","","Q4 Estimating capacity: "&amp;'MT 3.1 Results'!F41&amp;"/4")</f>
        <v/>
      </c>
    </row>
    <row r="239">
      <c r="A239">
        <f>IF(OR('MT 3.1 Results'!I40="",'MT 3.1 Results'!J40=""),"",'MT 3.1 Results'!J40)</f>
        <v/>
      </c>
      <c r="K239">
        <f>IF(OR('MT 3.1 Results'!I41="",'MT 3.1 Results'!J41=""),"",'MT 3.1 Results'!J41)</f>
        <v/>
      </c>
    </row>
    <row r="241">
      <c r="A241">
        <f>IF('MT 3.1 Results'!I40="","","Comments:")</f>
        <v/>
      </c>
      <c r="K241">
        <f>IF('MT 3.1 Results'!I41="","","Comments:")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0" customWidth="1" min="7" max="7"/>
    <col width="8" customWidth="1" min="8" max="8"/>
    <col width="10" customWidth="1" min="9" max="9"/>
    <col width="45" customWidth="1" min="10" max="10"/>
  </cols>
  <sheetData>
    <row r="1">
      <c r="A1" s="11" t="inlineStr">
        <is>
          <t>Mini Test 3.2 — Modelling and Estimation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Bounds &amp; speed
(/6)</t>
        </is>
      </c>
      <c r="D9" s="12" t="inlineStr">
        <is>
          <t>Q2
Area &amp; practical rounding
(/6)</t>
        </is>
      </c>
      <c r="E9" s="12" t="inlineStr">
        <is>
          <t>Q3
Scaling a recipe
(/5)</t>
        </is>
      </c>
      <c r="F9" s="12" t="inlineStr">
        <is>
          <t>Q4
Fermi estimate
(/5)</t>
        </is>
      </c>
      <c r="G9" s="12" t="inlineStr">
        <is>
          <t>Total
(/22)</t>
        </is>
      </c>
      <c r="H9" s="12" t="inlineStr">
        <is>
          <t>%</t>
        </is>
      </c>
      <c r="I9" s="12" t="inlineStr">
        <is>
          <t>Overall</t>
        </is>
      </c>
      <c r="J9" s="12" t="inlineStr">
        <is>
          <t>Focus for next steps</t>
        </is>
      </c>
      <c r="K9" s="12" t="inlineStr">
        <is>
          <t>Q1%</t>
        </is>
      </c>
      <c r="L9" s="12" t="inlineStr">
        <is>
          <t>Q2%</t>
        </is>
      </c>
      <c r="M9" s="12" t="inlineStr">
        <is>
          <t>Q3%</t>
        </is>
      </c>
      <c r="N9" s="12" t="inlineStr">
        <is>
          <t>Q4%</t>
        </is>
      </c>
    </row>
    <row r="10">
      <c r="A10" s="3" t="n"/>
      <c r="B10" s="3" t="inlineStr">
        <is>
          <t>Max marks</t>
        </is>
      </c>
      <c r="C10" s="3" t="n">
        <v>6</v>
      </c>
      <c r="D10" s="3" t="n">
        <v>6</v>
      </c>
      <c r="E10" s="3" t="n">
        <v>5</v>
      </c>
      <c r="F10" s="3" t="n">
        <v>5</v>
      </c>
      <c r="G10" s="3" t="n">
        <v>22</v>
      </c>
      <c r="H10" s="3" t="inlineStr">
        <is>
          <t>100%</t>
        </is>
      </c>
      <c r="I10" s="3" t="n"/>
      <c r="J10" s="3" t="n"/>
      <c r="K10" s="3" t="n"/>
      <c r="L10" s="3" t="n"/>
      <c r="M10" s="3" t="n"/>
      <c r="N10" s="3" t="n"/>
    </row>
    <row r="11">
      <c r="A11" s="13" t="n">
        <v>1</v>
      </c>
      <c r="B11" s="13" t="inlineStr">
        <is>
          <t>Example pupil (edit me)</t>
        </is>
      </c>
      <c r="C11" s="13" t="n">
        <v>5</v>
      </c>
      <c r="D11" s="13" t="n">
        <v>5</v>
      </c>
      <c r="E11" s="13" t="n">
        <v>4</v>
      </c>
      <c r="F11" s="13" t="n">
        <v>4</v>
      </c>
      <c r="G11" s="13">
        <f>IF(COUNT(C11:F11)&lt;4,"",SUM(C11:F11))</f>
        <v/>
      </c>
      <c r="H11" s="13">
        <f>IF(COUNT(C11:F11)&lt;4,"",G11/22)</f>
        <v/>
      </c>
      <c r="I11" s="13">
        <f>IF(COUNT(C11:F11)&lt;4,"",IF(H11&gt;=0.8,"Green",IF(H11&gt;=0.5,"Yellow","Red")))</f>
        <v/>
      </c>
      <c r="J11" s="13">
        <f>IF(COUNT(C11:F11)&lt;4,"",IF(I11="Green","Well done! "&amp;Parameters!$C$176,"Revise: "&amp;_xlfn.TEXTJOIN(", ",TRUE(),IF(K11&lt;1,Parameters!$A$167,""),IF(L11&lt;1,Parameters!$A$168,""),IF(M11&lt;1,Parameters!$A$169,""),IF(N11&lt;1,Parameters!$A$170,""))))</f>
        <v/>
      </c>
      <c r="K11" s="13">
        <f>IF(C11="","",C11/6)</f>
        <v/>
      </c>
      <c r="L11" s="13">
        <f>IF(D11="","",D11/6)</f>
        <v/>
      </c>
      <c r="M11" s="13">
        <f>IF(E11="","",E11/5)</f>
        <v/>
      </c>
      <c r="N11" s="13">
        <f>IF(F11="","",F11/5)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3">
        <f>IF(COUNT(C12:F12)&lt;4,"",SUM(C12:F12))</f>
        <v/>
      </c>
      <c r="H12" s="13">
        <f>IF(COUNT(C12:F12)&lt;4,"",G12/22)</f>
        <v/>
      </c>
      <c r="I12" s="13">
        <f>IF(COUNT(C12:F12)&lt;4,"",IF(H12&gt;=0.8,"Green",IF(H12&gt;=0.5,"Yellow","Red")))</f>
        <v/>
      </c>
      <c r="J12" s="13">
        <f>IF(COUNT(C12:F12)&lt;4,"",IF(I12="Green","Well done! "&amp;Parameters!$C$176,"Revise: "&amp;_xlfn.TEXTJOIN(", ",TRUE(),IF(K12&lt;1,Parameters!$A$167,""),IF(L12&lt;1,Parameters!$A$168,""),IF(M12&lt;1,Parameters!$A$169,""),IF(N12&lt;1,Parameters!$A$170,""))))</f>
        <v/>
      </c>
      <c r="K12" s="13">
        <f>IF(C12="","",C12/6)</f>
        <v/>
      </c>
      <c r="L12" s="13">
        <f>IF(D12="","",D12/6)</f>
        <v/>
      </c>
      <c r="M12" s="13">
        <f>IF(E12="","",E12/5)</f>
        <v/>
      </c>
      <c r="N12" s="13">
        <f>IF(F12="","",F12/5)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3">
        <f>IF(COUNT(C13:F13)&lt;4,"",SUM(C13:F13))</f>
        <v/>
      </c>
      <c r="H13" s="13">
        <f>IF(COUNT(C13:F13)&lt;4,"",G13/22)</f>
        <v/>
      </c>
      <c r="I13" s="13">
        <f>IF(COUNT(C13:F13)&lt;4,"",IF(H13&gt;=0.8,"Green",IF(H13&gt;=0.5,"Yellow","Red")))</f>
        <v/>
      </c>
      <c r="J13" s="13">
        <f>IF(COUNT(C13:F13)&lt;4,"",IF(I13="Green","Well done! "&amp;Parameters!$C$176,"Revise: "&amp;_xlfn.TEXTJOIN(", ",TRUE(),IF(K13&lt;1,Parameters!$A$167,""),IF(L13&lt;1,Parameters!$A$168,""),IF(M13&lt;1,Parameters!$A$169,""),IF(N13&lt;1,Parameters!$A$170,""))))</f>
        <v/>
      </c>
      <c r="K13" s="13">
        <f>IF(C13="","",C13/6)</f>
        <v/>
      </c>
      <c r="L13" s="13">
        <f>IF(D13="","",D13/6)</f>
        <v/>
      </c>
      <c r="M13" s="13">
        <f>IF(E13="","",E13/5)</f>
        <v/>
      </c>
      <c r="N13" s="13">
        <f>IF(F13="","",F13/5)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3">
        <f>IF(COUNT(C14:F14)&lt;4,"",SUM(C14:F14))</f>
        <v/>
      </c>
      <c r="H14" s="13">
        <f>IF(COUNT(C14:F14)&lt;4,"",G14/22)</f>
        <v/>
      </c>
      <c r="I14" s="13">
        <f>IF(COUNT(C14:F14)&lt;4,"",IF(H14&gt;=0.8,"Green",IF(H14&gt;=0.5,"Yellow","Red")))</f>
        <v/>
      </c>
      <c r="J14" s="13">
        <f>IF(COUNT(C14:F14)&lt;4,"",IF(I14="Green","Well done! "&amp;Parameters!$C$176,"Revise: "&amp;_xlfn.TEXTJOIN(", ",TRUE(),IF(K14&lt;1,Parameters!$A$167,""),IF(L14&lt;1,Parameters!$A$168,""),IF(M14&lt;1,Parameters!$A$169,""),IF(N14&lt;1,Parameters!$A$170,""))))</f>
        <v/>
      </c>
      <c r="K14" s="13">
        <f>IF(C14="","",C14/6)</f>
        <v/>
      </c>
      <c r="L14" s="13">
        <f>IF(D14="","",D14/6)</f>
        <v/>
      </c>
      <c r="M14" s="13">
        <f>IF(E14="","",E14/5)</f>
        <v/>
      </c>
      <c r="N14" s="13">
        <f>IF(F14="","",F14/5)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3">
        <f>IF(COUNT(C15:F15)&lt;4,"",SUM(C15:F15))</f>
        <v/>
      </c>
      <c r="H15" s="13">
        <f>IF(COUNT(C15:F15)&lt;4,"",G15/22)</f>
        <v/>
      </c>
      <c r="I15" s="13">
        <f>IF(COUNT(C15:F15)&lt;4,"",IF(H15&gt;=0.8,"Green",IF(H15&gt;=0.5,"Yellow","Red")))</f>
        <v/>
      </c>
      <c r="J15" s="13">
        <f>IF(COUNT(C15:F15)&lt;4,"",IF(I15="Green","Well done! "&amp;Parameters!$C$176,"Revise: "&amp;_xlfn.TEXTJOIN(", ",TRUE(),IF(K15&lt;1,Parameters!$A$167,""),IF(L15&lt;1,Parameters!$A$168,""),IF(M15&lt;1,Parameters!$A$169,""),IF(N15&lt;1,Parameters!$A$170,""))))</f>
        <v/>
      </c>
      <c r="K15" s="13">
        <f>IF(C15="","",C15/6)</f>
        <v/>
      </c>
      <c r="L15" s="13">
        <f>IF(D15="","",D15/6)</f>
        <v/>
      </c>
      <c r="M15" s="13">
        <f>IF(E15="","",E15/5)</f>
        <v/>
      </c>
      <c r="N15" s="13">
        <f>IF(F15="","",F15/5)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3">
        <f>IF(COUNT(C16:F16)&lt;4,"",SUM(C16:F16))</f>
        <v/>
      </c>
      <c r="H16" s="13">
        <f>IF(COUNT(C16:F16)&lt;4,"",G16/22)</f>
        <v/>
      </c>
      <c r="I16" s="13">
        <f>IF(COUNT(C16:F16)&lt;4,"",IF(H16&gt;=0.8,"Green",IF(H16&gt;=0.5,"Yellow","Red")))</f>
        <v/>
      </c>
      <c r="J16" s="13">
        <f>IF(COUNT(C16:F16)&lt;4,"",IF(I16="Green","Well done! "&amp;Parameters!$C$176,"Revise: "&amp;_xlfn.TEXTJOIN(", ",TRUE(),IF(K16&lt;1,Parameters!$A$167,""),IF(L16&lt;1,Parameters!$A$168,""),IF(M16&lt;1,Parameters!$A$169,""),IF(N16&lt;1,Parameters!$A$170,""))))</f>
        <v/>
      </c>
      <c r="K16" s="13">
        <f>IF(C16="","",C16/6)</f>
        <v/>
      </c>
      <c r="L16" s="13">
        <f>IF(D16="","",D16/6)</f>
        <v/>
      </c>
      <c r="M16" s="13">
        <f>IF(E16="","",E16/5)</f>
        <v/>
      </c>
      <c r="N16" s="13">
        <f>IF(F16="","",F16/5)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3">
        <f>IF(COUNT(C17:F17)&lt;4,"",SUM(C17:F17))</f>
        <v/>
      </c>
      <c r="H17" s="13">
        <f>IF(COUNT(C17:F17)&lt;4,"",G17/22)</f>
        <v/>
      </c>
      <c r="I17" s="13">
        <f>IF(COUNT(C17:F17)&lt;4,"",IF(H17&gt;=0.8,"Green",IF(H17&gt;=0.5,"Yellow","Red")))</f>
        <v/>
      </c>
      <c r="J17" s="13">
        <f>IF(COUNT(C17:F17)&lt;4,"",IF(I17="Green","Well done! "&amp;Parameters!$C$176,"Revise: "&amp;_xlfn.TEXTJOIN(", ",TRUE(),IF(K17&lt;1,Parameters!$A$167,""),IF(L17&lt;1,Parameters!$A$168,""),IF(M17&lt;1,Parameters!$A$169,""),IF(N17&lt;1,Parameters!$A$170,""))))</f>
        <v/>
      </c>
      <c r="K17" s="13">
        <f>IF(C17="","",C17/6)</f>
        <v/>
      </c>
      <c r="L17" s="13">
        <f>IF(D17="","",D17/6)</f>
        <v/>
      </c>
      <c r="M17" s="13">
        <f>IF(E17="","",E17/5)</f>
        <v/>
      </c>
      <c r="N17" s="13">
        <f>IF(F17="","",F17/5)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3">
        <f>IF(COUNT(C18:F18)&lt;4,"",SUM(C18:F18))</f>
        <v/>
      </c>
      <c r="H18" s="13">
        <f>IF(COUNT(C18:F18)&lt;4,"",G18/22)</f>
        <v/>
      </c>
      <c r="I18" s="13">
        <f>IF(COUNT(C18:F18)&lt;4,"",IF(H18&gt;=0.8,"Green",IF(H18&gt;=0.5,"Yellow","Red")))</f>
        <v/>
      </c>
      <c r="J18" s="13">
        <f>IF(COUNT(C18:F18)&lt;4,"",IF(I18="Green","Well done! "&amp;Parameters!$C$176,"Revise: "&amp;_xlfn.TEXTJOIN(", ",TRUE(),IF(K18&lt;1,Parameters!$A$167,""),IF(L18&lt;1,Parameters!$A$168,""),IF(M18&lt;1,Parameters!$A$169,""),IF(N18&lt;1,Parameters!$A$170,""))))</f>
        <v/>
      </c>
      <c r="K18" s="13">
        <f>IF(C18="","",C18/6)</f>
        <v/>
      </c>
      <c r="L18" s="13">
        <f>IF(D18="","",D18/6)</f>
        <v/>
      </c>
      <c r="M18" s="13">
        <f>IF(E18="","",E18/5)</f>
        <v/>
      </c>
      <c r="N18" s="13">
        <f>IF(F18="","",F18/5)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3">
        <f>IF(COUNT(C19:F19)&lt;4,"",SUM(C19:F19))</f>
        <v/>
      </c>
      <c r="H19" s="13">
        <f>IF(COUNT(C19:F19)&lt;4,"",G19/22)</f>
        <v/>
      </c>
      <c r="I19" s="13">
        <f>IF(COUNT(C19:F19)&lt;4,"",IF(H19&gt;=0.8,"Green",IF(H19&gt;=0.5,"Yellow","Red")))</f>
        <v/>
      </c>
      <c r="J19" s="13">
        <f>IF(COUNT(C19:F19)&lt;4,"",IF(I19="Green","Well done! "&amp;Parameters!$C$176,"Revise: "&amp;_xlfn.TEXTJOIN(", ",TRUE(),IF(K19&lt;1,Parameters!$A$167,""),IF(L19&lt;1,Parameters!$A$168,""),IF(M19&lt;1,Parameters!$A$169,""),IF(N19&lt;1,Parameters!$A$170,""))))</f>
        <v/>
      </c>
      <c r="K19" s="13">
        <f>IF(C19="","",C19/6)</f>
        <v/>
      </c>
      <c r="L19" s="13">
        <f>IF(D19="","",D19/6)</f>
        <v/>
      </c>
      <c r="M19" s="13">
        <f>IF(E19="","",E19/5)</f>
        <v/>
      </c>
      <c r="N19" s="13">
        <f>IF(F19="","",F19/5)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3">
        <f>IF(COUNT(C20:F20)&lt;4,"",SUM(C20:F20))</f>
        <v/>
      </c>
      <c r="H20" s="13">
        <f>IF(COUNT(C20:F20)&lt;4,"",G20/22)</f>
        <v/>
      </c>
      <c r="I20" s="13">
        <f>IF(COUNT(C20:F20)&lt;4,"",IF(H20&gt;=0.8,"Green",IF(H20&gt;=0.5,"Yellow","Red")))</f>
        <v/>
      </c>
      <c r="J20" s="13">
        <f>IF(COUNT(C20:F20)&lt;4,"",IF(I20="Green","Well done! "&amp;Parameters!$C$176,"Revise: "&amp;_xlfn.TEXTJOIN(", ",TRUE(),IF(K20&lt;1,Parameters!$A$167,""),IF(L20&lt;1,Parameters!$A$168,""),IF(M20&lt;1,Parameters!$A$169,""),IF(N20&lt;1,Parameters!$A$170,""))))</f>
        <v/>
      </c>
      <c r="K20" s="13">
        <f>IF(C20="","",C20/6)</f>
        <v/>
      </c>
      <c r="L20" s="13">
        <f>IF(D20="","",D20/6)</f>
        <v/>
      </c>
      <c r="M20" s="13">
        <f>IF(E20="","",E20/5)</f>
        <v/>
      </c>
      <c r="N20" s="13">
        <f>IF(F20="","",F20/5)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3">
        <f>IF(COUNT(C21:F21)&lt;4,"",SUM(C21:F21))</f>
        <v/>
      </c>
      <c r="H21" s="13">
        <f>IF(COUNT(C21:F21)&lt;4,"",G21/22)</f>
        <v/>
      </c>
      <c r="I21" s="13">
        <f>IF(COUNT(C21:F21)&lt;4,"",IF(H21&gt;=0.8,"Green",IF(H21&gt;=0.5,"Yellow","Red")))</f>
        <v/>
      </c>
      <c r="J21" s="13">
        <f>IF(COUNT(C21:F21)&lt;4,"",IF(I21="Green","Well done! "&amp;Parameters!$C$176,"Revise: "&amp;_xlfn.TEXTJOIN(", ",TRUE(),IF(K21&lt;1,Parameters!$A$167,""),IF(L21&lt;1,Parameters!$A$168,""),IF(M21&lt;1,Parameters!$A$169,""),IF(N21&lt;1,Parameters!$A$170,""))))</f>
        <v/>
      </c>
      <c r="K21" s="13">
        <f>IF(C21="","",C21/6)</f>
        <v/>
      </c>
      <c r="L21" s="13">
        <f>IF(D21="","",D21/6)</f>
        <v/>
      </c>
      <c r="M21" s="13">
        <f>IF(E21="","",E21/5)</f>
        <v/>
      </c>
      <c r="N21" s="13">
        <f>IF(F21="","",F21/5)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3">
        <f>IF(COUNT(C22:F22)&lt;4,"",SUM(C22:F22))</f>
        <v/>
      </c>
      <c r="H22" s="13">
        <f>IF(COUNT(C22:F22)&lt;4,"",G22/22)</f>
        <v/>
      </c>
      <c r="I22" s="13">
        <f>IF(COUNT(C22:F22)&lt;4,"",IF(H22&gt;=0.8,"Green",IF(H22&gt;=0.5,"Yellow","Red")))</f>
        <v/>
      </c>
      <c r="J22" s="13">
        <f>IF(COUNT(C22:F22)&lt;4,"",IF(I22="Green","Well done! "&amp;Parameters!$C$176,"Revise: "&amp;_xlfn.TEXTJOIN(", ",TRUE(),IF(K22&lt;1,Parameters!$A$167,""),IF(L22&lt;1,Parameters!$A$168,""),IF(M22&lt;1,Parameters!$A$169,""),IF(N22&lt;1,Parameters!$A$170,""))))</f>
        <v/>
      </c>
      <c r="K22" s="13">
        <f>IF(C22="","",C22/6)</f>
        <v/>
      </c>
      <c r="L22" s="13">
        <f>IF(D22="","",D22/6)</f>
        <v/>
      </c>
      <c r="M22" s="13">
        <f>IF(E22="","",E22/5)</f>
        <v/>
      </c>
      <c r="N22" s="13">
        <f>IF(F22="","",F22/5)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3">
        <f>IF(COUNT(C23:F23)&lt;4,"",SUM(C23:F23))</f>
        <v/>
      </c>
      <c r="H23" s="13">
        <f>IF(COUNT(C23:F23)&lt;4,"",G23/22)</f>
        <v/>
      </c>
      <c r="I23" s="13">
        <f>IF(COUNT(C23:F23)&lt;4,"",IF(H23&gt;=0.8,"Green",IF(H23&gt;=0.5,"Yellow","Red")))</f>
        <v/>
      </c>
      <c r="J23" s="13">
        <f>IF(COUNT(C23:F23)&lt;4,"",IF(I23="Green","Well done! "&amp;Parameters!$C$176,"Revise: "&amp;_xlfn.TEXTJOIN(", ",TRUE(),IF(K23&lt;1,Parameters!$A$167,""),IF(L23&lt;1,Parameters!$A$168,""),IF(M23&lt;1,Parameters!$A$169,""),IF(N23&lt;1,Parameters!$A$170,""))))</f>
        <v/>
      </c>
      <c r="K23" s="13">
        <f>IF(C23="","",C23/6)</f>
        <v/>
      </c>
      <c r="L23" s="13">
        <f>IF(D23="","",D23/6)</f>
        <v/>
      </c>
      <c r="M23" s="13">
        <f>IF(E23="","",E23/5)</f>
        <v/>
      </c>
      <c r="N23" s="13">
        <f>IF(F23="","",F23/5)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3">
        <f>IF(COUNT(C24:F24)&lt;4,"",SUM(C24:F24))</f>
        <v/>
      </c>
      <c r="H24" s="13">
        <f>IF(COUNT(C24:F24)&lt;4,"",G24/22)</f>
        <v/>
      </c>
      <c r="I24" s="13">
        <f>IF(COUNT(C24:F24)&lt;4,"",IF(H24&gt;=0.8,"Green",IF(H24&gt;=0.5,"Yellow","Red")))</f>
        <v/>
      </c>
      <c r="J24" s="13">
        <f>IF(COUNT(C24:F24)&lt;4,"",IF(I24="Green","Well done! "&amp;Parameters!$C$176,"Revise: "&amp;_xlfn.TEXTJOIN(", ",TRUE(),IF(K24&lt;1,Parameters!$A$167,""),IF(L24&lt;1,Parameters!$A$168,""),IF(M24&lt;1,Parameters!$A$169,""),IF(N24&lt;1,Parameters!$A$170,""))))</f>
        <v/>
      </c>
      <c r="K24" s="13">
        <f>IF(C24="","",C24/6)</f>
        <v/>
      </c>
      <c r="L24" s="13">
        <f>IF(D24="","",D24/6)</f>
        <v/>
      </c>
      <c r="M24" s="13">
        <f>IF(E24="","",E24/5)</f>
        <v/>
      </c>
      <c r="N24" s="13">
        <f>IF(F24="","",F24/5)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3">
        <f>IF(COUNT(C25:F25)&lt;4,"",SUM(C25:F25))</f>
        <v/>
      </c>
      <c r="H25" s="13">
        <f>IF(COUNT(C25:F25)&lt;4,"",G25/22)</f>
        <v/>
      </c>
      <c r="I25" s="13">
        <f>IF(COUNT(C25:F25)&lt;4,"",IF(H25&gt;=0.8,"Green",IF(H25&gt;=0.5,"Yellow","Red")))</f>
        <v/>
      </c>
      <c r="J25" s="13">
        <f>IF(COUNT(C25:F25)&lt;4,"",IF(I25="Green","Well done! "&amp;Parameters!$C$176,"Revise: "&amp;_xlfn.TEXTJOIN(", ",TRUE(),IF(K25&lt;1,Parameters!$A$167,""),IF(L25&lt;1,Parameters!$A$168,""),IF(M25&lt;1,Parameters!$A$169,""),IF(N25&lt;1,Parameters!$A$170,""))))</f>
        <v/>
      </c>
      <c r="K25" s="13">
        <f>IF(C25="","",C25/6)</f>
        <v/>
      </c>
      <c r="L25" s="13">
        <f>IF(D25="","",D25/6)</f>
        <v/>
      </c>
      <c r="M25" s="13">
        <f>IF(E25="","",E25/5)</f>
        <v/>
      </c>
      <c r="N25" s="13">
        <f>IF(F25="","",F25/5)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3">
        <f>IF(COUNT(C26:F26)&lt;4,"",SUM(C26:F26))</f>
        <v/>
      </c>
      <c r="H26" s="13">
        <f>IF(COUNT(C26:F26)&lt;4,"",G26/22)</f>
        <v/>
      </c>
      <c r="I26" s="13">
        <f>IF(COUNT(C26:F26)&lt;4,"",IF(H26&gt;=0.8,"Green",IF(H26&gt;=0.5,"Yellow","Red")))</f>
        <v/>
      </c>
      <c r="J26" s="13">
        <f>IF(COUNT(C26:F26)&lt;4,"",IF(I26="Green","Well done! "&amp;Parameters!$C$176,"Revise: "&amp;_xlfn.TEXTJOIN(", ",TRUE(),IF(K26&lt;1,Parameters!$A$167,""),IF(L26&lt;1,Parameters!$A$168,""),IF(M26&lt;1,Parameters!$A$169,""),IF(N26&lt;1,Parameters!$A$170,""))))</f>
        <v/>
      </c>
      <c r="K26" s="13">
        <f>IF(C26="","",C26/6)</f>
        <v/>
      </c>
      <c r="L26" s="13">
        <f>IF(D26="","",D26/6)</f>
        <v/>
      </c>
      <c r="M26" s="13">
        <f>IF(E26="","",E26/5)</f>
        <v/>
      </c>
      <c r="N26" s="13">
        <f>IF(F26="","",F26/5)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3">
        <f>IF(COUNT(C27:F27)&lt;4,"",SUM(C27:F27))</f>
        <v/>
      </c>
      <c r="H27" s="13">
        <f>IF(COUNT(C27:F27)&lt;4,"",G27/22)</f>
        <v/>
      </c>
      <c r="I27" s="13">
        <f>IF(COUNT(C27:F27)&lt;4,"",IF(H27&gt;=0.8,"Green",IF(H27&gt;=0.5,"Yellow","Red")))</f>
        <v/>
      </c>
      <c r="J27" s="13">
        <f>IF(COUNT(C27:F27)&lt;4,"",IF(I27="Green","Well done! "&amp;Parameters!$C$176,"Revise: "&amp;_xlfn.TEXTJOIN(", ",TRUE(),IF(K27&lt;1,Parameters!$A$167,""),IF(L27&lt;1,Parameters!$A$168,""),IF(M27&lt;1,Parameters!$A$169,""),IF(N27&lt;1,Parameters!$A$170,""))))</f>
        <v/>
      </c>
      <c r="K27" s="13">
        <f>IF(C27="","",C27/6)</f>
        <v/>
      </c>
      <c r="L27" s="13">
        <f>IF(D27="","",D27/6)</f>
        <v/>
      </c>
      <c r="M27" s="13">
        <f>IF(E27="","",E27/5)</f>
        <v/>
      </c>
      <c r="N27" s="13">
        <f>IF(F27="","",F27/5)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3">
        <f>IF(COUNT(C28:F28)&lt;4,"",SUM(C28:F28))</f>
        <v/>
      </c>
      <c r="H28" s="13">
        <f>IF(COUNT(C28:F28)&lt;4,"",G28/22)</f>
        <v/>
      </c>
      <c r="I28" s="13">
        <f>IF(COUNT(C28:F28)&lt;4,"",IF(H28&gt;=0.8,"Green",IF(H28&gt;=0.5,"Yellow","Red")))</f>
        <v/>
      </c>
      <c r="J28" s="13">
        <f>IF(COUNT(C28:F28)&lt;4,"",IF(I28="Green","Well done! "&amp;Parameters!$C$176,"Revise: "&amp;_xlfn.TEXTJOIN(", ",TRUE(),IF(K28&lt;1,Parameters!$A$167,""),IF(L28&lt;1,Parameters!$A$168,""),IF(M28&lt;1,Parameters!$A$169,""),IF(N28&lt;1,Parameters!$A$170,""))))</f>
        <v/>
      </c>
      <c r="K28" s="13">
        <f>IF(C28="","",C28/6)</f>
        <v/>
      </c>
      <c r="L28" s="13">
        <f>IF(D28="","",D28/6)</f>
        <v/>
      </c>
      <c r="M28" s="13">
        <f>IF(E28="","",E28/5)</f>
        <v/>
      </c>
      <c r="N28" s="13">
        <f>IF(F28="","",F28/5)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3">
        <f>IF(COUNT(C29:F29)&lt;4,"",SUM(C29:F29))</f>
        <v/>
      </c>
      <c r="H29" s="13">
        <f>IF(COUNT(C29:F29)&lt;4,"",G29/22)</f>
        <v/>
      </c>
      <c r="I29" s="13">
        <f>IF(COUNT(C29:F29)&lt;4,"",IF(H29&gt;=0.8,"Green",IF(H29&gt;=0.5,"Yellow","Red")))</f>
        <v/>
      </c>
      <c r="J29" s="13">
        <f>IF(COUNT(C29:F29)&lt;4,"",IF(I29="Green","Well done! "&amp;Parameters!$C$176,"Revise: "&amp;_xlfn.TEXTJOIN(", ",TRUE(),IF(K29&lt;1,Parameters!$A$167,""),IF(L29&lt;1,Parameters!$A$168,""),IF(M29&lt;1,Parameters!$A$169,""),IF(N29&lt;1,Parameters!$A$170,""))))</f>
        <v/>
      </c>
      <c r="K29" s="13">
        <f>IF(C29="","",C29/6)</f>
        <v/>
      </c>
      <c r="L29" s="13">
        <f>IF(D29="","",D29/6)</f>
        <v/>
      </c>
      <c r="M29" s="13">
        <f>IF(E29="","",E29/5)</f>
        <v/>
      </c>
      <c r="N29" s="13">
        <f>IF(F29="","",F29/5)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3">
        <f>IF(COUNT(C30:F30)&lt;4,"",SUM(C30:F30))</f>
        <v/>
      </c>
      <c r="H30" s="13">
        <f>IF(COUNT(C30:F30)&lt;4,"",G30/22)</f>
        <v/>
      </c>
      <c r="I30" s="13">
        <f>IF(COUNT(C30:F30)&lt;4,"",IF(H30&gt;=0.8,"Green",IF(H30&gt;=0.5,"Yellow","Red")))</f>
        <v/>
      </c>
      <c r="J30" s="13">
        <f>IF(COUNT(C30:F30)&lt;4,"",IF(I30="Green","Well done! "&amp;Parameters!$C$176,"Revise: "&amp;_xlfn.TEXTJOIN(", ",TRUE(),IF(K30&lt;1,Parameters!$A$167,""),IF(L30&lt;1,Parameters!$A$168,""),IF(M30&lt;1,Parameters!$A$169,""),IF(N30&lt;1,Parameters!$A$170,""))))</f>
        <v/>
      </c>
      <c r="K30" s="13">
        <f>IF(C30="","",C30/6)</f>
        <v/>
      </c>
      <c r="L30" s="13">
        <f>IF(D30="","",D30/6)</f>
        <v/>
      </c>
      <c r="M30" s="13">
        <f>IF(E30="","",E30/5)</f>
        <v/>
      </c>
      <c r="N30" s="13">
        <f>IF(F30="","",F30/5)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3">
        <f>IF(COUNT(C31:F31)&lt;4,"",SUM(C31:F31))</f>
        <v/>
      </c>
      <c r="H31" s="13">
        <f>IF(COUNT(C31:F31)&lt;4,"",G31/22)</f>
        <v/>
      </c>
      <c r="I31" s="13">
        <f>IF(COUNT(C31:F31)&lt;4,"",IF(H31&gt;=0.8,"Green",IF(H31&gt;=0.5,"Yellow","Red")))</f>
        <v/>
      </c>
      <c r="J31" s="13">
        <f>IF(COUNT(C31:F31)&lt;4,"",IF(I31="Green","Well done! "&amp;Parameters!$C$176,"Revise: "&amp;_xlfn.TEXTJOIN(", ",TRUE(),IF(K31&lt;1,Parameters!$A$167,""),IF(L31&lt;1,Parameters!$A$168,""),IF(M31&lt;1,Parameters!$A$169,""),IF(N31&lt;1,Parameters!$A$170,""))))</f>
        <v/>
      </c>
      <c r="K31" s="13">
        <f>IF(C31="","",C31/6)</f>
        <v/>
      </c>
      <c r="L31" s="13">
        <f>IF(D31="","",D31/6)</f>
        <v/>
      </c>
      <c r="M31" s="13">
        <f>IF(E31="","",E31/5)</f>
        <v/>
      </c>
      <c r="N31" s="13">
        <f>IF(F31="","",F31/5)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3">
        <f>IF(COUNT(C32:F32)&lt;4,"",SUM(C32:F32))</f>
        <v/>
      </c>
      <c r="H32" s="13">
        <f>IF(COUNT(C32:F32)&lt;4,"",G32/22)</f>
        <v/>
      </c>
      <c r="I32" s="13">
        <f>IF(COUNT(C32:F32)&lt;4,"",IF(H32&gt;=0.8,"Green",IF(H32&gt;=0.5,"Yellow","Red")))</f>
        <v/>
      </c>
      <c r="J32" s="13">
        <f>IF(COUNT(C32:F32)&lt;4,"",IF(I32="Green","Well done! "&amp;Parameters!$C$176,"Revise: "&amp;_xlfn.TEXTJOIN(", ",TRUE(),IF(K32&lt;1,Parameters!$A$167,""),IF(L32&lt;1,Parameters!$A$168,""),IF(M32&lt;1,Parameters!$A$169,""),IF(N32&lt;1,Parameters!$A$170,""))))</f>
        <v/>
      </c>
      <c r="K32" s="13">
        <f>IF(C32="","",C32/6)</f>
        <v/>
      </c>
      <c r="L32" s="13">
        <f>IF(D32="","",D32/6)</f>
        <v/>
      </c>
      <c r="M32" s="13">
        <f>IF(E32="","",E32/5)</f>
        <v/>
      </c>
      <c r="N32" s="13">
        <f>IF(F32="","",F32/5)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3">
        <f>IF(COUNT(C33:F33)&lt;4,"",SUM(C33:F33))</f>
        <v/>
      </c>
      <c r="H33" s="13">
        <f>IF(COUNT(C33:F33)&lt;4,"",G33/22)</f>
        <v/>
      </c>
      <c r="I33" s="13">
        <f>IF(COUNT(C33:F33)&lt;4,"",IF(H33&gt;=0.8,"Green",IF(H33&gt;=0.5,"Yellow","Red")))</f>
        <v/>
      </c>
      <c r="J33" s="13">
        <f>IF(COUNT(C33:F33)&lt;4,"",IF(I33="Green","Well done! "&amp;Parameters!$C$176,"Revise: "&amp;_xlfn.TEXTJOIN(", ",TRUE(),IF(K33&lt;1,Parameters!$A$167,""),IF(L33&lt;1,Parameters!$A$168,""),IF(M33&lt;1,Parameters!$A$169,""),IF(N33&lt;1,Parameters!$A$170,""))))</f>
        <v/>
      </c>
      <c r="K33" s="13">
        <f>IF(C33="","",C33/6)</f>
        <v/>
      </c>
      <c r="L33" s="13">
        <f>IF(D33="","",D33/6)</f>
        <v/>
      </c>
      <c r="M33" s="13">
        <f>IF(E33="","",E33/5)</f>
        <v/>
      </c>
      <c r="N33" s="13">
        <f>IF(F33="","",F33/5)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3">
        <f>IF(COUNT(C34:F34)&lt;4,"",SUM(C34:F34))</f>
        <v/>
      </c>
      <c r="H34" s="13">
        <f>IF(COUNT(C34:F34)&lt;4,"",G34/22)</f>
        <v/>
      </c>
      <c r="I34" s="13">
        <f>IF(COUNT(C34:F34)&lt;4,"",IF(H34&gt;=0.8,"Green",IF(H34&gt;=0.5,"Yellow","Red")))</f>
        <v/>
      </c>
      <c r="J34" s="13">
        <f>IF(COUNT(C34:F34)&lt;4,"",IF(I34="Green","Well done! "&amp;Parameters!$C$176,"Revise: "&amp;_xlfn.TEXTJOIN(", ",TRUE(),IF(K34&lt;1,Parameters!$A$167,""),IF(L34&lt;1,Parameters!$A$168,""),IF(M34&lt;1,Parameters!$A$169,""),IF(N34&lt;1,Parameters!$A$170,""))))</f>
        <v/>
      </c>
      <c r="K34" s="13">
        <f>IF(C34="","",C34/6)</f>
        <v/>
      </c>
      <c r="L34" s="13">
        <f>IF(D34="","",D34/6)</f>
        <v/>
      </c>
      <c r="M34" s="13">
        <f>IF(E34="","",E34/5)</f>
        <v/>
      </c>
      <c r="N34" s="13">
        <f>IF(F34="","",F34/5)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3">
        <f>IF(COUNT(C35:F35)&lt;4,"",SUM(C35:F35))</f>
        <v/>
      </c>
      <c r="H35" s="13">
        <f>IF(COUNT(C35:F35)&lt;4,"",G35/22)</f>
        <v/>
      </c>
      <c r="I35" s="13">
        <f>IF(COUNT(C35:F35)&lt;4,"",IF(H35&gt;=0.8,"Green",IF(H35&gt;=0.5,"Yellow","Red")))</f>
        <v/>
      </c>
      <c r="J35" s="13">
        <f>IF(COUNT(C35:F35)&lt;4,"",IF(I35="Green","Well done! "&amp;Parameters!$C$176,"Revise: "&amp;_xlfn.TEXTJOIN(", ",TRUE(),IF(K35&lt;1,Parameters!$A$167,""),IF(L35&lt;1,Parameters!$A$168,""),IF(M35&lt;1,Parameters!$A$169,""),IF(N35&lt;1,Parameters!$A$170,""))))</f>
        <v/>
      </c>
      <c r="K35" s="13">
        <f>IF(C35="","",C35/6)</f>
        <v/>
      </c>
      <c r="L35" s="13">
        <f>IF(D35="","",D35/6)</f>
        <v/>
      </c>
      <c r="M35" s="13">
        <f>IF(E35="","",E35/5)</f>
        <v/>
      </c>
      <c r="N35" s="13">
        <f>IF(F35="","",F35/5)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3">
        <f>IF(COUNT(C36:F36)&lt;4,"",SUM(C36:F36))</f>
        <v/>
      </c>
      <c r="H36" s="13">
        <f>IF(COUNT(C36:F36)&lt;4,"",G36/22)</f>
        <v/>
      </c>
      <c r="I36" s="13">
        <f>IF(COUNT(C36:F36)&lt;4,"",IF(H36&gt;=0.8,"Green",IF(H36&gt;=0.5,"Yellow","Red")))</f>
        <v/>
      </c>
      <c r="J36" s="13">
        <f>IF(COUNT(C36:F36)&lt;4,"",IF(I36="Green","Well done! "&amp;Parameters!$C$176,"Revise: "&amp;_xlfn.TEXTJOIN(", ",TRUE(),IF(K36&lt;1,Parameters!$A$167,""),IF(L36&lt;1,Parameters!$A$168,""),IF(M36&lt;1,Parameters!$A$169,""),IF(N36&lt;1,Parameters!$A$170,""))))</f>
        <v/>
      </c>
      <c r="K36" s="13">
        <f>IF(C36="","",C36/6)</f>
        <v/>
      </c>
      <c r="L36" s="13">
        <f>IF(D36="","",D36/6)</f>
        <v/>
      </c>
      <c r="M36" s="13">
        <f>IF(E36="","",E36/5)</f>
        <v/>
      </c>
      <c r="N36" s="13">
        <f>IF(F36="","",F36/5)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3">
        <f>IF(COUNT(C37:F37)&lt;4,"",SUM(C37:F37))</f>
        <v/>
      </c>
      <c r="H37" s="13">
        <f>IF(COUNT(C37:F37)&lt;4,"",G37/22)</f>
        <v/>
      </c>
      <c r="I37" s="13">
        <f>IF(COUNT(C37:F37)&lt;4,"",IF(H37&gt;=0.8,"Green",IF(H37&gt;=0.5,"Yellow","Red")))</f>
        <v/>
      </c>
      <c r="J37" s="13">
        <f>IF(COUNT(C37:F37)&lt;4,"",IF(I37="Green","Well done! "&amp;Parameters!$C$176,"Revise: "&amp;_xlfn.TEXTJOIN(", ",TRUE(),IF(K37&lt;1,Parameters!$A$167,""),IF(L37&lt;1,Parameters!$A$168,""),IF(M37&lt;1,Parameters!$A$169,""),IF(N37&lt;1,Parameters!$A$170,""))))</f>
        <v/>
      </c>
      <c r="K37" s="13">
        <f>IF(C37="","",C37/6)</f>
        <v/>
      </c>
      <c r="L37" s="13">
        <f>IF(D37="","",D37/6)</f>
        <v/>
      </c>
      <c r="M37" s="13">
        <f>IF(E37="","",E37/5)</f>
        <v/>
      </c>
      <c r="N37" s="13">
        <f>IF(F37="","",F37/5)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3">
        <f>IF(COUNT(C38:F38)&lt;4,"",SUM(C38:F38))</f>
        <v/>
      </c>
      <c r="H38" s="13">
        <f>IF(COUNT(C38:F38)&lt;4,"",G38/22)</f>
        <v/>
      </c>
      <c r="I38" s="13">
        <f>IF(COUNT(C38:F38)&lt;4,"",IF(H38&gt;=0.8,"Green",IF(H38&gt;=0.5,"Yellow","Red")))</f>
        <v/>
      </c>
      <c r="J38" s="13">
        <f>IF(COUNT(C38:F38)&lt;4,"",IF(I38="Green","Well done! "&amp;Parameters!$C$176,"Revise: "&amp;_xlfn.TEXTJOIN(", ",TRUE(),IF(K38&lt;1,Parameters!$A$167,""),IF(L38&lt;1,Parameters!$A$168,""),IF(M38&lt;1,Parameters!$A$169,""),IF(N38&lt;1,Parameters!$A$170,""))))</f>
        <v/>
      </c>
      <c r="K38" s="13">
        <f>IF(C38="","",C38/6)</f>
        <v/>
      </c>
      <c r="L38" s="13">
        <f>IF(D38="","",D38/6)</f>
        <v/>
      </c>
      <c r="M38" s="13">
        <f>IF(E38="","",E38/5)</f>
        <v/>
      </c>
      <c r="N38" s="13">
        <f>IF(F38="","",F38/5)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3">
        <f>IF(COUNT(C39:F39)&lt;4,"",SUM(C39:F39))</f>
        <v/>
      </c>
      <c r="H39" s="13">
        <f>IF(COUNT(C39:F39)&lt;4,"",G39/22)</f>
        <v/>
      </c>
      <c r="I39" s="13">
        <f>IF(COUNT(C39:F39)&lt;4,"",IF(H39&gt;=0.8,"Green",IF(H39&gt;=0.5,"Yellow","Red")))</f>
        <v/>
      </c>
      <c r="J39" s="13">
        <f>IF(COUNT(C39:F39)&lt;4,"",IF(I39="Green","Well done! "&amp;Parameters!$C$176,"Revise: "&amp;_xlfn.TEXTJOIN(", ",TRUE(),IF(K39&lt;1,Parameters!$A$167,""),IF(L39&lt;1,Parameters!$A$168,""),IF(M39&lt;1,Parameters!$A$169,""),IF(N39&lt;1,Parameters!$A$170,""))))</f>
        <v/>
      </c>
      <c r="K39" s="13">
        <f>IF(C39="","",C39/6)</f>
        <v/>
      </c>
      <c r="L39" s="13">
        <f>IF(D39="","",D39/6)</f>
        <v/>
      </c>
      <c r="M39" s="13">
        <f>IF(E39="","",E39/5)</f>
        <v/>
      </c>
      <c r="N39" s="13">
        <f>IF(F39="","",F39/5)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3">
        <f>IF(COUNT(C40:F40)&lt;4,"",SUM(C40:F40))</f>
        <v/>
      </c>
      <c r="H40" s="13">
        <f>IF(COUNT(C40:F40)&lt;4,"",G40/22)</f>
        <v/>
      </c>
      <c r="I40" s="13">
        <f>IF(COUNT(C40:F40)&lt;4,"",IF(H40&gt;=0.8,"Green",IF(H40&gt;=0.5,"Yellow","Red")))</f>
        <v/>
      </c>
      <c r="J40" s="13">
        <f>IF(COUNT(C40:F40)&lt;4,"",IF(I40="Green","Well done! "&amp;Parameters!$C$176,"Revise: "&amp;_xlfn.TEXTJOIN(", ",TRUE(),IF(K40&lt;1,Parameters!$A$167,""),IF(L40&lt;1,Parameters!$A$168,""),IF(M40&lt;1,Parameters!$A$169,""),IF(N40&lt;1,Parameters!$A$170,""))))</f>
        <v/>
      </c>
      <c r="K40" s="13">
        <f>IF(C40="","",C40/6)</f>
        <v/>
      </c>
      <c r="L40" s="13">
        <f>IF(D40="","",D40/6)</f>
        <v/>
      </c>
      <c r="M40" s="13">
        <f>IF(E40="","",E40/5)</f>
        <v/>
      </c>
      <c r="N40" s="13">
        <f>IF(F40="","",F40/5)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3">
        <f>IF(COUNT(C41:F41)&lt;4,"",SUM(C41:F41))</f>
        <v/>
      </c>
      <c r="H41" s="13">
        <f>IF(COUNT(C41:F41)&lt;4,"",G41/22)</f>
        <v/>
      </c>
      <c r="I41" s="13">
        <f>IF(COUNT(C41:F41)&lt;4,"",IF(H41&gt;=0.8,"Green",IF(H41&gt;=0.5,"Yellow","Red")))</f>
        <v/>
      </c>
      <c r="J41" s="13">
        <f>IF(COUNT(C41:F41)&lt;4,"",IF(I41="Green","Well done! "&amp;Parameters!$C$176,"Revise: "&amp;_xlfn.TEXTJOIN(", ",TRUE(),IF(K41&lt;1,Parameters!$A$167,""),IF(L41&lt;1,Parameters!$A$168,""),IF(M41&lt;1,Parameters!$A$169,""),IF(N41&lt;1,Parameters!$A$170,""))))</f>
        <v/>
      </c>
      <c r="K41" s="13">
        <f>IF(C41="","",C41/6)</f>
        <v/>
      </c>
      <c r="L41" s="13">
        <f>IF(D41="","",D41/6)</f>
        <v/>
      </c>
      <c r="M41" s="13">
        <f>IF(E41="","",E41/5)</f>
        <v/>
      </c>
      <c r="N41" s="13">
        <f>IF(F41="","",F41/5)</f>
        <v/>
      </c>
    </row>
  </sheetData>
  <conditionalFormatting sqref="C11">
    <cfRule type="expression" priority="1" dxfId="0">
      <formula>AND(COUNT(C11:F11)=4,C11=6)</formula>
    </cfRule>
    <cfRule type="expression" priority="2" dxfId="1">
      <formula>AND(COUNT(C11:F11)=4,C11&lt;6*0.4)</formula>
    </cfRule>
    <cfRule type="expression" priority="3" dxfId="2">
      <formula>AND(COUNT(C11:F11)=4,C11&gt;=6*0.4,C11&lt;6)</formula>
    </cfRule>
  </conditionalFormatting>
  <conditionalFormatting sqref="C12">
    <cfRule type="expression" priority="4" dxfId="0">
      <formula>AND(COUNT(C12:F12)=4,C12=6)</formula>
    </cfRule>
    <cfRule type="expression" priority="5" dxfId="1">
      <formula>AND(COUNT(C12:F12)=4,C12&lt;6*0.4)</formula>
    </cfRule>
    <cfRule type="expression" priority="6" dxfId="2">
      <formula>AND(COUNT(C12:F12)=4,C12&gt;=6*0.4,C12&lt;6)</formula>
    </cfRule>
  </conditionalFormatting>
  <conditionalFormatting sqref="C13">
    <cfRule type="expression" priority="7" dxfId="0">
      <formula>AND(COUNT(C13:F13)=4,C13=6)</formula>
    </cfRule>
    <cfRule type="expression" priority="8" dxfId="1">
      <formula>AND(COUNT(C13:F13)=4,C13&lt;6*0.4)</formula>
    </cfRule>
    <cfRule type="expression" priority="9" dxfId="2">
      <formula>AND(COUNT(C13:F13)=4,C13&gt;=6*0.4,C13&lt;6)</formula>
    </cfRule>
  </conditionalFormatting>
  <conditionalFormatting sqref="C14">
    <cfRule type="expression" priority="10" dxfId="0">
      <formula>AND(COUNT(C14:F14)=4,C14=6)</formula>
    </cfRule>
    <cfRule type="expression" priority="11" dxfId="1">
      <formula>AND(COUNT(C14:F14)=4,C14&lt;6*0.4)</formula>
    </cfRule>
    <cfRule type="expression" priority="12" dxfId="2">
      <formula>AND(COUNT(C14:F14)=4,C14&gt;=6*0.4,C14&lt;6)</formula>
    </cfRule>
  </conditionalFormatting>
  <conditionalFormatting sqref="C15">
    <cfRule type="expression" priority="13" dxfId="0">
      <formula>AND(COUNT(C15:F15)=4,C15=6)</formula>
    </cfRule>
    <cfRule type="expression" priority="14" dxfId="1">
      <formula>AND(COUNT(C15:F15)=4,C15&lt;6*0.4)</formula>
    </cfRule>
    <cfRule type="expression" priority="15" dxfId="2">
      <formula>AND(COUNT(C15:F15)=4,C15&gt;=6*0.4,C15&lt;6)</formula>
    </cfRule>
  </conditionalFormatting>
  <conditionalFormatting sqref="C16">
    <cfRule type="expression" priority="16" dxfId="0">
      <formula>AND(COUNT(C16:F16)=4,C16=6)</formula>
    </cfRule>
    <cfRule type="expression" priority="17" dxfId="1">
      <formula>AND(COUNT(C16:F16)=4,C16&lt;6*0.4)</formula>
    </cfRule>
    <cfRule type="expression" priority="18" dxfId="2">
      <formula>AND(COUNT(C16:F16)=4,C16&gt;=6*0.4,C16&lt;6)</formula>
    </cfRule>
  </conditionalFormatting>
  <conditionalFormatting sqref="C17">
    <cfRule type="expression" priority="19" dxfId="0">
      <formula>AND(COUNT(C17:F17)=4,C17=6)</formula>
    </cfRule>
    <cfRule type="expression" priority="20" dxfId="1">
      <formula>AND(COUNT(C17:F17)=4,C17&lt;6*0.4)</formula>
    </cfRule>
    <cfRule type="expression" priority="21" dxfId="2">
      <formula>AND(COUNT(C17:F17)=4,C17&gt;=6*0.4,C17&lt;6)</formula>
    </cfRule>
  </conditionalFormatting>
  <conditionalFormatting sqref="C18">
    <cfRule type="expression" priority="22" dxfId="0">
      <formula>AND(COUNT(C18:F18)=4,C18=6)</formula>
    </cfRule>
    <cfRule type="expression" priority="23" dxfId="1">
      <formula>AND(COUNT(C18:F18)=4,C18&lt;6*0.4)</formula>
    </cfRule>
    <cfRule type="expression" priority="24" dxfId="2">
      <formula>AND(COUNT(C18:F18)=4,C18&gt;=6*0.4,C18&lt;6)</formula>
    </cfRule>
  </conditionalFormatting>
  <conditionalFormatting sqref="C19">
    <cfRule type="expression" priority="25" dxfId="0">
      <formula>AND(COUNT(C19:F19)=4,C19=6)</formula>
    </cfRule>
    <cfRule type="expression" priority="26" dxfId="1">
      <formula>AND(COUNT(C19:F19)=4,C19&lt;6*0.4)</formula>
    </cfRule>
    <cfRule type="expression" priority="27" dxfId="2">
      <formula>AND(COUNT(C19:F19)=4,C19&gt;=6*0.4,C19&lt;6)</formula>
    </cfRule>
  </conditionalFormatting>
  <conditionalFormatting sqref="C20">
    <cfRule type="expression" priority="28" dxfId="0">
      <formula>AND(COUNT(C20:F20)=4,C20=6)</formula>
    </cfRule>
    <cfRule type="expression" priority="29" dxfId="1">
      <formula>AND(COUNT(C20:F20)=4,C20&lt;6*0.4)</formula>
    </cfRule>
    <cfRule type="expression" priority="30" dxfId="2">
      <formula>AND(COUNT(C20:F20)=4,C20&gt;=6*0.4,C20&lt;6)</formula>
    </cfRule>
  </conditionalFormatting>
  <conditionalFormatting sqref="C21">
    <cfRule type="expression" priority="31" dxfId="0">
      <formula>AND(COUNT(C21:F21)=4,C21=6)</formula>
    </cfRule>
    <cfRule type="expression" priority="32" dxfId="1">
      <formula>AND(COUNT(C21:F21)=4,C21&lt;6*0.4)</formula>
    </cfRule>
    <cfRule type="expression" priority="33" dxfId="2">
      <formula>AND(COUNT(C21:F21)=4,C21&gt;=6*0.4,C21&lt;6)</formula>
    </cfRule>
  </conditionalFormatting>
  <conditionalFormatting sqref="C22">
    <cfRule type="expression" priority="34" dxfId="0">
      <formula>AND(COUNT(C22:F22)=4,C22=6)</formula>
    </cfRule>
    <cfRule type="expression" priority="35" dxfId="1">
      <formula>AND(COUNT(C22:F22)=4,C22&lt;6*0.4)</formula>
    </cfRule>
    <cfRule type="expression" priority="36" dxfId="2">
      <formula>AND(COUNT(C22:F22)=4,C22&gt;=6*0.4,C22&lt;6)</formula>
    </cfRule>
  </conditionalFormatting>
  <conditionalFormatting sqref="C23">
    <cfRule type="expression" priority="37" dxfId="0">
      <formula>AND(COUNT(C23:F23)=4,C23=6)</formula>
    </cfRule>
    <cfRule type="expression" priority="38" dxfId="1">
      <formula>AND(COUNT(C23:F23)=4,C23&lt;6*0.4)</formula>
    </cfRule>
    <cfRule type="expression" priority="39" dxfId="2">
      <formula>AND(COUNT(C23:F23)=4,C23&gt;=6*0.4,C23&lt;6)</formula>
    </cfRule>
  </conditionalFormatting>
  <conditionalFormatting sqref="C24">
    <cfRule type="expression" priority="40" dxfId="0">
      <formula>AND(COUNT(C24:F24)=4,C24=6)</formula>
    </cfRule>
    <cfRule type="expression" priority="41" dxfId="1">
      <formula>AND(COUNT(C24:F24)=4,C24&lt;6*0.4)</formula>
    </cfRule>
    <cfRule type="expression" priority="42" dxfId="2">
      <formula>AND(COUNT(C24:F24)=4,C24&gt;=6*0.4,C24&lt;6)</formula>
    </cfRule>
  </conditionalFormatting>
  <conditionalFormatting sqref="C25">
    <cfRule type="expression" priority="43" dxfId="0">
      <formula>AND(COUNT(C25:F25)=4,C25=6)</formula>
    </cfRule>
    <cfRule type="expression" priority="44" dxfId="1">
      <formula>AND(COUNT(C25:F25)=4,C25&lt;6*0.4)</formula>
    </cfRule>
    <cfRule type="expression" priority="45" dxfId="2">
      <formula>AND(COUNT(C25:F25)=4,C25&gt;=6*0.4,C25&lt;6)</formula>
    </cfRule>
  </conditionalFormatting>
  <conditionalFormatting sqref="C26">
    <cfRule type="expression" priority="46" dxfId="0">
      <formula>AND(COUNT(C26:F26)=4,C26=6)</formula>
    </cfRule>
    <cfRule type="expression" priority="47" dxfId="1">
      <formula>AND(COUNT(C26:F26)=4,C26&lt;6*0.4)</formula>
    </cfRule>
    <cfRule type="expression" priority="48" dxfId="2">
      <formula>AND(COUNT(C26:F26)=4,C26&gt;=6*0.4,C26&lt;6)</formula>
    </cfRule>
  </conditionalFormatting>
  <conditionalFormatting sqref="C27">
    <cfRule type="expression" priority="49" dxfId="0">
      <formula>AND(COUNT(C27:F27)=4,C27=6)</formula>
    </cfRule>
    <cfRule type="expression" priority="50" dxfId="1">
      <formula>AND(COUNT(C27:F27)=4,C27&lt;6*0.4)</formula>
    </cfRule>
    <cfRule type="expression" priority="51" dxfId="2">
      <formula>AND(COUNT(C27:F27)=4,C27&gt;=6*0.4,C27&lt;6)</formula>
    </cfRule>
  </conditionalFormatting>
  <conditionalFormatting sqref="C28">
    <cfRule type="expression" priority="52" dxfId="0">
      <formula>AND(COUNT(C28:F28)=4,C28=6)</formula>
    </cfRule>
    <cfRule type="expression" priority="53" dxfId="1">
      <formula>AND(COUNT(C28:F28)=4,C28&lt;6*0.4)</formula>
    </cfRule>
    <cfRule type="expression" priority="54" dxfId="2">
      <formula>AND(COUNT(C28:F28)=4,C28&gt;=6*0.4,C28&lt;6)</formula>
    </cfRule>
  </conditionalFormatting>
  <conditionalFormatting sqref="C29">
    <cfRule type="expression" priority="55" dxfId="0">
      <formula>AND(COUNT(C29:F29)=4,C29=6)</formula>
    </cfRule>
    <cfRule type="expression" priority="56" dxfId="1">
      <formula>AND(COUNT(C29:F29)=4,C29&lt;6*0.4)</formula>
    </cfRule>
    <cfRule type="expression" priority="57" dxfId="2">
      <formula>AND(COUNT(C29:F29)=4,C29&gt;=6*0.4,C29&lt;6)</formula>
    </cfRule>
  </conditionalFormatting>
  <conditionalFormatting sqref="C30">
    <cfRule type="expression" priority="58" dxfId="0">
      <formula>AND(COUNT(C30:F30)=4,C30=6)</formula>
    </cfRule>
    <cfRule type="expression" priority="59" dxfId="1">
      <formula>AND(COUNT(C30:F30)=4,C30&lt;6*0.4)</formula>
    </cfRule>
    <cfRule type="expression" priority="60" dxfId="2">
      <formula>AND(COUNT(C30:F30)=4,C30&gt;=6*0.4,C30&lt;6)</formula>
    </cfRule>
  </conditionalFormatting>
  <conditionalFormatting sqref="C31">
    <cfRule type="expression" priority="61" dxfId="0">
      <formula>AND(COUNT(C31:F31)=4,C31=6)</formula>
    </cfRule>
    <cfRule type="expression" priority="62" dxfId="1">
      <formula>AND(COUNT(C31:F31)=4,C31&lt;6*0.4)</formula>
    </cfRule>
    <cfRule type="expression" priority="63" dxfId="2">
      <formula>AND(COUNT(C31:F31)=4,C31&gt;=6*0.4,C31&lt;6)</formula>
    </cfRule>
  </conditionalFormatting>
  <conditionalFormatting sqref="C32">
    <cfRule type="expression" priority="64" dxfId="0">
      <formula>AND(COUNT(C32:F32)=4,C32=6)</formula>
    </cfRule>
    <cfRule type="expression" priority="65" dxfId="1">
      <formula>AND(COUNT(C32:F32)=4,C32&lt;6*0.4)</formula>
    </cfRule>
    <cfRule type="expression" priority="66" dxfId="2">
      <formula>AND(COUNT(C32:F32)=4,C32&gt;=6*0.4,C32&lt;6)</formula>
    </cfRule>
  </conditionalFormatting>
  <conditionalFormatting sqref="C33">
    <cfRule type="expression" priority="67" dxfId="0">
      <formula>AND(COUNT(C33:F33)=4,C33=6)</formula>
    </cfRule>
    <cfRule type="expression" priority="68" dxfId="1">
      <formula>AND(COUNT(C33:F33)=4,C33&lt;6*0.4)</formula>
    </cfRule>
    <cfRule type="expression" priority="69" dxfId="2">
      <formula>AND(COUNT(C33:F33)=4,C33&gt;=6*0.4,C33&lt;6)</formula>
    </cfRule>
  </conditionalFormatting>
  <conditionalFormatting sqref="C34">
    <cfRule type="expression" priority="70" dxfId="0">
      <formula>AND(COUNT(C34:F34)=4,C34=6)</formula>
    </cfRule>
    <cfRule type="expression" priority="71" dxfId="1">
      <formula>AND(COUNT(C34:F34)=4,C34&lt;6*0.4)</formula>
    </cfRule>
    <cfRule type="expression" priority="72" dxfId="2">
      <formula>AND(COUNT(C34:F34)=4,C34&gt;=6*0.4,C34&lt;6)</formula>
    </cfRule>
  </conditionalFormatting>
  <conditionalFormatting sqref="C35">
    <cfRule type="expression" priority="73" dxfId="0">
      <formula>AND(COUNT(C35:F35)=4,C35=6)</formula>
    </cfRule>
    <cfRule type="expression" priority="74" dxfId="1">
      <formula>AND(COUNT(C35:F35)=4,C35&lt;6*0.4)</formula>
    </cfRule>
    <cfRule type="expression" priority="75" dxfId="2">
      <formula>AND(COUNT(C35:F35)=4,C35&gt;=6*0.4,C35&lt;6)</formula>
    </cfRule>
  </conditionalFormatting>
  <conditionalFormatting sqref="C36">
    <cfRule type="expression" priority="76" dxfId="0">
      <formula>AND(COUNT(C36:F36)=4,C36=6)</formula>
    </cfRule>
    <cfRule type="expression" priority="77" dxfId="1">
      <formula>AND(COUNT(C36:F36)=4,C36&lt;6*0.4)</formula>
    </cfRule>
    <cfRule type="expression" priority="78" dxfId="2">
      <formula>AND(COUNT(C36:F36)=4,C36&gt;=6*0.4,C36&lt;6)</formula>
    </cfRule>
  </conditionalFormatting>
  <conditionalFormatting sqref="C37">
    <cfRule type="expression" priority="79" dxfId="0">
      <formula>AND(COUNT(C37:F37)=4,C37=6)</formula>
    </cfRule>
    <cfRule type="expression" priority="80" dxfId="1">
      <formula>AND(COUNT(C37:F37)=4,C37&lt;6*0.4)</formula>
    </cfRule>
    <cfRule type="expression" priority="81" dxfId="2">
      <formula>AND(COUNT(C37:F37)=4,C37&gt;=6*0.4,C37&lt;6)</formula>
    </cfRule>
  </conditionalFormatting>
  <conditionalFormatting sqref="C38">
    <cfRule type="expression" priority="82" dxfId="0">
      <formula>AND(COUNT(C38:F38)=4,C38=6)</formula>
    </cfRule>
    <cfRule type="expression" priority="83" dxfId="1">
      <formula>AND(COUNT(C38:F38)=4,C38&lt;6*0.4)</formula>
    </cfRule>
    <cfRule type="expression" priority="84" dxfId="2">
      <formula>AND(COUNT(C38:F38)=4,C38&gt;=6*0.4,C38&lt;6)</formula>
    </cfRule>
  </conditionalFormatting>
  <conditionalFormatting sqref="C39">
    <cfRule type="expression" priority="85" dxfId="0">
      <formula>AND(COUNT(C39:F39)=4,C39=6)</formula>
    </cfRule>
    <cfRule type="expression" priority="86" dxfId="1">
      <formula>AND(COUNT(C39:F39)=4,C39&lt;6*0.4)</formula>
    </cfRule>
    <cfRule type="expression" priority="87" dxfId="2">
      <formula>AND(COUNT(C39:F39)=4,C39&gt;=6*0.4,C39&lt;6)</formula>
    </cfRule>
  </conditionalFormatting>
  <conditionalFormatting sqref="C40">
    <cfRule type="expression" priority="88" dxfId="0">
      <formula>AND(COUNT(C40:F40)=4,C40=6)</formula>
    </cfRule>
    <cfRule type="expression" priority="89" dxfId="1">
      <formula>AND(COUNT(C40:F40)=4,C40&lt;6*0.4)</formula>
    </cfRule>
    <cfRule type="expression" priority="90" dxfId="2">
      <formula>AND(COUNT(C40:F40)=4,C40&gt;=6*0.4,C40&lt;6)</formula>
    </cfRule>
  </conditionalFormatting>
  <conditionalFormatting sqref="C41">
    <cfRule type="expression" priority="91" dxfId="0">
      <formula>AND(COUNT(C41:F41)=4,C41=6)</formula>
    </cfRule>
    <cfRule type="expression" priority="92" dxfId="1">
      <formula>AND(COUNT(C41:F41)=4,C41&lt;6*0.4)</formula>
    </cfRule>
    <cfRule type="expression" priority="93" dxfId="2">
      <formula>AND(COUNT(C41:F41)=4,C41&gt;=6*0.4,C41&lt;6)</formula>
    </cfRule>
  </conditionalFormatting>
  <conditionalFormatting sqref="D11">
    <cfRule type="expression" priority="94" dxfId="0">
      <formula>AND(COUNT(C11:F11)=4,D11=6)</formula>
    </cfRule>
    <cfRule type="expression" priority="95" dxfId="1">
      <formula>AND(COUNT(C11:F11)=4,D11&lt;6*0.4)</formula>
    </cfRule>
    <cfRule type="expression" priority="96" dxfId="2">
      <formula>AND(COUNT(C11:F11)=4,D11&gt;=6*0.4,D11&lt;6)</formula>
    </cfRule>
  </conditionalFormatting>
  <conditionalFormatting sqref="D12">
    <cfRule type="expression" priority="97" dxfId="0">
      <formula>AND(COUNT(C12:F12)=4,D12=6)</formula>
    </cfRule>
    <cfRule type="expression" priority="98" dxfId="1">
      <formula>AND(COUNT(C12:F12)=4,D12&lt;6*0.4)</formula>
    </cfRule>
    <cfRule type="expression" priority="99" dxfId="2">
      <formula>AND(COUNT(C12:F12)=4,D12&gt;=6*0.4,D12&lt;6)</formula>
    </cfRule>
  </conditionalFormatting>
  <conditionalFormatting sqref="D13">
    <cfRule type="expression" priority="100" dxfId="0">
      <formula>AND(COUNT(C13:F13)=4,D13=6)</formula>
    </cfRule>
    <cfRule type="expression" priority="101" dxfId="1">
      <formula>AND(COUNT(C13:F13)=4,D13&lt;6*0.4)</formula>
    </cfRule>
    <cfRule type="expression" priority="102" dxfId="2">
      <formula>AND(COUNT(C13:F13)=4,D13&gt;=6*0.4,D13&lt;6)</formula>
    </cfRule>
  </conditionalFormatting>
  <conditionalFormatting sqref="D14">
    <cfRule type="expression" priority="103" dxfId="0">
      <formula>AND(COUNT(C14:F14)=4,D14=6)</formula>
    </cfRule>
    <cfRule type="expression" priority="104" dxfId="1">
      <formula>AND(COUNT(C14:F14)=4,D14&lt;6*0.4)</formula>
    </cfRule>
    <cfRule type="expression" priority="105" dxfId="2">
      <formula>AND(COUNT(C14:F14)=4,D14&gt;=6*0.4,D14&lt;6)</formula>
    </cfRule>
  </conditionalFormatting>
  <conditionalFormatting sqref="D15">
    <cfRule type="expression" priority="106" dxfId="0">
      <formula>AND(COUNT(C15:F15)=4,D15=6)</formula>
    </cfRule>
    <cfRule type="expression" priority="107" dxfId="1">
      <formula>AND(COUNT(C15:F15)=4,D15&lt;6*0.4)</formula>
    </cfRule>
    <cfRule type="expression" priority="108" dxfId="2">
      <formula>AND(COUNT(C15:F15)=4,D15&gt;=6*0.4,D15&lt;6)</formula>
    </cfRule>
  </conditionalFormatting>
  <conditionalFormatting sqref="D16">
    <cfRule type="expression" priority="109" dxfId="0">
      <formula>AND(COUNT(C16:F16)=4,D16=6)</formula>
    </cfRule>
    <cfRule type="expression" priority="110" dxfId="1">
      <formula>AND(COUNT(C16:F16)=4,D16&lt;6*0.4)</formula>
    </cfRule>
    <cfRule type="expression" priority="111" dxfId="2">
      <formula>AND(COUNT(C16:F16)=4,D16&gt;=6*0.4,D16&lt;6)</formula>
    </cfRule>
  </conditionalFormatting>
  <conditionalFormatting sqref="D17">
    <cfRule type="expression" priority="112" dxfId="0">
      <formula>AND(COUNT(C17:F17)=4,D17=6)</formula>
    </cfRule>
    <cfRule type="expression" priority="113" dxfId="1">
      <formula>AND(COUNT(C17:F17)=4,D17&lt;6*0.4)</formula>
    </cfRule>
    <cfRule type="expression" priority="114" dxfId="2">
      <formula>AND(COUNT(C17:F17)=4,D17&gt;=6*0.4,D17&lt;6)</formula>
    </cfRule>
  </conditionalFormatting>
  <conditionalFormatting sqref="D18">
    <cfRule type="expression" priority="115" dxfId="0">
      <formula>AND(COUNT(C18:F18)=4,D18=6)</formula>
    </cfRule>
    <cfRule type="expression" priority="116" dxfId="1">
      <formula>AND(COUNT(C18:F18)=4,D18&lt;6*0.4)</formula>
    </cfRule>
    <cfRule type="expression" priority="117" dxfId="2">
      <formula>AND(COUNT(C18:F18)=4,D18&gt;=6*0.4,D18&lt;6)</formula>
    </cfRule>
  </conditionalFormatting>
  <conditionalFormatting sqref="D19">
    <cfRule type="expression" priority="118" dxfId="0">
      <formula>AND(COUNT(C19:F19)=4,D19=6)</formula>
    </cfRule>
    <cfRule type="expression" priority="119" dxfId="1">
      <formula>AND(COUNT(C19:F19)=4,D19&lt;6*0.4)</formula>
    </cfRule>
    <cfRule type="expression" priority="120" dxfId="2">
      <formula>AND(COUNT(C19:F19)=4,D19&gt;=6*0.4,D19&lt;6)</formula>
    </cfRule>
  </conditionalFormatting>
  <conditionalFormatting sqref="D20">
    <cfRule type="expression" priority="121" dxfId="0">
      <formula>AND(COUNT(C20:F20)=4,D20=6)</formula>
    </cfRule>
    <cfRule type="expression" priority="122" dxfId="1">
      <formula>AND(COUNT(C20:F20)=4,D20&lt;6*0.4)</formula>
    </cfRule>
    <cfRule type="expression" priority="123" dxfId="2">
      <formula>AND(COUNT(C20:F20)=4,D20&gt;=6*0.4,D20&lt;6)</formula>
    </cfRule>
  </conditionalFormatting>
  <conditionalFormatting sqref="D21">
    <cfRule type="expression" priority="124" dxfId="0">
      <formula>AND(COUNT(C21:F21)=4,D21=6)</formula>
    </cfRule>
    <cfRule type="expression" priority="125" dxfId="1">
      <formula>AND(COUNT(C21:F21)=4,D21&lt;6*0.4)</formula>
    </cfRule>
    <cfRule type="expression" priority="126" dxfId="2">
      <formula>AND(COUNT(C21:F21)=4,D21&gt;=6*0.4,D21&lt;6)</formula>
    </cfRule>
  </conditionalFormatting>
  <conditionalFormatting sqref="D22">
    <cfRule type="expression" priority="127" dxfId="0">
      <formula>AND(COUNT(C22:F22)=4,D22=6)</formula>
    </cfRule>
    <cfRule type="expression" priority="128" dxfId="1">
      <formula>AND(COUNT(C22:F22)=4,D22&lt;6*0.4)</formula>
    </cfRule>
    <cfRule type="expression" priority="129" dxfId="2">
      <formula>AND(COUNT(C22:F22)=4,D22&gt;=6*0.4,D22&lt;6)</formula>
    </cfRule>
  </conditionalFormatting>
  <conditionalFormatting sqref="D23">
    <cfRule type="expression" priority="130" dxfId="0">
      <formula>AND(COUNT(C23:F23)=4,D23=6)</formula>
    </cfRule>
    <cfRule type="expression" priority="131" dxfId="1">
      <formula>AND(COUNT(C23:F23)=4,D23&lt;6*0.4)</formula>
    </cfRule>
    <cfRule type="expression" priority="132" dxfId="2">
      <formula>AND(COUNT(C23:F23)=4,D23&gt;=6*0.4,D23&lt;6)</formula>
    </cfRule>
  </conditionalFormatting>
  <conditionalFormatting sqref="D24">
    <cfRule type="expression" priority="133" dxfId="0">
      <formula>AND(COUNT(C24:F24)=4,D24=6)</formula>
    </cfRule>
    <cfRule type="expression" priority="134" dxfId="1">
      <formula>AND(COUNT(C24:F24)=4,D24&lt;6*0.4)</formula>
    </cfRule>
    <cfRule type="expression" priority="135" dxfId="2">
      <formula>AND(COUNT(C24:F24)=4,D24&gt;=6*0.4,D24&lt;6)</formula>
    </cfRule>
  </conditionalFormatting>
  <conditionalFormatting sqref="D25">
    <cfRule type="expression" priority="136" dxfId="0">
      <formula>AND(COUNT(C25:F25)=4,D25=6)</formula>
    </cfRule>
    <cfRule type="expression" priority="137" dxfId="1">
      <formula>AND(COUNT(C25:F25)=4,D25&lt;6*0.4)</formula>
    </cfRule>
    <cfRule type="expression" priority="138" dxfId="2">
      <formula>AND(COUNT(C25:F25)=4,D25&gt;=6*0.4,D25&lt;6)</formula>
    </cfRule>
  </conditionalFormatting>
  <conditionalFormatting sqref="D26">
    <cfRule type="expression" priority="139" dxfId="0">
      <formula>AND(COUNT(C26:F26)=4,D26=6)</formula>
    </cfRule>
    <cfRule type="expression" priority="140" dxfId="1">
      <formula>AND(COUNT(C26:F26)=4,D26&lt;6*0.4)</formula>
    </cfRule>
    <cfRule type="expression" priority="141" dxfId="2">
      <formula>AND(COUNT(C26:F26)=4,D26&gt;=6*0.4,D26&lt;6)</formula>
    </cfRule>
  </conditionalFormatting>
  <conditionalFormatting sqref="D27">
    <cfRule type="expression" priority="142" dxfId="0">
      <formula>AND(COUNT(C27:F27)=4,D27=6)</formula>
    </cfRule>
    <cfRule type="expression" priority="143" dxfId="1">
      <formula>AND(COUNT(C27:F27)=4,D27&lt;6*0.4)</formula>
    </cfRule>
    <cfRule type="expression" priority="144" dxfId="2">
      <formula>AND(COUNT(C27:F27)=4,D27&gt;=6*0.4,D27&lt;6)</formula>
    </cfRule>
  </conditionalFormatting>
  <conditionalFormatting sqref="D28">
    <cfRule type="expression" priority="145" dxfId="0">
      <formula>AND(COUNT(C28:F28)=4,D28=6)</formula>
    </cfRule>
    <cfRule type="expression" priority="146" dxfId="1">
      <formula>AND(COUNT(C28:F28)=4,D28&lt;6*0.4)</formula>
    </cfRule>
    <cfRule type="expression" priority="147" dxfId="2">
      <formula>AND(COUNT(C28:F28)=4,D28&gt;=6*0.4,D28&lt;6)</formula>
    </cfRule>
  </conditionalFormatting>
  <conditionalFormatting sqref="D29">
    <cfRule type="expression" priority="148" dxfId="0">
      <formula>AND(COUNT(C29:F29)=4,D29=6)</formula>
    </cfRule>
    <cfRule type="expression" priority="149" dxfId="1">
      <formula>AND(COUNT(C29:F29)=4,D29&lt;6*0.4)</formula>
    </cfRule>
    <cfRule type="expression" priority="150" dxfId="2">
      <formula>AND(COUNT(C29:F29)=4,D29&gt;=6*0.4,D29&lt;6)</formula>
    </cfRule>
  </conditionalFormatting>
  <conditionalFormatting sqref="D30">
    <cfRule type="expression" priority="151" dxfId="0">
      <formula>AND(COUNT(C30:F30)=4,D30=6)</formula>
    </cfRule>
    <cfRule type="expression" priority="152" dxfId="1">
      <formula>AND(COUNT(C30:F30)=4,D30&lt;6*0.4)</formula>
    </cfRule>
    <cfRule type="expression" priority="153" dxfId="2">
      <formula>AND(COUNT(C30:F30)=4,D30&gt;=6*0.4,D30&lt;6)</formula>
    </cfRule>
  </conditionalFormatting>
  <conditionalFormatting sqref="D31">
    <cfRule type="expression" priority="154" dxfId="0">
      <formula>AND(COUNT(C31:F31)=4,D31=6)</formula>
    </cfRule>
    <cfRule type="expression" priority="155" dxfId="1">
      <formula>AND(COUNT(C31:F31)=4,D31&lt;6*0.4)</formula>
    </cfRule>
    <cfRule type="expression" priority="156" dxfId="2">
      <formula>AND(COUNT(C31:F31)=4,D31&gt;=6*0.4,D31&lt;6)</formula>
    </cfRule>
  </conditionalFormatting>
  <conditionalFormatting sqref="D32">
    <cfRule type="expression" priority="157" dxfId="0">
      <formula>AND(COUNT(C32:F32)=4,D32=6)</formula>
    </cfRule>
    <cfRule type="expression" priority="158" dxfId="1">
      <formula>AND(COUNT(C32:F32)=4,D32&lt;6*0.4)</formula>
    </cfRule>
    <cfRule type="expression" priority="159" dxfId="2">
      <formula>AND(COUNT(C32:F32)=4,D32&gt;=6*0.4,D32&lt;6)</formula>
    </cfRule>
  </conditionalFormatting>
  <conditionalFormatting sqref="D33">
    <cfRule type="expression" priority="160" dxfId="0">
      <formula>AND(COUNT(C33:F33)=4,D33=6)</formula>
    </cfRule>
    <cfRule type="expression" priority="161" dxfId="1">
      <formula>AND(COUNT(C33:F33)=4,D33&lt;6*0.4)</formula>
    </cfRule>
    <cfRule type="expression" priority="162" dxfId="2">
      <formula>AND(COUNT(C33:F33)=4,D33&gt;=6*0.4,D33&lt;6)</formula>
    </cfRule>
  </conditionalFormatting>
  <conditionalFormatting sqref="D34">
    <cfRule type="expression" priority="163" dxfId="0">
      <formula>AND(COUNT(C34:F34)=4,D34=6)</formula>
    </cfRule>
    <cfRule type="expression" priority="164" dxfId="1">
      <formula>AND(COUNT(C34:F34)=4,D34&lt;6*0.4)</formula>
    </cfRule>
    <cfRule type="expression" priority="165" dxfId="2">
      <formula>AND(COUNT(C34:F34)=4,D34&gt;=6*0.4,D34&lt;6)</formula>
    </cfRule>
  </conditionalFormatting>
  <conditionalFormatting sqref="D35">
    <cfRule type="expression" priority="166" dxfId="0">
      <formula>AND(COUNT(C35:F35)=4,D35=6)</formula>
    </cfRule>
    <cfRule type="expression" priority="167" dxfId="1">
      <formula>AND(COUNT(C35:F35)=4,D35&lt;6*0.4)</formula>
    </cfRule>
    <cfRule type="expression" priority="168" dxfId="2">
      <formula>AND(COUNT(C35:F35)=4,D35&gt;=6*0.4,D35&lt;6)</formula>
    </cfRule>
  </conditionalFormatting>
  <conditionalFormatting sqref="D36">
    <cfRule type="expression" priority="169" dxfId="0">
      <formula>AND(COUNT(C36:F36)=4,D36=6)</formula>
    </cfRule>
    <cfRule type="expression" priority="170" dxfId="1">
      <formula>AND(COUNT(C36:F36)=4,D36&lt;6*0.4)</formula>
    </cfRule>
    <cfRule type="expression" priority="171" dxfId="2">
      <formula>AND(COUNT(C36:F36)=4,D36&gt;=6*0.4,D36&lt;6)</formula>
    </cfRule>
  </conditionalFormatting>
  <conditionalFormatting sqref="D37">
    <cfRule type="expression" priority="172" dxfId="0">
      <formula>AND(COUNT(C37:F37)=4,D37=6)</formula>
    </cfRule>
    <cfRule type="expression" priority="173" dxfId="1">
      <formula>AND(COUNT(C37:F37)=4,D37&lt;6*0.4)</formula>
    </cfRule>
    <cfRule type="expression" priority="174" dxfId="2">
      <formula>AND(COUNT(C37:F37)=4,D37&gt;=6*0.4,D37&lt;6)</formula>
    </cfRule>
  </conditionalFormatting>
  <conditionalFormatting sqref="D38">
    <cfRule type="expression" priority="175" dxfId="0">
      <formula>AND(COUNT(C38:F38)=4,D38=6)</formula>
    </cfRule>
    <cfRule type="expression" priority="176" dxfId="1">
      <formula>AND(COUNT(C38:F38)=4,D38&lt;6*0.4)</formula>
    </cfRule>
    <cfRule type="expression" priority="177" dxfId="2">
      <formula>AND(COUNT(C38:F38)=4,D38&gt;=6*0.4,D38&lt;6)</formula>
    </cfRule>
  </conditionalFormatting>
  <conditionalFormatting sqref="D39">
    <cfRule type="expression" priority="178" dxfId="0">
      <formula>AND(COUNT(C39:F39)=4,D39=6)</formula>
    </cfRule>
    <cfRule type="expression" priority="179" dxfId="1">
      <formula>AND(COUNT(C39:F39)=4,D39&lt;6*0.4)</formula>
    </cfRule>
    <cfRule type="expression" priority="180" dxfId="2">
      <formula>AND(COUNT(C39:F39)=4,D39&gt;=6*0.4,D39&lt;6)</formula>
    </cfRule>
  </conditionalFormatting>
  <conditionalFormatting sqref="D40">
    <cfRule type="expression" priority="181" dxfId="0">
      <formula>AND(COUNT(C40:F40)=4,D40=6)</formula>
    </cfRule>
    <cfRule type="expression" priority="182" dxfId="1">
      <formula>AND(COUNT(C40:F40)=4,D40&lt;6*0.4)</formula>
    </cfRule>
    <cfRule type="expression" priority="183" dxfId="2">
      <formula>AND(COUNT(C40:F40)=4,D40&gt;=6*0.4,D40&lt;6)</formula>
    </cfRule>
  </conditionalFormatting>
  <conditionalFormatting sqref="D41">
    <cfRule type="expression" priority="184" dxfId="0">
      <formula>AND(COUNT(C41:F41)=4,D41=6)</formula>
    </cfRule>
    <cfRule type="expression" priority="185" dxfId="1">
      <formula>AND(COUNT(C41:F41)=4,D41&lt;6*0.4)</formula>
    </cfRule>
    <cfRule type="expression" priority="186" dxfId="2">
      <formula>AND(COUNT(C41:F41)=4,D41&gt;=6*0.4,D41&lt;6)</formula>
    </cfRule>
  </conditionalFormatting>
  <conditionalFormatting sqref="E11">
    <cfRule type="expression" priority="187" dxfId="0">
      <formula>AND(COUNT(C11:F11)=4,E11=5)</formula>
    </cfRule>
    <cfRule type="expression" priority="188" dxfId="1">
      <formula>AND(COUNT(C11:F11)=4,E11&lt;5*0.4)</formula>
    </cfRule>
    <cfRule type="expression" priority="189" dxfId="2">
      <formula>AND(COUNT(C11:F11)=4,E11&gt;=5*0.4,E11&lt;5)</formula>
    </cfRule>
  </conditionalFormatting>
  <conditionalFormatting sqref="E12">
    <cfRule type="expression" priority="190" dxfId="0">
      <formula>AND(COUNT(C12:F12)=4,E12=5)</formula>
    </cfRule>
    <cfRule type="expression" priority="191" dxfId="1">
      <formula>AND(COUNT(C12:F12)=4,E12&lt;5*0.4)</formula>
    </cfRule>
    <cfRule type="expression" priority="192" dxfId="2">
      <formula>AND(COUNT(C12:F12)=4,E12&gt;=5*0.4,E12&lt;5)</formula>
    </cfRule>
  </conditionalFormatting>
  <conditionalFormatting sqref="E13">
    <cfRule type="expression" priority="193" dxfId="0">
      <formula>AND(COUNT(C13:F13)=4,E13=5)</formula>
    </cfRule>
    <cfRule type="expression" priority="194" dxfId="1">
      <formula>AND(COUNT(C13:F13)=4,E13&lt;5*0.4)</formula>
    </cfRule>
    <cfRule type="expression" priority="195" dxfId="2">
      <formula>AND(COUNT(C13:F13)=4,E13&gt;=5*0.4,E13&lt;5)</formula>
    </cfRule>
  </conditionalFormatting>
  <conditionalFormatting sqref="E14">
    <cfRule type="expression" priority="196" dxfId="0">
      <formula>AND(COUNT(C14:F14)=4,E14=5)</formula>
    </cfRule>
    <cfRule type="expression" priority="197" dxfId="1">
      <formula>AND(COUNT(C14:F14)=4,E14&lt;5*0.4)</formula>
    </cfRule>
    <cfRule type="expression" priority="198" dxfId="2">
      <formula>AND(COUNT(C14:F14)=4,E14&gt;=5*0.4,E14&lt;5)</formula>
    </cfRule>
  </conditionalFormatting>
  <conditionalFormatting sqref="E15">
    <cfRule type="expression" priority="199" dxfId="0">
      <formula>AND(COUNT(C15:F15)=4,E15=5)</formula>
    </cfRule>
    <cfRule type="expression" priority="200" dxfId="1">
      <formula>AND(COUNT(C15:F15)=4,E15&lt;5*0.4)</formula>
    </cfRule>
    <cfRule type="expression" priority="201" dxfId="2">
      <formula>AND(COUNT(C15:F15)=4,E15&gt;=5*0.4,E15&lt;5)</formula>
    </cfRule>
  </conditionalFormatting>
  <conditionalFormatting sqref="E16">
    <cfRule type="expression" priority="202" dxfId="0">
      <formula>AND(COUNT(C16:F16)=4,E16=5)</formula>
    </cfRule>
    <cfRule type="expression" priority="203" dxfId="1">
      <formula>AND(COUNT(C16:F16)=4,E16&lt;5*0.4)</formula>
    </cfRule>
    <cfRule type="expression" priority="204" dxfId="2">
      <formula>AND(COUNT(C16:F16)=4,E16&gt;=5*0.4,E16&lt;5)</formula>
    </cfRule>
  </conditionalFormatting>
  <conditionalFormatting sqref="E17">
    <cfRule type="expression" priority="205" dxfId="0">
      <formula>AND(COUNT(C17:F17)=4,E17=5)</formula>
    </cfRule>
    <cfRule type="expression" priority="206" dxfId="1">
      <formula>AND(COUNT(C17:F17)=4,E17&lt;5*0.4)</formula>
    </cfRule>
    <cfRule type="expression" priority="207" dxfId="2">
      <formula>AND(COUNT(C17:F17)=4,E17&gt;=5*0.4,E17&lt;5)</formula>
    </cfRule>
  </conditionalFormatting>
  <conditionalFormatting sqref="E18">
    <cfRule type="expression" priority="208" dxfId="0">
      <formula>AND(COUNT(C18:F18)=4,E18=5)</formula>
    </cfRule>
    <cfRule type="expression" priority="209" dxfId="1">
      <formula>AND(COUNT(C18:F18)=4,E18&lt;5*0.4)</formula>
    </cfRule>
    <cfRule type="expression" priority="210" dxfId="2">
      <formula>AND(COUNT(C18:F18)=4,E18&gt;=5*0.4,E18&lt;5)</formula>
    </cfRule>
  </conditionalFormatting>
  <conditionalFormatting sqref="E19">
    <cfRule type="expression" priority="211" dxfId="0">
      <formula>AND(COUNT(C19:F19)=4,E19=5)</formula>
    </cfRule>
    <cfRule type="expression" priority="212" dxfId="1">
      <formula>AND(COUNT(C19:F19)=4,E19&lt;5*0.4)</formula>
    </cfRule>
    <cfRule type="expression" priority="213" dxfId="2">
      <formula>AND(COUNT(C19:F19)=4,E19&gt;=5*0.4,E19&lt;5)</formula>
    </cfRule>
  </conditionalFormatting>
  <conditionalFormatting sqref="E20">
    <cfRule type="expression" priority="214" dxfId="0">
      <formula>AND(COUNT(C20:F20)=4,E20=5)</formula>
    </cfRule>
    <cfRule type="expression" priority="215" dxfId="1">
      <formula>AND(COUNT(C20:F20)=4,E20&lt;5*0.4)</formula>
    </cfRule>
    <cfRule type="expression" priority="216" dxfId="2">
      <formula>AND(COUNT(C20:F20)=4,E20&gt;=5*0.4,E20&lt;5)</formula>
    </cfRule>
  </conditionalFormatting>
  <conditionalFormatting sqref="E21">
    <cfRule type="expression" priority="217" dxfId="0">
      <formula>AND(COUNT(C21:F21)=4,E21=5)</formula>
    </cfRule>
    <cfRule type="expression" priority="218" dxfId="1">
      <formula>AND(COUNT(C21:F21)=4,E21&lt;5*0.4)</formula>
    </cfRule>
    <cfRule type="expression" priority="219" dxfId="2">
      <formula>AND(COUNT(C21:F21)=4,E21&gt;=5*0.4,E21&lt;5)</formula>
    </cfRule>
  </conditionalFormatting>
  <conditionalFormatting sqref="E22">
    <cfRule type="expression" priority="220" dxfId="0">
      <formula>AND(COUNT(C22:F22)=4,E22=5)</formula>
    </cfRule>
    <cfRule type="expression" priority="221" dxfId="1">
      <formula>AND(COUNT(C22:F22)=4,E22&lt;5*0.4)</formula>
    </cfRule>
    <cfRule type="expression" priority="222" dxfId="2">
      <formula>AND(COUNT(C22:F22)=4,E22&gt;=5*0.4,E22&lt;5)</formula>
    </cfRule>
  </conditionalFormatting>
  <conditionalFormatting sqref="E23">
    <cfRule type="expression" priority="223" dxfId="0">
      <formula>AND(COUNT(C23:F23)=4,E23=5)</formula>
    </cfRule>
    <cfRule type="expression" priority="224" dxfId="1">
      <formula>AND(COUNT(C23:F23)=4,E23&lt;5*0.4)</formula>
    </cfRule>
    <cfRule type="expression" priority="225" dxfId="2">
      <formula>AND(COUNT(C23:F23)=4,E23&gt;=5*0.4,E23&lt;5)</formula>
    </cfRule>
  </conditionalFormatting>
  <conditionalFormatting sqref="E24">
    <cfRule type="expression" priority="226" dxfId="0">
      <formula>AND(COUNT(C24:F24)=4,E24=5)</formula>
    </cfRule>
    <cfRule type="expression" priority="227" dxfId="1">
      <formula>AND(COUNT(C24:F24)=4,E24&lt;5*0.4)</formula>
    </cfRule>
    <cfRule type="expression" priority="228" dxfId="2">
      <formula>AND(COUNT(C24:F24)=4,E24&gt;=5*0.4,E24&lt;5)</formula>
    </cfRule>
  </conditionalFormatting>
  <conditionalFormatting sqref="E25">
    <cfRule type="expression" priority="229" dxfId="0">
      <formula>AND(COUNT(C25:F25)=4,E25=5)</formula>
    </cfRule>
    <cfRule type="expression" priority="230" dxfId="1">
      <formula>AND(COUNT(C25:F25)=4,E25&lt;5*0.4)</formula>
    </cfRule>
    <cfRule type="expression" priority="231" dxfId="2">
      <formula>AND(COUNT(C25:F25)=4,E25&gt;=5*0.4,E25&lt;5)</formula>
    </cfRule>
  </conditionalFormatting>
  <conditionalFormatting sqref="E26">
    <cfRule type="expression" priority="232" dxfId="0">
      <formula>AND(COUNT(C26:F26)=4,E26=5)</formula>
    </cfRule>
    <cfRule type="expression" priority="233" dxfId="1">
      <formula>AND(COUNT(C26:F26)=4,E26&lt;5*0.4)</formula>
    </cfRule>
    <cfRule type="expression" priority="234" dxfId="2">
      <formula>AND(COUNT(C26:F26)=4,E26&gt;=5*0.4,E26&lt;5)</formula>
    </cfRule>
  </conditionalFormatting>
  <conditionalFormatting sqref="E27">
    <cfRule type="expression" priority="235" dxfId="0">
      <formula>AND(COUNT(C27:F27)=4,E27=5)</formula>
    </cfRule>
    <cfRule type="expression" priority="236" dxfId="1">
      <formula>AND(COUNT(C27:F27)=4,E27&lt;5*0.4)</formula>
    </cfRule>
    <cfRule type="expression" priority="237" dxfId="2">
      <formula>AND(COUNT(C27:F27)=4,E27&gt;=5*0.4,E27&lt;5)</formula>
    </cfRule>
  </conditionalFormatting>
  <conditionalFormatting sqref="E28">
    <cfRule type="expression" priority="238" dxfId="0">
      <formula>AND(COUNT(C28:F28)=4,E28=5)</formula>
    </cfRule>
    <cfRule type="expression" priority="239" dxfId="1">
      <formula>AND(COUNT(C28:F28)=4,E28&lt;5*0.4)</formula>
    </cfRule>
    <cfRule type="expression" priority="240" dxfId="2">
      <formula>AND(COUNT(C28:F28)=4,E28&gt;=5*0.4,E28&lt;5)</formula>
    </cfRule>
  </conditionalFormatting>
  <conditionalFormatting sqref="E29">
    <cfRule type="expression" priority="241" dxfId="0">
      <formula>AND(COUNT(C29:F29)=4,E29=5)</formula>
    </cfRule>
    <cfRule type="expression" priority="242" dxfId="1">
      <formula>AND(COUNT(C29:F29)=4,E29&lt;5*0.4)</formula>
    </cfRule>
    <cfRule type="expression" priority="243" dxfId="2">
      <formula>AND(COUNT(C29:F29)=4,E29&gt;=5*0.4,E29&lt;5)</formula>
    </cfRule>
  </conditionalFormatting>
  <conditionalFormatting sqref="E30">
    <cfRule type="expression" priority="244" dxfId="0">
      <formula>AND(COUNT(C30:F30)=4,E30=5)</formula>
    </cfRule>
    <cfRule type="expression" priority="245" dxfId="1">
      <formula>AND(COUNT(C30:F30)=4,E30&lt;5*0.4)</formula>
    </cfRule>
    <cfRule type="expression" priority="246" dxfId="2">
      <formula>AND(COUNT(C30:F30)=4,E30&gt;=5*0.4,E30&lt;5)</formula>
    </cfRule>
  </conditionalFormatting>
  <conditionalFormatting sqref="E31">
    <cfRule type="expression" priority="247" dxfId="0">
      <formula>AND(COUNT(C31:F31)=4,E31=5)</formula>
    </cfRule>
    <cfRule type="expression" priority="248" dxfId="1">
      <formula>AND(COUNT(C31:F31)=4,E31&lt;5*0.4)</formula>
    </cfRule>
    <cfRule type="expression" priority="249" dxfId="2">
      <formula>AND(COUNT(C31:F31)=4,E31&gt;=5*0.4,E31&lt;5)</formula>
    </cfRule>
  </conditionalFormatting>
  <conditionalFormatting sqref="E32">
    <cfRule type="expression" priority="250" dxfId="0">
      <formula>AND(COUNT(C32:F32)=4,E32=5)</formula>
    </cfRule>
    <cfRule type="expression" priority="251" dxfId="1">
      <formula>AND(COUNT(C32:F32)=4,E32&lt;5*0.4)</formula>
    </cfRule>
    <cfRule type="expression" priority="252" dxfId="2">
      <formula>AND(COUNT(C32:F32)=4,E32&gt;=5*0.4,E32&lt;5)</formula>
    </cfRule>
  </conditionalFormatting>
  <conditionalFormatting sqref="E33">
    <cfRule type="expression" priority="253" dxfId="0">
      <formula>AND(COUNT(C33:F33)=4,E33=5)</formula>
    </cfRule>
    <cfRule type="expression" priority="254" dxfId="1">
      <formula>AND(COUNT(C33:F33)=4,E33&lt;5*0.4)</formula>
    </cfRule>
    <cfRule type="expression" priority="255" dxfId="2">
      <formula>AND(COUNT(C33:F33)=4,E33&gt;=5*0.4,E33&lt;5)</formula>
    </cfRule>
  </conditionalFormatting>
  <conditionalFormatting sqref="E34">
    <cfRule type="expression" priority="256" dxfId="0">
      <formula>AND(COUNT(C34:F34)=4,E34=5)</formula>
    </cfRule>
    <cfRule type="expression" priority="257" dxfId="1">
      <formula>AND(COUNT(C34:F34)=4,E34&lt;5*0.4)</formula>
    </cfRule>
    <cfRule type="expression" priority="258" dxfId="2">
      <formula>AND(COUNT(C34:F34)=4,E34&gt;=5*0.4,E34&lt;5)</formula>
    </cfRule>
  </conditionalFormatting>
  <conditionalFormatting sqref="E35">
    <cfRule type="expression" priority="259" dxfId="0">
      <formula>AND(COUNT(C35:F35)=4,E35=5)</formula>
    </cfRule>
    <cfRule type="expression" priority="260" dxfId="1">
      <formula>AND(COUNT(C35:F35)=4,E35&lt;5*0.4)</formula>
    </cfRule>
    <cfRule type="expression" priority="261" dxfId="2">
      <formula>AND(COUNT(C35:F35)=4,E35&gt;=5*0.4,E35&lt;5)</formula>
    </cfRule>
  </conditionalFormatting>
  <conditionalFormatting sqref="E36">
    <cfRule type="expression" priority="262" dxfId="0">
      <formula>AND(COUNT(C36:F36)=4,E36=5)</formula>
    </cfRule>
    <cfRule type="expression" priority="263" dxfId="1">
      <formula>AND(COUNT(C36:F36)=4,E36&lt;5*0.4)</formula>
    </cfRule>
    <cfRule type="expression" priority="264" dxfId="2">
      <formula>AND(COUNT(C36:F36)=4,E36&gt;=5*0.4,E36&lt;5)</formula>
    </cfRule>
  </conditionalFormatting>
  <conditionalFormatting sqref="E37">
    <cfRule type="expression" priority="265" dxfId="0">
      <formula>AND(COUNT(C37:F37)=4,E37=5)</formula>
    </cfRule>
    <cfRule type="expression" priority="266" dxfId="1">
      <formula>AND(COUNT(C37:F37)=4,E37&lt;5*0.4)</formula>
    </cfRule>
    <cfRule type="expression" priority="267" dxfId="2">
      <formula>AND(COUNT(C37:F37)=4,E37&gt;=5*0.4,E37&lt;5)</formula>
    </cfRule>
  </conditionalFormatting>
  <conditionalFormatting sqref="E38">
    <cfRule type="expression" priority="268" dxfId="0">
      <formula>AND(COUNT(C38:F38)=4,E38=5)</formula>
    </cfRule>
    <cfRule type="expression" priority="269" dxfId="1">
      <formula>AND(COUNT(C38:F38)=4,E38&lt;5*0.4)</formula>
    </cfRule>
    <cfRule type="expression" priority="270" dxfId="2">
      <formula>AND(COUNT(C38:F38)=4,E38&gt;=5*0.4,E38&lt;5)</formula>
    </cfRule>
  </conditionalFormatting>
  <conditionalFormatting sqref="E39">
    <cfRule type="expression" priority="271" dxfId="0">
      <formula>AND(COUNT(C39:F39)=4,E39=5)</formula>
    </cfRule>
    <cfRule type="expression" priority="272" dxfId="1">
      <formula>AND(COUNT(C39:F39)=4,E39&lt;5*0.4)</formula>
    </cfRule>
    <cfRule type="expression" priority="273" dxfId="2">
      <formula>AND(COUNT(C39:F39)=4,E39&gt;=5*0.4,E39&lt;5)</formula>
    </cfRule>
  </conditionalFormatting>
  <conditionalFormatting sqref="E40">
    <cfRule type="expression" priority="274" dxfId="0">
      <formula>AND(COUNT(C40:F40)=4,E40=5)</formula>
    </cfRule>
    <cfRule type="expression" priority="275" dxfId="1">
      <formula>AND(COUNT(C40:F40)=4,E40&lt;5*0.4)</formula>
    </cfRule>
    <cfRule type="expression" priority="276" dxfId="2">
      <formula>AND(COUNT(C40:F40)=4,E40&gt;=5*0.4,E40&lt;5)</formula>
    </cfRule>
  </conditionalFormatting>
  <conditionalFormatting sqref="E41">
    <cfRule type="expression" priority="277" dxfId="0">
      <formula>AND(COUNT(C41:F41)=4,E41=5)</formula>
    </cfRule>
    <cfRule type="expression" priority="278" dxfId="1">
      <formula>AND(COUNT(C41:F41)=4,E41&lt;5*0.4)</formula>
    </cfRule>
    <cfRule type="expression" priority="279" dxfId="2">
      <formula>AND(COUNT(C41:F41)=4,E41&gt;=5*0.4,E41&lt;5)</formula>
    </cfRule>
  </conditionalFormatting>
  <conditionalFormatting sqref="F11">
    <cfRule type="expression" priority="280" dxfId="0">
      <formula>AND(COUNT(C11:F11)=4,F11=5)</formula>
    </cfRule>
    <cfRule type="expression" priority="281" dxfId="1">
      <formula>AND(COUNT(C11:F11)=4,F11&lt;5*0.4)</formula>
    </cfRule>
    <cfRule type="expression" priority="282" dxfId="2">
      <formula>AND(COUNT(C11:F11)=4,F11&gt;=5*0.4,F11&lt;5)</formula>
    </cfRule>
  </conditionalFormatting>
  <conditionalFormatting sqref="F12">
    <cfRule type="expression" priority="283" dxfId="0">
      <formula>AND(COUNT(C12:F12)=4,F12=5)</formula>
    </cfRule>
    <cfRule type="expression" priority="284" dxfId="1">
      <formula>AND(COUNT(C12:F12)=4,F12&lt;5*0.4)</formula>
    </cfRule>
    <cfRule type="expression" priority="285" dxfId="2">
      <formula>AND(COUNT(C12:F12)=4,F12&gt;=5*0.4,F12&lt;5)</formula>
    </cfRule>
  </conditionalFormatting>
  <conditionalFormatting sqref="F13">
    <cfRule type="expression" priority="286" dxfId="0">
      <formula>AND(COUNT(C13:F13)=4,F13=5)</formula>
    </cfRule>
    <cfRule type="expression" priority="287" dxfId="1">
      <formula>AND(COUNT(C13:F13)=4,F13&lt;5*0.4)</formula>
    </cfRule>
    <cfRule type="expression" priority="288" dxfId="2">
      <formula>AND(COUNT(C13:F13)=4,F13&gt;=5*0.4,F13&lt;5)</formula>
    </cfRule>
  </conditionalFormatting>
  <conditionalFormatting sqref="F14">
    <cfRule type="expression" priority="289" dxfId="0">
      <formula>AND(COUNT(C14:F14)=4,F14=5)</formula>
    </cfRule>
    <cfRule type="expression" priority="290" dxfId="1">
      <formula>AND(COUNT(C14:F14)=4,F14&lt;5*0.4)</formula>
    </cfRule>
    <cfRule type="expression" priority="291" dxfId="2">
      <formula>AND(COUNT(C14:F14)=4,F14&gt;=5*0.4,F14&lt;5)</formula>
    </cfRule>
  </conditionalFormatting>
  <conditionalFormatting sqref="F15">
    <cfRule type="expression" priority="292" dxfId="0">
      <formula>AND(COUNT(C15:F15)=4,F15=5)</formula>
    </cfRule>
    <cfRule type="expression" priority="293" dxfId="1">
      <formula>AND(COUNT(C15:F15)=4,F15&lt;5*0.4)</formula>
    </cfRule>
    <cfRule type="expression" priority="294" dxfId="2">
      <formula>AND(COUNT(C15:F15)=4,F15&gt;=5*0.4,F15&lt;5)</formula>
    </cfRule>
  </conditionalFormatting>
  <conditionalFormatting sqref="F16">
    <cfRule type="expression" priority="295" dxfId="0">
      <formula>AND(COUNT(C16:F16)=4,F16=5)</formula>
    </cfRule>
    <cfRule type="expression" priority="296" dxfId="1">
      <formula>AND(COUNT(C16:F16)=4,F16&lt;5*0.4)</formula>
    </cfRule>
    <cfRule type="expression" priority="297" dxfId="2">
      <formula>AND(COUNT(C16:F16)=4,F16&gt;=5*0.4,F16&lt;5)</formula>
    </cfRule>
  </conditionalFormatting>
  <conditionalFormatting sqref="F17">
    <cfRule type="expression" priority="298" dxfId="0">
      <formula>AND(COUNT(C17:F17)=4,F17=5)</formula>
    </cfRule>
    <cfRule type="expression" priority="299" dxfId="1">
      <formula>AND(COUNT(C17:F17)=4,F17&lt;5*0.4)</formula>
    </cfRule>
    <cfRule type="expression" priority="300" dxfId="2">
      <formula>AND(COUNT(C17:F17)=4,F17&gt;=5*0.4,F17&lt;5)</formula>
    </cfRule>
  </conditionalFormatting>
  <conditionalFormatting sqref="F18">
    <cfRule type="expression" priority="301" dxfId="0">
      <formula>AND(COUNT(C18:F18)=4,F18=5)</formula>
    </cfRule>
    <cfRule type="expression" priority="302" dxfId="1">
      <formula>AND(COUNT(C18:F18)=4,F18&lt;5*0.4)</formula>
    </cfRule>
    <cfRule type="expression" priority="303" dxfId="2">
      <formula>AND(COUNT(C18:F18)=4,F18&gt;=5*0.4,F18&lt;5)</formula>
    </cfRule>
  </conditionalFormatting>
  <conditionalFormatting sqref="F19">
    <cfRule type="expression" priority="304" dxfId="0">
      <formula>AND(COUNT(C19:F19)=4,F19=5)</formula>
    </cfRule>
    <cfRule type="expression" priority="305" dxfId="1">
      <formula>AND(COUNT(C19:F19)=4,F19&lt;5*0.4)</formula>
    </cfRule>
    <cfRule type="expression" priority="306" dxfId="2">
      <formula>AND(COUNT(C19:F19)=4,F19&gt;=5*0.4,F19&lt;5)</formula>
    </cfRule>
  </conditionalFormatting>
  <conditionalFormatting sqref="F20">
    <cfRule type="expression" priority="307" dxfId="0">
      <formula>AND(COUNT(C20:F20)=4,F20=5)</formula>
    </cfRule>
    <cfRule type="expression" priority="308" dxfId="1">
      <formula>AND(COUNT(C20:F20)=4,F20&lt;5*0.4)</formula>
    </cfRule>
    <cfRule type="expression" priority="309" dxfId="2">
      <formula>AND(COUNT(C20:F20)=4,F20&gt;=5*0.4,F20&lt;5)</formula>
    </cfRule>
  </conditionalFormatting>
  <conditionalFormatting sqref="F21">
    <cfRule type="expression" priority="310" dxfId="0">
      <formula>AND(COUNT(C21:F21)=4,F21=5)</formula>
    </cfRule>
    <cfRule type="expression" priority="311" dxfId="1">
      <formula>AND(COUNT(C21:F21)=4,F21&lt;5*0.4)</formula>
    </cfRule>
    <cfRule type="expression" priority="312" dxfId="2">
      <formula>AND(COUNT(C21:F21)=4,F21&gt;=5*0.4,F21&lt;5)</formula>
    </cfRule>
  </conditionalFormatting>
  <conditionalFormatting sqref="F22">
    <cfRule type="expression" priority="313" dxfId="0">
      <formula>AND(COUNT(C22:F22)=4,F22=5)</formula>
    </cfRule>
    <cfRule type="expression" priority="314" dxfId="1">
      <formula>AND(COUNT(C22:F22)=4,F22&lt;5*0.4)</formula>
    </cfRule>
    <cfRule type="expression" priority="315" dxfId="2">
      <formula>AND(COUNT(C22:F22)=4,F22&gt;=5*0.4,F22&lt;5)</formula>
    </cfRule>
  </conditionalFormatting>
  <conditionalFormatting sqref="F23">
    <cfRule type="expression" priority="316" dxfId="0">
      <formula>AND(COUNT(C23:F23)=4,F23=5)</formula>
    </cfRule>
    <cfRule type="expression" priority="317" dxfId="1">
      <formula>AND(COUNT(C23:F23)=4,F23&lt;5*0.4)</formula>
    </cfRule>
    <cfRule type="expression" priority="318" dxfId="2">
      <formula>AND(COUNT(C23:F23)=4,F23&gt;=5*0.4,F23&lt;5)</formula>
    </cfRule>
  </conditionalFormatting>
  <conditionalFormatting sqref="F24">
    <cfRule type="expression" priority="319" dxfId="0">
      <formula>AND(COUNT(C24:F24)=4,F24=5)</formula>
    </cfRule>
    <cfRule type="expression" priority="320" dxfId="1">
      <formula>AND(COUNT(C24:F24)=4,F24&lt;5*0.4)</formula>
    </cfRule>
    <cfRule type="expression" priority="321" dxfId="2">
      <formula>AND(COUNT(C24:F24)=4,F24&gt;=5*0.4,F24&lt;5)</formula>
    </cfRule>
  </conditionalFormatting>
  <conditionalFormatting sqref="F25">
    <cfRule type="expression" priority="322" dxfId="0">
      <formula>AND(COUNT(C25:F25)=4,F25=5)</formula>
    </cfRule>
    <cfRule type="expression" priority="323" dxfId="1">
      <formula>AND(COUNT(C25:F25)=4,F25&lt;5*0.4)</formula>
    </cfRule>
    <cfRule type="expression" priority="324" dxfId="2">
      <formula>AND(COUNT(C25:F25)=4,F25&gt;=5*0.4,F25&lt;5)</formula>
    </cfRule>
  </conditionalFormatting>
  <conditionalFormatting sqref="F26">
    <cfRule type="expression" priority="325" dxfId="0">
      <formula>AND(COUNT(C26:F26)=4,F26=5)</formula>
    </cfRule>
    <cfRule type="expression" priority="326" dxfId="1">
      <formula>AND(COUNT(C26:F26)=4,F26&lt;5*0.4)</formula>
    </cfRule>
    <cfRule type="expression" priority="327" dxfId="2">
      <formula>AND(COUNT(C26:F26)=4,F26&gt;=5*0.4,F26&lt;5)</formula>
    </cfRule>
  </conditionalFormatting>
  <conditionalFormatting sqref="F27">
    <cfRule type="expression" priority="328" dxfId="0">
      <formula>AND(COUNT(C27:F27)=4,F27=5)</formula>
    </cfRule>
    <cfRule type="expression" priority="329" dxfId="1">
      <formula>AND(COUNT(C27:F27)=4,F27&lt;5*0.4)</formula>
    </cfRule>
    <cfRule type="expression" priority="330" dxfId="2">
      <formula>AND(COUNT(C27:F27)=4,F27&gt;=5*0.4,F27&lt;5)</formula>
    </cfRule>
  </conditionalFormatting>
  <conditionalFormatting sqref="F28">
    <cfRule type="expression" priority="331" dxfId="0">
      <formula>AND(COUNT(C28:F28)=4,F28=5)</formula>
    </cfRule>
    <cfRule type="expression" priority="332" dxfId="1">
      <formula>AND(COUNT(C28:F28)=4,F28&lt;5*0.4)</formula>
    </cfRule>
    <cfRule type="expression" priority="333" dxfId="2">
      <formula>AND(COUNT(C28:F28)=4,F28&gt;=5*0.4,F28&lt;5)</formula>
    </cfRule>
  </conditionalFormatting>
  <conditionalFormatting sqref="F29">
    <cfRule type="expression" priority="334" dxfId="0">
      <formula>AND(COUNT(C29:F29)=4,F29=5)</formula>
    </cfRule>
    <cfRule type="expression" priority="335" dxfId="1">
      <formula>AND(COUNT(C29:F29)=4,F29&lt;5*0.4)</formula>
    </cfRule>
    <cfRule type="expression" priority="336" dxfId="2">
      <formula>AND(COUNT(C29:F29)=4,F29&gt;=5*0.4,F29&lt;5)</formula>
    </cfRule>
  </conditionalFormatting>
  <conditionalFormatting sqref="F30">
    <cfRule type="expression" priority="337" dxfId="0">
      <formula>AND(COUNT(C30:F30)=4,F30=5)</formula>
    </cfRule>
    <cfRule type="expression" priority="338" dxfId="1">
      <formula>AND(COUNT(C30:F30)=4,F30&lt;5*0.4)</formula>
    </cfRule>
    <cfRule type="expression" priority="339" dxfId="2">
      <formula>AND(COUNT(C30:F30)=4,F30&gt;=5*0.4,F30&lt;5)</formula>
    </cfRule>
  </conditionalFormatting>
  <conditionalFormatting sqref="F31">
    <cfRule type="expression" priority="340" dxfId="0">
      <formula>AND(COUNT(C31:F31)=4,F31=5)</formula>
    </cfRule>
    <cfRule type="expression" priority="341" dxfId="1">
      <formula>AND(COUNT(C31:F31)=4,F31&lt;5*0.4)</formula>
    </cfRule>
    <cfRule type="expression" priority="342" dxfId="2">
      <formula>AND(COUNT(C31:F31)=4,F31&gt;=5*0.4,F31&lt;5)</formula>
    </cfRule>
  </conditionalFormatting>
  <conditionalFormatting sqref="F32">
    <cfRule type="expression" priority="343" dxfId="0">
      <formula>AND(COUNT(C32:F32)=4,F32=5)</formula>
    </cfRule>
    <cfRule type="expression" priority="344" dxfId="1">
      <formula>AND(COUNT(C32:F32)=4,F32&lt;5*0.4)</formula>
    </cfRule>
    <cfRule type="expression" priority="345" dxfId="2">
      <formula>AND(COUNT(C32:F32)=4,F32&gt;=5*0.4,F32&lt;5)</formula>
    </cfRule>
  </conditionalFormatting>
  <conditionalFormatting sqref="F33">
    <cfRule type="expression" priority="346" dxfId="0">
      <formula>AND(COUNT(C33:F33)=4,F33=5)</formula>
    </cfRule>
    <cfRule type="expression" priority="347" dxfId="1">
      <formula>AND(COUNT(C33:F33)=4,F33&lt;5*0.4)</formula>
    </cfRule>
    <cfRule type="expression" priority="348" dxfId="2">
      <formula>AND(COUNT(C33:F33)=4,F33&gt;=5*0.4,F33&lt;5)</formula>
    </cfRule>
  </conditionalFormatting>
  <conditionalFormatting sqref="F34">
    <cfRule type="expression" priority="349" dxfId="0">
      <formula>AND(COUNT(C34:F34)=4,F34=5)</formula>
    </cfRule>
    <cfRule type="expression" priority="350" dxfId="1">
      <formula>AND(COUNT(C34:F34)=4,F34&lt;5*0.4)</formula>
    </cfRule>
    <cfRule type="expression" priority="351" dxfId="2">
      <formula>AND(COUNT(C34:F34)=4,F34&gt;=5*0.4,F34&lt;5)</formula>
    </cfRule>
  </conditionalFormatting>
  <conditionalFormatting sqref="F35">
    <cfRule type="expression" priority="352" dxfId="0">
      <formula>AND(COUNT(C35:F35)=4,F35=5)</formula>
    </cfRule>
    <cfRule type="expression" priority="353" dxfId="1">
      <formula>AND(COUNT(C35:F35)=4,F35&lt;5*0.4)</formula>
    </cfRule>
    <cfRule type="expression" priority="354" dxfId="2">
      <formula>AND(COUNT(C35:F35)=4,F35&gt;=5*0.4,F35&lt;5)</formula>
    </cfRule>
  </conditionalFormatting>
  <conditionalFormatting sqref="F36">
    <cfRule type="expression" priority="355" dxfId="0">
      <formula>AND(COUNT(C36:F36)=4,F36=5)</formula>
    </cfRule>
    <cfRule type="expression" priority="356" dxfId="1">
      <formula>AND(COUNT(C36:F36)=4,F36&lt;5*0.4)</formula>
    </cfRule>
    <cfRule type="expression" priority="357" dxfId="2">
      <formula>AND(COUNT(C36:F36)=4,F36&gt;=5*0.4,F36&lt;5)</formula>
    </cfRule>
  </conditionalFormatting>
  <conditionalFormatting sqref="F37">
    <cfRule type="expression" priority="358" dxfId="0">
      <formula>AND(COUNT(C37:F37)=4,F37=5)</formula>
    </cfRule>
    <cfRule type="expression" priority="359" dxfId="1">
      <formula>AND(COUNT(C37:F37)=4,F37&lt;5*0.4)</formula>
    </cfRule>
    <cfRule type="expression" priority="360" dxfId="2">
      <formula>AND(COUNT(C37:F37)=4,F37&gt;=5*0.4,F37&lt;5)</formula>
    </cfRule>
  </conditionalFormatting>
  <conditionalFormatting sqref="F38">
    <cfRule type="expression" priority="361" dxfId="0">
      <formula>AND(COUNT(C38:F38)=4,F38=5)</formula>
    </cfRule>
    <cfRule type="expression" priority="362" dxfId="1">
      <formula>AND(COUNT(C38:F38)=4,F38&lt;5*0.4)</formula>
    </cfRule>
    <cfRule type="expression" priority="363" dxfId="2">
      <formula>AND(COUNT(C38:F38)=4,F38&gt;=5*0.4,F38&lt;5)</formula>
    </cfRule>
  </conditionalFormatting>
  <conditionalFormatting sqref="F39">
    <cfRule type="expression" priority="364" dxfId="0">
      <formula>AND(COUNT(C39:F39)=4,F39=5)</formula>
    </cfRule>
    <cfRule type="expression" priority="365" dxfId="1">
      <formula>AND(COUNT(C39:F39)=4,F39&lt;5*0.4)</formula>
    </cfRule>
    <cfRule type="expression" priority="366" dxfId="2">
      <formula>AND(COUNT(C39:F39)=4,F39&gt;=5*0.4,F39&lt;5)</formula>
    </cfRule>
  </conditionalFormatting>
  <conditionalFormatting sqref="F40">
    <cfRule type="expression" priority="367" dxfId="0">
      <formula>AND(COUNT(C40:F40)=4,F40=5)</formula>
    </cfRule>
    <cfRule type="expression" priority="368" dxfId="1">
      <formula>AND(COUNT(C40:F40)=4,F40&lt;5*0.4)</formula>
    </cfRule>
    <cfRule type="expression" priority="369" dxfId="2">
      <formula>AND(COUNT(C40:F40)=4,F40&gt;=5*0.4,F40&lt;5)</formula>
    </cfRule>
  </conditionalFormatting>
  <conditionalFormatting sqref="F41">
    <cfRule type="expression" priority="370" dxfId="0">
      <formula>AND(COUNT(C41:F41)=4,F41=5)</formula>
    </cfRule>
    <cfRule type="expression" priority="371" dxfId="1">
      <formula>AND(COUNT(C41:F41)=4,F41&lt;5*0.4)</formula>
    </cfRule>
    <cfRule type="expression" priority="372" dxfId="2">
      <formula>AND(COUNT(C41:F41)=4,F41&gt;=5*0.4,F41&lt;5)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Mini Test 3.2 — Modelling and Estimation</t>
        </is>
      </c>
    </row>
    <row r="2">
      <c r="A2" s="2" t="inlineStr">
        <is>
          <t>Every block below pulls live from 'MT 3.2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SUMPRODUCT(--ISNUMBER('MT 3.2 Results'!I12:I41))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IF('MT 3.2 Results'!I12="","","Mini Test 3.2 — Modelling and Estimation")</f>
        <v/>
      </c>
      <c r="K5">
        <f>IF('MT 3.2 Results'!I13="","","Mini Test 3.2 — Modelling and Estimation")</f>
        <v/>
      </c>
    </row>
    <row r="6">
      <c r="A6">
        <f>IF('MT 3.2 Results'!I12="","","Name: "&amp;'MT 3.2 Results'!B12&amp;"   Class: "&amp;'MT 3.2 Results'!$B$3&amp;"   Date: "&amp;TEXT('MT 3.2 Results'!$B$5,"DD/MM/YY"))</f>
        <v/>
      </c>
      <c r="K6">
        <f>IF('MT 3.2 Results'!I13="","","Name: "&amp;'MT 3.2 Results'!B13&amp;"   Class: "&amp;'MT 3.2 Results'!$B$3&amp;"   Date: "&amp;TEXT('MT 3.2 Results'!$B$5,"DD/MM/YY"))</f>
        <v/>
      </c>
    </row>
    <row r="7">
      <c r="A7">
        <f>IF('MT 3.2 Results'!I12="","","Total: "&amp;'MT 3.2 Results'!G12&amp;"/22 ("&amp;TEXT('MT 3.2 Results'!H12,"0%")&amp;")   Overall: "&amp;'MT 3.2 Results'!I12)</f>
        <v/>
      </c>
      <c r="K7">
        <f>IF('MT 3.2 Results'!I13="","","Total: "&amp;'MT 3.2 Results'!G13&amp;"/22 ("&amp;TEXT('MT 3.2 Results'!H13,"0%")&amp;")   Overall: "&amp;'MT 3.2 Results'!I13)</f>
        <v/>
      </c>
    </row>
    <row r="8">
      <c r="A8">
        <f>IF('MT 3.2 Results'!I12="","",IF('MT 3.2 Results'!I12="Green",Parameters!$C$176,IF('MT 3.2 Results'!I12="Yellow",Parameters!$C$175,Parameters!$C$174)))</f>
        <v/>
      </c>
      <c r="K8">
        <f>IF('MT 3.2 Results'!I13="","",IF('MT 3.2 Results'!I13="Green",Parameters!$C$176,IF('MT 3.2 Results'!I13="Yellow",Parameters!$C$175,Parameters!$C$174)))</f>
        <v/>
      </c>
    </row>
    <row r="10">
      <c r="A10">
        <f>IF('MT 3.2 Results'!I12="","","Breakdown:")</f>
        <v/>
      </c>
      <c r="K10">
        <f>IF('MT 3.2 Results'!I13="","","Breakdown:")</f>
        <v/>
      </c>
    </row>
    <row r="11">
      <c r="A11">
        <f>IF('MT 3.2 Results'!I12="","","Q1 Bounds &amp; speed: "&amp;'MT 3.2 Results'!C12&amp;"/6")</f>
        <v/>
      </c>
      <c r="K11">
        <f>IF('MT 3.2 Results'!I13="","","Q1 Bounds &amp; speed: "&amp;'MT 3.2 Results'!C13&amp;"/6")</f>
        <v/>
      </c>
    </row>
    <row r="12">
      <c r="A12">
        <f>IF('MT 3.2 Results'!I12="","","Q2 Area &amp; practical rounding: "&amp;'MT 3.2 Results'!D12&amp;"/6")</f>
        <v/>
      </c>
      <c r="K12">
        <f>IF('MT 3.2 Results'!I13="","","Q2 Area &amp; practical rounding: "&amp;'MT 3.2 Results'!D13&amp;"/6")</f>
        <v/>
      </c>
    </row>
    <row r="13">
      <c r="A13">
        <f>IF('MT 3.2 Results'!I12="","","Q3 Scaling a recipe: "&amp;'MT 3.2 Results'!E12&amp;"/5")</f>
        <v/>
      </c>
      <c r="K13">
        <f>IF('MT 3.2 Results'!I13="","","Q3 Scaling a recipe: "&amp;'MT 3.2 Results'!E13&amp;"/5")</f>
        <v/>
      </c>
    </row>
    <row r="14">
      <c r="A14">
        <f>IF('MT 3.2 Results'!I12="","","Q4 Fermi estimate (library): "&amp;'MT 3.2 Results'!F12&amp;"/5")</f>
        <v/>
      </c>
      <c r="K14">
        <f>IF('MT 3.2 Results'!I13="","","Q4 Fermi estimate (library): "&amp;'MT 3.2 Results'!F13&amp;"/5")</f>
        <v/>
      </c>
    </row>
    <row r="15">
      <c r="A15">
        <f>IF(OR('MT 3.2 Results'!I12="",'MT 3.2 Results'!J12=""),"",'MT 3.2 Results'!J12)</f>
        <v/>
      </c>
      <c r="K15">
        <f>IF(OR('MT 3.2 Results'!I13="",'MT 3.2 Results'!J13=""),"",'MT 3.2 Results'!J13)</f>
        <v/>
      </c>
    </row>
    <row r="17">
      <c r="A17">
        <f>IF('MT 3.2 Results'!I12="","","Comments:")</f>
        <v/>
      </c>
      <c r="K17">
        <f>IF('MT 3.2 Results'!I13="","","Comments:")</f>
        <v/>
      </c>
    </row>
    <row r="21">
      <c r="A21">
        <f>IF('MT 3.2 Results'!I14="","","Mini Test 3.2 — Modelling and Estimation")</f>
        <v/>
      </c>
      <c r="K21">
        <f>IF('MT 3.2 Results'!I15="","","Mini Test 3.2 — Modelling and Estimation")</f>
        <v/>
      </c>
    </row>
    <row r="22">
      <c r="A22">
        <f>IF('MT 3.2 Results'!I14="","","Name: "&amp;'MT 3.2 Results'!B14&amp;"   Class: "&amp;'MT 3.2 Results'!$B$3&amp;"   Date: "&amp;TEXT('MT 3.2 Results'!$B$5,"DD/MM/YY"))</f>
        <v/>
      </c>
      <c r="K22">
        <f>IF('MT 3.2 Results'!I15="","","Name: "&amp;'MT 3.2 Results'!B15&amp;"   Class: "&amp;'MT 3.2 Results'!$B$3&amp;"   Date: "&amp;TEXT('MT 3.2 Results'!$B$5,"DD/MM/YY"))</f>
        <v/>
      </c>
    </row>
    <row r="23">
      <c r="A23">
        <f>IF('MT 3.2 Results'!I14="","","Total: "&amp;'MT 3.2 Results'!G14&amp;"/22 ("&amp;TEXT('MT 3.2 Results'!H14,"0%")&amp;")   Overall: "&amp;'MT 3.2 Results'!I14)</f>
        <v/>
      </c>
      <c r="K23">
        <f>IF('MT 3.2 Results'!I15="","","Total: "&amp;'MT 3.2 Results'!G15&amp;"/22 ("&amp;TEXT('MT 3.2 Results'!H15,"0%")&amp;")   Overall: "&amp;'MT 3.2 Results'!I15)</f>
        <v/>
      </c>
    </row>
    <row r="24">
      <c r="A24">
        <f>IF('MT 3.2 Results'!I14="","",IF('MT 3.2 Results'!I14="Green",Parameters!$C$176,IF('MT 3.2 Results'!I14="Yellow",Parameters!$C$175,Parameters!$C$174)))</f>
        <v/>
      </c>
      <c r="K24">
        <f>IF('MT 3.2 Results'!I15="","",IF('MT 3.2 Results'!I15="Green",Parameters!$C$176,IF('MT 3.2 Results'!I15="Yellow",Parameters!$C$175,Parameters!$C$174)))</f>
        <v/>
      </c>
    </row>
    <row r="26">
      <c r="A26">
        <f>IF('MT 3.2 Results'!I14="","","Breakdown:")</f>
        <v/>
      </c>
      <c r="K26">
        <f>IF('MT 3.2 Results'!I15="","","Breakdown:")</f>
        <v/>
      </c>
    </row>
    <row r="27">
      <c r="A27">
        <f>IF('MT 3.2 Results'!I14="","","Q1 Bounds &amp; speed: "&amp;'MT 3.2 Results'!C14&amp;"/6")</f>
        <v/>
      </c>
      <c r="K27">
        <f>IF('MT 3.2 Results'!I15="","","Q1 Bounds &amp; speed: "&amp;'MT 3.2 Results'!C15&amp;"/6")</f>
        <v/>
      </c>
    </row>
    <row r="28">
      <c r="A28">
        <f>IF('MT 3.2 Results'!I14="","","Q2 Area &amp; practical rounding: "&amp;'MT 3.2 Results'!D14&amp;"/6")</f>
        <v/>
      </c>
      <c r="K28">
        <f>IF('MT 3.2 Results'!I15="","","Q2 Area &amp; practical rounding: "&amp;'MT 3.2 Results'!D15&amp;"/6")</f>
        <v/>
      </c>
    </row>
    <row r="29">
      <c r="A29">
        <f>IF('MT 3.2 Results'!I14="","","Q3 Scaling a recipe: "&amp;'MT 3.2 Results'!E14&amp;"/5")</f>
        <v/>
      </c>
      <c r="K29">
        <f>IF('MT 3.2 Results'!I15="","","Q3 Scaling a recipe: "&amp;'MT 3.2 Results'!E15&amp;"/5")</f>
        <v/>
      </c>
    </row>
    <row r="30">
      <c r="A30">
        <f>IF('MT 3.2 Results'!I14="","","Q4 Fermi estimate (library): "&amp;'MT 3.2 Results'!F14&amp;"/5")</f>
        <v/>
      </c>
      <c r="K30">
        <f>IF('MT 3.2 Results'!I15="","","Q4 Fermi estimate (library): "&amp;'MT 3.2 Results'!F15&amp;"/5")</f>
        <v/>
      </c>
    </row>
    <row r="31">
      <c r="A31">
        <f>IF(OR('MT 3.2 Results'!I14="",'MT 3.2 Results'!J14=""),"",'MT 3.2 Results'!J14)</f>
        <v/>
      </c>
      <c r="K31">
        <f>IF(OR('MT 3.2 Results'!I15="",'MT 3.2 Results'!J15=""),"",'MT 3.2 Results'!J15)</f>
        <v/>
      </c>
    </row>
    <row r="33">
      <c r="A33">
        <f>IF('MT 3.2 Results'!I14="","","Comments:")</f>
        <v/>
      </c>
      <c r="K33">
        <f>IF('MT 3.2 Results'!I15="","","Comments:")</f>
        <v/>
      </c>
    </row>
    <row r="37">
      <c r="A37">
        <f>IF('MT 3.2 Results'!I16="","","Mini Test 3.2 — Modelling and Estimation")</f>
        <v/>
      </c>
      <c r="K37">
        <f>IF('MT 3.2 Results'!I17="","","Mini Test 3.2 — Modelling and Estimation")</f>
        <v/>
      </c>
    </row>
    <row r="38">
      <c r="A38">
        <f>IF('MT 3.2 Results'!I16="","","Name: "&amp;'MT 3.2 Results'!B16&amp;"   Class: "&amp;'MT 3.2 Results'!$B$3&amp;"   Date: "&amp;TEXT('MT 3.2 Results'!$B$5,"DD/MM/YY"))</f>
        <v/>
      </c>
      <c r="K38">
        <f>IF('MT 3.2 Results'!I17="","","Name: "&amp;'MT 3.2 Results'!B17&amp;"   Class: "&amp;'MT 3.2 Results'!$B$3&amp;"   Date: "&amp;TEXT('MT 3.2 Results'!$B$5,"DD/MM/YY"))</f>
        <v/>
      </c>
    </row>
    <row r="39">
      <c r="A39">
        <f>IF('MT 3.2 Results'!I16="","","Total: "&amp;'MT 3.2 Results'!G16&amp;"/22 ("&amp;TEXT('MT 3.2 Results'!H16,"0%")&amp;")   Overall: "&amp;'MT 3.2 Results'!I16)</f>
        <v/>
      </c>
      <c r="K39">
        <f>IF('MT 3.2 Results'!I17="","","Total: "&amp;'MT 3.2 Results'!G17&amp;"/22 ("&amp;TEXT('MT 3.2 Results'!H17,"0%")&amp;")   Overall: "&amp;'MT 3.2 Results'!I17)</f>
        <v/>
      </c>
    </row>
    <row r="40">
      <c r="A40">
        <f>IF('MT 3.2 Results'!I16="","",IF('MT 3.2 Results'!I16="Green",Parameters!$C$176,IF('MT 3.2 Results'!I16="Yellow",Parameters!$C$175,Parameters!$C$174)))</f>
        <v/>
      </c>
      <c r="K40">
        <f>IF('MT 3.2 Results'!I17="","",IF('MT 3.2 Results'!I17="Green",Parameters!$C$176,IF('MT 3.2 Results'!I17="Yellow",Parameters!$C$175,Parameters!$C$174)))</f>
        <v/>
      </c>
    </row>
    <row r="42">
      <c r="A42">
        <f>IF('MT 3.2 Results'!I16="","","Breakdown:")</f>
        <v/>
      </c>
      <c r="K42">
        <f>IF('MT 3.2 Results'!I17="","","Breakdown:")</f>
        <v/>
      </c>
    </row>
    <row r="43">
      <c r="A43">
        <f>IF('MT 3.2 Results'!I16="","","Q1 Bounds &amp; speed: "&amp;'MT 3.2 Results'!C16&amp;"/6")</f>
        <v/>
      </c>
      <c r="K43">
        <f>IF('MT 3.2 Results'!I17="","","Q1 Bounds &amp; speed: "&amp;'MT 3.2 Results'!C17&amp;"/6")</f>
        <v/>
      </c>
    </row>
    <row r="44">
      <c r="A44">
        <f>IF('MT 3.2 Results'!I16="","","Q2 Area &amp; practical rounding: "&amp;'MT 3.2 Results'!D16&amp;"/6")</f>
        <v/>
      </c>
      <c r="K44">
        <f>IF('MT 3.2 Results'!I17="","","Q2 Area &amp; practical rounding: "&amp;'MT 3.2 Results'!D17&amp;"/6")</f>
        <v/>
      </c>
    </row>
    <row r="45">
      <c r="A45">
        <f>IF('MT 3.2 Results'!I16="","","Q3 Scaling a recipe: "&amp;'MT 3.2 Results'!E16&amp;"/5")</f>
        <v/>
      </c>
      <c r="K45">
        <f>IF('MT 3.2 Results'!I17="","","Q3 Scaling a recipe: "&amp;'MT 3.2 Results'!E17&amp;"/5")</f>
        <v/>
      </c>
    </row>
    <row r="46">
      <c r="A46">
        <f>IF('MT 3.2 Results'!I16="","","Q4 Fermi estimate (library): "&amp;'MT 3.2 Results'!F16&amp;"/5")</f>
        <v/>
      </c>
      <c r="K46">
        <f>IF('MT 3.2 Results'!I17="","","Q4 Fermi estimate (library): "&amp;'MT 3.2 Results'!F17&amp;"/5")</f>
        <v/>
      </c>
    </row>
    <row r="47">
      <c r="A47">
        <f>IF(OR('MT 3.2 Results'!I16="",'MT 3.2 Results'!J16=""),"",'MT 3.2 Results'!J16)</f>
        <v/>
      </c>
      <c r="K47">
        <f>IF(OR('MT 3.2 Results'!I17="",'MT 3.2 Results'!J17=""),"",'MT 3.2 Results'!J17)</f>
        <v/>
      </c>
    </row>
    <row r="49">
      <c r="A49">
        <f>IF('MT 3.2 Results'!I16="","","Comments:")</f>
        <v/>
      </c>
      <c r="K49">
        <f>IF('MT 3.2 Results'!I17="","","Comments:")</f>
        <v/>
      </c>
    </row>
    <row r="53">
      <c r="A53">
        <f>IF('MT 3.2 Results'!I18="","","Mini Test 3.2 — Modelling and Estimation")</f>
        <v/>
      </c>
      <c r="K53">
        <f>IF('MT 3.2 Results'!I19="","","Mini Test 3.2 — Modelling and Estimation")</f>
        <v/>
      </c>
    </row>
    <row r="54">
      <c r="A54">
        <f>IF('MT 3.2 Results'!I18="","","Name: "&amp;'MT 3.2 Results'!B18&amp;"   Class: "&amp;'MT 3.2 Results'!$B$3&amp;"   Date: "&amp;TEXT('MT 3.2 Results'!$B$5,"DD/MM/YY"))</f>
        <v/>
      </c>
      <c r="K54">
        <f>IF('MT 3.2 Results'!I19="","","Name: "&amp;'MT 3.2 Results'!B19&amp;"   Class: "&amp;'MT 3.2 Results'!$B$3&amp;"   Date: "&amp;TEXT('MT 3.2 Results'!$B$5,"DD/MM/YY"))</f>
        <v/>
      </c>
    </row>
    <row r="55">
      <c r="A55">
        <f>IF('MT 3.2 Results'!I18="","","Total: "&amp;'MT 3.2 Results'!G18&amp;"/22 ("&amp;TEXT('MT 3.2 Results'!H18,"0%")&amp;")   Overall: "&amp;'MT 3.2 Results'!I18)</f>
        <v/>
      </c>
      <c r="K55">
        <f>IF('MT 3.2 Results'!I19="","","Total: "&amp;'MT 3.2 Results'!G19&amp;"/22 ("&amp;TEXT('MT 3.2 Results'!H19,"0%")&amp;")   Overall: "&amp;'MT 3.2 Results'!I19)</f>
        <v/>
      </c>
    </row>
    <row r="56">
      <c r="A56">
        <f>IF('MT 3.2 Results'!I18="","",IF('MT 3.2 Results'!I18="Green",Parameters!$C$176,IF('MT 3.2 Results'!I18="Yellow",Parameters!$C$175,Parameters!$C$174)))</f>
        <v/>
      </c>
      <c r="K56">
        <f>IF('MT 3.2 Results'!I19="","",IF('MT 3.2 Results'!I19="Green",Parameters!$C$176,IF('MT 3.2 Results'!I19="Yellow",Parameters!$C$175,Parameters!$C$174)))</f>
        <v/>
      </c>
    </row>
    <row r="58">
      <c r="A58">
        <f>IF('MT 3.2 Results'!I18="","","Breakdown:")</f>
        <v/>
      </c>
      <c r="K58">
        <f>IF('MT 3.2 Results'!I19="","","Breakdown:")</f>
        <v/>
      </c>
    </row>
    <row r="59">
      <c r="A59">
        <f>IF('MT 3.2 Results'!I18="","","Q1 Bounds &amp; speed: "&amp;'MT 3.2 Results'!C18&amp;"/6")</f>
        <v/>
      </c>
      <c r="K59">
        <f>IF('MT 3.2 Results'!I19="","","Q1 Bounds &amp; speed: "&amp;'MT 3.2 Results'!C19&amp;"/6")</f>
        <v/>
      </c>
    </row>
    <row r="60">
      <c r="A60">
        <f>IF('MT 3.2 Results'!I18="","","Q2 Area &amp; practical rounding: "&amp;'MT 3.2 Results'!D18&amp;"/6")</f>
        <v/>
      </c>
      <c r="K60">
        <f>IF('MT 3.2 Results'!I19="","","Q2 Area &amp; practical rounding: "&amp;'MT 3.2 Results'!D19&amp;"/6")</f>
        <v/>
      </c>
    </row>
    <row r="61">
      <c r="A61">
        <f>IF('MT 3.2 Results'!I18="","","Q3 Scaling a recipe: "&amp;'MT 3.2 Results'!E18&amp;"/5")</f>
        <v/>
      </c>
      <c r="K61">
        <f>IF('MT 3.2 Results'!I19="","","Q3 Scaling a recipe: "&amp;'MT 3.2 Results'!E19&amp;"/5")</f>
        <v/>
      </c>
    </row>
    <row r="62">
      <c r="A62">
        <f>IF('MT 3.2 Results'!I18="","","Q4 Fermi estimate (library): "&amp;'MT 3.2 Results'!F18&amp;"/5")</f>
        <v/>
      </c>
      <c r="K62">
        <f>IF('MT 3.2 Results'!I19="","","Q4 Fermi estimate (library): "&amp;'MT 3.2 Results'!F19&amp;"/5")</f>
        <v/>
      </c>
    </row>
    <row r="63">
      <c r="A63">
        <f>IF(OR('MT 3.2 Results'!I18="",'MT 3.2 Results'!J18=""),"",'MT 3.2 Results'!J18)</f>
        <v/>
      </c>
      <c r="K63">
        <f>IF(OR('MT 3.2 Results'!I19="",'MT 3.2 Results'!J19=""),"",'MT 3.2 Results'!J19)</f>
        <v/>
      </c>
    </row>
    <row r="65">
      <c r="A65">
        <f>IF('MT 3.2 Results'!I18="","","Comments:")</f>
        <v/>
      </c>
      <c r="K65">
        <f>IF('MT 3.2 Results'!I19="","","Comments:")</f>
        <v/>
      </c>
    </row>
    <row r="69">
      <c r="A69">
        <f>IF('MT 3.2 Results'!I20="","","Mini Test 3.2 — Modelling and Estimation")</f>
        <v/>
      </c>
      <c r="K69">
        <f>IF('MT 3.2 Results'!I21="","","Mini Test 3.2 — Modelling and Estimation")</f>
        <v/>
      </c>
    </row>
    <row r="70">
      <c r="A70">
        <f>IF('MT 3.2 Results'!I20="","","Name: "&amp;'MT 3.2 Results'!B20&amp;"   Class: "&amp;'MT 3.2 Results'!$B$3&amp;"   Date: "&amp;TEXT('MT 3.2 Results'!$B$5,"DD/MM/YY"))</f>
        <v/>
      </c>
      <c r="K70">
        <f>IF('MT 3.2 Results'!I21="","","Name: "&amp;'MT 3.2 Results'!B21&amp;"   Class: "&amp;'MT 3.2 Results'!$B$3&amp;"   Date: "&amp;TEXT('MT 3.2 Results'!$B$5,"DD/MM/YY"))</f>
        <v/>
      </c>
    </row>
    <row r="71">
      <c r="A71">
        <f>IF('MT 3.2 Results'!I20="","","Total: "&amp;'MT 3.2 Results'!G20&amp;"/22 ("&amp;TEXT('MT 3.2 Results'!H20,"0%")&amp;")   Overall: "&amp;'MT 3.2 Results'!I20)</f>
        <v/>
      </c>
      <c r="K71">
        <f>IF('MT 3.2 Results'!I21="","","Total: "&amp;'MT 3.2 Results'!G21&amp;"/22 ("&amp;TEXT('MT 3.2 Results'!H21,"0%")&amp;")   Overall: "&amp;'MT 3.2 Results'!I21)</f>
        <v/>
      </c>
    </row>
    <row r="72">
      <c r="A72">
        <f>IF('MT 3.2 Results'!I20="","",IF('MT 3.2 Results'!I20="Green",Parameters!$C$176,IF('MT 3.2 Results'!I20="Yellow",Parameters!$C$175,Parameters!$C$174)))</f>
        <v/>
      </c>
      <c r="K72">
        <f>IF('MT 3.2 Results'!I21="","",IF('MT 3.2 Results'!I21="Green",Parameters!$C$176,IF('MT 3.2 Results'!I21="Yellow",Parameters!$C$175,Parameters!$C$174)))</f>
        <v/>
      </c>
    </row>
    <row r="74">
      <c r="A74">
        <f>IF('MT 3.2 Results'!I20="","","Breakdown:")</f>
        <v/>
      </c>
      <c r="K74">
        <f>IF('MT 3.2 Results'!I21="","","Breakdown:")</f>
        <v/>
      </c>
    </row>
    <row r="75">
      <c r="A75">
        <f>IF('MT 3.2 Results'!I20="","","Q1 Bounds &amp; speed: "&amp;'MT 3.2 Results'!C20&amp;"/6")</f>
        <v/>
      </c>
      <c r="K75">
        <f>IF('MT 3.2 Results'!I21="","","Q1 Bounds &amp; speed: "&amp;'MT 3.2 Results'!C21&amp;"/6")</f>
        <v/>
      </c>
    </row>
    <row r="76">
      <c r="A76">
        <f>IF('MT 3.2 Results'!I20="","","Q2 Area &amp; practical rounding: "&amp;'MT 3.2 Results'!D20&amp;"/6")</f>
        <v/>
      </c>
      <c r="K76">
        <f>IF('MT 3.2 Results'!I21="","","Q2 Area &amp; practical rounding: "&amp;'MT 3.2 Results'!D21&amp;"/6")</f>
        <v/>
      </c>
    </row>
    <row r="77">
      <c r="A77">
        <f>IF('MT 3.2 Results'!I20="","","Q3 Scaling a recipe: "&amp;'MT 3.2 Results'!E20&amp;"/5")</f>
        <v/>
      </c>
      <c r="K77">
        <f>IF('MT 3.2 Results'!I21="","","Q3 Scaling a recipe: "&amp;'MT 3.2 Results'!E21&amp;"/5")</f>
        <v/>
      </c>
    </row>
    <row r="78">
      <c r="A78">
        <f>IF('MT 3.2 Results'!I20="","","Q4 Fermi estimate (library): "&amp;'MT 3.2 Results'!F20&amp;"/5")</f>
        <v/>
      </c>
      <c r="K78">
        <f>IF('MT 3.2 Results'!I21="","","Q4 Fermi estimate (library): "&amp;'MT 3.2 Results'!F21&amp;"/5")</f>
        <v/>
      </c>
    </row>
    <row r="79">
      <c r="A79">
        <f>IF(OR('MT 3.2 Results'!I20="",'MT 3.2 Results'!J20=""),"",'MT 3.2 Results'!J20)</f>
        <v/>
      </c>
      <c r="K79">
        <f>IF(OR('MT 3.2 Results'!I21="",'MT 3.2 Results'!J21=""),"",'MT 3.2 Results'!J21)</f>
        <v/>
      </c>
    </row>
    <row r="81">
      <c r="A81">
        <f>IF('MT 3.2 Results'!I20="","","Comments:")</f>
        <v/>
      </c>
      <c r="K81">
        <f>IF('MT 3.2 Results'!I21="","","Comments:")</f>
        <v/>
      </c>
    </row>
    <row r="85">
      <c r="A85">
        <f>IF('MT 3.2 Results'!I22="","","Mini Test 3.2 — Modelling and Estimation")</f>
        <v/>
      </c>
      <c r="K85">
        <f>IF('MT 3.2 Results'!I23="","","Mini Test 3.2 — Modelling and Estimation")</f>
        <v/>
      </c>
    </row>
    <row r="86">
      <c r="A86">
        <f>IF('MT 3.2 Results'!I22="","","Name: "&amp;'MT 3.2 Results'!B22&amp;"   Class: "&amp;'MT 3.2 Results'!$B$3&amp;"   Date: "&amp;TEXT('MT 3.2 Results'!$B$5,"DD/MM/YY"))</f>
        <v/>
      </c>
      <c r="K86">
        <f>IF('MT 3.2 Results'!I23="","","Name: "&amp;'MT 3.2 Results'!B23&amp;"   Class: "&amp;'MT 3.2 Results'!$B$3&amp;"   Date: "&amp;TEXT('MT 3.2 Results'!$B$5,"DD/MM/YY"))</f>
        <v/>
      </c>
    </row>
    <row r="87">
      <c r="A87">
        <f>IF('MT 3.2 Results'!I22="","","Total: "&amp;'MT 3.2 Results'!G22&amp;"/22 ("&amp;TEXT('MT 3.2 Results'!H22,"0%")&amp;")   Overall: "&amp;'MT 3.2 Results'!I22)</f>
        <v/>
      </c>
      <c r="K87">
        <f>IF('MT 3.2 Results'!I23="","","Total: "&amp;'MT 3.2 Results'!G23&amp;"/22 ("&amp;TEXT('MT 3.2 Results'!H23,"0%")&amp;")   Overall: "&amp;'MT 3.2 Results'!I23)</f>
        <v/>
      </c>
    </row>
    <row r="88">
      <c r="A88">
        <f>IF('MT 3.2 Results'!I22="","",IF('MT 3.2 Results'!I22="Green",Parameters!$C$176,IF('MT 3.2 Results'!I22="Yellow",Parameters!$C$175,Parameters!$C$174)))</f>
        <v/>
      </c>
      <c r="K88">
        <f>IF('MT 3.2 Results'!I23="","",IF('MT 3.2 Results'!I23="Green",Parameters!$C$176,IF('MT 3.2 Results'!I23="Yellow",Parameters!$C$175,Parameters!$C$174)))</f>
        <v/>
      </c>
    </row>
    <row r="90">
      <c r="A90">
        <f>IF('MT 3.2 Results'!I22="","","Breakdown:")</f>
        <v/>
      </c>
      <c r="K90">
        <f>IF('MT 3.2 Results'!I23="","","Breakdown:")</f>
        <v/>
      </c>
    </row>
    <row r="91">
      <c r="A91">
        <f>IF('MT 3.2 Results'!I22="","","Q1 Bounds &amp; speed: "&amp;'MT 3.2 Results'!C22&amp;"/6")</f>
        <v/>
      </c>
      <c r="K91">
        <f>IF('MT 3.2 Results'!I23="","","Q1 Bounds &amp; speed: "&amp;'MT 3.2 Results'!C23&amp;"/6")</f>
        <v/>
      </c>
    </row>
    <row r="92">
      <c r="A92">
        <f>IF('MT 3.2 Results'!I22="","","Q2 Area &amp; practical rounding: "&amp;'MT 3.2 Results'!D22&amp;"/6")</f>
        <v/>
      </c>
      <c r="K92">
        <f>IF('MT 3.2 Results'!I23="","","Q2 Area &amp; practical rounding: "&amp;'MT 3.2 Results'!D23&amp;"/6")</f>
        <v/>
      </c>
    </row>
    <row r="93">
      <c r="A93">
        <f>IF('MT 3.2 Results'!I22="","","Q3 Scaling a recipe: "&amp;'MT 3.2 Results'!E22&amp;"/5")</f>
        <v/>
      </c>
      <c r="K93">
        <f>IF('MT 3.2 Results'!I23="","","Q3 Scaling a recipe: "&amp;'MT 3.2 Results'!E23&amp;"/5")</f>
        <v/>
      </c>
    </row>
    <row r="94">
      <c r="A94">
        <f>IF('MT 3.2 Results'!I22="","","Q4 Fermi estimate (library): "&amp;'MT 3.2 Results'!F22&amp;"/5")</f>
        <v/>
      </c>
      <c r="K94">
        <f>IF('MT 3.2 Results'!I23="","","Q4 Fermi estimate (library): "&amp;'MT 3.2 Results'!F23&amp;"/5")</f>
        <v/>
      </c>
    </row>
    <row r="95">
      <c r="A95">
        <f>IF(OR('MT 3.2 Results'!I22="",'MT 3.2 Results'!J22=""),"",'MT 3.2 Results'!J22)</f>
        <v/>
      </c>
      <c r="K95">
        <f>IF(OR('MT 3.2 Results'!I23="",'MT 3.2 Results'!J23=""),"",'MT 3.2 Results'!J23)</f>
        <v/>
      </c>
    </row>
    <row r="97">
      <c r="A97">
        <f>IF('MT 3.2 Results'!I22="","","Comments:")</f>
        <v/>
      </c>
      <c r="K97">
        <f>IF('MT 3.2 Results'!I23="","","Comments:")</f>
        <v/>
      </c>
    </row>
    <row r="101">
      <c r="A101">
        <f>IF('MT 3.2 Results'!I24="","","Mini Test 3.2 — Modelling and Estimation")</f>
        <v/>
      </c>
      <c r="K101">
        <f>IF('MT 3.2 Results'!I25="","","Mini Test 3.2 — Modelling and Estimation")</f>
        <v/>
      </c>
    </row>
    <row r="102">
      <c r="A102">
        <f>IF('MT 3.2 Results'!I24="","","Name: "&amp;'MT 3.2 Results'!B24&amp;"   Class: "&amp;'MT 3.2 Results'!$B$3&amp;"   Date: "&amp;TEXT('MT 3.2 Results'!$B$5,"DD/MM/YY"))</f>
        <v/>
      </c>
      <c r="K102">
        <f>IF('MT 3.2 Results'!I25="","","Name: "&amp;'MT 3.2 Results'!B25&amp;"   Class: "&amp;'MT 3.2 Results'!$B$3&amp;"   Date: "&amp;TEXT('MT 3.2 Results'!$B$5,"DD/MM/YY"))</f>
        <v/>
      </c>
    </row>
    <row r="103">
      <c r="A103">
        <f>IF('MT 3.2 Results'!I24="","","Total: "&amp;'MT 3.2 Results'!G24&amp;"/22 ("&amp;TEXT('MT 3.2 Results'!H24,"0%")&amp;")   Overall: "&amp;'MT 3.2 Results'!I24)</f>
        <v/>
      </c>
      <c r="K103">
        <f>IF('MT 3.2 Results'!I25="","","Total: "&amp;'MT 3.2 Results'!G25&amp;"/22 ("&amp;TEXT('MT 3.2 Results'!H25,"0%")&amp;")   Overall: "&amp;'MT 3.2 Results'!I25)</f>
        <v/>
      </c>
    </row>
    <row r="104">
      <c r="A104">
        <f>IF('MT 3.2 Results'!I24="","",IF('MT 3.2 Results'!I24="Green",Parameters!$C$176,IF('MT 3.2 Results'!I24="Yellow",Parameters!$C$175,Parameters!$C$174)))</f>
        <v/>
      </c>
      <c r="K104">
        <f>IF('MT 3.2 Results'!I25="","",IF('MT 3.2 Results'!I25="Green",Parameters!$C$176,IF('MT 3.2 Results'!I25="Yellow",Parameters!$C$175,Parameters!$C$174)))</f>
        <v/>
      </c>
    </row>
    <row r="106">
      <c r="A106">
        <f>IF('MT 3.2 Results'!I24="","","Breakdown:")</f>
        <v/>
      </c>
      <c r="K106">
        <f>IF('MT 3.2 Results'!I25="","","Breakdown:")</f>
        <v/>
      </c>
    </row>
    <row r="107">
      <c r="A107">
        <f>IF('MT 3.2 Results'!I24="","","Q1 Bounds &amp; speed: "&amp;'MT 3.2 Results'!C24&amp;"/6")</f>
        <v/>
      </c>
      <c r="K107">
        <f>IF('MT 3.2 Results'!I25="","","Q1 Bounds &amp; speed: "&amp;'MT 3.2 Results'!C25&amp;"/6")</f>
        <v/>
      </c>
    </row>
    <row r="108">
      <c r="A108">
        <f>IF('MT 3.2 Results'!I24="","","Q2 Area &amp; practical rounding: "&amp;'MT 3.2 Results'!D24&amp;"/6")</f>
        <v/>
      </c>
      <c r="K108">
        <f>IF('MT 3.2 Results'!I25="","","Q2 Area &amp; practical rounding: "&amp;'MT 3.2 Results'!D25&amp;"/6")</f>
        <v/>
      </c>
    </row>
    <row r="109">
      <c r="A109">
        <f>IF('MT 3.2 Results'!I24="","","Q3 Scaling a recipe: "&amp;'MT 3.2 Results'!E24&amp;"/5")</f>
        <v/>
      </c>
      <c r="K109">
        <f>IF('MT 3.2 Results'!I25="","","Q3 Scaling a recipe: "&amp;'MT 3.2 Results'!E25&amp;"/5")</f>
        <v/>
      </c>
    </row>
    <row r="110">
      <c r="A110">
        <f>IF('MT 3.2 Results'!I24="","","Q4 Fermi estimate (library): "&amp;'MT 3.2 Results'!F24&amp;"/5")</f>
        <v/>
      </c>
      <c r="K110">
        <f>IF('MT 3.2 Results'!I25="","","Q4 Fermi estimate (library): "&amp;'MT 3.2 Results'!F25&amp;"/5")</f>
        <v/>
      </c>
    </row>
    <row r="111">
      <c r="A111">
        <f>IF(OR('MT 3.2 Results'!I24="",'MT 3.2 Results'!J24=""),"",'MT 3.2 Results'!J24)</f>
        <v/>
      </c>
      <c r="K111">
        <f>IF(OR('MT 3.2 Results'!I25="",'MT 3.2 Results'!J25=""),"",'MT 3.2 Results'!J25)</f>
        <v/>
      </c>
    </row>
    <row r="113">
      <c r="A113">
        <f>IF('MT 3.2 Results'!I24="","","Comments:")</f>
        <v/>
      </c>
      <c r="K113">
        <f>IF('MT 3.2 Results'!I25="","","Comments:")</f>
        <v/>
      </c>
    </row>
    <row r="117">
      <c r="A117">
        <f>IF('MT 3.2 Results'!I26="","","Mini Test 3.2 — Modelling and Estimation")</f>
        <v/>
      </c>
      <c r="K117">
        <f>IF('MT 3.2 Results'!I27="","","Mini Test 3.2 — Modelling and Estimation")</f>
        <v/>
      </c>
    </row>
    <row r="118">
      <c r="A118">
        <f>IF('MT 3.2 Results'!I26="","","Name: "&amp;'MT 3.2 Results'!B26&amp;"   Class: "&amp;'MT 3.2 Results'!$B$3&amp;"   Date: "&amp;TEXT('MT 3.2 Results'!$B$5,"DD/MM/YY"))</f>
        <v/>
      </c>
      <c r="K118">
        <f>IF('MT 3.2 Results'!I27="","","Name: "&amp;'MT 3.2 Results'!B27&amp;"   Class: "&amp;'MT 3.2 Results'!$B$3&amp;"   Date: "&amp;TEXT('MT 3.2 Results'!$B$5,"DD/MM/YY"))</f>
        <v/>
      </c>
    </row>
    <row r="119">
      <c r="A119">
        <f>IF('MT 3.2 Results'!I26="","","Total: "&amp;'MT 3.2 Results'!G26&amp;"/22 ("&amp;TEXT('MT 3.2 Results'!H26,"0%")&amp;")   Overall: "&amp;'MT 3.2 Results'!I26)</f>
        <v/>
      </c>
      <c r="K119">
        <f>IF('MT 3.2 Results'!I27="","","Total: "&amp;'MT 3.2 Results'!G27&amp;"/22 ("&amp;TEXT('MT 3.2 Results'!H27,"0%")&amp;")   Overall: "&amp;'MT 3.2 Results'!I27)</f>
        <v/>
      </c>
    </row>
    <row r="120">
      <c r="A120">
        <f>IF('MT 3.2 Results'!I26="","",IF('MT 3.2 Results'!I26="Green",Parameters!$C$176,IF('MT 3.2 Results'!I26="Yellow",Parameters!$C$175,Parameters!$C$174)))</f>
        <v/>
      </c>
      <c r="K120">
        <f>IF('MT 3.2 Results'!I27="","",IF('MT 3.2 Results'!I27="Green",Parameters!$C$176,IF('MT 3.2 Results'!I27="Yellow",Parameters!$C$175,Parameters!$C$174)))</f>
        <v/>
      </c>
    </row>
    <row r="122">
      <c r="A122">
        <f>IF('MT 3.2 Results'!I26="","","Breakdown:")</f>
        <v/>
      </c>
      <c r="K122">
        <f>IF('MT 3.2 Results'!I27="","","Breakdown:")</f>
        <v/>
      </c>
    </row>
    <row r="123">
      <c r="A123">
        <f>IF('MT 3.2 Results'!I26="","","Q1 Bounds &amp; speed: "&amp;'MT 3.2 Results'!C26&amp;"/6")</f>
        <v/>
      </c>
      <c r="K123">
        <f>IF('MT 3.2 Results'!I27="","","Q1 Bounds &amp; speed: "&amp;'MT 3.2 Results'!C27&amp;"/6")</f>
        <v/>
      </c>
    </row>
    <row r="124">
      <c r="A124">
        <f>IF('MT 3.2 Results'!I26="","","Q2 Area &amp; practical rounding: "&amp;'MT 3.2 Results'!D26&amp;"/6")</f>
        <v/>
      </c>
      <c r="K124">
        <f>IF('MT 3.2 Results'!I27="","","Q2 Area &amp; practical rounding: "&amp;'MT 3.2 Results'!D27&amp;"/6")</f>
        <v/>
      </c>
    </row>
    <row r="125">
      <c r="A125">
        <f>IF('MT 3.2 Results'!I26="","","Q3 Scaling a recipe: "&amp;'MT 3.2 Results'!E26&amp;"/5")</f>
        <v/>
      </c>
      <c r="K125">
        <f>IF('MT 3.2 Results'!I27="","","Q3 Scaling a recipe: "&amp;'MT 3.2 Results'!E27&amp;"/5")</f>
        <v/>
      </c>
    </row>
    <row r="126">
      <c r="A126">
        <f>IF('MT 3.2 Results'!I26="","","Q4 Fermi estimate (library): "&amp;'MT 3.2 Results'!F26&amp;"/5")</f>
        <v/>
      </c>
      <c r="K126">
        <f>IF('MT 3.2 Results'!I27="","","Q4 Fermi estimate (library): "&amp;'MT 3.2 Results'!F27&amp;"/5")</f>
        <v/>
      </c>
    </row>
    <row r="127">
      <c r="A127">
        <f>IF(OR('MT 3.2 Results'!I26="",'MT 3.2 Results'!J26=""),"",'MT 3.2 Results'!J26)</f>
        <v/>
      </c>
      <c r="K127">
        <f>IF(OR('MT 3.2 Results'!I27="",'MT 3.2 Results'!J27=""),"",'MT 3.2 Results'!J27)</f>
        <v/>
      </c>
    </row>
    <row r="129">
      <c r="A129">
        <f>IF('MT 3.2 Results'!I26="","","Comments:")</f>
        <v/>
      </c>
      <c r="K129">
        <f>IF('MT 3.2 Results'!I27="","","Comments:")</f>
        <v/>
      </c>
    </row>
    <row r="133">
      <c r="A133">
        <f>IF('MT 3.2 Results'!I28="","","Mini Test 3.2 — Modelling and Estimation")</f>
        <v/>
      </c>
      <c r="K133">
        <f>IF('MT 3.2 Results'!I29="","","Mini Test 3.2 — Modelling and Estimation")</f>
        <v/>
      </c>
    </row>
    <row r="134">
      <c r="A134">
        <f>IF('MT 3.2 Results'!I28="","","Name: "&amp;'MT 3.2 Results'!B28&amp;"   Class: "&amp;'MT 3.2 Results'!$B$3&amp;"   Date: "&amp;TEXT('MT 3.2 Results'!$B$5,"DD/MM/YY"))</f>
        <v/>
      </c>
      <c r="K134">
        <f>IF('MT 3.2 Results'!I29="","","Name: "&amp;'MT 3.2 Results'!B29&amp;"   Class: "&amp;'MT 3.2 Results'!$B$3&amp;"   Date: "&amp;TEXT('MT 3.2 Results'!$B$5,"DD/MM/YY"))</f>
        <v/>
      </c>
    </row>
    <row r="135">
      <c r="A135">
        <f>IF('MT 3.2 Results'!I28="","","Total: "&amp;'MT 3.2 Results'!G28&amp;"/22 ("&amp;TEXT('MT 3.2 Results'!H28,"0%")&amp;")   Overall: "&amp;'MT 3.2 Results'!I28)</f>
        <v/>
      </c>
      <c r="K135">
        <f>IF('MT 3.2 Results'!I29="","","Total: "&amp;'MT 3.2 Results'!G29&amp;"/22 ("&amp;TEXT('MT 3.2 Results'!H29,"0%")&amp;")   Overall: "&amp;'MT 3.2 Results'!I29)</f>
        <v/>
      </c>
    </row>
    <row r="136">
      <c r="A136">
        <f>IF('MT 3.2 Results'!I28="","",IF('MT 3.2 Results'!I28="Green",Parameters!$C$176,IF('MT 3.2 Results'!I28="Yellow",Parameters!$C$175,Parameters!$C$174)))</f>
        <v/>
      </c>
      <c r="K136">
        <f>IF('MT 3.2 Results'!I29="","",IF('MT 3.2 Results'!I29="Green",Parameters!$C$176,IF('MT 3.2 Results'!I29="Yellow",Parameters!$C$175,Parameters!$C$174)))</f>
        <v/>
      </c>
    </row>
    <row r="138">
      <c r="A138">
        <f>IF('MT 3.2 Results'!I28="","","Breakdown:")</f>
        <v/>
      </c>
      <c r="K138">
        <f>IF('MT 3.2 Results'!I29="","","Breakdown:")</f>
        <v/>
      </c>
    </row>
    <row r="139">
      <c r="A139">
        <f>IF('MT 3.2 Results'!I28="","","Q1 Bounds &amp; speed: "&amp;'MT 3.2 Results'!C28&amp;"/6")</f>
        <v/>
      </c>
      <c r="K139">
        <f>IF('MT 3.2 Results'!I29="","","Q1 Bounds &amp; speed: "&amp;'MT 3.2 Results'!C29&amp;"/6")</f>
        <v/>
      </c>
    </row>
    <row r="140">
      <c r="A140">
        <f>IF('MT 3.2 Results'!I28="","","Q2 Area &amp; practical rounding: "&amp;'MT 3.2 Results'!D28&amp;"/6")</f>
        <v/>
      </c>
      <c r="K140">
        <f>IF('MT 3.2 Results'!I29="","","Q2 Area &amp; practical rounding: "&amp;'MT 3.2 Results'!D29&amp;"/6")</f>
        <v/>
      </c>
    </row>
    <row r="141">
      <c r="A141">
        <f>IF('MT 3.2 Results'!I28="","","Q3 Scaling a recipe: "&amp;'MT 3.2 Results'!E28&amp;"/5")</f>
        <v/>
      </c>
      <c r="K141">
        <f>IF('MT 3.2 Results'!I29="","","Q3 Scaling a recipe: "&amp;'MT 3.2 Results'!E29&amp;"/5")</f>
        <v/>
      </c>
    </row>
    <row r="142">
      <c r="A142">
        <f>IF('MT 3.2 Results'!I28="","","Q4 Fermi estimate (library): "&amp;'MT 3.2 Results'!F28&amp;"/5")</f>
        <v/>
      </c>
      <c r="K142">
        <f>IF('MT 3.2 Results'!I29="","","Q4 Fermi estimate (library): "&amp;'MT 3.2 Results'!F29&amp;"/5")</f>
        <v/>
      </c>
    </row>
    <row r="143">
      <c r="A143">
        <f>IF(OR('MT 3.2 Results'!I28="",'MT 3.2 Results'!J28=""),"",'MT 3.2 Results'!J28)</f>
        <v/>
      </c>
      <c r="K143">
        <f>IF(OR('MT 3.2 Results'!I29="",'MT 3.2 Results'!J29=""),"",'MT 3.2 Results'!J29)</f>
        <v/>
      </c>
    </row>
    <row r="145">
      <c r="A145">
        <f>IF('MT 3.2 Results'!I28="","","Comments:")</f>
        <v/>
      </c>
      <c r="K145">
        <f>IF('MT 3.2 Results'!I29="","","Comments:")</f>
        <v/>
      </c>
    </row>
    <row r="149">
      <c r="A149">
        <f>IF('MT 3.2 Results'!I30="","","Mini Test 3.2 — Modelling and Estimation")</f>
        <v/>
      </c>
      <c r="K149">
        <f>IF('MT 3.2 Results'!I31="","","Mini Test 3.2 — Modelling and Estimation")</f>
        <v/>
      </c>
    </row>
    <row r="150">
      <c r="A150">
        <f>IF('MT 3.2 Results'!I30="","","Name: "&amp;'MT 3.2 Results'!B30&amp;"   Class: "&amp;'MT 3.2 Results'!$B$3&amp;"   Date: "&amp;TEXT('MT 3.2 Results'!$B$5,"DD/MM/YY"))</f>
        <v/>
      </c>
      <c r="K150">
        <f>IF('MT 3.2 Results'!I31="","","Name: "&amp;'MT 3.2 Results'!B31&amp;"   Class: "&amp;'MT 3.2 Results'!$B$3&amp;"   Date: "&amp;TEXT('MT 3.2 Results'!$B$5,"DD/MM/YY"))</f>
        <v/>
      </c>
    </row>
    <row r="151">
      <c r="A151">
        <f>IF('MT 3.2 Results'!I30="","","Total: "&amp;'MT 3.2 Results'!G30&amp;"/22 ("&amp;TEXT('MT 3.2 Results'!H30,"0%")&amp;")   Overall: "&amp;'MT 3.2 Results'!I30)</f>
        <v/>
      </c>
      <c r="K151">
        <f>IF('MT 3.2 Results'!I31="","","Total: "&amp;'MT 3.2 Results'!G31&amp;"/22 ("&amp;TEXT('MT 3.2 Results'!H31,"0%")&amp;")   Overall: "&amp;'MT 3.2 Results'!I31)</f>
        <v/>
      </c>
    </row>
    <row r="152">
      <c r="A152">
        <f>IF('MT 3.2 Results'!I30="","",IF('MT 3.2 Results'!I30="Green",Parameters!$C$176,IF('MT 3.2 Results'!I30="Yellow",Parameters!$C$175,Parameters!$C$174)))</f>
        <v/>
      </c>
      <c r="K152">
        <f>IF('MT 3.2 Results'!I31="","",IF('MT 3.2 Results'!I31="Green",Parameters!$C$176,IF('MT 3.2 Results'!I31="Yellow",Parameters!$C$175,Parameters!$C$174)))</f>
        <v/>
      </c>
    </row>
    <row r="154">
      <c r="A154">
        <f>IF('MT 3.2 Results'!I30="","","Breakdown:")</f>
        <v/>
      </c>
      <c r="K154">
        <f>IF('MT 3.2 Results'!I31="","","Breakdown:")</f>
        <v/>
      </c>
    </row>
    <row r="155">
      <c r="A155">
        <f>IF('MT 3.2 Results'!I30="","","Q1 Bounds &amp; speed: "&amp;'MT 3.2 Results'!C30&amp;"/6")</f>
        <v/>
      </c>
      <c r="K155">
        <f>IF('MT 3.2 Results'!I31="","","Q1 Bounds &amp; speed: "&amp;'MT 3.2 Results'!C31&amp;"/6")</f>
        <v/>
      </c>
    </row>
    <row r="156">
      <c r="A156">
        <f>IF('MT 3.2 Results'!I30="","","Q2 Area &amp; practical rounding: "&amp;'MT 3.2 Results'!D30&amp;"/6")</f>
        <v/>
      </c>
      <c r="K156">
        <f>IF('MT 3.2 Results'!I31="","","Q2 Area &amp; practical rounding: "&amp;'MT 3.2 Results'!D31&amp;"/6")</f>
        <v/>
      </c>
    </row>
    <row r="157">
      <c r="A157">
        <f>IF('MT 3.2 Results'!I30="","","Q3 Scaling a recipe: "&amp;'MT 3.2 Results'!E30&amp;"/5")</f>
        <v/>
      </c>
      <c r="K157">
        <f>IF('MT 3.2 Results'!I31="","","Q3 Scaling a recipe: "&amp;'MT 3.2 Results'!E31&amp;"/5")</f>
        <v/>
      </c>
    </row>
    <row r="158">
      <c r="A158">
        <f>IF('MT 3.2 Results'!I30="","","Q4 Fermi estimate (library): "&amp;'MT 3.2 Results'!F30&amp;"/5")</f>
        <v/>
      </c>
      <c r="K158">
        <f>IF('MT 3.2 Results'!I31="","","Q4 Fermi estimate (library): "&amp;'MT 3.2 Results'!F31&amp;"/5")</f>
        <v/>
      </c>
    </row>
    <row r="159">
      <c r="A159">
        <f>IF(OR('MT 3.2 Results'!I30="",'MT 3.2 Results'!J30=""),"",'MT 3.2 Results'!J30)</f>
        <v/>
      </c>
      <c r="K159">
        <f>IF(OR('MT 3.2 Results'!I31="",'MT 3.2 Results'!J31=""),"",'MT 3.2 Results'!J31)</f>
        <v/>
      </c>
    </row>
    <row r="161">
      <c r="A161">
        <f>IF('MT 3.2 Results'!I30="","","Comments:")</f>
        <v/>
      </c>
      <c r="K161">
        <f>IF('MT 3.2 Results'!I31="","","Comments:")</f>
        <v/>
      </c>
    </row>
    <row r="165">
      <c r="A165">
        <f>IF('MT 3.2 Results'!I32="","","Mini Test 3.2 — Modelling and Estimation")</f>
        <v/>
      </c>
      <c r="K165">
        <f>IF('MT 3.2 Results'!I33="","","Mini Test 3.2 — Modelling and Estimation")</f>
        <v/>
      </c>
    </row>
    <row r="166">
      <c r="A166">
        <f>IF('MT 3.2 Results'!I32="","","Name: "&amp;'MT 3.2 Results'!B32&amp;"   Class: "&amp;'MT 3.2 Results'!$B$3&amp;"   Date: "&amp;TEXT('MT 3.2 Results'!$B$5,"DD/MM/YY"))</f>
        <v/>
      </c>
      <c r="K166">
        <f>IF('MT 3.2 Results'!I33="","","Name: "&amp;'MT 3.2 Results'!B33&amp;"   Class: "&amp;'MT 3.2 Results'!$B$3&amp;"   Date: "&amp;TEXT('MT 3.2 Results'!$B$5,"DD/MM/YY"))</f>
        <v/>
      </c>
    </row>
    <row r="167">
      <c r="A167">
        <f>IF('MT 3.2 Results'!I32="","","Total: "&amp;'MT 3.2 Results'!G32&amp;"/22 ("&amp;TEXT('MT 3.2 Results'!H32,"0%")&amp;")   Overall: "&amp;'MT 3.2 Results'!I32)</f>
        <v/>
      </c>
      <c r="K167">
        <f>IF('MT 3.2 Results'!I33="","","Total: "&amp;'MT 3.2 Results'!G33&amp;"/22 ("&amp;TEXT('MT 3.2 Results'!H33,"0%")&amp;")   Overall: "&amp;'MT 3.2 Results'!I33)</f>
        <v/>
      </c>
    </row>
    <row r="168">
      <c r="A168">
        <f>IF('MT 3.2 Results'!I32="","",IF('MT 3.2 Results'!I32="Green",Parameters!$C$176,IF('MT 3.2 Results'!I32="Yellow",Parameters!$C$175,Parameters!$C$174)))</f>
        <v/>
      </c>
      <c r="K168">
        <f>IF('MT 3.2 Results'!I33="","",IF('MT 3.2 Results'!I33="Green",Parameters!$C$176,IF('MT 3.2 Results'!I33="Yellow",Parameters!$C$175,Parameters!$C$174)))</f>
        <v/>
      </c>
    </row>
    <row r="170">
      <c r="A170">
        <f>IF('MT 3.2 Results'!I32="","","Breakdown:")</f>
        <v/>
      </c>
      <c r="K170">
        <f>IF('MT 3.2 Results'!I33="","","Breakdown:")</f>
        <v/>
      </c>
    </row>
    <row r="171">
      <c r="A171">
        <f>IF('MT 3.2 Results'!I32="","","Q1 Bounds &amp; speed: "&amp;'MT 3.2 Results'!C32&amp;"/6")</f>
        <v/>
      </c>
      <c r="K171">
        <f>IF('MT 3.2 Results'!I33="","","Q1 Bounds &amp; speed: "&amp;'MT 3.2 Results'!C33&amp;"/6")</f>
        <v/>
      </c>
    </row>
    <row r="172">
      <c r="A172">
        <f>IF('MT 3.2 Results'!I32="","","Q2 Area &amp; practical rounding: "&amp;'MT 3.2 Results'!D32&amp;"/6")</f>
        <v/>
      </c>
      <c r="K172">
        <f>IF('MT 3.2 Results'!I33="","","Q2 Area &amp; practical rounding: "&amp;'MT 3.2 Results'!D33&amp;"/6")</f>
        <v/>
      </c>
    </row>
    <row r="173">
      <c r="A173">
        <f>IF('MT 3.2 Results'!I32="","","Q3 Scaling a recipe: "&amp;'MT 3.2 Results'!E32&amp;"/5")</f>
        <v/>
      </c>
      <c r="K173">
        <f>IF('MT 3.2 Results'!I33="","","Q3 Scaling a recipe: "&amp;'MT 3.2 Results'!E33&amp;"/5")</f>
        <v/>
      </c>
    </row>
    <row r="174">
      <c r="A174">
        <f>IF('MT 3.2 Results'!I32="","","Q4 Fermi estimate (library): "&amp;'MT 3.2 Results'!F32&amp;"/5")</f>
        <v/>
      </c>
      <c r="K174">
        <f>IF('MT 3.2 Results'!I33="","","Q4 Fermi estimate (library): "&amp;'MT 3.2 Results'!F33&amp;"/5")</f>
        <v/>
      </c>
    </row>
    <row r="175">
      <c r="A175">
        <f>IF(OR('MT 3.2 Results'!I32="",'MT 3.2 Results'!J32=""),"",'MT 3.2 Results'!J32)</f>
        <v/>
      </c>
      <c r="K175">
        <f>IF(OR('MT 3.2 Results'!I33="",'MT 3.2 Results'!J33=""),"",'MT 3.2 Results'!J33)</f>
        <v/>
      </c>
    </row>
    <row r="177">
      <c r="A177">
        <f>IF('MT 3.2 Results'!I32="","","Comments:")</f>
        <v/>
      </c>
      <c r="K177">
        <f>IF('MT 3.2 Results'!I33="","","Comments:")</f>
        <v/>
      </c>
    </row>
    <row r="181">
      <c r="A181">
        <f>IF('MT 3.2 Results'!I34="","","Mini Test 3.2 — Modelling and Estimation")</f>
        <v/>
      </c>
      <c r="K181">
        <f>IF('MT 3.2 Results'!I35="","","Mini Test 3.2 — Modelling and Estimation")</f>
        <v/>
      </c>
    </row>
    <row r="182">
      <c r="A182">
        <f>IF('MT 3.2 Results'!I34="","","Name: "&amp;'MT 3.2 Results'!B34&amp;"   Class: "&amp;'MT 3.2 Results'!$B$3&amp;"   Date: "&amp;TEXT('MT 3.2 Results'!$B$5,"DD/MM/YY"))</f>
        <v/>
      </c>
      <c r="K182">
        <f>IF('MT 3.2 Results'!I35="","","Name: "&amp;'MT 3.2 Results'!B35&amp;"   Class: "&amp;'MT 3.2 Results'!$B$3&amp;"   Date: "&amp;TEXT('MT 3.2 Results'!$B$5,"DD/MM/YY"))</f>
        <v/>
      </c>
    </row>
    <row r="183">
      <c r="A183">
        <f>IF('MT 3.2 Results'!I34="","","Total: "&amp;'MT 3.2 Results'!G34&amp;"/22 ("&amp;TEXT('MT 3.2 Results'!H34,"0%")&amp;")   Overall: "&amp;'MT 3.2 Results'!I34)</f>
        <v/>
      </c>
      <c r="K183">
        <f>IF('MT 3.2 Results'!I35="","","Total: "&amp;'MT 3.2 Results'!G35&amp;"/22 ("&amp;TEXT('MT 3.2 Results'!H35,"0%")&amp;")   Overall: "&amp;'MT 3.2 Results'!I35)</f>
        <v/>
      </c>
    </row>
    <row r="184">
      <c r="A184">
        <f>IF('MT 3.2 Results'!I34="","",IF('MT 3.2 Results'!I34="Green",Parameters!$C$176,IF('MT 3.2 Results'!I34="Yellow",Parameters!$C$175,Parameters!$C$174)))</f>
        <v/>
      </c>
      <c r="K184">
        <f>IF('MT 3.2 Results'!I35="","",IF('MT 3.2 Results'!I35="Green",Parameters!$C$176,IF('MT 3.2 Results'!I35="Yellow",Parameters!$C$175,Parameters!$C$174)))</f>
        <v/>
      </c>
    </row>
    <row r="186">
      <c r="A186">
        <f>IF('MT 3.2 Results'!I34="","","Breakdown:")</f>
        <v/>
      </c>
      <c r="K186">
        <f>IF('MT 3.2 Results'!I35="","","Breakdown:")</f>
        <v/>
      </c>
    </row>
    <row r="187">
      <c r="A187">
        <f>IF('MT 3.2 Results'!I34="","","Q1 Bounds &amp; speed: "&amp;'MT 3.2 Results'!C34&amp;"/6")</f>
        <v/>
      </c>
      <c r="K187">
        <f>IF('MT 3.2 Results'!I35="","","Q1 Bounds &amp; speed: "&amp;'MT 3.2 Results'!C35&amp;"/6")</f>
        <v/>
      </c>
    </row>
    <row r="188">
      <c r="A188">
        <f>IF('MT 3.2 Results'!I34="","","Q2 Area &amp; practical rounding: "&amp;'MT 3.2 Results'!D34&amp;"/6")</f>
        <v/>
      </c>
      <c r="K188">
        <f>IF('MT 3.2 Results'!I35="","","Q2 Area &amp; practical rounding: "&amp;'MT 3.2 Results'!D35&amp;"/6")</f>
        <v/>
      </c>
    </row>
    <row r="189">
      <c r="A189">
        <f>IF('MT 3.2 Results'!I34="","","Q3 Scaling a recipe: "&amp;'MT 3.2 Results'!E34&amp;"/5")</f>
        <v/>
      </c>
      <c r="K189">
        <f>IF('MT 3.2 Results'!I35="","","Q3 Scaling a recipe: "&amp;'MT 3.2 Results'!E35&amp;"/5")</f>
        <v/>
      </c>
    </row>
    <row r="190">
      <c r="A190">
        <f>IF('MT 3.2 Results'!I34="","","Q4 Fermi estimate (library): "&amp;'MT 3.2 Results'!F34&amp;"/5")</f>
        <v/>
      </c>
      <c r="K190">
        <f>IF('MT 3.2 Results'!I35="","","Q4 Fermi estimate (library): "&amp;'MT 3.2 Results'!F35&amp;"/5")</f>
        <v/>
      </c>
    </row>
    <row r="191">
      <c r="A191">
        <f>IF(OR('MT 3.2 Results'!I34="",'MT 3.2 Results'!J34=""),"",'MT 3.2 Results'!J34)</f>
        <v/>
      </c>
      <c r="K191">
        <f>IF(OR('MT 3.2 Results'!I35="",'MT 3.2 Results'!J35=""),"",'MT 3.2 Results'!J35)</f>
        <v/>
      </c>
    </row>
    <row r="193">
      <c r="A193">
        <f>IF('MT 3.2 Results'!I34="","","Comments:")</f>
        <v/>
      </c>
      <c r="K193">
        <f>IF('MT 3.2 Results'!I35="","","Comments:")</f>
        <v/>
      </c>
    </row>
    <row r="197">
      <c r="A197">
        <f>IF('MT 3.2 Results'!I36="","","Mini Test 3.2 — Modelling and Estimation")</f>
        <v/>
      </c>
      <c r="K197">
        <f>IF('MT 3.2 Results'!I37="","","Mini Test 3.2 — Modelling and Estimation")</f>
        <v/>
      </c>
    </row>
    <row r="198">
      <c r="A198">
        <f>IF('MT 3.2 Results'!I36="","","Name: "&amp;'MT 3.2 Results'!B36&amp;"   Class: "&amp;'MT 3.2 Results'!$B$3&amp;"   Date: "&amp;TEXT('MT 3.2 Results'!$B$5,"DD/MM/YY"))</f>
        <v/>
      </c>
      <c r="K198">
        <f>IF('MT 3.2 Results'!I37="","","Name: "&amp;'MT 3.2 Results'!B37&amp;"   Class: "&amp;'MT 3.2 Results'!$B$3&amp;"   Date: "&amp;TEXT('MT 3.2 Results'!$B$5,"DD/MM/YY"))</f>
        <v/>
      </c>
    </row>
    <row r="199">
      <c r="A199">
        <f>IF('MT 3.2 Results'!I36="","","Total: "&amp;'MT 3.2 Results'!G36&amp;"/22 ("&amp;TEXT('MT 3.2 Results'!H36,"0%")&amp;")   Overall: "&amp;'MT 3.2 Results'!I36)</f>
        <v/>
      </c>
      <c r="K199">
        <f>IF('MT 3.2 Results'!I37="","","Total: "&amp;'MT 3.2 Results'!G37&amp;"/22 ("&amp;TEXT('MT 3.2 Results'!H37,"0%")&amp;")   Overall: "&amp;'MT 3.2 Results'!I37)</f>
        <v/>
      </c>
    </row>
    <row r="200">
      <c r="A200">
        <f>IF('MT 3.2 Results'!I36="","",IF('MT 3.2 Results'!I36="Green",Parameters!$C$176,IF('MT 3.2 Results'!I36="Yellow",Parameters!$C$175,Parameters!$C$174)))</f>
        <v/>
      </c>
      <c r="K200">
        <f>IF('MT 3.2 Results'!I37="","",IF('MT 3.2 Results'!I37="Green",Parameters!$C$176,IF('MT 3.2 Results'!I37="Yellow",Parameters!$C$175,Parameters!$C$174)))</f>
        <v/>
      </c>
    </row>
    <row r="202">
      <c r="A202">
        <f>IF('MT 3.2 Results'!I36="","","Breakdown:")</f>
        <v/>
      </c>
      <c r="K202">
        <f>IF('MT 3.2 Results'!I37="","","Breakdown:")</f>
        <v/>
      </c>
    </row>
    <row r="203">
      <c r="A203">
        <f>IF('MT 3.2 Results'!I36="","","Q1 Bounds &amp; speed: "&amp;'MT 3.2 Results'!C36&amp;"/6")</f>
        <v/>
      </c>
      <c r="K203">
        <f>IF('MT 3.2 Results'!I37="","","Q1 Bounds &amp; speed: "&amp;'MT 3.2 Results'!C37&amp;"/6")</f>
        <v/>
      </c>
    </row>
    <row r="204">
      <c r="A204">
        <f>IF('MT 3.2 Results'!I36="","","Q2 Area &amp; practical rounding: "&amp;'MT 3.2 Results'!D36&amp;"/6")</f>
        <v/>
      </c>
      <c r="K204">
        <f>IF('MT 3.2 Results'!I37="","","Q2 Area &amp; practical rounding: "&amp;'MT 3.2 Results'!D37&amp;"/6")</f>
        <v/>
      </c>
    </row>
    <row r="205">
      <c r="A205">
        <f>IF('MT 3.2 Results'!I36="","","Q3 Scaling a recipe: "&amp;'MT 3.2 Results'!E36&amp;"/5")</f>
        <v/>
      </c>
      <c r="K205">
        <f>IF('MT 3.2 Results'!I37="","","Q3 Scaling a recipe: "&amp;'MT 3.2 Results'!E37&amp;"/5")</f>
        <v/>
      </c>
    </row>
    <row r="206">
      <c r="A206">
        <f>IF('MT 3.2 Results'!I36="","","Q4 Fermi estimate (library): "&amp;'MT 3.2 Results'!F36&amp;"/5")</f>
        <v/>
      </c>
      <c r="K206">
        <f>IF('MT 3.2 Results'!I37="","","Q4 Fermi estimate (library): "&amp;'MT 3.2 Results'!F37&amp;"/5")</f>
        <v/>
      </c>
    </row>
    <row r="207">
      <c r="A207">
        <f>IF(OR('MT 3.2 Results'!I36="",'MT 3.2 Results'!J36=""),"",'MT 3.2 Results'!J36)</f>
        <v/>
      </c>
      <c r="K207">
        <f>IF(OR('MT 3.2 Results'!I37="",'MT 3.2 Results'!J37=""),"",'MT 3.2 Results'!J37)</f>
        <v/>
      </c>
    </row>
    <row r="209">
      <c r="A209">
        <f>IF('MT 3.2 Results'!I36="","","Comments:")</f>
        <v/>
      </c>
      <c r="K209">
        <f>IF('MT 3.2 Results'!I37="","","Comments:")</f>
        <v/>
      </c>
    </row>
    <row r="213">
      <c r="A213">
        <f>IF('MT 3.2 Results'!I38="","","Mini Test 3.2 — Modelling and Estimation")</f>
        <v/>
      </c>
      <c r="K213">
        <f>IF('MT 3.2 Results'!I39="","","Mini Test 3.2 — Modelling and Estimation")</f>
        <v/>
      </c>
    </row>
    <row r="214">
      <c r="A214">
        <f>IF('MT 3.2 Results'!I38="","","Name: "&amp;'MT 3.2 Results'!B38&amp;"   Class: "&amp;'MT 3.2 Results'!$B$3&amp;"   Date: "&amp;TEXT('MT 3.2 Results'!$B$5,"DD/MM/YY"))</f>
        <v/>
      </c>
      <c r="K214">
        <f>IF('MT 3.2 Results'!I39="","","Name: "&amp;'MT 3.2 Results'!B39&amp;"   Class: "&amp;'MT 3.2 Results'!$B$3&amp;"   Date: "&amp;TEXT('MT 3.2 Results'!$B$5,"DD/MM/YY"))</f>
        <v/>
      </c>
    </row>
    <row r="215">
      <c r="A215">
        <f>IF('MT 3.2 Results'!I38="","","Total: "&amp;'MT 3.2 Results'!G38&amp;"/22 ("&amp;TEXT('MT 3.2 Results'!H38,"0%")&amp;")   Overall: "&amp;'MT 3.2 Results'!I38)</f>
        <v/>
      </c>
      <c r="K215">
        <f>IF('MT 3.2 Results'!I39="","","Total: "&amp;'MT 3.2 Results'!G39&amp;"/22 ("&amp;TEXT('MT 3.2 Results'!H39,"0%")&amp;")   Overall: "&amp;'MT 3.2 Results'!I39)</f>
        <v/>
      </c>
    </row>
    <row r="216">
      <c r="A216">
        <f>IF('MT 3.2 Results'!I38="","",IF('MT 3.2 Results'!I38="Green",Parameters!$C$176,IF('MT 3.2 Results'!I38="Yellow",Parameters!$C$175,Parameters!$C$174)))</f>
        <v/>
      </c>
      <c r="K216">
        <f>IF('MT 3.2 Results'!I39="","",IF('MT 3.2 Results'!I39="Green",Parameters!$C$176,IF('MT 3.2 Results'!I39="Yellow",Parameters!$C$175,Parameters!$C$174)))</f>
        <v/>
      </c>
    </row>
    <row r="218">
      <c r="A218">
        <f>IF('MT 3.2 Results'!I38="","","Breakdown:")</f>
        <v/>
      </c>
      <c r="K218">
        <f>IF('MT 3.2 Results'!I39="","","Breakdown:")</f>
        <v/>
      </c>
    </row>
    <row r="219">
      <c r="A219">
        <f>IF('MT 3.2 Results'!I38="","","Q1 Bounds &amp; speed: "&amp;'MT 3.2 Results'!C38&amp;"/6")</f>
        <v/>
      </c>
      <c r="K219">
        <f>IF('MT 3.2 Results'!I39="","","Q1 Bounds &amp; speed: "&amp;'MT 3.2 Results'!C39&amp;"/6")</f>
        <v/>
      </c>
    </row>
    <row r="220">
      <c r="A220">
        <f>IF('MT 3.2 Results'!I38="","","Q2 Area &amp; practical rounding: "&amp;'MT 3.2 Results'!D38&amp;"/6")</f>
        <v/>
      </c>
      <c r="K220">
        <f>IF('MT 3.2 Results'!I39="","","Q2 Area &amp; practical rounding: "&amp;'MT 3.2 Results'!D39&amp;"/6")</f>
        <v/>
      </c>
    </row>
    <row r="221">
      <c r="A221">
        <f>IF('MT 3.2 Results'!I38="","","Q3 Scaling a recipe: "&amp;'MT 3.2 Results'!E38&amp;"/5")</f>
        <v/>
      </c>
      <c r="K221">
        <f>IF('MT 3.2 Results'!I39="","","Q3 Scaling a recipe: "&amp;'MT 3.2 Results'!E39&amp;"/5")</f>
        <v/>
      </c>
    </row>
    <row r="222">
      <c r="A222">
        <f>IF('MT 3.2 Results'!I38="","","Q4 Fermi estimate (library): "&amp;'MT 3.2 Results'!F38&amp;"/5")</f>
        <v/>
      </c>
      <c r="K222">
        <f>IF('MT 3.2 Results'!I39="","","Q4 Fermi estimate (library): "&amp;'MT 3.2 Results'!F39&amp;"/5")</f>
        <v/>
      </c>
    </row>
    <row r="223">
      <c r="A223">
        <f>IF(OR('MT 3.2 Results'!I38="",'MT 3.2 Results'!J38=""),"",'MT 3.2 Results'!J38)</f>
        <v/>
      </c>
      <c r="K223">
        <f>IF(OR('MT 3.2 Results'!I39="",'MT 3.2 Results'!J39=""),"",'MT 3.2 Results'!J39)</f>
        <v/>
      </c>
    </row>
    <row r="225">
      <c r="A225">
        <f>IF('MT 3.2 Results'!I38="","","Comments:")</f>
        <v/>
      </c>
      <c r="K225">
        <f>IF('MT 3.2 Results'!I39="","","Comments:")</f>
        <v/>
      </c>
    </row>
    <row r="229">
      <c r="A229">
        <f>IF('MT 3.2 Results'!I40="","","Mini Test 3.2 — Modelling and Estimation")</f>
        <v/>
      </c>
      <c r="K229">
        <f>IF('MT 3.2 Results'!I41="","","Mini Test 3.2 — Modelling and Estimation")</f>
        <v/>
      </c>
    </row>
    <row r="230">
      <c r="A230">
        <f>IF('MT 3.2 Results'!I40="","","Name: "&amp;'MT 3.2 Results'!B40&amp;"   Class: "&amp;'MT 3.2 Results'!$B$3&amp;"   Date: "&amp;TEXT('MT 3.2 Results'!$B$5,"DD/MM/YY"))</f>
        <v/>
      </c>
      <c r="K230">
        <f>IF('MT 3.2 Results'!I41="","","Name: "&amp;'MT 3.2 Results'!B41&amp;"   Class: "&amp;'MT 3.2 Results'!$B$3&amp;"   Date: "&amp;TEXT('MT 3.2 Results'!$B$5,"DD/MM/YY"))</f>
        <v/>
      </c>
    </row>
    <row r="231">
      <c r="A231">
        <f>IF('MT 3.2 Results'!I40="","","Total: "&amp;'MT 3.2 Results'!G40&amp;"/22 ("&amp;TEXT('MT 3.2 Results'!H40,"0%")&amp;")   Overall: "&amp;'MT 3.2 Results'!I40)</f>
        <v/>
      </c>
      <c r="K231">
        <f>IF('MT 3.2 Results'!I41="","","Total: "&amp;'MT 3.2 Results'!G41&amp;"/22 ("&amp;TEXT('MT 3.2 Results'!H41,"0%")&amp;")   Overall: "&amp;'MT 3.2 Results'!I41)</f>
        <v/>
      </c>
    </row>
    <row r="232">
      <c r="A232">
        <f>IF('MT 3.2 Results'!I40="","",IF('MT 3.2 Results'!I40="Green",Parameters!$C$176,IF('MT 3.2 Results'!I40="Yellow",Parameters!$C$175,Parameters!$C$174)))</f>
        <v/>
      </c>
      <c r="K232">
        <f>IF('MT 3.2 Results'!I41="","",IF('MT 3.2 Results'!I41="Green",Parameters!$C$176,IF('MT 3.2 Results'!I41="Yellow",Parameters!$C$175,Parameters!$C$174)))</f>
        <v/>
      </c>
    </row>
    <row r="234">
      <c r="A234">
        <f>IF('MT 3.2 Results'!I40="","","Breakdown:")</f>
        <v/>
      </c>
      <c r="K234">
        <f>IF('MT 3.2 Results'!I41="","","Breakdown:")</f>
        <v/>
      </c>
    </row>
    <row r="235">
      <c r="A235">
        <f>IF('MT 3.2 Results'!I40="","","Q1 Bounds &amp; speed: "&amp;'MT 3.2 Results'!C40&amp;"/6")</f>
        <v/>
      </c>
      <c r="K235">
        <f>IF('MT 3.2 Results'!I41="","","Q1 Bounds &amp; speed: "&amp;'MT 3.2 Results'!C41&amp;"/6")</f>
        <v/>
      </c>
    </row>
    <row r="236">
      <c r="A236">
        <f>IF('MT 3.2 Results'!I40="","","Q2 Area &amp; practical rounding: "&amp;'MT 3.2 Results'!D40&amp;"/6")</f>
        <v/>
      </c>
      <c r="K236">
        <f>IF('MT 3.2 Results'!I41="","","Q2 Area &amp; practical rounding: "&amp;'MT 3.2 Results'!D41&amp;"/6")</f>
        <v/>
      </c>
    </row>
    <row r="237">
      <c r="A237">
        <f>IF('MT 3.2 Results'!I40="","","Q3 Scaling a recipe: "&amp;'MT 3.2 Results'!E40&amp;"/5")</f>
        <v/>
      </c>
      <c r="K237">
        <f>IF('MT 3.2 Results'!I41="","","Q3 Scaling a recipe: "&amp;'MT 3.2 Results'!E41&amp;"/5")</f>
        <v/>
      </c>
    </row>
    <row r="238">
      <c r="A238">
        <f>IF('MT 3.2 Results'!I40="","","Q4 Fermi estimate (library): "&amp;'MT 3.2 Results'!F40&amp;"/5")</f>
        <v/>
      </c>
      <c r="K238">
        <f>IF('MT 3.2 Results'!I41="","","Q4 Fermi estimate (library): "&amp;'MT 3.2 Results'!F41&amp;"/5")</f>
        <v/>
      </c>
    </row>
    <row r="239">
      <c r="A239">
        <f>IF(OR('MT 3.2 Results'!I40="",'MT 3.2 Results'!J40=""),"",'MT 3.2 Results'!J40)</f>
        <v/>
      </c>
      <c r="K239">
        <f>IF(OR('MT 3.2 Results'!I41="",'MT 3.2 Results'!J41=""),"",'MT 3.2 Results'!J41)</f>
        <v/>
      </c>
    </row>
    <row r="241">
      <c r="A241">
        <f>IF('MT 3.2 Results'!I40="","","Comments:")</f>
        <v/>
      </c>
      <c r="K241">
        <f>IF('MT 3.2 Results'!I41="","","Comments:")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T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0" customWidth="1" min="10" max="10"/>
    <col width="8" customWidth="1" min="11" max="11"/>
    <col width="10" customWidth="1" min="12" max="12"/>
    <col width="45" customWidth="1" min="13" max="13"/>
  </cols>
  <sheetData>
    <row r="1">
      <c r="A1" s="11" t="inlineStr">
        <is>
          <t>Chapter 3 End of Topic Test — Modelling and Estimation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Fermi: mobile phones
(/7)</t>
        </is>
      </c>
      <c r="D9" s="12" t="inlineStr">
        <is>
          <t>Q2
Standard form &amp; scaling
(/5)</t>
        </is>
      </c>
      <c r="E9" s="12" t="inlineStr">
        <is>
          <t>Q3
Subdividing estimate
(/7)</t>
        </is>
      </c>
      <c r="F9" s="12" t="inlineStr">
        <is>
          <t>Q4
Modelling cycle
(/9)</t>
        </is>
      </c>
      <c r="G9" s="12" t="inlineStr">
        <is>
          <t>Q5
Volume &amp; model limits
(/5)</t>
        </is>
      </c>
      <c r="H9" s="12" t="inlineStr">
        <is>
          <t>Q6
Standard form: density
(/5)</t>
        </is>
      </c>
      <c r="I9" s="12" t="inlineStr">
        <is>
          <t>Q7
Fermi: fish in a lake
(/9)</t>
        </is>
      </c>
      <c r="J9" s="12" t="inlineStr">
        <is>
          <t>Total
(/47)</t>
        </is>
      </c>
      <c r="K9" s="12" t="inlineStr">
        <is>
          <t>%</t>
        </is>
      </c>
      <c r="L9" s="12" t="inlineStr">
        <is>
          <t>Overall</t>
        </is>
      </c>
      <c r="M9" s="12" t="inlineStr">
        <is>
          <t>Focus for next steps</t>
        </is>
      </c>
      <c r="N9" s="12" t="inlineStr">
        <is>
          <t>Q1%</t>
        </is>
      </c>
      <c r="O9" s="12" t="inlineStr">
        <is>
          <t>Q2%</t>
        </is>
      </c>
      <c r="P9" s="12" t="inlineStr">
        <is>
          <t>Q3%</t>
        </is>
      </c>
      <c r="Q9" s="12" t="inlineStr">
        <is>
          <t>Q4%</t>
        </is>
      </c>
      <c r="R9" s="12" t="inlineStr">
        <is>
          <t>Q5%</t>
        </is>
      </c>
      <c r="S9" s="12" t="inlineStr">
        <is>
          <t>Q6%</t>
        </is>
      </c>
      <c r="T9" s="12" t="inlineStr">
        <is>
          <t>Q7%</t>
        </is>
      </c>
    </row>
    <row r="10">
      <c r="A10" s="3" t="n"/>
      <c r="B10" s="3" t="inlineStr">
        <is>
          <t>Max marks</t>
        </is>
      </c>
      <c r="C10" s="3" t="n">
        <v>7</v>
      </c>
      <c r="D10" s="3" t="n">
        <v>5</v>
      </c>
      <c r="E10" s="3" t="n">
        <v>7</v>
      </c>
      <c r="F10" s="3" t="n">
        <v>9</v>
      </c>
      <c r="G10" s="3" t="n">
        <v>5</v>
      </c>
      <c r="H10" s="3" t="n">
        <v>5</v>
      </c>
      <c r="I10" s="3" t="n">
        <v>9</v>
      </c>
      <c r="J10" s="3" t="n">
        <v>47</v>
      </c>
      <c r="K10" s="3" t="inlineStr">
        <is>
          <t>100%</t>
        </is>
      </c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</row>
    <row r="11">
      <c r="A11" s="13" t="n">
        <v>1</v>
      </c>
      <c r="B11" s="13" t="inlineStr">
        <is>
          <t>Example pupil (edit me)</t>
        </is>
      </c>
      <c r="C11" s="13" t="n">
        <v>6</v>
      </c>
      <c r="D11" s="13" t="n">
        <v>4</v>
      </c>
      <c r="E11" s="13" t="n">
        <v>6</v>
      </c>
      <c r="F11" s="13" t="n">
        <v>7</v>
      </c>
      <c r="G11" s="13" t="n">
        <v>4</v>
      </c>
      <c r="H11" s="13" t="n">
        <v>4</v>
      </c>
      <c r="I11" s="13" t="n">
        <v>7</v>
      </c>
      <c r="J11" s="13">
        <f>IF(COUNT(C11:I11)&lt;7,"",SUM(C11:I11))</f>
        <v/>
      </c>
      <c r="K11" s="13">
        <f>IF(COUNT(C11:I11)&lt;7,"",J11/47)</f>
        <v/>
      </c>
      <c r="L11" s="13">
        <f>IF(COUNT(C11:I11)&lt;7,"",IF(K11&gt;=0.8,"Green",IF(K11&gt;=0.5,"Yellow","Red")))</f>
        <v/>
      </c>
      <c r="M11" s="13">
        <f>IF(COUNT(C11:I11)&lt;7,"",IF(L11="Green","Well done! "&amp;Parameters!$C$194,"Revise: "&amp;_xlfn.TEXTJOIN(", ",TRUE(),IF(N11&lt;1,Parameters!$A$182,""),IF(O11&lt;1,Parameters!$A$183,""),IF(P11&lt;1,Parameters!$A$184,""),IF(Q11&lt;1,Parameters!$A$185,""),IF(R11&lt;1,Parameters!$A$186,""),IF(S11&lt;1,Parameters!$A$187,""),IF(T11&lt;1,Parameters!$A$188,""))))</f>
        <v/>
      </c>
      <c r="N11" s="13">
        <f>IF(C11="","",C11/7)</f>
        <v/>
      </c>
      <c r="O11" s="13">
        <f>IF(D11="","",D11/5)</f>
        <v/>
      </c>
      <c r="P11" s="13">
        <f>IF(E11="","",E11/7)</f>
        <v/>
      </c>
      <c r="Q11" s="13">
        <f>IF(F11="","",F11/9)</f>
        <v/>
      </c>
      <c r="R11" s="13">
        <f>IF(G11="","",G11/5)</f>
        <v/>
      </c>
      <c r="S11" s="13">
        <f>IF(H11="","",H11/5)</f>
        <v/>
      </c>
      <c r="T11" s="13">
        <f>IF(I11="","",I11/9)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4" t="n"/>
      <c r="H12" s="14" t="n"/>
      <c r="I12" s="14" t="n"/>
      <c r="J12" s="13">
        <f>IF(COUNT(C12:I12)&lt;7,"",SUM(C12:I12))</f>
        <v/>
      </c>
      <c r="K12" s="13">
        <f>IF(COUNT(C12:I12)&lt;7,"",J12/47)</f>
        <v/>
      </c>
      <c r="L12" s="13">
        <f>IF(COUNT(C12:I12)&lt;7,"",IF(K12&gt;=0.8,"Green",IF(K12&gt;=0.5,"Yellow","Red")))</f>
        <v/>
      </c>
      <c r="M12" s="13">
        <f>IF(COUNT(C12:I12)&lt;7,"",IF(L12="Green","Well done! "&amp;Parameters!$C$194,"Revise: "&amp;_xlfn.TEXTJOIN(", ",TRUE(),IF(N12&lt;1,Parameters!$A$182,""),IF(O12&lt;1,Parameters!$A$183,""),IF(P12&lt;1,Parameters!$A$184,""),IF(Q12&lt;1,Parameters!$A$185,""),IF(R12&lt;1,Parameters!$A$186,""),IF(S12&lt;1,Parameters!$A$187,""),IF(T12&lt;1,Parameters!$A$188,""))))</f>
        <v/>
      </c>
      <c r="N12" s="13">
        <f>IF(C12="","",C12/7)</f>
        <v/>
      </c>
      <c r="O12" s="13">
        <f>IF(D12="","",D12/5)</f>
        <v/>
      </c>
      <c r="P12" s="13">
        <f>IF(E12="","",E12/7)</f>
        <v/>
      </c>
      <c r="Q12" s="13">
        <f>IF(F12="","",F12/9)</f>
        <v/>
      </c>
      <c r="R12" s="13">
        <f>IF(G12="","",G12/5)</f>
        <v/>
      </c>
      <c r="S12" s="13">
        <f>IF(H12="","",H12/5)</f>
        <v/>
      </c>
      <c r="T12" s="13">
        <f>IF(I12="","",I12/9)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4" t="n"/>
      <c r="H13" s="14" t="n"/>
      <c r="I13" s="14" t="n"/>
      <c r="J13" s="13">
        <f>IF(COUNT(C13:I13)&lt;7,"",SUM(C13:I13))</f>
        <v/>
      </c>
      <c r="K13" s="13">
        <f>IF(COUNT(C13:I13)&lt;7,"",J13/47)</f>
        <v/>
      </c>
      <c r="L13" s="13">
        <f>IF(COUNT(C13:I13)&lt;7,"",IF(K13&gt;=0.8,"Green",IF(K13&gt;=0.5,"Yellow","Red")))</f>
        <v/>
      </c>
      <c r="M13" s="13">
        <f>IF(COUNT(C13:I13)&lt;7,"",IF(L13="Green","Well done! "&amp;Parameters!$C$194,"Revise: "&amp;_xlfn.TEXTJOIN(", ",TRUE(),IF(N13&lt;1,Parameters!$A$182,""),IF(O13&lt;1,Parameters!$A$183,""),IF(P13&lt;1,Parameters!$A$184,""),IF(Q13&lt;1,Parameters!$A$185,""),IF(R13&lt;1,Parameters!$A$186,""),IF(S13&lt;1,Parameters!$A$187,""),IF(T13&lt;1,Parameters!$A$188,""))))</f>
        <v/>
      </c>
      <c r="N13" s="13">
        <f>IF(C13="","",C13/7)</f>
        <v/>
      </c>
      <c r="O13" s="13">
        <f>IF(D13="","",D13/5)</f>
        <v/>
      </c>
      <c r="P13" s="13">
        <f>IF(E13="","",E13/7)</f>
        <v/>
      </c>
      <c r="Q13" s="13">
        <f>IF(F13="","",F13/9)</f>
        <v/>
      </c>
      <c r="R13" s="13">
        <f>IF(G13="","",G13/5)</f>
        <v/>
      </c>
      <c r="S13" s="13">
        <f>IF(H13="","",H13/5)</f>
        <v/>
      </c>
      <c r="T13" s="13">
        <f>IF(I13="","",I13/9)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4" t="n"/>
      <c r="H14" s="14" t="n"/>
      <c r="I14" s="14" t="n"/>
      <c r="J14" s="13">
        <f>IF(COUNT(C14:I14)&lt;7,"",SUM(C14:I14))</f>
        <v/>
      </c>
      <c r="K14" s="13">
        <f>IF(COUNT(C14:I14)&lt;7,"",J14/47)</f>
        <v/>
      </c>
      <c r="L14" s="13">
        <f>IF(COUNT(C14:I14)&lt;7,"",IF(K14&gt;=0.8,"Green",IF(K14&gt;=0.5,"Yellow","Red")))</f>
        <v/>
      </c>
      <c r="M14" s="13">
        <f>IF(COUNT(C14:I14)&lt;7,"",IF(L14="Green","Well done! "&amp;Parameters!$C$194,"Revise: "&amp;_xlfn.TEXTJOIN(", ",TRUE(),IF(N14&lt;1,Parameters!$A$182,""),IF(O14&lt;1,Parameters!$A$183,""),IF(P14&lt;1,Parameters!$A$184,""),IF(Q14&lt;1,Parameters!$A$185,""),IF(R14&lt;1,Parameters!$A$186,""),IF(S14&lt;1,Parameters!$A$187,""),IF(T14&lt;1,Parameters!$A$188,""))))</f>
        <v/>
      </c>
      <c r="N14" s="13">
        <f>IF(C14="","",C14/7)</f>
        <v/>
      </c>
      <c r="O14" s="13">
        <f>IF(D14="","",D14/5)</f>
        <v/>
      </c>
      <c r="P14" s="13">
        <f>IF(E14="","",E14/7)</f>
        <v/>
      </c>
      <c r="Q14" s="13">
        <f>IF(F14="","",F14/9)</f>
        <v/>
      </c>
      <c r="R14" s="13">
        <f>IF(G14="","",G14/5)</f>
        <v/>
      </c>
      <c r="S14" s="13">
        <f>IF(H14="","",H14/5)</f>
        <v/>
      </c>
      <c r="T14" s="13">
        <f>IF(I14="","",I14/9)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4" t="n"/>
      <c r="H15" s="14" t="n"/>
      <c r="I15" s="14" t="n"/>
      <c r="J15" s="13">
        <f>IF(COUNT(C15:I15)&lt;7,"",SUM(C15:I15))</f>
        <v/>
      </c>
      <c r="K15" s="13">
        <f>IF(COUNT(C15:I15)&lt;7,"",J15/47)</f>
        <v/>
      </c>
      <c r="L15" s="13">
        <f>IF(COUNT(C15:I15)&lt;7,"",IF(K15&gt;=0.8,"Green",IF(K15&gt;=0.5,"Yellow","Red")))</f>
        <v/>
      </c>
      <c r="M15" s="13">
        <f>IF(COUNT(C15:I15)&lt;7,"",IF(L15="Green","Well done! "&amp;Parameters!$C$194,"Revise: "&amp;_xlfn.TEXTJOIN(", ",TRUE(),IF(N15&lt;1,Parameters!$A$182,""),IF(O15&lt;1,Parameters!$A$183,""),IF(P15&lt;1,Parameters!$A$184,""),IF(Q15&lt;1,Parameters!$A$185,""),IF(R15&lt;1,Parameters!$A$186,""),IF(S15&lt;1,Parameters!$A$187,""),IF(T15&lt;1,Parameters!$A$188,""))))</f>
        <v/>
      </c>
      <c r="N15" s="13">
        <f>IF(C15="","",C15/7)</f>
        <v/>
      </c>
      <c r="O15" s="13">
        <f>IF(D15="","",D15/5)</f>
        <v/>
      </c>
      <c r="P15" s="13">
        <f>IF(E15="","",E15/7)</f>
        <v/>
      </c>
      <c r="Q15" s="13">
        <f>IF(F15="","",F15/9)</f>
        <v/>
      </c>
      <c r="R15" s="13">
        <f>IF(G15="","",G15/5)</f>
        <v/>
      </c>
      <c r="S15" s="13">
        <f>IF(H15="","",H15/5)</f>
        <v/>
      </c>
      <c r="T15" s="13">
        <f>IF(I15="","",I15/9)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4" t="n"/>
      <c r="H16" s="14" t="n"/>
      <c r="I16" s="14" t="n"/>
      <c r="J16" s="13">
        <f>IF(COUNT(C16:I16)&lt;7,"",SUM(C16:I16))</f>
        <v/>
      </c>
      <c r="K16" s="13">
        <f>IF(COUNT(C16:I16)&lt;7,"",J16/47)</f>
        <v/>
      </c>
      <c r="L16" s="13">
        <f>IF(COUNT(C16:I16)&lt;7,"",IF(K16&gt;=0.8,"Green",IF(K16&gt;=0.5,"Yellow","Red")))</f>
        <v/>
      </c>
      <c r="M16" s="13">
        <f>IF(COUNT(C16:I16)&lt;7,"",IF(L16="Green","Well done! "&amp;Parameters!$C$194,"Revise: "&amp;_xlfn.TEXTJOIN(", ",TRUE(),IF(N16&lt;1,Parameters!$A$182,""),IF(O16&lt;1,Parameters!$A$183,""),IF(P16&lt;1,Parameters!$A$184,""),IF(Q16&lt;1,Parameters!$A$185,""),IF(R16&lt;1,Parameters!$A$186,""),IF(S16&lt;1,Parameters!$A$187,""),IF(T16&lt;1,Parameters!$A$188,""))))</f>
        <v/>
      </c>
      <c r="N16" s="13">
        <f>IF(C16="","",C16/7)</f>
        <v/>
      </c>
      <c r="O16" s="13">
        <f>IF(D16="","",D16/5)</f>
        <v/>
      </c>
      <c r="P16" s="13">
        <f>IF(E16="","",E16/7)</f>
        <v/>
      </c>
      <c r="Q16" s="13">
        <f>IF(F16="","",F16/9)</f>
        <v/>
      </c>
      <c r="R16" s="13">
        <f>IF(G16="","",G16/5)</f>
        <v/>
      </c>
      <c r="S16" s="13">
        <f>IF(H16="","",H16/5)</f>
        <v/>
      </c>
      <c r="T16" s="13">
        <f>IF(I16="","",I16/9)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4" t="n"/>
      <c r="H17" s="14" t="n"/>
      <c r="I17" s="14" t="n"/>
      <c r="J17" s="13">
        <f>IF(COUNT(C17:I17)&lt;7,"",SUM(C17:I17))</f>
        <v/>
      </c>
      <c r="K17" s="13">
        <f>IF(COUNT(C17:I17)&lt;7,"",J17/47)</f>
        <v/>
      </c>
      <c r="L17" s="13">
        <f>IF(COUNT(C17:I17)&lt;7,"",IF(K17&gt;=0.8,"Green",IF(K17&gt;=0.5,"Yellow","Red")))</f>
        <v/>
      </c>
      <c r="M17" s="13">
        <f>IF(COUNT(C17:I17)&lt;7,"",IF(L17="Green","Well done! "&amp;Parameters!$C$194,"Revise: "&amp;_xlfn.TEXTJOIN(", ",TRUE(),IF(N17&lt;1,Parameters!$A$182,""),IF(O17&lt;1,Parameters!$A$183,""),IF(P17&lt;1,Parameters!$A$184,""),IF(Q17&lt;1,Parameters!$A$185,""),IF(R17&lt;1,Parameters!$A$186,""),IF(S17&lt;1,Parameters!$A$187,""),IF(T17&lt;1,Parameters!$A$188,""))))</f>
        <v/>
      </c>
      <c r="N17" s="13">
        <f>IF(C17="","",C17/7)</f>
        <v/>
      </c>
      <c r="O17" s="13">
        <f>IF(D17="","",D17/5)</f>
        <v/>
      </c>
      <c r="P17" s="13">
        <f>IF(E17="","",E17/7)</f>
        <v/>
      </c>
      <c r="Q17" s="13">
        <f>IF(F17="","",F17/9)</f>
        <v/>
      </c>
      <c r="R17" s="13">
        <f>IF(G17="","",G17/5)</f>
        <v/>
      </c>
      <c r="S17" s="13">
        <f>IF(H17="","",H17/5)</f>
        <v/>
      </c>
      <c r="T17" s="13">
        <f>IF(I17="","",I17/9)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4" t="n"/>
      <c r="H18" s="14" t="n"/>
      <c r="I18" s="14" t="n"/>
      <c r="J18" s="13">
        <f>IF(COUNT(C18:I18)&lt;7,"",SUM(C18:I18))</f>
        <v/>
      </c>
      <c r="K18" s="13">
        <f>IF(COUNT(C18:I18)&lt;7,"",J18/47)</f>
        <v/>
      </c>
      <c r="L18" s="13">
        <f>IF(COUNT(C18:I18)&lt;7,"",IF(K18&gt;=0.8,"Green",IF(K18&gt;=0.5,"Yellow","Red")))</f>
        <v/>
      </c>
      <c r="M18" s="13">
        <f>IF(COUNT(C18:I18)&lt;7,"",IF(L18="Green","Well done! "&amp;Parameters!$C$194,"Revise: "&amp;_xlfn.TEXTJOIN(", ",TRUE(),IF(N18&lt;1,Parameters!$A$182,""),IF(O18&lt;1,Parameters!$A$183,""),IF(P18&lt;1,Parameters!$A$184,""),IF(Q18&lt;1,Parameters!$A$185,""),IF(R18&lt;1,Parameters!$A$186,""),IF(S18&lt;1,Parameters!$A$187,""),IF(T18&lt;1,Parameters!$A$188,""))))</f>
        <v/>
      </c>
      <c r="N18" s="13">
        <f>IF(C18="","",C18/7)</f>
        <v/>
      </c>
      <c r="O18" s="13">
        <f>IF(D18="","",D18/5)</f>
        <v/>
      </c>
      <c r="P18" s="13">
        <f>IF(E18="","",E18/7)</f>
        <v/>
      </c>
      <c r="Q18" s="13">
        <f>IF(F18="","",F18/9)</f>
        <v/>
      </c>
      <c r="R18" s="13">
        <f>IF(G18="","",G18/5)</f>
        <v/>
      </c>
      <c r="S18" s="13">
        <f>IF(H18="","",H18/5)</f>
        <v/>
      </c>
      <c r="T18" s="13">
        <f>IF(I18="","",I18/9)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4" t="n"/>
      <c r="H19" s="14" t="n"/>
      <c r="I19" s="14" t="n"/>
      <c r="J19" s="13">
        <f>IF(COUNT(C19:I19)&lt;7,"",SUM(C19:I19))</f>
        <v/>
      </c>
      <c r="K19" s="13">
        <f>IF(COUNT(C19:I19)&lt;7,"",J19/47)</f>
        <v/>
      </c>
      <c r="L19" s="13">
        <f>IF(COUNT(C19:I19)&lt;7,"",IF(K19&gt;=0.8,"Green",IF(K19&gt;=0.5,"Yellow","Red")))</f>
        <v/>
      </c>
      <c r="M19" s="13">
        <f>IF(COUNT(C19:I19)&lt;7,"",IF(L19="Green","Well done! "&amp;Parameters!$C$194,"Revise: "&amp;_xlfn.TEXTJOIN(", ",TRUE(),IF(N19&lt;1,Parameters!$A$182,""),IF(O19&lt;1,Parameters!$A$183,""),IF(P19&lt;1,Parameters!$A$184,""),IF(Q19&lt;1,Parameters!$A$185,""),IF(R19&lt;1,Parameters!$A$186,""),IF(S19&lt;1,Parameters!$A$187,""),IF(T19&lt;1,Parameters!$A$188,""))))</f>
        <v/>
      </c>
      <c r="N19" s="13">
        <f>IF(C19="","",C19/7)</f>
        <v/>
      </c>
      <c r="O19" s="13">
        <f>IF(D19="","",D19/5)</f>
        <v/>
      </c>
      <c r="P19" s="13">
        <f>IF(E19="","",E19/7)</f>
        <v/>
      </c>
      <c r="Q19" s="13">
        <f>IF(F19="","",F19/9)</f>
        <v/>
      </c>
      <c r="R19" s="13">
        <f>IF(G19="","",G19/5)</f>
        <v/>
      </c>
      <c r="S19" s="13">
        <f>IF(H19="","",H19/5)</f>
        <v/>
      </c>
      <c r="T19" s="13">
        <f>IF(I19="","",I19/9)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4" t="n"/>
      <c r="H20" s="14" t="n"/>
      <c r="I20" s="14" t="n"/>
      <c r="J20" s="13">
        <f>IF(COUNT(C20:I20)&lt;7,"",SUM(C20:I20))</f>
        <v/>
      </c>
      <c r="K20" s="13">
        <f>IF(COUNT(C20:I20)&lt;7,"",J20/47)</f>
        <v/>
      </c>
      <c r="L20" s="13">
        <f>IF(COUNT(C20:I20)&lt;7,"",IF(K20&gt;=0.8,"Green",IF(K20&gt;=0.5,"Yellow","Red")))</f>
        <v/>
      </c>
      <c r="M20" s="13">
        <f>IF(COUNT(C20:I20)&lt;7,"",IF(L20="Green","Well done! "&amp;Parameters!$C$194,"Revise: "&amp;_xlfn.TEXTJOIN(", ",TRUE(),IF(N20&lt;1,Parameters!$A$182,""),IF(O20&lt;1,Parameters!$A$183,""),IF(P20&lt;1,Parameters!$A$184,""),IF(Q20&lt;1,Parameters!$A$185,""),IF(R20&lt;1,Parameters!$A$186,""),IF(S20&lt;1,Parameters!$A$187,""),IF(T20&lt;1,Parameters!$A$188,""))))</f>
        <v/>
      </c>
      <c r="N20" s="13">
        <f>IF(C20="","",C20/7)</f>
        <v/>
      </c>
      <c r="O20" s="13">
        <f>IF(D20="","",D20/5)</f>
        <v/>
      </c>
      <c r="P20" s="13">
        <f>IF(E20="","",E20/7)</f>
        <v/>
      </c>
      <c r="Q20" s="13">
        <f>IF(F20="","",F20/9)</f>
        <v/>
      </c>
      <c r="R20" s="13">
        <f>IF(G20="","",G20/5)</f>
        <v/>
      </c>
      <c r="S20" s="13">
        <f>IF(H20="","",H20/5)</f>
        <v/>
      </c>
      <c r="T20" s="13">
        <f>IF(I20="","",I20/9)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4" t="n"/>
      <c r="H21" s="14" t="n"/>
      <c r="I21" s="14" t="n"/>
      <c r="J21" s="13">
        <f>IF(COUNT(C21:I21)&lt;7,"",SUM(C21:I21))</f>
        <v/>
      </c>
      <c r="K21" s="13">
        <f>IF(COUNT(C21:I21)&lt;7,"",J21/47)</f>
        <v/>
      </c>
      <c r="L21" s="13">
        <f>IF(COUNT(C21:I21)&lt;7,"",IF(K21&gt;=0.8,"Green",IF(K21&gt;=0.5,"Yellow","Red")))</f>
        <v/>
      </c>
      <c r="M21" s="13">
        <f>IF(COUNT(C21:I21)&lt;7,"",IF(L21="Green","Well done! "&amp;Parameters!$C$194,"Revise: "&amp;_xlfn.TEXTJOIN(", ",TRUE(),IF(N21&lt;1,Parameters!$A$182,""),IF(O21&lt;1,Parameters!$A$183,""),IF(P21&lt;1,Parameters!$A$184,""),IF(Q21&lt;1,Parameters!$A$185,""),IF(R21&lt;1,Parameters!$A$186,""),IF(S21&lt;1,Parameters!$A$187,""),IF(T21&lt;1,Parameters!$A$188,""))))</f>
        <v/>
      </c>
      <c r="N21" s="13">
        <f>IF(C21="","",C21/7)</f>
        <v/>
      </c>
      <c r="O21" s="13">
        <f>IF(D21="","",D21/5)</f>
        <v/>
      </c>
      <c r="P21" s="13">
        <f>IF(E21="","",E21/7)</f>
        <v/>
      </c>
      <c r="Q21" s="13">
        <f>IF(F21="","",F21/9)</f>
        <v/>
      </c>
      <c r="R21" s="13">
        <f>IF(G21="","",G21/5)</f>
        <v/>
      </c>
      <c r="S21" s="13">
        <f>IF(H21="","",H21/5)</f>
        <v/>
      </c>
      <c r="T21" s="13">
        <f>IF(I21="","",I21/9)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4" t="n"/>
      <c r="H22" s="14" t="n"/>
      <c r="I22" s="14" t="n"/>
      <c r="J22" s="13">
        <f>IF(COUNT(C22:I22)&lt;7,"",SUM(C22:I22))</f>
        <v/>
      </c>
      <c r="K22" s="13">
        <f>IF(COUNT(C22:I22)&lt;7,"",J22/47)</f>
        <v/>
      </c>
      <c r="L22" s="13">
        <f>IF(COUNT(C22:I22)&lt;7,"",IF(K22&gt;=0.8,"Green",IF(K22&gt;=0.5,"Yellow","Red")))</f>
        <v/>
      </c>
      <c r="M22" s="13">
        <f>IF(COUNT(C22:I22)&lt;7,"",IF(L22="Green","Well done! "&amp;Parameters!$C$194,"Revise: "&amp;_xlfn.TEXTJOIN(", ",TRUE(),IF(N22&lt;1,Parameters!$A$182,""),IF(O22&lt;1,Parameters!$A$183,""),IF(P22&lt;1,Parameters!$A$184,""),IF(Q22&lt;1,Parameters!$A$185,""),IF(R22&lt;1,Parameters!$A$186,""),IF(S22&lt;1,Parameters!$A$187,""),IF(T22&lt;1,Parameters!$A$188,""))))</f>
        <v/>
      </c>
      <c r="N22" s="13">
        <f>IF(C22="","",C22/7)</f>
        <v/>
      </c>
      <c r="O22" s="13">
        <f>IF(D22="","",D22/5)</f>
        <v/>
      </c>
      <c r="P22" s="13">
        <f>IF(E22="","",E22/7)</f>
        <v/>
      </c>
      <c r="Q22" s="13">
        <f>IF(F22="","",F22/9)</f>
        <v/>
      </c>
      <c r="R22" s="13">
        <f>IF(G22="","",G22/5)</f>
        <v/>
      </c>
      <c r="S22" s="13">
        <f>IF(H22="","",H22/5)</f>
        <v/>
      </c>
      <c r="T22" s="13">
        <f>IF(I22="","",I22/9)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4" t="n"/>
      <c r="H23" s="14" t="n"/>
      <c r="I23" s="14" t="n"/>
      <c r="J23" s="13">
        <f>IF(COUNT(C23:I23)&lt;7,"",SUM(C23:I23))</f>
        <v/>
      </c>
      <c r="K23" s="13">
        <f>IF(COUNT(C23:I23)&lt;7,"",J23/47)</f>
        <v/>
      </c>
      <c r="L23" s="13">
        <f>IF(COUNT(C23:I23)&lt;7,"",IF(K23&gt;=0.8,"Green",IF(K23&gt;=0.5,"Yellow","Red")))</f>
        <v/>
      </c>
      <c r="M23" s="13">
        <f>IF(COUNT(C23:I23)&lt;7,"",IF(L23="Green","Well done! "&amp;Parameters!$C$194,"Revise: "&amp;_xlfn.TEXTJOIN(", ",TRUE(),IF(N23&lt;1,Parameters!$A$182,""),IF(O23&lt;1,Parameters!$A$183,""),IF(P23&lt;1,Parameters!$A$184,""),IF(Q23&lt;1,Parameters!$A$185,""),IF(R23&lt;1,Parameters!$A$186,""),IF(S23&lt;1,Parameters!$A$187,""),IF(T23&lt;1,Parameters!$A$188,""))))</f>
        <v/>
      </c>
      <c r="N23" s="13">
        <f>IF(C23="","",C23/7)</f>
        <v/>
      </c>
      <c r="O23" s="13">
        <f>IF(D23="","",D23/5)</f>
        <v/>
      </c>
      <c r="P23" s="13">
        <f>IF(E23="","",E23/7)</f>
        <v/>
      </c>
      <c r="Q23" s="13">
        <f>IF(F23="","",F23/9)</f>
        <v/>
      </c>
      <c r="R23" s="13">
        <f>IF(G23="","",G23/5)</f>
        <v/>
      </c>
      <c r="S23" s="13">
        <f>IF(H23="","",H23/5)</f>
        <v/>
      </c>
      <c r="T23" s="13">
        <f>IF(I23="","",I23/9)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4" t="n"/>
      <c r="H24" s="14" t="n"/>
      <c r="I24" s="14" t="n"/>
      <c r="J24" s="13">
        <f>IF(COUNT(C24:I24)&lt;7,"",SUM(C24:I24))</f>
        <v/>
      </c>
      <c r="K24" s="13">
        <f>IF(COUNT(C24:I24)&lt;7,"",J24/47)</f>
        <v/>
      </c>
      <c r="L24" s="13">
        <f>IF(COUNT(C24:I24)&lt;7,"",IF(K24&gt;=0.8,"Green",IF(K24&gt;=0.5,"Yellow","Red")))</f>
        <v/>
      </c>
      <c r="M24" s="13">
        <f>IF(COUNT(C24:I24)&lt;7,"",IF(L24="Green","Well done! "&amp;Parameters!$C$194,"Revise: "&amp;_xlfn.TEXTJOIN(", ",TRUE(),IF(N24&lt;1,Parameters!$A$182,""),IF(O24&lt;1,Parameters!$A$183,""),IF(P24&lt;1,Parameters!$A$184,""),IF(Q24&lt;1,Parameters!$A$185,""),IF(R24&lt;1,Parameters!$A$186,""),IF(S24&lt;1,Parameters!$A$187,""),IF(T24&lt;1,Parameters!$A$188,""))))</f>
        <v/>
      </c>
      <c r="N24" s="13">
        <f>IF(C24="","",C24/7)</f>
        <v/>
      </c>
      <c r="O24" s="13">
        <f>IF(D24="","",D24/5)</f>
        <v/>
      </c>
      <c r="P24" s="13">
        <f>IF(E24="","",E24/7)</f>
        <v/>
      </c>
      <c r="Q24" s="13">
        <f>IF(F24="","",F24/9)</f>
        <v/>
      </c>
      <c r="R24" s="13">
        <f>IF(G24="","",G24/5)</f>
        <v/>
      </c>
      <c r="S24" s="13">
        <f>IF(H24="","",H24/5)</f>
        <v/>
      </c>
      <c r="T24" s="13">
        <f>IF(I24="","",I24/9)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4" t="n"/>
      <c r="H25" s="14" t="n"/>
      <c r="I25" s="14" t="n"/>
      <c r="J25" s="13">
        <f>IF(COUNT(C25:I25)&lt;7,"",SUM(C25:I25))</f>
        <v/>
      </c>
      <c r="K25" s="13">
        <f>IF(COUNT(C25:I25)&lt;7,"",J25/47)</f>
        <v/>
      </c>
      <c r="L25" s="13">
        <f>IF(COUNT(C25:I25)&lt;7,"",IF(K25&gt;=0.8,"Green",IF(K25&gt;=0.5,"Yellow","Red")))</f>
        <v/>
      </c>
      <c r="M25" s="13">
        <f>IF(COUNT(C25:I25)&lt;7,"",IF(L25="Green","Well done! "&amp;Parameters!$C$194,"Revise: "&amp;_xlfn.TEXTJOIN(", ",TRUE(),IF(N25&lt;1,Parameters!$A$182,""),IF(O25&lt;1,Parameters!$A$183,""),IF(P25&lt;1,Parameters!$A$184,""),IF(Q25&lt;1,Parameters!$A$185,""),IF(R25&lt;1,Parameters!$A$186,""),IF(S25&lt;1,Parameters!$A$187,""),IF(T25&lt;1,Parameters!$A$188,""))))</f>
        <v/>
      </c>
      <c r="N25" s="13">
        <f>IF(C25="","",C25/7)</f>
        <v/>
      </c>
      <c r="O25" s="13">
        <f>IF(D25="","",D25/5)</f>
        <v/>
      </c>
      <c r="P25" s="13">
        <f>IF(E25="","",E25/7)</f>
        <v/>
      </c>
      <c r="Q25" s="13">
        <f>IF(F25="","",F25/9)</f>
        <v/>
      </c>
      <c r="R25" s="13">
        <f>IF(G25="","",G25/5)</f>
        <v/>
      </c>
      <c r="S25" s="13">
        <f>IF(H25="","",H25/5)</f>
        <v/>
      </c>
      <c r="T25" s="13">
        <f>IF(I25="","",I25/9)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4" t="n"/>
      <c r="H26" s="14" t="n"/>
      <c r="I26" s="14" t="n"/>
      <c r="J26" s="13">
        <f>IF(COUNT(C26:I26)&lt;7,"",SUM(C26:I26))</f>
        <v/>
      </c>
      <c r="K26" s="13">
        <f>IF(COUNT(C26:I26)&lt;7,"",J26/47)</f>
        <v/>
      </c>
      <c r="L26" s="13">
        <f>IF(COUNT(C26:I26)&lt;7,"",IF(K26&gt;=0.8,"Green",IF(K26&gt;=0.5,"Yellow","Red")))</f>
        <v/>
      </c>
      <c r="M26" s="13">
        <f>IF(COUNT(C26:I26)&lt;7,"",IF(L26="Green","Well done! "&amp;Parameters!$C$194,"Revise: "&amp;_xlfn.TEXTJOIN(", ",TRUE(),IF(N26&lt;1,Parameters!$A$182,""),IF(O26&lt;1,Parameters!$A$183,""),IF(P26&lt;1,Parameters!$A$184,""),IF(Q26&lt;1,Parameters!$A$185,""),IF(R26&lt;1,Parameters!$A$186,""),IF(S26&lt;1,Parameters!$A$187,""),IF(T26&lt;1,Parameters!$A$188,""))))</f>
        <v/>
      </c>
      <c r="N26" s="13">
        <f>IF(C26="","",C26/7)</f>
        <v/>
      </c>
      <c r="O26" s="13">
        <f>IF(D26="","",D26/5)</f>
        <v/>
      </c>
      <c r="P26" s="13">
        <f>IF(E26="","",E26/7)</f>
        <v/>
      </c>
      <c r="Q26" s="13">
        <f>IF(F26="","",F26/9)</f>
        <v/>
      </c>
      <c r="R26" s="13">
        <f>IF(G26="","",G26/5)</f>
        <v/>
      </c>
      <c r="S26" s="13">
        <f>IF(H26="","",H26/5)</f>
        <v/>
      </c>
      <c r="T26" s="13">
        <f>IF(I26="","",I26/9)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4" t="n"/>
      <c r="H27" s="14" t="n"/>
      <c r="I27" s="14" t="n"/>
      <c r="J27" s="13">
        <f>IF(COUNT(C27:I27)&lt;7,"",SUM(C27:I27))</f>
        <v/>
      </c>
      <c r="K27" s="13">
        <f>IF(COUNT(C27:I27)&lt;7,"",J27/47)</f>
        <v/>
      </c>
      <c r="L27" s="13">
        <f>IF(COUNT(C27:I27)&lt;7,"",IF(K27&gt;=0.8,"Green",IF(K27&gt;=0.5,"Yellow","Red")))</f>
        <v/>
      </c>
      <c r="M27" s="13">
        <f>IF(COUNT(C27:I27)&lt;7,"",IF(L27="Green","Well done! "&amp;Parameters!$C$194,"Revise: "&amp;_xlfn.TEXTJOIN(", ",TRUE(),IF(N27&lt;1,Parameters!$A$182,""),IF(O27&lt;1,Parameters!$A$183,""),IF(P27&lt;1,Parameters!$A$184,""),IF(Q27&lt;1,Parameters!$A$185,""),IF(R27&lt;1,Parameters!$A$186,""),IF(S27&lt;1,Parameters!$A$187,""),IF(T27&lt;1,Parameters!$A$188,""))))</f>
        <v/>
      </c>
      <c r="N27" s="13">
        <f>IF(C27="","",C27/7)</f>
        <v/>
      </c>
      <c r="O27" s="13">
        <f>IF(D27="","",D27/5)</f>
        <v/>
      </c>
      <c r="P27" s="13">
        <f>IF(E27="","",E27/7)</f>
        <v/>
      </c>
      <c r="Q27" s="13">
        <f>IF(F27="","",F27/9)</f>
        <v/>
      </c>
      <c r="R27" s="13">
        <f>IF(G27="","",G27/5)</f>
        <v/>
      </c>
      <c r="S27" s="13">
        <f>IF(H27="","",H27/5)</f>
        <v/>
      </c>
      <c r="T27" s="13">
        <f>IF(I27="","",I27/9)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4" t="n"/>
      <c r="H28" s="14" t="n"/>
      <c r="I28" s="14" t="n"/>
      <c r="J28" s="13">
        <f>IF(COUNT(C28:I28)&lt;7,"",SUM(C28:I28))</f>
        <v/>
      </c>
      <c r="K28" s="13">
        <f>IF(COUNT(C28:I28)&lt;7,"",J28/47)</f>
        <v/>
      </c>
      <c r="L28" s="13">
        <f>IF(COUNT(C28:I28)&lt;7,"",IF(K28&gt;=0.8,"Green",IF(K28&gt;=0.5,"Yellow","Red")))</f>
        <v/>
      </c>
      <c r="M28" s="13">
        <f>IF(COUNT(C28:I28)&lt;7,"",IF(L28="Green","Well done! "&amp;Parameters!$C$194,"Revise: "&amp;_xlfn.TEXTJOIN(", ",TRUE(),IF(N28&lt;1,Parameters!$A$182,""),IF(O28&lt;1,Parameters!$A$183,""),IF(P28&lt;1,Parameters!$A$184,""),IF(Q28&lt;1,Parameters!$A$185,""),IF(R28&lt;1,Parameters!$A$186,""),IF(S28&lt;1,Parameters!$A$187,""),IF(T28&lt;1,Parameters!$A$188,""))))</f>
        <v/>
      </c>
      <c r="N28" s="13">
        <f>IF(C28="","",C28/7)</f>
        <v/>
      </c>
      <c r="O28" s="13">
        <f>IF(D28="","",D28/5)</f>
        <v/>
      </c>
      <c r="P28" s="13">
        <f>IF(E28="","",E28/7)</f>
        <v/>
      </c>
      <c r="Q28" s="13">
        <f>IF(F28="","",F28/9)</f>
        <v/>
      </c>
      <c r="R28" s="13">
        <f>IF(G28="","",G28/5)</f>
        <v/>
      </c>
      <c r="S28" s="13">
        <f>IF(H28="","",H28/5)</f>
        <v/>
      </c>
      <c r="T28" s="13">
        <f>IF(I28="","",I28/9)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4" t="n"/>
      <c r="H29" s="14" t="n"/>
      <c r="I29" s="14" t="n"/>
      <c r="J29" s="13">
        <f>IF(COUNT(C29:I29)&lt;7,"",SUM(C29:I29))</f>
        <v/>
      </c>
      <c r="K29" s="13">
        <f>IF(COUNT(C29:I29)&lt;7,"",J29/47)</f>
        <v/>
      </c>
      <c r="L29" s="13">
        <f>IF(COUNT(C29:I29)&lt;7,"",IF(K29&gt;=0.8,"Green",IF(K29&gt;=0.5,"Yellow","Red")))</f>
        <v/>
      </c>
      <c r="M29" s="13">
        <f>IF(COUNT(C29:I29)&lt;7,"",IF(L29="Green","Well done! "&amp;Parameters!$C$194,"Revise: "&amp;_xlfn.TEXTJOIN(", ",TRUE(),IF(N29&lt;1,Parameters!$A$182,""),IF(O29&lt;1,Parameters!$A$183,""),IF(P29&lt;1,Parameters!$A$184,""),IF(Q29&lt;1,Parameters!$A$185,""),IF(R29&lt;1,Parameters!$A$186,""),IF(S29&lt;1,Parameters!$A$187,""),IF(T29&lt;1,Parameters!$A$188,""))))</f>
        <v/>
      </c>
      <c r="N29" s="13">
        <f>IF(C29="","",C29/7)</f>
        <v/>
      </c>
      <c r="O29" s="13">
        <f>IF(D29="","",D29/5)</f>
        <v/>
      </c>
      <c r="P29" s="13">
        <f>IF(E29="","",E29/7)</f>
        <v/>
      </c>
      <c r="Q29" s="13">
        <f>IF(F29="","",F29/9)</f>
        <v/>
      </c>
      <c r="R29" s="13">
        <f>IF(G29="","",G29/5)</f>
        <v/>
      </c>
      <c r="S29" s="13">
        <f>IF(H29="","",H29/5)</f>
        <v/>
      </c>
      <c r="T29" s="13">
        <f>IF(I29="","",I29/9)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4" t="n"/>
      <c r="H30" s="14" t="n"/>
      <c r="I30" s="14" t="n"/>
      <c r="J30" s="13">
        <f>IF(COUNT(C30:I30)&lt;7,"",SUM(C30:I30))</f>
        <v/>
      </c>
      <c r="K30" s="13">
        <f>IF(COUNT(C30:I30)&lt;7,"",J30/47)</f>
        <v/>
      </c>
      <c r="L30" s="13">
        <f>IF(COUNT(C30:I30)&lt;7,"",IF(K30&gt;=0.8,"Green",IF(K30&gt;=0.5,"Yellow","Red")))</f>
        <v/>
      </c>
      <c r="M30" s="13">
        <f>IF(COUNT(C30:I30)&lt;7,"",IF(L30="Green","Well done! "&amp;Parameters!$C$194,"Revise: "&amp;_xlfn.TEXTJOIN(", ",TRUE(),IF(N30&lt;1,Parameters!$A$182,""),IF(O30&lt;1,Parameters!$A$183,""),IF(P30&lt;1,Parameters!$A$184,""),IF(Q30&lt;1,Parameters!$A$185,""),IF(R30&lt;1,Parameters!$A$186,""),IF(S30&lt;1,Parameters!$A$187,""),IF(T30&lt;1,Parameters!$A$188,""))))</f>
        <v/>
      </c>
      <c r="N30" s="13">
        <f>IF(C30="","",C30/7)</f>
        <v/>
      </c>
      <c r="O30" s="13">
        <f>IF(D30="","",D30/5)</f>
        <v/>
      </c>
      <c r="P30" s="13">
        <f>IF(E30="","",E30/7)</f>
        <v/>
      </c>
      <c r="Q30" s="13">
        <f>IF(F30="","",F30/9)</f>
        <v/>
      </c>
      <c r="R30" s="13">
        <f>IF(G30="","",G30/5)</f>
        <v/>
      </c>
      <c r="S30" s="13">
        <f>IF(H30="","",H30/5)</f>
        <v/>
      </c>
      <c r="T30" s="13">
        <f>IF(I30="","",I30/9)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4" t="n"/>
      <c r="H31" s="14" t="n"/>
      <c r="I31" s="14" t="n"/>
      <c r="J31" s="13">
        <f>IF(COUNT(C31:I31)&lt;7,"",SUM(C31:I31))</f>
        <v/>
      </c>
      <c r="K31" s="13">
        <f>IF(COUNT(C31:I31)&lt;7,"",J31/47)</f>
        <v/>
      </c>
      <c r="L31" s="13">
        <f>IF(COUNT(C31:I31)&lt;7,"",IF(K31&gt;=0.8,"Green",IF(K31&gt;=0.5,"Yellow","Red")))</f>
        <v/>
      </c>
      <c r="M31" s="13">
        <f>IF(COUNT(C31:I31)&lt;7,"",IF(L31="Green","Well done! "&amp;Parameters!$C$194,"Revise: "&amp;_xlfn.TEXTJOIN(", ",TRUE(),IF(N31&lt;1,Parameters!$A$182,""),IF(O31&lt;1,Parameters!$A$183,""),IF(P31&lt;1,Parameters!$A$184,""),IF(Q31&lt;1,Parameters!$A$185,""),IF(R31&lt;1,Parameters!$A$186,""),IF(S31&lt;1,Parameters!$A$187,""),IF(T31&lt;1,Parameters!$A$188,""))))</f>
        <v/>
      </c>
      <c r="N31" s="13">
        <f>IF(C31="","",C31/7)</f>
        <v/>
      </c>
      <c r="O31" s="13">
        <f>IF(D31="","",D31/5)</f>
        <v/>
      </c>
      <c r="P31" s="13">
        <f>IF(E31="","",E31/7)</f>
        <v/>
      </c>
      <c r="Q31" s="13">
        <f>IF(F31="","",F31/9)</f>
        <v/>
      </c>
      <c r="R31" s="13">
        <f>IF(G31="","",G31/5)</f>
        <v/>
      </c>
      <c r="S31" s="13">
        <f>IF(H31="","",H31/5)</f>
        <v/>
      </c>
      <c r="T31" s="13">
        <f>IF(I31="","",I31/9)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4" t="n"/>
      <c r="H32" s="14" t="n"/>
      <c r="I32" s="14" t="n"/>
      <c r="J32" s="13">
        <f>IF(COUNT(C32:I32)&lt;7,"",SUM(C32:I32))</f>
        <v/>
      </c>
      <c r="K32" s="13">
        <f>IF(COUNT(C32:I32)&lt;7,"",J32/47)</f>
        <v/>
      </c>
      <c r="L32" s="13">
        <f>IF(COUNT(C32:I32)&lt;7,"",IF(K32&gt;=0.8,"Green",IF(K32&gt;=0.5,"Yellow","Red")))</f>
        <v/>
      </c>
      <c r="M32" s="13">
        <f>IF(COUNT(C32:I32)&lt;7,"",IF(L32="Green","Well done! "&amp;Parameters!$C$194,"Revise: "&amp;_xlfn.TEXTJOIN(", ",TRUE(),IF(N32&lt;1,Parameters!$A$182,""),IF(O32&lt;1,Parameters!$A$183,""),IF(P32&lt;1,Parameters!$A$184,""),IF(Q32&lt;1,Parameters!$A$185,""),IF(R32&lt;1,Parameters!$A$186,""),IF(S32&lt;1,Parameters!$A$187,""),IF(T32&lt;1,Parameters!$A$188,""))))</f>
        <v/>
      </c>
      <c r="N32" s="13">
        <f>IF(C32="","",C32/7)</f>
        <v/>
      </c>
      <c r="O32" s="13">
        <f>IF(D32="","",D32/5)</f>
        <v/>
      </c>
      <c r="P32" s="13">
        <f>IF(E32="","",E32/7)</f>
        <v/>
      </c>
      <c r="Q32" s="13">
        <f>IF(F32="","",F32/9)</f>
        <v/>
      </c>
      <c r="R32" s="13">
        <f>IF(G32="","",G32/5)</f>
        <v/>
      </c>
      <c r="S32" s="13">
        <f>IF(H32="","",H32/5)</f>
        <v/>
      </c>
      <c r="T32" s="13">
        <f>IF(I32="","",I32/9)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4" t="n"/>
      <c r="H33" s="14" t="n"/>
      <c r="I33" s="14" t="n"/>
      <c r="J33" s="13">
        <f>IF(COUNT(C33:I33)&lt;7,"",SUM(C33:I33))</f>
        <v/>
      </c>
      <c r="K33" s="13">
        <f>IF(COUNT(C33:I33)&lt;7,"",J33/47)</f>
        <v/>
      </c>
      <c r="L33" s="13">
        <f>IF(COUNT(C33:I33)&lt;7,"",IF(K33&gt;=0.8,"Green",IF(K33&gt;=0.5,"Yellow","Red")))</f>
        <v/>
      </c>
      <c r="M33" s="13">
        <f>IF(COUNT(C33:I33)&lt;7,"",IF(L33="Green","Well done! "&amp;Parameters!$C$194,"Revise: "&amp;_xlfn.TEXTJOIN(", ",TRUE(),IF(N33&lt;1,Parameters!$A$182,""),IF(O33&lt;1,Parameters!$A$183,""),IF(P33&lt;1,Parameters!$A$184,""),IF(Q33&lt;1,Parameters!$A$185,""),IF(R33&lt;1,Parameters!$A$186,""),IF(S33&lt;1,Parameters!$A$187,""),IF(T33&lt;1,Parameters!$A$188,""))))</f>
        <v/>
      </c>
      <c r="N33" s="13">
        <f>IF(C33="","",C33/7)</f>
        <v/>
      </c>
      <c r="O33" s="13">
        <f>IF(D33="","",D33/5)</f>
        <v/>
      </c>
      <c r="P33" s="13">
        <f>IF(E33="","",E33/7)</f>
        <v/>
      </c>
      <c r="Q33" s="13">
        <f>IF(F33="","",F33/9)</f>
        <v/>
      </c>
      <c r="R33" s="13">
        <f>IF(G33="","",G33/5)</f>
        <v/>
      </c>
      <c r="S33" s="13">
        <f>IF(H33="","",H33/5)</f>
        <v/>
      </c>
      <c r="T33" s="13">
        <f>IF(I33="","",I33/9)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4" t="n"/>
      <c r="H34" s="14" t="n"/>
      <c r="I34" s="14" t="n"/>
      <c r="J34" s="13">
        <f>IF(COUNT(C34:I34)&lt;7,"",SUM(C34:I34))</f>
        <v/>
      </c>
      <c r="K34" s="13">
        <f>IF(COUNT(C34:I34)&lt;7,"",J34/47)</f>
        <v/>
      </c>
      <c r="L34" s="13">
        <f>IF(COUNT(C34:I34)&lt;7,"",IF(K34&gt;=0.8,"Green",IF(K34&gt;=0.5,"Yellow","Red")))</f>
        <v/>
      </c>
      <c r="M34" s="13">
        <f>IF(COUNT(C34:I34)&lt;7,"",IF(L34="Green","Well done! "&amp;Parameters!$C$194,"Revise: "&amp;_xlfn.TEXTJOIN(", ",TRUE(),IF(N34&lt;1,Parameters!$A$182,""),IF(O34&lt;1,Parameters!$A$183,""),IF(P34&lt;1,Parameters!$A$184,""),IF(Q34&lt;1,Parameters!$A$185,""),IF(R34&lt;1,Parameters!$A$186,""),IF(S34&lt;1,Parameters!$A$187,""),IF(T34&lt;1,Parameters!$A$188,""))))</f>
        <v/>
      </c>
      <c r="N34" s="13">
        <f>IF(C34="","",C34/7)</f>
        <v/>
      </c>
      <c r="O34" s="13">
        <f>IF(D34="","",D34/5)</f>
        <v/>
      </c>
      <c r="P34" s="13">
        <f>IF(E34="","",E34/7)</f>
        <v/>
      </c>
      <c r="Q34" s="13">
        <f>IF(F34="","",F34/9)</f>
        <v/>
      </c>
      <c r="R34" s="13">
        <f>IF(G34="","",G34/5)</f>
        <v/>
      </c>
      <c r="S34" s="13">
        <f>IF(H34="","",H34/5)</f>
        <v/>
      </c>
      <c r="T34" s="13">
        <f>IF(I34="","",I34/9)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4" t="n"/>
      <c r="H35" s="14" t="n"/>
      <c r="I35" s="14" t="n"/>
      <c r="J35" s="13">
        <f>IF(COUNT(C35:I35)&lt;7,"",SUM(C35:I35))</f>
        <v/>
      </c>
      <c r="K35" s="13">
        <f>IF(COUNT(C35:I35)&lt;7,"",J35/47)</f>
        <v/>
      </c>
      <c r="L35" s="13">
        <f>IF(COUNT(C35:I35)&lt;7,"",IF(K35&gt;=0.8,"Green",IF(K35&gt;=0.5,"Yellow","Red")))</f>
        <v/>
      </c>
      <c r="M35" s="13">
        <f>IF(COUNT(C35:I35)&lt;7,"",IF(L35="Green","Well done! "&amp;Parameters!$C$194,"Revise: "&amp;_xlfn.TEXTJOIN(", ",TRUE(),IF(N35&lt;1,Parameters!$A$182,""),IF(O35&lt;1,Parameters!$A$183,""),IF(P35&lt;1,Parameters!$A$184,""),IF(Q35&lt;1,Parameters!$A$185,""),IF(R35&lt;1,Parameters!$A$186,""),IF(S35&lt;1,Parameters!$A$187,""),IF(T35&lt;1,Parameters!$A$188,""))))</f>
        <v/>
      </c>
      <c r="N35" s="13">
        <f>IF(C35="","",C35/7)</f>
        <v/>
      </c>
      <c r="O35" s="13">
        <f>IF(D35="","",D35/5)</f>
        <v/>
      </c>
      <c r="P35" s="13">
        <f>IF(E35="","",E35/7)</f>
        <v/>
      </c>
      <c r="Q35" s="13">
        <f>IF(F35="","",F35/9)</f>
        <v/>
      </c>
      <c r="R35" s="13">
        <f>IF(G35="","",G35/5)</f>
        <v/>
      </c>
      <c r="S35" s="13">
        <f>IF(H35="","",H35/5)</f>
        <v/>
      </c>
      <c r="T35" s="13">
        <f>IF(I35="","",I35/9)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4" t="n"/>
      <c r="H36" s="14" t="n"/>
      <c r="I36" s="14" t="n"/>
      <c r="J36" s="13">
        <f>IF(COUNT(C36:I36)&lt;7,"",SUM(C36:I36))</f>
        <v/>
      </c>
      <c r="K36" s="13">
        <f>IF(COUNT(C36:I36)&lt;7,"",J36/47)</f>
        <v/>
      </c>
      <c r="L36" s="13">
        <f>IF(COUNT(C36:I36)&lt;7,"",IF(K36&gt;=0.8,"Green",IF(K36&gt;=0.5,"Yellow","Red")))</f>
        <v/>
      </c>
      <c r="M36" s="13">
        <f>IF(COUNT(C36:I36)&lt;7,"",IF(L36="Green","Well done! "&amp;Parameters!$C$194,"Revise: "&amp;_xlfn.TEXTJOIN(", ",TRUE(),IF(N36&lt;1,Parameters!$A$182,""),IF(O36&lt;1,Parameters!$A$183,""),IF(P36&lt;1,Parameters!$A$184,""),IF(Q36&lt;1,Parameters!$A$185,""),IF(R36&lt;1,Parameters!$A$186,""),IF(S36&lt;1,Parameters!$A$187,""),IF(T36&lt;1,Parameters!$A$188,""))))</f>
        <v/>
      </c>
      <c r="N36" s="13">
        <f>IF(C36="","",C36/7)</f>
        <v/>
      </c>
      <c r="O36" s="13">
        <f>IF(D36="","",D36/5)</f>
        <v/>
      </c>
      <c r="P36" s="13">
        <f>IF(E36="","",E36/7)</f>
        <v/>
      </c>
      <c r="Q36" s="13">
        <f>IF(F36="","",F36/9)</f>
        <v/>
      </c>
      <c r="R36" s="13">
        <f>IF(G36="","",G36/5)</f>
        <v/>
      </c>
      <c r="S36" s="13">
        <f>IF(H36="","",H36/5)</f>
        <v/>
      </c>
      <c r="T36" s="13">
        <f>IF(I36="","",I36/9)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4" t="n"/>
      <c r="H37" s="14" t="n"/>
      <c r="I37" s="14" t="n"/>
      <c r="J37" s="13">
        <f>IF(COUNT(C37:I37)&lt;7,"",SUM(C37:I37))</f>
        <v/>
      </c>
      <c r="K37" s="13">
        <f>IF(COUNT(C37:I37)&lt;7,"",J37/47)</f>
        <v/>
      </c>
      <c r="L37" s="13">
        <f>IF(COUNT(C37:I37)&lt;7,"",IF(K37&gt;=0.8,"Green",IF(K37&gt;=0.5,"Yellow","Red")))</f>
        <v/>
      </c>
      <c r="M37" s="13">
        <f>IF(COUNT(C37:I37)&lt;7,"",IF(L37="Green","Well done! "&amp;Parameters!$C$194,"Revise: "&amp;_xlfn.TEXTJOIN(", ",TRUE(),IF(N37&lt;1,Parameters!$A$182,""),IF(O37&lt;1,Parameters!$A$183,""),IF(P37&lt;1,Parameters!$A$184,""),IF(Q37&lt;1,Parameters!$A$185,""),IF(R37&lt;1,Parameters!$A$186,""),IF(S37&lt;1,Parameters!$A$187,""),IF(T37&lt;1,Parameters!$A$188,""))))</f>
        <v/>
      </c>
      <c r="N37" s="13">
        <f>IF(C37="","",C37/7)</f>
        <v/>
      </c>
      <c r="O37" s="13">
        <f>IF(D37="","",D37/5)</f>
        <v/>
      </c>
      <c r="P37" s="13">
        <f>IF(E37="","",E37/7)</f>
        <v/>
      </c>
      <c r="Q37" s="13">
        <f>IF(F37="","",F37/9)</f>
        <v/>
      </c>
      <c r="R37" s="13">
        <f>IF(G37="","",G37/5)</f>
        <v/>
      </c>
      <c r="S37" s="13">
        <f>IF(H37="","",H37/5)</f>
        <v/>
      </c>
      <c r="T37" s="13">
        <f>IF(I37="","",I37/9)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4" t="n"/>
      <c r="H38" s="14" t="n"/>
      <c r="I38" s="14" t="n"/>
      <c r="J38" s="13">
        <f>IF(COUNT(C38:I38)&lt;7,"",SUM(C38:I38))</f>
        <v/>
      </c>
      <c r="K38" s="13">
        <f>IF(COUNT(C38:I38)&lt;7,"",J38/47)</f>
        <v/>
      </c>
      <c r="L38" s="13">
        <f>IF(COUNT(C38:I38)&lt;7,"",IF(K38&gt;=0.8,"Green",IF(K38&gt;=0.5,"Yellow","Red")))</f>
        <v/>
      </c>
      <c r="M38" s="13">
        <f>IF(COUNT(C38:I38)&lt;7,"",IF(L38="Green","Well done! "&amp;Parameters!$C$194,"Revise: "&amp;_xlfn.TEXTJOIN(", ",TRUE(),IF(N38&lt;1,Parameters!$A$182,""),IF(O38&lt;1,Parameters!$A$183,""),IF(P38&lt;1,Parameters!$A$184,""),IF(Q38&lt;1,Parameters!$A$185,""),IF(R38&lt;1,Parameters!$A$186,""),IF(S38&lt;1,Parameters!$A$187,""),IF(T38&lt;1,Parameters!$A$188,""))))</f>
        <v/>
      </c>
      <c r="N38" s="13">
        <f>IF(C38="","",C38/7)</f>
        <v/>
      </c>
      <c r="O38" s="13">
        <f>IF(D38="","",D38/5)</f>
        <v/>
      </c>
      <c r="P38" s="13">
        <f>IF(E38="","",E38/7)</f>
        <v/>
      </c>
      <c r="Q38" s="13">
        <f>IF(F38="","",F38/9)</f>
        <v/>
      </c>
      <c r="R38" s="13">
        <f>IF(G38="","",G38/5)</f>
        <v/>
      </c>
      <c r="S38" s="13">
        <f>IF(H38="","",H38/5)</f>
        <v/>
      </c>
      <c r="T38" s="13">
        <f>IF(I38="","",I38/9)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4" t="n"/>
      <c r="H39" s="14" t="n"/>
      <c r="I39" s="14" t="n"/>
      <c r="J39" s="13">
        <f>IF(COUNT(C39:I39)&lt;7,"",SUM(C39:I39))</f>
        <v/>
      </c>
      <c r="K39" s="13">
        <f>IF(COUNT(C39:I39)&lt;7,"",J39/47)</f>
        <v/>
      </c>
      <c r="L39" s="13">
        <f>IF(COUNT(C39:I39)&lt;7,"",IF(K39&gt;=0.8,"Green",IF(K39&gt;=0.5,"Yellow","Red")))</f>
        <v/>
      </c>
      <c r="M39" s="13">
        <f>IF(COUNT(C39:I39)&lt;7,"",IF(L39="Green","Well done! "&amp;Parameters!$C$194,"Revise: "&amp;_xlfn.TEXTJOIN(", ",TRUE(),IF(N39&lt;1,Parameters!$A$182,""),IF(O39&lt;1,Parameters!$A$183,""),IF(P39&lt;1,Parameters!$A$184,""),IF(Q39&lt;1,Parameters!$A$185,""),IF(R39&lt;1,Parameters!$A$186,""),IF(S39&lt;1,Parameters!$A$187,""),IF(T39&lt;1,Parameters!$A$188,""))))</f>
        <v/>
      </c>
      <c r="N39" s="13">
        <f>IF(C39="","",C39/7)</f>
        <v/>
      </c>
      <c r="O39" s="13">
        <f>IF(D39="","",D39/5)</f>
        <v/>
      </c>
      <c r="P39" s="13">
        <f>IF(E39="","",E39/7)</f>
        <v/>
      </c>
      <c r="Q39" s="13">
        <f>IF(F39="","",F39/9)</f>
        <v/>
      </c>
      <c r="R39" s="13">
        <f>IF(G39="","",G39/5)</f>
        <v/>
      </c>
      <c r="S39" s="13">
        <f>IF(H39="","",H39/5)</f>
        <v/>
      </c>
      <c r="T39" s="13">
        <f>IF(I39="","",I39/9)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4" t="n"/>
      <c r="H40" s="14" t="n"/>
      <c r="I40" s="14" t="n"/>
      <c r="J40" s="13">
        <f>IF(COUNT(C40:I40)&lt;7,"",SUM(C40:I40))</f>
        <v/>
      </c>
      <c r="K40" s="13">
        <f>IF(COUNT(C40:I40)&lt;7,"",J40/47)</f>
        <v/>
      </c>
      <c r="L40" s="13">
        <f>IF(COUNT(C40:I40)&lt;7,"",IF(K40&gt;=0.8,"Green",IF(K40&gt;=0.5,"Yellow","Red")))</f>
        <v/>
      </c>
      <c r="M40" s="13">
        <f>IF(COUNT(C40:I40)&lt;7,"",IF(L40="Green","Well done! "&amp;Parameters!$C$194,"Revise: "&amp;_xlfn.TEXTJOIN(", ",TRUE(),IF(N40&lt;1,Parameters!$A$182,""),IF(O40&lt;1,Parameters!$A$183,""),IF(P40&lt;1,Parameters!$A$184,""),IF(Q40&lt;1,Parameters!$A$185,""),IF(R40&lt;1,Parameters!$A$186,""),IF(S40&lt;1,Parameters!$A$187,""),IF(T40&lt;1,Parameters!$A$188,""))))</f>
        <v/>
      </c>
      <c r="N40" s="13">
        <f>IF(C40="","",C40/7)</f>
        <v/>
      </c>
      <c r="O40" s="13">
        <f>IF(D40="","",D40/5)</f>
        <v/>
      </c>
      <c r="P40" s="13">
        <f>IF(E40="","",E40/7)</f>
        <v/>
      </c>
      <c r="Q40" s="13">
        <f>IF(F40="","",F40/9)</f>
        <v/>
      </c>
      <c r="R40" s="13">
        <f>IF(G40="","",G40/5)</f>
        <v/>
      </c>
      <c r="S40" s="13">
        <f>IF(H40="","",H40/5)</f>
        <v/>
      </c>
      <c r="T40" s="13">
        <f>IF(I40="","",I40/9)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4" t="n"/>
      <c r="H41" s="14" t="n"/>
      <c r="I41" s="14" t="n"/>
      <c r="J41" s="13">
        <f>IF(COUNT(C41:I41)&lt;7,"",SUM(C41:I41))</f>
        <v/>
      </c>
      <c r="K41" s="13">
        <f>IF(COUNT(C41:I41)&lt;7,"",J41/47)</f>
        <v/>
      </c>
      <c r="L41" s="13">
        <f>IF(COUNT(C41:I41)&lt;7,"",IF(K41&gt;=0.8,"Green",IF(K41&gt;=0.5,"Yellow","Red")))</f>
        <v/>
      </c>
      <c r="M41" s="13">
        <f>IF(COUNT(C41:I41)&lt;7,"",IF(L41="Green","Well done! "&amp;Parameters!$C$194,"Revise: "&amp;_xlfn.TEXTJOIN(", ",TRUE(),IF(N41&lt;1,Parameters!$A$182,""),IF(O41&lt;1,Parameters!$A$183,""),IF(P41&lt;1,Parameters!$A$184,""),IF(Q41&lt;1,Parameters!$A$185,""),IF(R41&lt;1,Parameters!$A$186,""),IF(S41&lt;1,Parameters!$A$187,""),IF(T41&lt;1,Parameters!$A$188,""))))</f>
        <v/>
      </c>
      <c r="N41" s="13">
        <f>IF(C41="","",C41/7)</f>
        <v/>
      </c>
      <c r="O41" s="13">
        <f>IF(D41="","",D41/5)</f>
        <v/>
      </c>
      <c r="P41" s="13">
        <f>IF(E41="","",E41/7)</f>
        <v/>
      </c>
      <c r="Q41" s="13">
        <f>IF(F41="","",F41/9)</f>
        <v/>
      </c>
      <c r="R41" s="13">
        <f>IF(G41="","",G41/5)</f>
        <v/>
      </c>
      <c r="S41" s="13">
        <f>IF(H41="","",H41/5)</f>
        <v/>
      </c>
      <c r="T41" s="13">
        <f>IF(I41="","",I41/9)</f>
        <v/>
      </c>
    </row>
  </sheetData>
  <conditionalFormatting sqref="C11">
    <cfRule type="expression" priority="1" dxfId="0">
      <formula>AND(COUNT(C11:I11)=7,C11=7)</formula>
    </cfRule>
    <cfRule type="expression" priority="2" dxfId="1">
      <formula>AND(COUNT(C11:I11)=7,C11&lt;7*0.4)</formula>
    </cfRule>
    <cfRule type="expression" priority="3" dxfId="2">
      <formula>AND(COUNT(C11:I11)=7,C11&gt;=7*0.4,C11&lt;7)</formula>
    </cfRule>
  </conditionalFormatting>
  <conditionalFormatting sqref="C12">
    <cfRule type="expression" priority="4" dxfId="0">
      <formula>AND(COUNT(C12:I12)=7,C12=7)</formula>
    </cfRule>
    <cfRule type="expression" priority="5" dxfId="1">
      <formula>AND(COUNT(C12:I12)=7,C12&lt;7*0.4)</formula>
    </cfRule>
    <cfRule type="expression" priority="6" dxfId="2">
      <formula>AND(COUNT(C12:I12)=7,C12&gt;=7*0.4,C12&lt;7)</formula>
    </cfRule>
  </conditionalFormatting>
  <conditionalFormatting sqref="C13">
    <cfRule type="expression" priority="7" dxfId="0">
      <formula>AND(COUNT(C13:I13)=7,C13=7)</formula>
    </cfRule>
    <cfRule type="expression" priority="8" dxfId="1">
      <formula>AND(COUNT(C13:I13)=7,C13&lt;7*0.4)</formula>
    </cfRule>
    <cfRule type="expression" priority="9" dxfId="2">
      <formula>AND(COUNT(C13:I13)=7,C13&gt;=7*0.4,C13&lt;7)</formula>
    </cfRule>
  </conditionalFormatting>
  <conditionalFormatting sqref="C14">
    <cfRule type="expression" priority="10" dxfId="0">
      <formula>AND(COUNT(C14:I14)=7,C14=7)</formula>
    </cfRule>
    <cfRule type="expression" priority="11" dxfId="1">
      <formula>AND(COUNT(C14:I14)=7,C14&lt;7*0.4)</formula>
    </cfRule>
    <cfRule type="expression" priority="12" dxfId="2">
      <formula>AND(COUNT(C14:I14)=7,C14&gt;=7*0.4,C14&lt;7)</formula>
    </cfRule>
  </conditionalFormatting>
  <conditionalFormatting sqref="C15">
    <cfRule type="expression" priority="13" dxfId="0">
      <formula>AND(COUNT(C15:I15)=7,C15=7)</formula>
    </cfRule>
    <cfRule type="expression" priority="14" dxfId="1">
      <formula>AND(COUNT(C15:I15)=7,C15&lt;7*0.4)</formula>
    </cfRule>
    <cfRule type="expression" priority="15" dxfId="2">
      <formula>AND(COUNT(C15:I15)=7,C15&gt;=7*0.4,C15&lt;7)</formula>
    </cfRule>
  </conditionalFormatting>
  <conditionalFormatting sqref="C16">
    <cfRule type="expression" priority="16" dxfId="0">
      <formula>AND(COUNT(C16:I16)=7,C16=7)</formula>
    </cfRule>
    <cfRule type="expression" priority="17" dxfId="1">
      <formula>AND(COUNT(C16:I16)=7,C16&lt;7*0.4)</formula>
    </cfRule>
    <cfRule type="expression" priority="18" dxfId="2">
      <formula>AND(COUNT(C16:I16)=7,C16&gt;=7*0.4,C16&lt;7)</formula>
    </cfRule>
  </conditionalFormatting>
  <conditionalFormatting sqref="C17">
    <cfRule type="expression" priority="19" dxfId="0">
      <formula>AND(COUNT(C17:I17)=7,C17=7)</formula>
    </cfRule>
    <cfRule type="expression" priority="20" dxfId="1">
      <formula>AND(COUNT(C17:I17)=7,C17&lt;7*0.4)</formula>
    </cfRule>
    <cfRule type="expression" priority="21" dxfId="2">
      <formula>AND(COUNT(C17:I17)=7,C17&gt;=7*0.4,C17&lt;7)</formula>
    </cfRule>
  </conditionalFormatting>
  <conditionalFormatting sqref="C18">
    <cfRule type="expression" priority="22" dxfId="0">
      <formula>AND(COUNT(C18:I18)=7,C18=7)</formula>
    </cfRule>
    <cfRule type="expression" priority="23" dxfId="1">
      <formula>AND(COUNT(C18:I18)=7,C18&lt;7*0.4)</formula>
    </cfRule>
    <cfRule type="expression" priority="24" dxfId="2">
      <formula>AND(COUNT(C18:I18)=7,C18&gt;=7*0.4,C18&lt;7)</formula>
    </cfRule>
  </conditionalFormatting>
  <conditionalFormatting sqref="C19">
    <cfRule type="expression" priority="25" dxfId="0">
      <formula>AND(COUNT(C19:I19)=7,C19=7)</formula>
    </cfRule>
    <cfRule type="expression" priority="26" dxfId="1">
      <formula>AND(COUNT(C19:I19)=7,C19&lt;7*0.4)</formula>
    </cfRule>
    <cfRule type="expression" priority="27" dxfId="2">
      <formula>AND(COUNT(C19:I19)=7,C19&gt;=7*0.4,C19&lt;7)</formula>
    </cfRule>
  </conditionalFormatting>
  <conditionalFormatting sqref="C20">
    <cfRule type="expression" priority="28" dxfId="0">
      <formula>AND(COUNT(C20:I20)=7,C20=7)</formula>
    </cfRule>
    <cfRule type="expression" priority="29" dxfId="1">
      <formula>AND(COUNT(C20:I20)=7,C20&lt;7*0.4)</formula>
    </cfRule>
    <cfRule type="expression" priority="30" dxfId="2">
      <formula>AND(COUNT(C20:I20)=7,C20&gt;=7*0.4,C20&lt;7)</formula>
    </cfRule>
  </conditionalFormatting>
  <conditionalFormatting sqref="C21">
    <cfRule type="expression" priority="31" dxfId="0">
      <formula>AND(COUNT(C21:I21)=7,C21=7)</formula>
    </cfRule>
    <cfRule type="expression" priority="32" dxfId="1">
      <formula>AND(COUNT(C21:I21)=7,C21&lt;7*0.4)</formula>
    </cfRule>
    <cfRule type="expression" priority="33" dxfId="2">
      <formula>AND(COUNT(C21:I21)=7,C21&gt;=7*0.4,C21&lt;7)</formula>
    </cfRule>
  </conditionalFormatting>
  <conditionalFormatting sqref="C22">
    <cfRule type="expression" priority="34" dxfId="0">
      <formula>AND(COUNT(C22:I22)=7,C22=7)</formula>
    </cfRule>
    <cfRule type="expression" priority="35" dxfId="1">
      <formula>AND(COUNT(C22:I22)=7,C22&lt;7*0.4)</formula>
    </cfRule>
    <cfRule type="expression" priority="36" dxfId="2">
      <formula>AND(COUNT(C22:I22)=7,C22&gt;=7*0.4,C22&lt;7)</formula>
    </cfRule>
  </conditionalFormatting>
  <conditionalFormatting sqref="C23">
    <cfRule type="expression" priority="37" dxfId="0">
      <formula>AND(COUNT(C23:I23)=7,C23=7)</formula>
    </cfRule>
    <cfRule type="expression" priority="38" dxfId="1">
      <formula>AND(COUNT(C23:I23)=7,C23&lt;7*0.4)</formula>
    </cfRule>
    <cfRule type="expression" priority="39" dxfId="2">
      <formula>AND(COUNT(C23:I23)=7,C23&gt;=7*0.4,C23&lt;7)</formula>
    </cfRule>
  </conditionalFormatting>
  <conditionalFormatting sqref="C24">
    <cfRule type="expression" priority="40" dxfId="0">
      <formula>AND(COUNT(C24:I24)=7,C24=7)</formula>
    </cfRule>
    <cfRule type="expression" priority="41" dxfId="1">
      <formula>AND(COUNT(C24:I24)=7,C24&lt;7*0.4)</formula>
    </cfRule>
    <cfRule type="expression" priority="42" dxfId="2">
      <formula>AND(COUNT(C24:I24)=7,C24&gt;=7*0.4,C24&lt;7)</formula>
    </cfRule>
  </conditionalFormatting>
  <conditionalFormatting sqref="C25">
    <cfRule type="expression" priority="43" dxfId="0">
      <formula>AND(COUNT(C25:I25)=7,C25=7)</formula>
    </cfRule>
    <cfRule type="expression" priority="44" dxfId="1">
      <formula>AND(COUNT(C25:I25)=7,C25&lt;7*0.4)</formula>
    </cfRule>
    <cfRule type="expression" priority="45" dxfId="2">
      <formula>AND(COUNT(C25:I25)=7,C25&gt;=7*0.4,C25&lt;7)</formula>
    </cfRule>
  </conditionalFormatting>
  <conditionalFormatting sqref="C26">
    <cfRule type="expression" priority="46" dxfId="0">
      <formula>AND(COUNT(C26:I26)=7,C26=7)</formula>
    </cfRule>
    <cfRule type="expression" priority="47" dxfId="1">
      <formula>AND(COUNT(C26:I26)=7,C26&lt;7*0.4)</formula>
    </cfRule>
    <cfRule type="expression" priority="48" dxfId="2">
      <formula>AND(COUNT(C26:I26)=7,C26&gt;=7*0.4,C26&lt;7)</formula>
    </cfRule>
  </conditionalFormatting>
  <conditionalFormatting sqref="C27">
    <cfRule type="expression" priority="49" dxfId="0">
      <formula>AND(COUNT(C27:I27)=7,C27=7)</formula>
    </cfRule>
    <cfRule type="expression" priority="50" dxfId="1">
      <formula>AND(COUNT(C27:I27)=7,C27&lt;7*0.4)</formula>
    </cfRule>
    <cfRule type="expression" priority="51" dxfId="2">
      <formula>AND(COUNT(C27:I27)=7,C27&gt;=7*0.4,C27&lt;7)</formula>
    </cfRule>
  </conditionalFormatting>
  <conditionalFormatting sqref="C28">
    <cfRule type="expression" priority="52" dxfId="0">
      <formula>AND(COUNT(C28:I28)=7,C28=7)</formula>
    </cfRule>
    <cfRule type="expression" priority="53" dxfId="1">
      <formula>AND(COUNT(C28:I28)=7,C28&lt;7*0.4)</formula>
    </cfRule>
    <cfRule type="expression" priority="54" dxfId="2">
      <formula>AND(COUNT(C28:I28)=7,C28&gt;=7*0.4,C28&lt;7)</formula>
    </cfRule>
  </conditionalFormatting>
  <conditionalFormatting sqref="C29">
    <cfRule type="expression" priority="55" dxfId="0">
      <formula>AND(COUNT(C29:I29)=7,C29=7)</formula>
    </cfRule>
    <cfRule type="expression" priority="56" dxfId="1">
      <formula>AND(COUNT(C29:I29)=7,C29&lt;7*0.4)</formula>
    </cfRule>
    <cfRule type="expression" priority="57" dxfId="2">
      <formula>AND(COUNT(C29:I29)=7,C29&gt;=7*0.4,C29&lt;7)</formula>
    </cfRule>
  </conditionalFormatting>
  <conditionalFormatting sqref="C30">
    <cfRule type="expression" priority="58" dxfId="0">
      <formula>AND(COUNT(C30:I30)=7,C30=7)</formula>
    </cfRule>
    <cfRule type="expression" priority="59" dxfId="1">
      <formula>AND(COUNT(C30:I30)=7,C30&lt;7*0.4)</formula>
    </cfRule>
    <cfRule type="expression" priority="60" dxfId="2">
      <formula>AND(COUNT(C30:I30)=7,C30&gt;=7*0.4,C30&lt;7)</formula>
    </cfRule>
  </conditionalFormatting>
  <conditionalFormatting sqref="C31">
    <cfRule type="expression" priority="61" dxfId="0">
      <formula>AND(COUNT(C31:I31)=7,C31=7)</formula>
    </cfRule>
    <cfRule type="expression" priority="62" dxfId="1">
      <formula>AND(COUNT(C31:I31)=7,C31&lt;7*0.4)</formula>
    </cfRule>
    <cfRule type="expression" priority="63" dxfId="2">
      <formula>AND(COUNT(C31:I31)=7,C31&gt;=7*0.4,C31&lt;7)</formula>
    </cfRule>
  </conditionalFormatting>
  <conditionalFormatting sqref="C32">
    <cfRule type="expression" priority="64" dxfId="0">
      <formula>AND(COUNT(C32:I32)=7,C32=7)</formula>
    </cfRule>
    <cfRule type="expression" priority="65" dxfId="1">
      <formula>AND(COUNT(C32:I32)=7,C32&lt;7*0.4)</formula>
    </cfRule>
    <cfRule type="expression" priority="66" dxfId="2">
      <formula>AND(COUNT(C32:I32)=7,C32&gt;=7*0.4,C32&lt;7)</formula>
    </cfRule>
  </conditionalFormatting>
  <conditionalFormatting sqref="C33">
    <cfRule type="expression" priority="67" dxfId="0">
      <formula>AND(COUNT(C33:I33)=7,C33=7)</formula>
    </cfRule>
    <cfRule type="expression" priority="68" dxfId="1">
      <formula>AND(COUNT(C33:I33)=7,C33&lt;7*0.4)</formula>
    </cfRule>
    <cfRule type="expression" priority="69" dxfId="2">
      <formula>AND(COUNT(C33:I33)=7,C33&gt;=7*0.4,C33&lt;7)</formula>
    </cfRule>
  </conditionalFormatting>
  <conditionalFormatting sqref="C34">
    <cfRule type="expression" priority="70" dxfId="0">
      <formula>AND(COUNT(C34:I34)=7,C34=7)</formula>
    </cfRule>
    <cfRule type="expression" priority="71" dxfId="1">
      <formula>AND(COUNT(C34:I34)=7,C34&lt;7*0.4)</formula>
    </cfRule>
    <cfRule type="expression" priority="72" dxfId="2">
      <formula>AND(COUNT(C34:I34)=7,C34&gt;=7*0.4,C34&lt;7)</formula>
    </cfRule>
  </conditionalFormatting>
  <conditionalFormatting sqref="C35">
    <cfRule type="expression" priority="73" dxfId="0">
      <formula>AND(COUNT(C35:I35)=7,C35=7)</formula>
    </cfRule>
    <cfRule type="expression" priority="74" dxfId="1">
      <formula>AND(COUNT(C35:I35)=7,C35&lt;7*0.4)</formula>
    </cfRule>
    <cfRule type="expression" priority="75" dxfId="2">
      <formula>AND(COUNT(C35:I35)=7,C35&gt;=7*0.4,C35&lt;7)</formula>
    </cfRule>
  </conditionalFormatting>
  <conditionalFormatting sqref="C36">
    <cfRule type="expression" priority="76" dxfId="0">
      <formula>AND(COUNT(C36:I36)=7,C36=7)</formula>
    </cfRule>
    <cfRule type="expression" priority="77" dxfId="1">
      <formula>AND(COUNT(C36:I36)=7,C36&lt;7*0.4)</formula>
    </cfRule>
    <cfRule type="expression" priority="78" dxfId="2">
      <formula>AND(COUNT(C36:I36)=7,C36&gt;=7*0.4,C36&lt;7)</formula>
    </cfRule>
  </conditionalFormatting>
  <conditionalFormatting sqref="C37">
    <cfRule type="expression" priority="79" dxfId="0">
      <formula>AND(COUNT(C37:I37)=7,C37=7)</formula>
    </cfRule>
    <cfRule type="expression" priority="80" dxfId="1">
      <formula>AND(COUNT(C37:I37)=7,C37&lt;7*0.4)</formula>
    </cfRule>
    <cfRule type="expression" priority="81" dxfId="2">
      <formula>AND(COUNT(C37:I37)=7,C37&gt;=7*0.4,C37&lt;7)</formula>
    </cfRule>
  </conditionalFormatting>
  <conditionalFormatting sqref="C38">
    <cfRule type="expression" priority="82" dxfId="0">
      <formula>AND(COUNT(C38:I38)=7,C38=7)</formula>
    </cfRule>
    <cfRule type="expression" priority="83" dxfId="1">
      <formula>AND(COUNT(C38:I38)=7,C38&lt;7*0.4)</formula>
    </cfRule>
    <cfRule type="expression" priority="84" dxfId="2">
      <formula>AND(COUNT(C38:I38)=7,C38&gt;=7*0.4,C38&lt;7)</formula>
    </cfRule>
  </conditionalFormatting>
  <conditionalFormatting sqref="C39">
    <cfRule type="expression" priority="85" dxfId="0">
      <formula>AND(COUNT(C39:I39)=7,C39=7)</formula>
    </cfRule>
    <cfRule type="expression" priority="86" dxfId="1">
      <formula>AND(COUNT(C39:I39)=7,C39&lt;7*0.4)</formula>
    </cfRule>
    <cfRule type="expression" priority="87" dxfId="2">
      <formula>AND(COUNT(C39:I39)=7,C39&gt;=7*0.4,C39&lt;7)</formula>
    </cfRule>
  </conditionalFormatting>
  <conditionalFormatting sqref="C40">
    <cfRule type="expression" priority="88" dxfId="0">
      <formula>AND(COUNT(C40:I40)=7,C40=7)</formula>
    </cfRule>
    <cfRule type="expression" priority="89" dxfId="1">
      <formula>AND(COUNT(C40:I40)=7,C40&lt;7*0.4)</formula>
    </cfRule>
    <cfRule type="expression" priority="90" dxfId="2">
      <formula>AND(COUNT(C40:I40)=7,C40&gt;=7*0.4,C40&lt;7)</formula>
    </cfRule>
  </conditionalFormatting>
  <conditionalFormatting sqref="C41">
    <cfRule type="expression" priority="91" dxfId="0">
      <formula>AND(COUNT(C41:I41)=7,C41=7)</formula>
    </cfRule>
    <cfRule type="expression" priority="92" dxfId="1">
      <formula>AND(COUNT(C41:I41)=7,C41&lt;7*0.4)</formula>
    </cfRule>
    <cfRule type="expression" priority="93" dxfId="2">
      <formula>AND(COUNT(C41:I41)=7,C41&gt;=7*0.4,C41&lt;7)</formula>
    </cfRule>
  </conditionalFormatting>
  <conditionalFormatting sqref="D11">
    <cfRule type="expression" priority="94" dxfId="0">
      <formula>AND(COUNT(C11:I11)=7,D11=5)</formula>
    </cfRule>
    <cfRule type="expression" priority="95" dxfId="1">
      <formula>AND(COUNT(C11:I11)=7,D11&lt;5*0.4)</formula>
    </cfRule>
    <cfRule type="expression" priority="96" dxfId="2">
      <formula>AND(COUNT(C11:I11)=7,D11&gt;=5*0.4,D11&lt;5)</formula>
    </cfRule>
  </conditionalFormatting>
  <conditionalFormatting sqref="D12">
    <cfRule type="expression" priority="97" dxfId="0">
      <formula>AND(COUNT(C12:I12)=7,D12=5)</formula>
    </cfRule>
    <cfRule type="expression" priority="98" dxfId="1">
      <formula>AND(COUNT(C12:I12)=7,D12&lt;5*0.4)</formula>
    </cfRule>
    <cfRule type="expression" priority="99" dxfId="2">
      <formula>AND(COUNT(C12:I12)=7,D12&gt;=5*0.4,D12&lt;5)</formula>
    </cfRule>
  </conditionalFormatting>
  <conditionalFormatting sqref="D13">
    <cfRule type="expression" priority="100" dxfId="0">
      <formula>AND(COUNT(C13:I13)=7,D13=5)</formula>
    </cfRule>
    <cfRule type="expression" priority="101" dxfId="1">
      <formula>AND(COUNT(C13:I13)=7,D13&lt;5*0.4)</formula>
    </cfRule>
    <cfRule type="expression" priority="102" dxfId="2">
      <formula>AND(COUNT(C13:I13)=7,D13&gt;=5*0.4,D13&lt;5)</formula>
    </cfRule>
  </conditionalFormatting>
  <conditionalFormatting sqref="D14">
    <cfRule type="expression" priority="103" dxfId="0">
      <formula>AND(COUNT(C14:I14)=7,D14=5)</formula>
    </cfRule>
    <cfRule type="expression" priority="104" dxfId="1">
      <formula>AND(COUNT(C14:I14)=7,D14&lt;5*0.4)</formula>
    </cfRule>
    <cfRule type="expression" priority="105" dxfId="2">
      <formula>AND(COUNT(C14:I14)=7,D14&gt;=5*0.4,D14&lt;5)</formula>
    </cfRule>
  </conditionalFormatting>
  <conditionalFormatting sqref="D15">
    <cfRule type="expression" priority="106" dxfId="0">
      <formula>AND(COUNT(C15:I15)=7,D15=5)</formula>
    </cfRule>
    <cfRule type="expression" priority="107" dxfId="1">
      <formula>AND(COUNT(C15:I15)=7,D15&lt;5*0.4)</formula>
    </cfRule>
    <cfRule type="expression" priority="108" dxfId="2">
      <formula>AND(COUNT(C15:I15)=7,D15&gt;=5*0.4,D15&lt;5)</formula>
    </cfRule>
  </conditionalFormatting>
  <conditionalFormatting sqref="D16">
    <cfRule type="expression" priority="109" dxfId="0">
      <formula>AND(COUNT(C16:I16)=7,D16=5)</formula>
    </cfRule>
    <cfRule type="expression" priority="110" dxfId="1">
      <formula>AND(COUNT(C16:I16)=7,D16&lt;5*0.4)</formula>
    </cfRule>
    <cfRule type="expression" priority="111" dxfId="2">
      <formula>AND(COUNT(C16:I16)=7,D16&gt;=5*0.4,D16&lt;5)</formula>
    </cfRule>
  </conditionalFormatting>
  <conditionalFormatting sqref="D17">
    <cfRule type="expression" priority="112" dxfId="0">
      <formula>AND(COUNT(C17:I17)=7,D17=5)</formula>
    </cfRule>
    <cfRule type="expression" priority="113" dxfId="1">
      <formula>AND(COUNT(C17:I17)=7,D17&lt;5*0.4)</formula>
    </cfRule>
    <cfRule type="expression" priority="114" dxfId="2">
      <formula>AND(COUNT(C17:I17)=7,D17&gt;=5*0.4,D17&lt;5)</formula>
    </cfRule>
  </conditionalFormatting>
  <conditionalFormatting sqref="D18">
    <cfRule type="expression" priority="115" dxfId="0">
      <formula>AND(COUNT(C18:I18)=7,D18=5)</formula>
    </cfRule>
    <cfRule type="expression" priority="116" dxfId="1">
      <formula>AND(COUNT(C18:I18)=7,D18&lt;5*0.4)</formula>
    </cfRule>
    <cfRule type="expression" priority="117" dxfId="2">
      <formula>AND(COUNT(C18:I18)=7,D18&gt;=5*0.4,D18&lt;5)</formula>
    </cfRule>
  </conditionalFormatting>
  <conditionalFormatting sqref="D19">
    <cfRule type="expression" priority="118" dxfId="0">
      <formula>AND(COUNT(C19:I19)=7,D19=5)</formula>
    </cfRule>
    <cfRule type="expression" priority="119" dxfId="1">
      <formula>AND(COUNT(C19:I19)=7,D19&lt;5*0.4)</formula>
    </cfRule>
    <cfRule type="expression" priority="120" dxfId="2">
      <formula>AND(COUNT(C19:I19)=7,D19&gt;=5*0.4,D19&lt;5)</formula>
    </cfRule>
  </conditionalFormatting>
  <conditionalFormatting sqref="D20">
    <cfRule type="expression" priority="121" dxfId="0">
      <formula>AND(COUNT(C20:I20)=7,D20=5)</formula>
    </cfRule>
    <cfRule type="expression" priority="122" dxfId="1">
      <formula>AND(COUNT(C20:I20)=7,D20&lt;5*0.4)</formula>
    </cfRule>
    <cfRule type="expression" priority="123" dxfId="2">
      <formula>AND(COUNT(C20:I20)=7,D20&gt;=5*0.4,D20&lt;5)</formula>
    </cfRule>
  </conditionalFormatting>
  <conditionalFormatting sqref="D21">
    <cfRule type="expression" priority="124" dxfId="0">
      <formula>AND(COUNT(C21:I21)=7,D21=5)</formula>
    </cfRule>
    <cfRule type="expression" priority="125" dxfId="1">
      <formula>AND(COUNT(C21:I21)=7,D21&lt;5*0.4)</formula>
    </cfRule>
    <cfRule type="expression" priority="126" dxfId="2">
      <formula>AND(COUNT(C21:I21)=7,D21&gt;=5*0.4,D21&lt;5)</formula>
    </cfRule>
  </conditionalFormatting>
  <conditionalFormatting sqref="D22">
    <cfRule type="expression" priority="127" dxfId="0">
      <formula>AND(COUNT(C22:I22)=7,D22=5)</formula>
    </cfRule>
    <cfRule type="expression" priority="128" dxfId="1">
      <formula>AND(COUNT(C22:I22)=7,D22&lt;5*0.4)</formula>
    </cfRule>
    <cfRule type="expression" priority="129" dxfId="2">
      <formula>AND(COUNT(C22:I22)=7,D22&gt;=5*0.4,D22&lt;5)</formula>
    </cfRule>
  </conditionalFormatting>
  <conditionalFormatting sqref="D23">
    <cfRule type="expression" priority="130" dxfId="0">
      <formula>AND(COUNT(C23:I23)=7,D23=5)</formula>
    </cfRule>
    <cfRule type="expression" priority="131" dxfId="1">
      <formula>AND(COUNT(C23:I23)=7,D23&lt;5*0.4)</formula>
    </cfRule>
    <cfRule type="expression" priority="132" dxfId="2">
      <formula>AND(COUNT(C23:I23)=7,D23&gt;=5*0.4,D23&lt;5)</formula>
    </cfRule>
  </conditionalFormatting>
  <conditionalFormatting sqref="D24">
    <cfRule type="expression" priority="133" dxfId="0">
      <formula>AND(COUNT(C24:I24)=7,D24=5)</formula>
    </cfRule>
    <cfRule type="expression" priority="134" dxfId="1">
      <formula>AND(COUNT(C24:I24)=7,D24&lt;5*0.4)</formula>
    </cfRule>
    <cfRule type="expression" priority="135" dxfId="2">
      <formula>AND(COUNT(C24:I24)=7,D24&gt;=5*0.4,D24&lt;5)</formula>
    </cfRule>
  </conditionalFormatting>
  <conditionalFormatting sqref="D25">
    <cfRule type="expression" priority="136" dxfId="0">
      <formula>AND(COUNT(C25:I25)=7,D25=5)</formula>
    </cfRule>
    <cfRule type="expression" priority="137" dxfId="1">
      <formula>AND(COUNT(C25:I25)=7,D25&lt;5*0.4)</formula>
    </cfRule>
    <cfRule type="expression" priority="138" dxfId="2">
      <formula>AND(COUNT(C25:I25)=7,D25&gt;=5*0.4,D25&lt;5)</formula>
    </cfRule>
  </conditionalFormatting>
  <conditionalFormatting sqref="D26">
    <cfRule type="expression" priority="139" dxfId="0">
      <formula>AND(COUNT(C26:I26)=7,D26=5)</formula>
    </cfRule>
    <cfRule type="expression" priority="140" dxfId="1">
      <formula>AND(COUNT(C26:I26)=7,D26&lt;5*0.4)</formula>
    </cfRule>
    <cfRule type="expression" priority="141" dxfId="2">
      <formula>AND(COUNT(C26:I26)=7,D26&gt;=5*0.4,D26&lt;5)</formula>
    </cfRule>
  </conditionalFormatting>
  <conditionalFormatting sqref="D27">
    <cfRule type="expression" priority="142" dxfId="0">
      <formula>AND(COUNT(C27:I27)=7,D27=5)</formula>
    </cfRule>
    <cfRule type="expression" priority="143" dxfId="1">
      <formula>AND(COUNT(C27:I27)=7,D27&lt;5*0.4)</formula>
    </cfRule>
    <cfRule type="expression" priority="144" dxfId="2">
      <formula>AND(COUNT(C27:I27)=7,D27&gt;=5*0.4,D27&lt;5)</formula>
    </cfRule>
  </conditionalFormatting>
  <conditionalFormatting sqref="D28">
    <cfRule type="expression" priority="145" dxfId="0">
      <formula>AND(COUNT(C28:I28)=7,D28=5)</formula>
    </cfRule>
    <cfRule type="expression" priority="146" dxfId="1">
      <formula>AND(COUNT(C28:I28)=7,D28&lt;5*0.4)</formula>
    </cfRule>
    <cfRule type="expression" priority="147" dxfId="2">
      <formula>AND(COUNT(C28:I28)=7,D28&gt;=5*0.4,D28&lt;5)</formula>
    </cfRule>
  </conditionalFormatting>
  <conditionalFormatting sqref="D29">
    <cfRule type="expression" priority="148" dxfId="0">
      <formula>AND(COUNT(C29:I29)=7,D29=5)</formula>
    </cfRule>
    <cfRule type="expression" priority="149" dxfId="1">
      <formula>AND(COUNT(C29:I29)=7,D29&lt;5*0.4)</formula>
    </cfRule>
    <cfRule type="expression" priority="150" dxfId="2">
      <formula>AND(COUNT(C29:I29)=7,D29&gt;=5*0.4,D29&lt;5)</formula>
    </cfRule>
  </conditionalFormatting>
  <conditionalFormatting sqref="D30">
    <cfRule type="expression" priority="151" dxfId="0">
      <formula>AND(COUNT(C30:I30)=7,D30=5)</formula>
    </cfRule>
    <cfRule type="expression" priority="152" dxfId="1">
      <formula>AND(COUNT(C30:I30)=7,D30&lt;5*0.4)</formula>
    </cfRule>
    <cfRule type="expression" priority="153" dxfId="2">
      <formula>AND(COUNT(C30:I30)=7,D30&gt;=5*0.4,D30&lt;5)</formula>
    </cfRule>
  </conditionalFormatting>
  <conditionalFormatting sqref="D31">
    <cfRule type="expression" priority="154" dxfId="0">
      <formula>AND(COUNT(C31:I31)=7,D31=5)</formula>
    </cfRule>
    <cfRule type="expression" priority="155" dxfId="1">
      <formula>AND(COUNT(C31:I31)=7,D31&lt;5*0.4)</formula>
    </cfRule>
    <cfRule type="expression" priority="156" dxfId="2">
      <formula>AND(COUNT(C31:I31)=7,D31&gt;=5*0.4,D31&lt;5)</formula>
    </cfRule>
  </conditionalFormatting>
  <conditionalFormatting sqref="D32">
    <cfRule type="expression" priority="157" dxfId="0">
      <formula>AND(COUNT(C32:I32)=7,D32=5)</formula>
    </cfRule>
    <cfRule type="expression" priority="158" dxfId="1">
      <formula>AND(COUNT(C32:I32)=7,D32&lt;5*0.4)</formula>
    </cfRule>
    <cfRule type="expression" priority="159" dxfId="2">
      <formula>AND(COUNT(C32:I32)=7,D32&gt;=5*0.4,D32&lt;5)</formula>
    </cfRule>
  </conditionalFormatting>
  <conditionalFormatting sqref="D33">
    <cfRule type="expression" priority="160" dxfId="0">
      <formula>AND(COUNT(C33:I33)=7,D33=5)</formula>
    </cfRule>
    <cfRule type="expression" priority="161" dxfId="1">
      <formula>AND(COUNT(C33:I33)=7,D33&lt;5*0.4)</formula>
    </cfRule>
    <cfRule type="expression" priority="162" dxfId="2">
      <formula>AND(COUNT(C33:I33)=7,D33&gt;=5*0.4,D33&lt;5)</formula>
    </cfRule>
  </conditionalFormatting>
  <conditionalFormatting sqref="D34">
    <cfRule type="expression" priority="163" dxfId="0">
      <formula>AND(COUNT(C34:I34)=7,D34=5)</formula>
    </cfRule>
    <cfRule type="expression" priority="164" dxfId="1">
      <formula>AND(COUNT(C34:I34)=7,D34&lt;5*0.4)</formula>
    </cfRule>
    <cfRule type="expression" priority="165" dxfId="2">
      <formula>AND(COUNT(C34:I34)=7,D34&gt;=5*0.4,D34&lt;5)</formula>
    </cfRule>
  </conditionalFormatting>
  <conditionalFormatting sqref="D35">
    <cfRule type="expression" priority="166" dxfId="0">
      <formula>AND(COUNT(C35:I35)=7,D35=5)</formula>
    </cfRule>
    <cfRule type="expression" priority="167" dxfId="1">
      <formula>AND(COUNT(C35:I35)=7,D35&lt;5*0.4)</formula>
    </cfRule>
    <cfRule type="expression" priority="168" dxfId="2">
      <formula>AND(COUNT(C35:I35)=7,D35&gt;=5*0.4,D35&lt;5)</formula>
    </cfRule>
  </conditionalFormatting>
  <conditionalFormatting sqref="D36">
    <cfRule type="expression" priority="169" dxfId="0">
      <formula>AND(COUNT(C36:I36)=7,D36=5)</formula>
    </cfRule>
    <cfRule type="expression" priority="170" dxfId="1">
      <formula>AND(COUNT(C36:I36)=7,D36&lt;5*0.4)</formula>
    </cfRule>
    <cfRule type="expression" priority="171" dxfId="2">
      <formula>AND(COUNT(C36:I36)=7,D36&gt;=5*0.4,D36&lt;5)</formula>
    </cfRule>
  </conditionalFormatting>
  <conditionalFormatting sqref="D37">
    <cfRule type="expression" priority="172" dxfId="0">
      <formula>AND(COUNT(C37:I37)=7,D37=5)</formula>
    </cfRule>
    <cfRule type="expression" priority="173" dxfId="1">
      <formula>AND(COUNT(C37:I37)=7,D37&lt;5*0.4)</formula>
    </cfRule>
    <cfRule type="expression" priority="174" dxfId="2">
      <formula>AND(COUNT(C37:I37)=7,D37&gt;=5*0.4,D37&lt;5)</formula>
    </cfRule>
  </conditionalFormatting>
  <conditionalFormatting sqref="D38">
    <cfRule type="expression" priority="175" dxfId="0">
      <formula>AND(COUNT(C38:I38)=7,D38=5)</formula>
    </cfRule>
    <cfRule type="expression" priority="176" dxfId="1">
      <formula>AND(COUNT(C38:I38)=7,D38&lt;5*0.4)</formula>
    </cfRule>
    <cfRule type="expression" priority="177" dxfId="2">
      <formula>AND(COUNT(C38:I38)=7,D38&gt;=5*0.4,D38&lt;5)</formula>
    </cfRule>
  </conditionalFormatting>
  <conditionalFormatting sqref="D39">
    <cfRule type="expression" priority="178" dxfId="0">
      <formula>AND(COUNT(C39:I39)=7,D39=5)</formula>
    </cfRule>
    <cfRule type="expression" priority="179" dxfId="1">
      <formula>AND(COUNT(C39:I39)=7,D39&lt;5*0.4)</formula>
    </cfRule>
    <cfRule type="expression" priority="180" dxfId="2">
      <formula>AND(COUNT(C39:I39)=7,D39&gt;=5*0.4,D39&lt;5)</formula>
    </cfRule>
  </conditionalFormatting>
  <conditionalFormatting sqref="D40">
    <cfRule type="expression" priority="181" dxfId="0">
      <formula>AND(COUNT(C40:I40)=7,D40=5)</formula>
    </cfRule>
    <cfRule type="expression" priority="182" dxfId="1">
      <formula>AND(COUNT(C40:I40)=7,D40&lt;5*0.4)</formula>
    </cfRule>
    <cfRule type="expression" priority="183" dxfId="2">
      <formula>AND(COUNT(C40:I40)=7,D40&gt;=5*0.4,D40&lt;5)</formula>
    </cfRule>
  </conditionalFormatting>
  <conditionalFormatting sqref="D41">
    <cfRule type="expression" priority="184" dxfId="0">
      <formula>AND(COUNT(C41:I41)=7,D41=5)</formula>
    </cfRule>
    <cfRule type="expression" priority="185" dxfId="1">
      <formula>AND(COUNT(C41:I41)=7,D41&lt;5*0.4)</formula>
    </cfRule>
    <cfRule type="expression" priority="186" dxfId="2">
      <formula>AND(COUNT(C41:I41)=7,D41&gt;=5*0.4,D41&lt;5)</formula>
    </cfRule>
  </conditionalFormatting>
  <conditionalFormatting sqref="E11">
    <cfRule type="expression" priority="187" dxfId="0">
      <formula>AND(COUNT(C11:I11)=7,E11=7)</formula>
    </cfRule>
    <cfRule type="expression" priority="188" dxfId="1">
      <formula>AND(COUNT(C11:I11)=7,E11&lt;7*0.4)</formula>
    </cfRule>
    <cfRule type="expression" priority="189" dxfId="2">
      <formula>AND(COUNT(C11:I11)=7,E11&gt;=7*0.4,E11&lt;7)</formula>
    </cfRule>
  </conditionalFormatting>
  <conditionalFormatting sqref="E12">
    <cfRule type="expression" priority="190" dxfId="0">
      <formula>AND(COUNT(C12:I12)=7,E12=7)</formula>
    </cfRule>
    <cfRule type="expression" priority="191" dxfId="1">
      <formula>AND(COUNT(C12:I12)=7,E12&lt;7*0.4)</formula>
    </cfRule>
    <cfRule type="expression" priority="192" dxfId="2">
      <formula>AND(COUNT(C12:I12)=7,E12&gt;=7*0.4,E12&lt;7)</formula>
    </cfRule>
  </conditionalFormatting>
  <conditionalFormatting sqref="E13">
    <cfRule type="expression" priority="193" dxfId="0">
      <formula>AND(COUNT(C13:I13)=7,E13=7)</formula>
    </cfRule>
    <cfRule type="expression" priority="194" dxfId="1">
      <formula>AND(COUNT(C13:I13)=7,E13&lt;7*0.4)</formula>
    </cfRule>
    <cfRule type="expression" priority="195" dxfId="2">
      <formula>AND(COUNT(C13:I13)=7,E13&gt;=7*0.4,E13&lt;7)</formula>
    </cfRule>
  </conditionalFormatting>
  <conditionalFormatting sqref="E14">
    <cfRule type="expression" priority="196" dxfId="0">
      <formula>AND(COUNT(C14:I14)=7,E14=7)</formula>
    </cfRule>
    <cfRule type="expression" priority="197" dxfId="1">
      <formula>AND(COUNT(C14:I14)=7,E14&lt;7*0.4)</formula>
    </cfRule>
    <cfRule type="expression" priority="198" dxfId="2">
      <formula>AND(COUNT(C14:I14)=7,E14&gt;=7*0.4,E14&lt;7)</formula>
    </cfRule>
  </conditionalFormatting>
  <conditionalFormatting sqref="E15">
    <cfRule type="expression" priority="199" dxfId="0">
      <formula>AND(COUNT(C15:I15)=7,E15=7)</formula>
    </cfRule>
    <cfRule type="expression" priority="200" dxfId="1">
      <formula>AND(COUNT(C15:I15)=7,E15&lt;7*0.4)</formula>
    </cfRule>
    <cfRule type="expression" priority="201" dxfId="2">
      <formula>AND(COUNT(C15:I15)=7,E15&gt;=7*0.4,E15&lt;7)</formula>
    </cfRule>
  </conditionalFormatting>
  <conditionalFormatting sqref="E16">
    <cfRule type="expression" priority="202" dxfId="0">
      <formula>AND(COUNT(C16:I16)=7,E16=7)</formula>
    </cfRule>
    <cfRule type="expression" priority="203" dxfId="1">
      <formula>AND(COUNT(C16:I16)=7,E16&lt;7*0.4)</formula>
    </cfRule>
    <cfRule type="expression" priority="204" dxfId="2">
      <formula>AND(COUNT(C16:I16)=7,E16&gt;=7*0.4,E16&lt;7)</formula>
    </cfRule>
  </conditionalFormatting>
  <conditionalFormatting sqref="E17">
    <cfRule type="expression" priority="205" dxfId="0">
      <formula>AND(COUNT(C17:I17)=7,E17=7)</formula>
    </cfRule>
    <cfRule type="expression" priority="206" dxfId="1">
      <formula>AND(COUNT(C17:I17)=7,E17&lt;7*0.4)</formula>
    </cfRule>
    <cfRule type="expression" priority="207" dxfId="2">
      <formula>AND(COUNT(C17:I17)=7,E17&gt;=7*0.4,E17&lt;7)</formula>
    </cfRule>
  </conditionalFormatting>
  <conditionalFormatting sqref="E18">
    <cfRule type="expression" priority="208" dxfId="0">
      <formula>AND(COUNT(C18:I18)=7,E18=7)</formula>
    </cfRule>
    <cfRule type="expression" priority="209" dxfId="1">
      <formula>AND(COUNT(C18:I18)=7,E18&lt;7*0.4)</formula>
    </cfRule>
    <cfRule type="expression" priority="210" dxfId="2">
      <formula>AND(COUNT(C18:I18)=7,E18&gt;=7*0.4,E18&lt;7)</formula>
    </cfRule>
  </conditionalFormatting>
  <conditionalFormatting sqref="E19">
    <cfRule type="expression" priority="211" dxfId="0">
      <formula>AND(COUNT(C19:I19)=7,E19=7)</formula>
    </cfRule>
    <cfRule type="expression" priority="212" dxfId="1">
      <formula>AND(COUNT(C19:I19)=7,E19&lt;7*0.4)</formula>
    </cfRule>
    <cfRule type="expression" priority="213" dxfId="2">
      <formula>AND(COUNT(C19:I19)=7,E19&gt;=7*0.4,E19&lt;7)</formula>
    </cfRule>
  </conditionalFormatting>
  <conditionalFormatting sqref="E20">
    <cfRule type="expression" priority="214" dxfId="0">
      <formula>AND(COUNT(C20:I20)=7,E20=7)</formula>
    </cfRule>
    <cfRule type="expression" priority="215" dxfId="1">
      <formula>AND(COUNT(C20:I20)=7,E20&lt;7*0.4)</formula>
    </cfRule>
    <cfRule type="expression" priority="216" dxfId="2">
      <formula>AND(COUNT(C20:I20)=7,E20&gt;=7*0.4,E20&lt;7)</formula>
    </cfRule>
  </conditionalFormatting>
  <conditionalFormatting sqref="E21">
    <cfRule type="expression" priority="217" dxfId="0">
      <formula>AND(COUNT(C21:I21)=7,E21=7)</formula>
    </cfRule>
    <cfRule type="expression" priority="218" dxfId="1">
      <formula>AND(COUNT(C21:I21)=7,E21&lt;7*0.4)</formula>
    </cfRule>
    <cfRule type="expression" priority="219" dxfId="2">
      <formula>AND(COUNT(C21:I21)=7,E21&gt;=7*0.4,E21&lt;7)</formula>
    </cfRule>
  </conditionalFormatting>
  <conditionalFormatting sqref="E22">
    <cfRule type="expression" priority="220" dxfId="0">
      <formula>AND(COUNT(C22:I22)=7,E22=7)</formula>
    </cfRule>
    <cfRule type="expression" priority="221" dxfId="1">
      <formula>AND(COUNT(C22:I22)=7,E22&lt;7*0.4)</formula>
    </cfRule>
    <cfRule type="expression" priority="222" dxfId="2">
      <formula>AND(COUNT(C22:I22)=7,E22&gt;=7*0.4,E22&lt;7)</formula>
    </cfRule>
  </conditionalFormatting>
  <conditionalFormatting sqref="E23">
    <cfRule type="expression" priority="223" dxfId="0">
      <formula>AND(COUNT(C23:I23)=7,E23=7)</formula>
    </cfRule>
    <cfRule type="expression" priority="224" dxfId="1">
      <formula>AND(COUNT(C23:I23)=7,E23&lt;7*0.4)</formula>
    </cfRule>
    <cfRule type="expression" priority="225" dxfId="2">
      <formula>AND(COUNT(C23:I23)=7,E23&gt;=7*0.4,E23&lt;7)</formula>
    </cfRule>
  </conditionalFormatting>
  <conditionalFormatting sqref="E24">
    <cfRule type="expression" priority="226" dxfId="0">
      <formula>AND(COUNT(C24:I24)=7,E24=7)</formula>
    </cfRule>
    <cfRule type="expression" priority="227" dxfId="1">
      <formula>AND(COUNT(C24:I24)=7,E24&lt;7*0.4)</formula>
    </cfRule>
    <cfRule type="expression" priority="228" dxfId="2">
      <formula>AND(COUNT(C24:I24)=7,E24&gt;=7*0.4,E24&lt;7)</formula>
    </cfRule>
  </conditionalFormatting>
  <conditionalFormatting sqref="E25">
    <cfRule type="expression" priority="229" dxfId="0">
      <formula>AND(COUNT(C25:I25)=7,E25=7)</formula>
    </cfRule>
    <cfRule type="expression" priority="230" dxfId="1">
      <formula>AND(COUNT(C25:I25)=7,E25&lt;7*0.4)</formula>
    </cfRule>
    <cfRule type="expression" priority="231" dxfId="2">
      <formula>AND(COUNT(C25:I25)=7,E25&gt;=7*0.4,E25&lt;7)</formula>
    </cfRule>
  </conditionalFormatting>
  <conditionalFormatting sqref="E26">
    <cfRule type="expression" priority="232" dxfId="0">
      <formula>AND(COUNT(C26:I26)=7,E26=7)</formula>
    </cfRule>
    <cfRule type="expression" priority="233" dxfId="1">
      <formula>AND(COUNT(C26:I26)=7,E26&lt;7*0.4)</formula>
    </cfRule>
    <cfRule type="expression" priority="234" dxfId="2">
      <formula>AND(COUNT(C26:I26)=7,E26&gt;=7*0.4,E26&lt;7)</formula>
    </cfRule>
  </conditionalFormatting>
  <conditionalFormatting sqref="E27">
    <cfRule type="expression" priority="235" dxfId="0">
      <formula>AND(COUNT(C27:I27)=7,E27=7)</formula>
    </cfRule>
    <cfRule type="expression" priority="236" dxfId="1">
      <formula>AND(COUNT(C27:I27)=7,E27&lt;7*0.4)</formula>
    </cfRule>
    <cfRule type="expression" priority="237" dxfId="2">
      <formula>AND(COUNT(C27:I27)=7,E27&gt;=7*0.4,E27&lt;7)</formula>
    </cfRule>
  </conditionalFormatting>
  <conditionalFormatting sqref="E28">
    <cfRule type="expression" priority="238" dxfId="0">
      <formula>AND(COUNT(C28:I28)=7,E28=7)</formula>
    </cfRule>
    <cfRule type="expression" priority="239" dxfId="1">
      <formula>AND(COUNT(C28:I28)=7,E28&lt;7*0.4)</formula>
    </cfRule>
    <cfRule type="expression" priority="240" dxfId="2">
      <formula>AND(COUNT(C28:I28)=7,E28&gt;=7*0.4,E28&lt;7)</formula>
    </cfRule>
  </conditionalFormatting>
  <conditionalFormatting sqref="E29">
    <cfRule type="expression" priority="241" dxfId="0">
      <formula>AND(COUNT(C29:I29)=7,E29=7)</formula>
    </cfRule>
    <cfRule type="expression" priority="242" dxfId="1">
      <formula>AND(COUNT(C29:I29)=7,E29&lt;7*0.4)</formula>
    </cfRule>
    <cfRule type="expression" priority="243" dxfId="2">
      <formula>AND(COUNT(C29:I29)=7,E29&gt;=7*0.4,E29&lt;7)</formula>
    </cfRule>
  </conditionalFormatting>
  <conditionalFormatting sqref="E30">
    <cfRule type="expression" priority="244" dxfId="0">
      <formula>AND(COUNT(C30:I30)=7,E30=7)</formula>
    </cfRule>
    <cfRule type="expression" priority="245" dxfId="1">
      <formula>AND(COUNT(C30:I30)=7,E30&lt;7*0.4)</formula>
    </cfRule>
    <cfRule type="expression" priority="246" dxfId="2">
      <formula>AND(COUNT(C30:I30)=7,E30&gt;=7*0.4,E30&lt;7)</formula>
    </cfRule>
  </conditionalFormatting>
  <conditionalFormatting sqref="E31">
    <cfRule type="expression" priority="247" dxfId="0">
      <formula>AND(COUNT(C31:I31)=7,E31=7)</formula>
    </cfRule>
    <cfRule type="expression" priority="248" dxfId="1">
      <formula>AND(COUNT(C31:I31)=7,E31&lt;7*0.4)</formula>
    </cfRule>
    <cfRule type="expression" priority="249" dxfId="2">
      <formula>AND(COUNT(C31:I31)=7,E31&gt;=7*0.4,E31&lt;7)</formula>
    </cfRule>
  </conditionalFormatting>
  <conditionalFormatting sqref="E32">
    <cfRule type="expression" priority="250" dxfId="0">
      <formula>AND(COUNT(C32:I32)=7,E32=7)</formula>
    </cfRule>
    <cfRule type="expression" priority="251" dxfId="1">
      <formula>AND(COUNT(C32:I32)=7,E32&lt;7*0.4)</formula>
    </cfRule>
    <cfRule type="expression" priority="252" dxfId="2">
      <formula>AND(COUNT(C32:I32)=7,E32&gt;=7*0.4,E32&lt;7)</formula>
    </cfRule>
  </conditionalFormatting>
  <conditionalFormatting sqref="E33">
    <cfRule type="expression" priority="253" dxfId="0">
      <formula>AND(COUNT(C33:I33)=7,E33=7)</formula>
    </cfRule>
    <cfRule type="expression" priority="254" dxfId="1">
      <formula>AND(COUNT(C33:I33)=7,E33&lt;7*0.4)</formula>
    </cfRule>
    <cfRule type="expression" priority="255" dxfId="2">
      <formula>AND(COUNT(C33:I33)=7,E33&gt;=7*0.4,E33&lt;7)</formula>
    </cfRule>
  </conditionalFormatting>
  <conditionalFormatting sqref="E34">
    <cfRule type="expression" priority="256" dxfId="0">
      <formula>AND(COUNT(C34:I34)=7,E34=7)</formula>
    </cfRule>
    <cfRule type="expression" priority="257" dxfId="1">
      <formula>AND(COUNT(C34:I34)=7,E34&lt;7*0.4)</formula>
    </cfRule>
    <cfRule type="expression" priority="258" dxfId="2">
      <formula>AND(COUNT(C34:I34)=7,E34&gt;=7*0.4,E34&lt;7)</formula>
    </cfRule>
  </conditionalFormatting>
  <conditionalFormatting sqref="E35">
    <cfRule type="expression" priority="259" dxfId="0">
      <formula>AND(COUNT(C35:I35)=7,E35=7)</formula>
    </cfRule>
    <cfRule type="expression" priority="260" dxfId="1">
      <formula>AND(COUNT(C35:I35)=7,E35&lt;7*0.4)</formula>
    </cfRule>
    <cfRule type="expression" priority="261" dxfId="2">
      <formula>AND(COUNT(C35:I35)=7,E35&gt;=7*0.4,E35&lt;7)</formula>
    </cfRule>
  </conditionalFormatting>
  <conditionalFormatting sqref="E36">
    <cfRule type="expression" priority="262" dxfId="0">
      <formula>AND(COUNT(C36:I36)=7,E36=7)</formula>
    </cfRule>
    <cfRule type="expression" priority="263" dxfId="1">
      <formula>AND(COUNT(C36:I36)=7,E36&lt;7*0.4)</formula>
    </cfRule>
    <cfRule type="expression" priority="264" dxfId="2">
      <formula>AND(COUNT(C36:I36)=7,E36&gt;=7*0.4,E36&lt;7)</formula>
    </cfRule>
  </conditionalFormatting>
  <conditionalFormatting sqref="E37">
    <cfRule type="expression" priority="265" dxfId="0">
      <formula>AND(COUNT(C37:I37)=7,E37=7)</formula>
    </cfRule>
    <cfRule type="expression" priority="266" dxfId="1">
      <formula>AND(COUNT(C37:I37)=7,E37&lt;7*0.4)</formula>
    </cfRule>
    <cfRule type="expression" priority="267" dxfId="2">
      <formula>AND(COUNT(C37:I37)=7,E37&gt;=7*0.4,E37&lt;7)</formula>
    </cfRule>
  </conditionalFormatting>
  <conditionalFormatting sqref="E38">
    <cfRule type="expression" priority="268" dxfId="0">
      <formula>AND(COUNT(C38:I38)=7,E38=7)</formula>
    </cfRule>
    <cfRule type="expression" priority="269" dxfId="1">
      <formula>AND(COUNT(C38:I38)=7,E38&lt;7*0.4)</formula>
    </cfRule>
    <cfRule type="expression" priority="270" dxfId="2">
      <formula>AND(COUNT(C38:I38)=7,E38&gt;=7*0.4,E38&lt;7)</formula>
    </cfRule>
  </conditionalFormatting>
  <conditionalFormatting sqref="E39">
    <cfRule type="expression" priority="271" dxfId="0">
      <formula>AND(COUNT(C39:I39)=7,E39=7)</formula>
    </cfRule>
    <cfRule type="expression" priority="272" dxfId="1">
      <formula>AND(COUNT(C39:I39)=7,E39&lt;7*0.4)</formula>
    </cfRule>
    <cfRule type="expression" priority="273" dxfId="2">
      <formula>AND(COUNT(C39:I39)=7,E39&gt;=7*0.4,E39&lt;7)</formula>
    </cfRule>
  </conditionalFormatting>
  <conditionalFormatting sqref="E40">
    <cfRule type="expression" priority="274" dxfId="0">
      <formula>AND(COUNT(C40:I40)=7,E40=7)</formula>
    </cfRule>
    <cfRule type="expression" priority="275" dxfId="1">
      <formula>AND(COUNT(C40:I40)=7,E40&lt;7*0.4)</formula>
    </cfRule>
    <cfRule type="expression" priority="276" dxfId="2">
      <formula>AND(COUNT(C40:I40)=7,E40&gt;=7*0.4,E40&lt;7)</formula>
    </cfRule>
  </conditionalFormatting>
  <conditionalFormatting sqref="E41">
    <cfRule type="expression" priority="277" dxfId="0">
      <formula>AND(COUNT(C41:I41)=7,E41=7)</formula>
    </cfRule>
    <cfRule type="expression" priority="278" dxfId="1">
      <formula>AND(COUNT(C41:I41)=7,E41&lt;7*0.4)</formula>
    </cfRule>
    <cfRule type="expression" priority="279" dxfId="2">
      <formula>AND(COUNT(C41:I41)=7,E41&gt;=7*0.4,E41&lt;7)</formula>
    </cfRule>
  </conditionalFormatting>
  <conditionalFormatting sqref="F11">
    <cfRule type="expression" priority="280" dxfId="0">
      <formula>AND(COUNT(C11:I11)=7,F11=9)</formula>
    </cfRule>
    <cfRule type="expression" priority="281" dxfId="1">
      <formula>AND(COUNT(C11:I11)=7,F11&lt;9*0.4)</formula>
    </cfRule>
    <cfRule type="expression" priority="282" dxfId="2">
      <formula>AND(COUNT(C11:I11)=7,F11&gt;=9*0.4,F11&lt;9)</formula>
    </cfRule>
  </conditionalFormatting>
  <conditionalFormatting sqref="F12">
    <cfRule type="expression" priority="283" dxfId="0">
      <formula>AND(COUNT(C12:I12)=7,F12=9)</formula>
    </cfRule>
    <cfRule type="expression" priority="284" dxfId="1">
      <formula>AND(COUNT(C12:I12)=7,F12&lt;9*0.4)</formula>
    </cfRule>
    <cfRule type="expression" priority="285" dxfId="2">
      <formula>AND(COUNT(C12:I12)=7,F12&gt;=9*0.4,F12&lt;9)</formula>
    </cfRule>
  </conditionalFormatting>
  <conditionalFormatting sqref="F13">
    <cfRule type="expression" priority="286" dxfId="0">
      <formula>AND(COUNT(C13:I13)=7,F13=9)</formula>
    </cfRule>
    <cfRule type="expression" priority="287" dxfId="1">
      <formula>AND(COUNT(C13:I13)=7,F13&lt;9*0.4)</formula>
    </cfRule>
    <cfRule type="expression" priority="288" dxfId="2">
      <formula>AND(COUNT(C13:I13)=7,F13&gt;=9*0.4,F13&lt;9)</formula>
    </cfRule>
  </conditionalFormatting>
  <conditionalFormatting sqref="F14">
    <cfRule type="expression" priority="289" dxfId="0">
      <formula>AND(COUNT(C14:I14)=7,F14=9)</formula>
    </cfRule>
    <cfRule type="expression" priority="290" dxfId="1">
      <formula>AND(COUNT(C14:I14)=7,F14&lt;9*0.4)</formula>
    </cfRule>
    <cfRule type="expression" priority="291" dxfId="2">
      <formula>AND(COUNT(C14:I14)=7,F14&gt;=9*0.4,F14&lt;9)</formula>
    </cfRule>
  </conditionalFormatting>
  <conditionalFormatting sqref="F15">
    <cfRule type="expression" priority="292" dxfId="0">
      <formula>AND(COUNT(C15:I15)=7,F15=9)</formula>
    </cfRule>
    <cfRule type="expression" priority="293" dxfId="1">
      <formula>AND(COUNT(C15:I15)=7,F15&lt;9*0.4)</formula>
    </cfRule>
    <cfRule type="expression" priority="294" dxfId="2">
      <formula>AND(COUNT(C15:I15)=7,F15&gt;=9*0.4,F15&lt;9)</formula>
    </cfRule>
  </conditionalFormatting>
  <conditionalFormatting sqref="F16">
    <cfRule type="expression" priority="295" dxfId="0">
      <formula>AND(COUNT(C16:I16)=7,F16=9)</formula>
    </cfRule>
    <cfRule type="expression" priority="296" dxfId="1">
      <formula>AND(COUNT(C16:I16)=7,F16&lt;9*0.4)</formula>
    </cfRule>
    <cfRule type="expression" priority="297" dxfId="2">
      <formula>AND(COUNT(C16:I16)=7,F16&gt;=9*0.4,F16&lt;9)</formula>
    </cfRule>
  </conditionalFormatting>
  <conditionalFormatting sqref="F17">
    <cfRule type="expression" priority="298" dxfId="0">
      <formula>AND(COUNT(C17:I17)=7,F17=9)</formula>
    </cfRule>
    <cfRule type="expression" priority="299" dxfId="1">
      <formula>AND(COUNT(C17:I17)=7,F17&lt;9*0.4)</formula>
    </cfRule>
    <cfRule type="expression" priority="300" dxfId="2">
      <formula>AND(COUNT(C17:I17)=7,F17&gt;=9*0.4,F17&lt;9)</formula>
    </cfRule>
  </conditionalFormatting>
  <conditionalFormatting sqref="F18">
    <cfRule type="expression" priority="301" dxfId="0">
      <formula>AND(COUNT(C18:I18)=7,F18=9)</formula>
    </cfRule>
    <cfRule type="expression" priority="302" dxfId="1">
      <formula>AND(COUNT(C18:I18)=7,F18&lt;9*0.4)</formula>
    </cfRule>
    <cfRule type="expression" priority="303" dxfId="2">
      <formula>AND(COUNT(C18:I18)=7,F18&gt;=9*0.4,F18&lt;9)</formula>
    </cfRule>
  </conditionalFormatting>
  <conditionalFormatting sqref="F19">
    <cfRule type="expression" priority="304" dxfId="0">
      <formula>AND(COUNT(C19:I19)=7,F19=9)</formula>
    </cfRule>
    <cfRule type="expression" priority="305" dxfId="1">
      <formula>AND(COUNT(C19:I19)=7,F19&lt;9*0.4)</formula>
    </cfRule>
    <cfRule type="expression" priority="306" dxfId="2">
      <formula>AND(COUNT(C19:I19)=7,F19&gt;=9*0.4,F19&lt;9)</formula>
    </cfRule>
  </conditionalFormatting>
  <conditionalFormatting sqref="F20">
    <cfRule type="expression" priority="307" dxfId="0">
      <formula>AND(COUNT(C20:I20)=7,F20=9)</formula>
    </cfRule>
    <cfRule type="expression" priority="308" dxfId="1">
      <formula>AND(COUNT(C20:I20)=7,F20&lt;9*0.4)</formula>
    </cfRule>
    <cfRule type="expression" priority="309" dxfId="2">
      <formula>AND(COUNT(C20:I20)=7,F20&gt;=9*0.4,F20&lt;9)</formula>
    </cfRule>
  </conditionalFormatting>
  <conditionalFormatting sqref="F21">
    <cfRule type="expression" priority="310" dxfId="0">
      <formula>AND(COUNT(C21:I21)=7,F21=9)</formula>
    </cfRule>
    <cfRule type="expression" priority="311" dxfId="1">
      <formula>AND(COUNT(C21:I21)=7,F21&lt;9*0.4)</formula>
    </cfRule>
    <cfRule type="expression" priority="312" dxfId="2">
      <formula>AND(COUNT(C21:I21)=7,F21&gt;=9*0.4,F21&lt;9)</formula>
    </cfRule>
  </conditionalFormatting>
  <conditionalFormatting sqref="F22">
    <cfRule type="expression" priority="313" dxfId="0">
      <formula>AND(COUNT(C22:I22)=7,F22=9)</formula>
    </cfRule>
    <cfRule type="expression" priority="314" dxfId="1">
      <formula>AND(COUNT(C22:I22)=7,F22&lt;9*0.4)</formula>
    </cfRule>
    <cfRule type="expression" priority="315" dxfId="2">
      <formula>AND(COUNT(C22:I22)=7,F22&gt;=9*0.4,F22&lt;9)</formula>
    </cfRule>
  </conditionalFormatting>
  <conditionalFormatting sqref="F23">
    <cfRule type="expression" priority="316" dxfId="0">
      <formula>AND(COUNT(C23:I23)=7,F23=9)</formula>
    </cfRule>
    <cfRule type="expression" priority="317" dxfId="1">
      <formula>AND(COUNT(C23:I23)=7,F23&lt;9*0.4)</formula>
    </cfRule>
    <cfRule type="expression" priority="318" dxfId="2">
      <formula>AND(COUNT(C23:I23)=7,F23&gt;=9*0.4,F23&lt;9)</formula>
    </cfRule>
  </conditionalFormatting>
  <conditionalFormatting sqref="F24">
    <cfRule type="expression" priority="319" dxfId="0">
      <formula>AND(COUNT(C24:I24)=7,F24=9)</formula>
    </cfRule>
    <cfRule type="expression" priority="320" dxfId="1">
      <formula>AND(COUNT(C24:I24)=7,F24&lt;9*0.4)</formula>
    </cfRule>
    <cfRule type="expression" priority="321" dxfId="2">
      <formula>AND(COUNT(C24:I24)=7,F24&gt;=9*0.4,F24&lt;9)</formula>
    </cfRule>
  </conditionalFormatting>
  <conditionalFormatting sqref="F25">
    <cfRule type="expression" priority="322" dxfId="0">
      <formula>AND(COUNT(C25:I25)=7,F25=9)</formula>
    </cfRule>
    <cfRule type="expression" priority="323" dxfId="1">
      <formula>AND(COUNT(C25:I25)=7,F25&lt;9*0.4)</formula>
    </cfRule>
    <cfRule type="expression" priority="324" dxfId="2">
      <formula>AND(COUNT(C25:I25)=7,F25&gt;=9*0.4,F25&lt;9)</formula>
    </cfRule>
  </conditionalFormatting>
  <conditionalFormatting sqref="F26">
    <cfRule type="expression" priority="325" dxfId="0">
      <formula>AND(COUNT(C26:I26)=7,F26=9)</formula>
    </cfRule>
    <cfRule type="expression" priority="326" dxfId="1">
      <formula>AND(COUNT(C26:I26)=7,F26&lt;9*0.4)</formula>
    </cfRule>
    <cfRule type="expression" priority="327" dxfId="2">
      <formula>AND(COUNT(C26:I26)=7,F26&gt;=9*0.4,F26&lt;9)</formula>
    </cfRule>
  </conditionalFormatting>
  <conditionalFormatting sqref="F27">
    <cfRule type="expression" priority="328" dxfId="0">
      <formula>AND(COUNT(C27:I27)=7,F27=9)</formula>
    </cfRule>
    <cfRule type="expression" priority="329" dxfId="1">
      <formula>AND(COUNT(C27:I27)=7,F27&lt;9*0.4)</formula>
    </cfRule>
    <cfRule type="expression" priority="330" dxfId="2">
      <formula>AND(COUNT(C27:I27)=7,F27&gt;=9*0.4,F27&lt;9)</formula>
    </cfRule>
  </conditionalFormatting>
  <conditionalFormatting sqref="F28">
    <cfRule type="expression" priority="331" dxfId="0">
      <formula>AND(COUNT(C28:I28)=7,F28=9)</formula>
    </cfRule>
    <cfRule type="expression" priority="332" dxfId="1">
      <formula>AND(COUNT(C28:I28)=7,F28&lt;9*0.4)</formula>
    </cfRule>
    <cfRule type="expression" priority="333" dxfId="2">
      <formula>AND(COUNT(C28:I28)=7,F28&gt;=9*0.4,F28&lt;9)</formula>
    </cfRule>
  </conditionalFormatting>
  <conditionalFormatting sqref="F29">
    <cfRule type="expression" priority="334" dxfId="0">
      <formula>AND(COUNT(C29:I29)=7,F29=9)</formula>
    </cfRule>
    <cfRule type="expression" priority="335" dxfId="1">
      <formula>AND(COUNT(C29:I29)=7,F29&lt;9*0.4)</formula>
    </cfRule>
    <cfRule type="expression" priority="336" dxfId="2">
      <formula>AND(COUNT(C29:I29)=7,F29&gt;=9*0.4,F29&lt;9)</formula>
    </cfRule>
  </conditionalFormatting>
  <conditionalFormatting sqref="F30">
    <cfRule type="expression" priority="337" dxfId="0">
      <formula>AND(COUNT(C30:I30)=7,F30=9)</formula>
    </cfRule>
    <cfRule type="expression" priority="338" dxfId="1">
      <formula>AND(COUNT(C30:I30)=7,F30&lt;9*0.4)</formula>
    </cfRule>
    <cfRule type="expression" priority="339" dxfId="2">
      <formula>AND(COUNT(C30:I30)=7,F30&gt;=9*0.4,F30&lt;9)</formula>
    </cfRule>
  </conditionalFormatting>
  <conditionalFormatting sqref="F31">
    <cfRule type="expression" priority="340" dxfId="0">
      <formula>AND(COUNT(C31:I31)=7,F31=9)</formula>
    </cfRule>
    <cfRule type="expression" priority="341" dxfId="1">
      <formula>AND(COUNT(C31:I31)=7,F31&lt;9*0.4)</formula>
    </cfRule>
    <cfRule type="expression" priority="342" dxfId="2">
      <formula>AND(COUNT(C31:I31)=7,F31&gt;=9*0.4,F31&lt;9)</formula>
    </cfRule>
  </conditionalFormatting>
  <conditionalFormatting sqref="F32">
    <cfRule type="expression" priority="343" dxfId="0">
      <formula>AND(COUNT(C32:I32)=7,F32=9)</formula>
    </cfRule>
    <cfRule type="expression" priority="344" dxfId="1">
      <formula>AND(COUNT(C32:I32)=7,F32&lt;9*0.4)</formula>
    </cfRule>
    <cfRule type="expression" priority="345" dxfId="2">
      <formula>AND(COUNT(C32:I32)=7,F32&gt;=9*0.4,F32&lt;9)</formula>
    </cfRule>
  </conditionalFormatting>
  <conditionalFormatting sqref="F33">
    <cfRule type="expression" priority="346" dxfId="0">
      <formula>AND(COUNT(C33:I33)=7,F33=9)</formula>
    </cfRule>
    <cfRule type="expression" priority="347" dxfId="1">
      <formula>AND(COUNT(C33:I33)=7,F33&lt;9*0.4)</formula>
    </cfRule>
    <cfRule type="expression" priority="348" dxfId="2">
      <formula>AND(COUNT(C33:I33)=7,F33&gt;=9*0.4,F33&lt;9)</formula>
    </cfRule>
  </conditionalFormatting>
  <conditionalFormatting sqref="F34">
    <cfRule type="expression" priority="349" dxfId="0">
      <formula>AND(COUNT(C34:I34)=7,F34=9)</formula>
    </cfRule>
    <cfRule type="expression" priority="350" dxfId="1">
      <formula>AND(COUNT(C34:I34)=7,F34&lt;9*0.4)</formula>
    </cfRule>
    <cfRule type="expression" priority="351" dxfId="2">
      <formula>AND(COUNT(C34:I34)=7,F34&gt;=9*0.4,F34&lt;9)</formula>
    </cfRule>
  </conditionalFormatting>
  <conditionalFormatting sqref="F35">
    <cfRule type="expression" priority="352" dxfId="0">
      <formula>AND(COUNT(C35:I35)=7,F35=9)</formula>
    </cfRule>
    <cfRule type="expression" priority="353" dxfId="1">
      <formula>AND(COUNT(C35:I35)=7,F35&lt;9*0.4)</formula>
    </cfRule>
    <cfRule type="expression" priority="354" dxfId="2">
      <formula>AND(COUNT(C35:I35)=7,F35&gt;=9*0.4,F35&lt;9)</formula>
    </cfRule>
  </conditionalFormatting>
  <conditionalFormatting sqref="F36">
    <cfRule type="expression" priority="355" dxfId="0">
      <formula>AND(COUNT(C36:I36)=7,F36=9)</formula>
    </cfRule>
    <cfRule type="expression" priority="356" dxfId="1">
      <formula>AND(COUNT(C36:I36)=7,F36&lt;9*0.4)</formula>
    </cfRule>
    <cfRule type="expression" priority="357" dxfId="2">
      <formula>AND(COUNT(C36:I36)=7,F36&gt;=9*0.4,F36&lt;9)</formula>
    </cfRule>
  </conditionalFormatting>
  <conditionalFormatting sqref="F37">
    <cfRule type="expression" priority="358" dxfId="0">
      <formula>AND(COUNT(C37:I37)=7,F37=9)</formula>
    </cfRule>
    <cfRule type="expression" priority="359" dxfId="1">
      <formula>AND(COUNT(C37:I37)=7,F37&lt;9*0.4)</formula>
    </cfRule>
    <cfRule type="expression" priority="360" dxfId="2">
      <formula>AND(COUNT(C37:I37)=7,F37&gt;=9*0.4,F37&lt;9)</formula>
    </cfRule>
  </conditionalFormatting>
  <conditionalFormatting sqref="F38">
    <cfRule type="expression" priority="361" dxfId="0">
      <formula>AND(COUNT(C38:I38)=7,F38=9)</formula>
    </cfRule>
    <cfRule type="expression" priority="362" dxfId="1">
      <formula>AND(COUNT(C38:I38)=7,F38&lt;9*0.4)</formula>
    </cfRule>
    <cfRule type="expression" priority="363" dxfId="2">
      <formula>AND(COUNT(C38:I38)=7,F38&gt;=9*0.4,F38&lt;9)</formula>
    </cfRule>
  </conditionalFormatting>
  <conditionalFormatting sqref="F39">
    <cfRule type="expression" priority="364" dxfId="0">
      <formula>AND(COUNT(C39:I39)=7,F39=9)</formula>
    </cfRule>
    <cfRule type="expression" priority="365" dxfId="1">
      <formula>AND(COUNT(C39:I39)=7,F39&lt;9*0.4)</formula>
    </cfRule>
    <cfRule type="expression" priority="366" dxfId="2">
      <formula>AND(COUNT(C39:I39)=7,F39&gt;=9*0.4,F39&lt;9)</formula>
    </cfRule>
  </conditionalFormatting>
  <conditionalFormatting sqref="F40">
    <cfRule type="expression" priority="367" dxfId="0">
      <formula>AND(COUNT(C40:I40)=7,F40=9)</formula>
    </cfRule>
    <cfRule type="expression" priority="368" dxfId="1">
      <formula>AND(COUNT(C40:I40)=7,F40&lt;9*0.4)</formula>
    </cfRule>
    <cfRule type="expression" priority="369" dxfId="2">
      <formula>AND(COUNT(C40:I40)=7,F40&gt;=9*0.4,F40&lt;9)</formula>
    </cfRule>
  </conditionalFormatting>
  <conditionalFormatting sqref="F41">
    <cfRule type="expression" priority="370" dxfId="0">
      <formula>AND(COUNT(C41:I41)=7,F41=9)</formula>
    </cfRule>
    <cfRule type="expression" priority="371" dxfId="1">
      <formula>AND(COUNT(C41:I41)=7,F41&lt;9*0.4)</formula>
    </cfRule>
    <cfRule type="expression" priority="372" dxfId="2">
      <formula>AND(COUNT(C41:I41)=7,F41&gt;=9*0.4,F41&lt;9)</formula>
    </cfRule>
  </conditionalFormatting>
  <conditionalFormatting sqref="G11">
    <cfRule type="expression" priority="373" dxfId="0">
      <formula>AND(COUNT(C11:I11)=7,G11=5)</formula>
    </cfRule>
    <cfRule type="expression" priority="374" dxfId="1">
      <formula>AND(COUNT(C11:I11)=7,G11&lt;5*0.4)</formula>
    </cfRule>
    <cfRule type="expression" priority="375" dxfId="2">
      <formula>AND(COUNT(C11:I11)=7,G11&gt;=5*0.4,G11&lt;5)</formula>
    </cfRule>
  </conditionalFormatting>
  <conditionalFormatting sqref="G12">
    <cfRule type="expression" priority="376" dxfId="0">
      <formula>AND(COUNT(C12:I12)=7,G12=5)</formula>
    </cfRule>
    <cfRule type="expression" priority="377" dxfId="1">
      <formula>AND(COUNT(C12:I12)=7,G12&lt;5*0.4)</formula>
    </cfRule>
    <cfRule type="expression" priority="378" dxfId="2">
      <formula>AND(COUNT(C12:I12)=7,G12&gt;=5*0.4,G12&lt;5)</formula>
    </cfRule>
  </conditionalFormatting>
  <conditionalFormatting sqref="G13">
    <cfRule type="expression" priority="379" dxfId="0">
      <formula>AND(COUNT(C13:I13)=7,G13=5)</formula>
    </cfRule>
    <cfRule type="expression" priority="380" dxfId="1">
      <formula>AND(COUNT(C13:I13)=7,G13&lt;5*0.4)</formula>
    </cfRule>
    <cfRule type="expression" priority="381" dxfId="2">
      <formula>AND(COUNT(C13:I13)=7,G13&gt;=5*0.4,G13&lt;5)</formula>
    </cfRule>
  </conditionalFormatting>
  <conditionalFormatting sqref="G14">
    <cfRule type="expression" priority="382" dxfId="0">
      <formula>AND(COUNT(C14:I14)=7,G14=5)</formula>
    </cfRule>
    <cfRule type="expression" priority="383" dxfId="1">
      <formula>AND(COUNT(C14:I14)=7,G14&lt;5*0.4)</formula>
    </cfRule>
    <cfRule type="expression" priority="384" dxfId="2">
      <formula>AND(COUNT(C14:I14)=7,G14&gt;=5*0.4,G14&lt;5)</formula>
    </cfRule>
  </conditionalFormatting>
  <conditionalFormatting sqref="G15">
    <cfRule type="expression" priority="385" dxfId="0">
      <formula>AND(COUNT(C15:I15)=7,G15=5)</formula>
    </cfRule>
    <cfRule type="expression" priority="386" dxfId="1">
      <formula>AND(COUNT(C15:I15)=7,G15&lt;5*0.4)</formula>
    </cfRule>
    <cfRule type="expression" priority="387" dxfId="2">
      <formula>AND(COUNT(C15:I15)=7,G15&gt;=5*0.4,G15&lt;5)</formula>
    </cfRule>
  </conditionalFormatting>
  <conditionalFormatting sqref="G16">
    <cfRule type="expression" priority="388" dxfId="0">
      <formula>AND(COUNT(C16:I16)=7,G16=5)</formula>
    </cfRule>
    <cfRule type="expression" priority="389" dxfId="1">
      <formula>AND(COUNT(C16:I16)=7,G16&lt;5*0.4)</formula>
    </cfRule>
    <cfRule type="expression" priority="390" dxfId="2">
      <formula>AND(COUNT(C16:I16)=7,G16&gt;=5*0.4,G16&lt;5)</formula>
    </cfRule>
  </conditionalFormatting>
  <conditionalFormatting sqref="G17">
    <cfRule type="expression" priority="391" dxfId="0">
      <formula>AND(COUNT(C17:I17)=7,G17=5)</formula>
    </cfRule>
    <cfRule type="expression" priority="392" dxfId="1">
      <formula>AND(COUNT(C17:I17)=7,G17&lt;5*0.4)</formula>
    </cfRule>
    <cfRule type="expression" priority="393" dxfId="2">
      <formula>AND(COUNT(C17:I17)=7,G17&gt;=5*0.4,G17&lt;5)</formula>
    </cfRule>
  </conditionalFormatting>
  <conditionalFormatting sqref="G18">
    <cfRule type="expression" priority="394" dxfId="0">
      <formula>AND(COUNT(C18:I18)=7,G18=5)</formula>
    </cfRule>
    <cfRule type="expression" priority="395" dxfId="1">
      <formula>AND(COUNT(C18:I18)=7,G18&lt;5*0.4)</formula>
    </cfRule>
    <cfRule type="expression" priority="396" dxfId="2">
      <formula>AND(COUNT(C18:I18)=7,G18&gt;=5*0.4,G18&lt;5)</formula>
    </cfRule>
  </conditionalFormatting>
  <conditionalFormatting sqref="G19">
    <cfRule type="expression" priority="397" dxfId="0">
      <formula>AND(COUNT(C19:I19)=7,G19=5)</formula>
    </cfRule>
    <cfRule type="expression" priority="398" dxfId="1">
      <formula>AND(COUNT(C19:I19)=7,G19&lt;5*0.4)</formula>
    </cfRule>
    <cfRule type="expression" priority="399" dxfId="2">
      <formula>AND(COUNT(C19:I19)=7,G19&gt;=5*0.4,G19&lt;5)</formula>
    </cfRule>
  </conditionalFormatting>
  <conditionalFormatting sqref="G20">
    <cfRule type="expression" priority="400" dxfId="0">
      <formula>AND(COUNT(C20:I20)=7,G20=5)</formula>
    </cfRule>
    <cfRule type="expression" priority="401" dxfId="1">
      <formula>AND(COUNT(C20:I20)=7,G20&lt;5*0.4)</formula>
    </cfRule>
    <cfRule type="expression" priority="402" dxfId="2">
      <formula>AND(COUNT(C20:I20)=7,G20&gt;=5*0.4,G20&lt;5)</formula>
    </cfRule>
  </conditionalFormatting>
  <conditionalFormatting sqref="G21">
    <cfRule type="expression" priority="403" dxfId="0">
      <formula>AND(COUNT(C21:I21)=7,G21=5)</formula>
    </cfRule>
    <cfRule type="expression" priority="404" dxfId="1">
      <formula>AND(COUNT(C21:I21)=7,G21&lt;5*0.4)</formula>
    </cfRule>
    <cfRule type="expression" priority="405" dxfId="2">
      <formula>AND(COUNT(C21:I21)=7,G21&gt;=5*0.4,G21&lt;5)</formula>
    </cfRule>
  </conditionalFormatting>
  <conditionalFormatting sqref="G22">
    <cfRule type="expression" priority="406" dxfId="0">
      <formula>AND(COUNT(C22:I22)=7,G22=5)</formula>
    </cfRule>
    <cfRule type="expression" priority="407" dxfId="1">
      <formula>AND(COUNT(C22:I22)=7,G22&lt;5*0.4)</formula>
    </cfRule>
    <cfRule type="expression" priority="408" dxfId="2">
      <formula>AND(COUNT(C22:I22)=7,G22&gt;=5*0.4,G22&lt;5)</formula>
    </cfRule>
  </conditionalFormatting>
  <conditionalFormatting sqref="G23">
    <cfRule type="expression" priority="409" dxfId="0">
      <formula>AND(COUNT(C23:I23)=7,G23=5)</formula>
    </cfRule>
    <cfRule type="expression" priority="410" dxfId="1">
      <formula>AND(COUNT(C23:I23)=7,G23&lt;5*0.4)</formula>
    </cfRule>
    <cfRule type="expression" priority="411" dxfId="2">
      <formula>AND(COUNT(C23:I23)=7,G23&gt;=5*0.4,G23&lt;5)</formula>
    </cfRule>
  </conditionalFormatting>
  <conditionalFormatting sqref="G24">
    <cfRule type="expression" priority="412" dxfId="0">
      <formula>AND(COUNT(C24:I24)=7,G24=5)</formula>
    </cfRule>
    <cfRule type="expression" priority="413" dxfId="1">
      <formula>AND(COUNT(C24:I24)=7,G24&lt;5*0.4)</formula>
    </cfRule>
    <cfRule type="expression" priority="414" dxfId="2">
      <formula>AND(COUNT(C24:I24)=7,G24&gt;=5*0.4,G24&lt;5)</formula>
    </cfRule>
  </conditionalFormatting>
  <conditionalFormatting sqref="G25">
    <cfRule type="expression" priority="415" dxfId="0">
      <formula>AND(COUNT(C25:I25)=7,G25=5)</formula>
    </cfRule>
    <cfRule type="expression" priority="416" dxfId="1">
      <formula>AND(COUNT(C25:I25)=7,G25&lt;5*0.4)</formula>
    </cfRule>
    <cfRule type="expression" priority="417" dxfId="2">
      <formula>AND(COUNT(C25:I25)=7,G25&gt;=5*0.4,G25&lt;5)</formula>
    </cfRule>
  </conditionalFormatting>
  <conditionalFormatting sqref="G26">
    <cfRule type="expression" priority="418" dxfId="0">
      <formula>AND(COUNT(C26:I26)=7,G26=5)</formula>
    </cfRule>
    <cfRule type="expression" priority="419" dxfId="1">
      <formula>AND(COUNT(C26:I26)=7,G26&lt;5*0.4)</formula>
    </cfRule>
    <cfRule type="expression" priority="420" dxfId="2">
      <formula>AND(COUNT(C26:I26)=7,G26&gt;=5*0.4,G26&lt;5)</formula>
    </cfRule>
  </conditionalFormatting>
  <conditionalFormatting sqref="G27">
    <cfRule type="expression" priority="421" dxfId="0">
      <formula>AND(COUNT(C27:I27)=7,G27=5)</formula>
    </cfRule>
    <cfRule type="expression" priority="422" dxfId="1">
      <formula>AND(COUNT(C27:I27)=7,G27&lt;5*0.4)</formula>
    </cfRule>
    <cfRule type="expression" priority="423" dxfId="2">
      <formula>AND(COUNT(C27:I27)=7,G27&gt;=5*0.4,G27&lt;5)</formula>
    </cfRule>
  </conditionalFormatting>
  <conditionalFormatting sqref="G28">
    <cfRule type="expression" priority="424" dxfId="0">
      <formula>AND(COUNT(C28:I28)=7,G28=5)</formula>
    </cfRule>
    <cfRule type="expression" priority="425" dxfId="1">
      <formula>AND(COUNT(C28:I28)=7,G28&lt;5*0.4)</formula>
    </cfRule>
    <cfRule type="expression" priority="426" dxfId="2">
      <formula>AND(COUNT(C28:I28)=7,G28&gt;=5*0.4,G28&lt;5)</formula>
    </cfRule>
  </conditionalFormatting>
  <conditionalFormatting sqref="G29">
    <cfRule type="expression" priority="427" dxfId="0">
      <formula>AND(COUNT(C29:I29)=7,G29=5)</formula>
    </cfRule>
    <cfRule type="expression" priority="428" dxfId="1">
      <formula>AND(COUNT(C29:I29)=7,G29&lt;5*0.4)</formula>
    </cfRule>
    <cfRule type="expression" priority="429" dxfId="2">
      <formula>AND(COUNT(C29:I29)=7,G29&gt;=5*0.4,G29&lt;5)</formula>
    </cfRule>
  </conditionalFormatting>
  <conditionalFormatting sqref="G30">
    <cfRule type="expression" priority="430" dxfId="0">
      <formula>AND(COUNT(C30:I30)=7,G30=5)</formula>
    </cfRule>
    <cfRule type="expression" priority="431" dxfId="1">
      <formula>AND(COUNT(C30:I30)=7,G30&lt;5*0.4)</formula>
    </cfRule>
    <cfRule type="expression" priority="432" dxfId="2">
      <formula>AND(COUNT(C30:I30)=7,G30&gt;=5*0.4,G30&lt;5)</formula>
    </cfRule>
  </conditionalFormatting>
  <conditionalFormatting sqref="G31">
    <cfRule type="expression" priority="433" dxfId="0">
      <formula>AND(COUNT(C31:I31)=7,G31=5)</formula>
    </cfRule>
    <cfRule type="expression" priority="434" dxfId="1">
      <formula>AND(COUNT(C31:I31)=7,G31&lt;5*0.4)</formula>
    </cfRule>
    <cfRule type="expression" priority="435" dxfId="2">
      <formula>AND(COUNT(C31:I31)=7,G31&gt;=5*0.4,G31&lt;5)</formula>
    </cfRule>
  </conditionalFormatting>
  <conditionalFormatting sqref="G32">
    <cfRule type="expression" priority="436" dxfId="0">
      <formula>AND(COUNT(C32:I32)=7,G32=5)</formula>
    </cfRule>
    <cfRule type="expression" priority="437" dxfId="1">
      <formula>AND(COUNT(C32:I32)=7,G32&lt;5*0.4)</formula>
    </cfRule>
    <cfRule type="expression" priority="438" dxfId="2">
      <formula>AND(COUNT(C32:I32)=7,G32&gt;=5*0.4,G32&lt;5)</formula>
    </cfRule>
  </conditionalFormatting>
  <conditionalFormatting sqref="G33">
    <cfRule type="expression" priority="439" dxfId="0">
      <formula>AND(COUNT(C33:I33)=7,G33=5)</formula>
    </cfRule>
    <cfRule type="expression" priority="440" dxfId="1">
      <formula>AND(COUNT(C33:I33)=7,G33&lt;5*0.4)</formula>
    </cfRule>
    <cfRule type="expression" priority="441" dxfId="2">
      <formula>AND(COUNT(C33:I33)=7,G33&gt;=5*0.4,G33&lt;5)</formula>
    </cfRule>
  </conditionalFormatting>
  <conditionalFormatting sqref="G34">
    <cfRule type="expression" priority="442" dxfId="0">
      <formula>AND(COUNT(C34:I34)=7,G34=5)</formula>
    </cfRule>
    <cfRule type="expression" priority="443" dxfId="1">
      <formula>AND(COUNT(C34:I34)=7,G34&lt;5*0.4)</formula>
    </cfRule>
    <cfRule type="expression" priority="444" dxfId="2">
      <formula>AND(COUNT(C34:I34)=7,G34&gt;=5*0.4,G34&lt;5)</formula>
    </cfRule>
  </conditionalFormatting>
  <conditionalFormatting sqref="G35">
    <cfRule type="expression" priority="445" dxfId="0">
      <formula>AND(COUNT(C35:I35)=7,G35=5)</formula>
    </cfRule>
    <cfRule type="expression" priority="446" dxfId="1">
      <formula>AND(COUNT(C35:I35)=7,G35&lt;5*0.4)</formula>
    </cfRule>
    <cfRule type="expression" priority="447" dxfId="2">
      <formula>AND(COUNT(C35:I35)=7,G35&gt;=5*0.4,G35&lt;5)</formula>
    </cfRule>
  </conditionalFormatting>
  <conditionalFormatting sqref="G36">
    <cfRule type="expression" priority="448" dxfId="0">
      <formula>AND(COUNT(C36:I36)=7,G36=5)</formula>
    </cfRule>
    <cfRule type="expression" priority="449" dxfId="1">
      <formula>AND(COUNT(C36:I36)=7,G36&lt;5*0.4)</formula>
    </cfRule>
    <cfRule type="expression" priority="450" dxfId="2">
      <formula>AND(COUNT(C36:I36)=7,G36&gt;=5*0.4,G36&lt;5)</formula>
    </cfRule>
  </conditionalFormatting>
  <conditionalFormatting sqref="G37">
    <cfRule type="expression" priority="451" dxfId="0">
      <formula>AND(COUNT(C37:I37)=7,G37=5)</formula>
    </cfRule>
    <cfRule type="expression" priority="452" dxfId="1">
      <formula>AND(COUNT(C37:I37)=7,G37&lt;5*0.4)</formula>
    </cfRule>
    <cfRule type="expression" priority="453" dxfId="2">
      <formula>AND(COUNT(C37:I37)=7,G37&gt;=5*0.4,G37&lt;5)</formula>
    </cfRule>
  </conditionalFormatting>
  <conditionalFormatting sqref="G38">
    <cfRule type="expression" priority="454" dxfId="0">
      <formula>AND(COUNT(C38:I38)=7,G38=5)</formula>
    </cfRule>
    <cfRule type="expression" priority="455" dxfId="1">
      <formula>AND(COUNT(C38:I38)=7,G38&lt;5*0.4)</formula>
    </cfRule>
    <cfRule type="expression" priority="456" dxfId="2">
      <formula>AND(COUNT(C38:I38)=7,G38&gt;=5*0.4,G38&lt;5)</formula>
    </cfRule>
  </conditionalFormatting>
  <conditionalFormatting sqref="G39">
    <cfRule type="expression" priority="457" dxfId="0">
      <formula>AND(COUNT(C39:I39)=7,G39=5)</formula>
    </cfRule>
    <cfRule type="expression" priority="458" dxfId="1">
      <formula>AND(COUNT(C39:I39)=7,G39&lt;5*0.4)</formula>
    </cfRule>
    <cfRule type="expression" priority="459" dxfId="2">
      <formula>AND(COUNT(C39:I39)=7,G39&gt;=5*0.4,G39&lt;5)</formula>
    </cfRule>
  </conditionalFormatting>
  <conditionalFormatting sqref="G40">
    <cfRule type="expression" priority="460" dxfId="0">
      <formula>AND(COUNT(C40:I40)=7,G40=5)</formula>
    </cfRule>
    <cfRule type="expression" priority="461" dxfId="1">
      <formula>AND(COUNT(C40:I40)=7,G40&lt;5*0.4)</formula>
    </cfRule>
    <cfRule type="expression" priority="462" dxfId="2">
      <formula>AND(COUNT(C40:I40)=7,G40&gt;=5*0.4,G40&lt;5)</formula>
    </cfRule>
  </conditionalFormatting>
  <conditionalFormatting sqref="G41">
    <cfRule type="expression" priority="463" dxfId="0">
      <formula>AND(COUNT(C41:I41)=7,G41=5)</formula>
    </cfRule>
    <cfRule type="expression" priority="464" dxfId="1">
      <formula>AND(COUNT(C41:I41)=7,G41&lt;5*0.4)</formula>
    </cfRule>
    <cfRule type="expression" priority="465" dxfId="2">
      <formula>AND(COUNT(C41:I41)=7,G41&gt;=5*0.4,G41&lt;5)</formula>
    </cfRule>
  </conditionalFormatting>
  <conditionalFormatting sqref="H11">
    <cfRule type="expression" priority="466" dxfId="0">
      <formula>AND(COUNT(C11:I11)=7,H11=5)</formula>
    </cfRule>
    <cfRule type="expression" priority="467" dxfId="1">
      <formula>AND(COUNT(C11:I11)=7,H11&lt;5*0.4)</formula>
    </cfRule>
    <cfRule type="expression" priority="468" dxfId="2">
      <formula>AND(COUNT(C11:I11)=7,H11&gt;=5*0.4,H11&lt;5)</formula>
    </cfRule>
  </conditionalFormatting>
  <conditionalFormatting sqref="H12">
    <cfRule type="expression" priority="469" dxfId="0">
      <formula>AND(COUNT(C12:I12)=7,H12=5)</formula>
    </cfRule>
    <cfRule type="expression" priority="470" dxfId="1">
      <formula>AND(COUNT(C12:I12)=7,H12&lt;5*0.4)</formula>
    </cfRule>
    <cfRule type="expression" priority="471" dxfId="2">
      <formula>AND(COUNT(C12:I12)=7,H12&gt;=5*0.4,H12&lt;5)</formula>
    </cfRule>
  </conditionalFormatting>
  <conditionalFormatting sqref="H13">
    <cfRule type="expression" priority="472" dxfId="0">
      <formula>AND(COUNT(C13:I13)=7,H13=5)</formula>
    </cfRule>
    <cfRule type="expression" priority="473" dxfId="1">
      <formula>AND(COUNT(C13:I13)=7,H13&lt;5*0.4)</formula>
    </cfRule>
    <cfRule type="expression" priority="474" dxfId="2">
      <formula>AND(COUNT(C13:I13)=7,H13&gt;=5*0.4,H13&lt;5)</formula>
    </cfRule>
  </conditionalFormatting>
  <conditionalFormatting sqref="H14">
    <cfRule type="expression" priority="475" dxfId="0">
      <formula>AND(COUNT(C14:I14)=7,H14=5)</formula>
    </cfRule>
    <cfRule type="expression" priority="476" dxfId="1">
      <formula>AND(COUNT(C14:I14)=7,H14&lt;5*0.4)</formula>
    </cfRule>
    <cfRule type="expression" priority="477" dxfId="2">
      <formula>AND(COUNT(C14:I14)=7,H14&gt;=5*0.4,H14&lt;5)</formula>
    </cfRule>
  </conditionalFormatting>
  <conditionalFormatting sqref="H15">
    <cfRule type="expression" priority="478" dxfId="0">
      <formula>AND(COUNT(C15:I15)=7,H15=5)</formula>
    </cfRule>
    <cfRule type="expression" priority="479" dxfId="1">
      <formula>AND(COUNT(C15:I15)=7,H15&lt;5*0.4)</formula>
    </cfRule>
    <cfRule type="expression" priority="480" dxfId="2">
      <formula>AND(COUNT(C15:I15)=7,H15&gt;=5*0.4,H15&lt;5)</formula>
    </cfRule>
  </conditionalFormatting>
  <conditionalFormatting sqref="H16">
    <cfRule type="expression" priority="481" dxfId="0">
      <formula>AND(COUNT(C16:I16)=7,H16=5)</formula>
    </cfRule>
    <cfRule type="expression" priority="482" dxfId="1">
      <formula>AND(COUNT(C16:I16)=7,H16&lt;5*0.4)</formula>
    </cfRule>
    <cfRule type="expression" priority="483" dxfId="2">
      <formula>AND(COUNT(C16:I16)=7,H16&gt;=5*0.4,H16&lt;5)</formula>
    </cfRule>
  </conditionalFormatting>
  <conditionalFormatting sqref="H17">
    <cfRule type="expression" priority="484" dxfId="0">
      <formula>AND(COUNT(C17:I17)=7,H17=5)</formula>
    </cfRule>
    <cfRule type="expression" priority="485" dxfId="1">
      <formula>AND(COUNT(C17:I17)=7,H17&lt;5*0.4)</formula>
    </cfRule>
    <cfRule type="expression" priority="486" dxfId="2">
      <formula>AND(COUNT(C17:I17)=7,H17&gt;=5*0.4,H17&lt;5)</formula>
    </cfRule>
  </conditionalFormatting>
  <conditionalFormatting sqref="H18">
    <cfRule type="expression" priority="487" dxfId="0">
      <formula>AND(COUNT(C18:I18)=7,H18=5)</formula>
    </cfRule>
    <cfRule type="expression" priority="488" dxfId="1">
      <formula>AND(COUNT(C18:I18)=7,H18&lt;5*0.4)</formula>
    </cfRule>
    <cfRule type="expression" priority="489" dxfId="2">
      <formula>AND(COUNT(C18:I18)=7,H18&gt;=5*0.4,H18&lt;5)</formula>
    </cfRule>
  </conditionalFormatting>
  <conditionalFormatting sqref="H19">
    <cfRule type="expression" priority="490" dxfId="0">
      <formula>AND(COUNT(C19:I19)=7,H19=5)</formula>
    </cfRule>
    <cfRule type="expression" priority="491" dxfId="1">
      <formula>AND(COUNT(C19:I19)=7,H19&lt;5*0.4)</formula>
    </cfRule>
    <cfRule type="expression" priority="492" dxfId="2">
      <formula>AND(COUNT(C19:I19)=7,H19&gt;=5*0.4,H19&lt;5)</formula>
    </cfRule>
  </conditionalFormatting>
  <conditionalFormatting sqref="H20">
    <cfRule type="expression" priority="493" dxfId="0">
      <formula>AND(COUNT(C20:I20)=7,H20=5)</formula>
    </cfRule>
    <cfRule type="expression" priority="494" dxfId="1">
      <formula>AND(COUNT(C20:I20)=7,H20&lt;5*0.4)</formula>
    </cfRule>
    <cfRule type="expression" priority="495" dxfId="2">
      <formula>AND(COUNT(C20:I20)=7,H20&gt;=5*0.4,H20&lt;5)</formula>
    </cfRule>
  </conditionalFormatting>
  <conditionalFormatting sqref="H21">
    <cfRule type="expression" priority="496" dxfId="0">
      <formula>AND(COUNT(C21:I21)=7,H21=5)</formula>
    </cfRule>
    <cfRule type="expression" priority="497" dxfId="1">
      <formula>AND(COUNT(C21:I21)=7,H21&lt;5*0.4)</formula>
    </cfRule>
    <cfRule type="expression" priority="498" dxfId="2">
      <formula>AND(COUNT(C21:I21)=7,H21&gt;=5*0.4,H21&lt;5)</formula>
    </cfRule>
  </conditionalFormatting>
  <conditionalFormatting sqref="H22">
    <cfRule type="expression" priority="499" dxfId="0">
      <formula>AND(COUNT(C22:I22)=7,H22=5)</formula>
    </cfRule>
    <cfRule type="expression" priority="500" dxfId="1">
      <formula>AND(COUNT(C22:I22)=7,H22&lt;5*0.4)</formula>
    </cfRule>
    <cfRule type="expression" priority="501" dxfId="2">
      <formula>AND(COUNT(C22:I22)=7,H22&gt;=5*0.4,H22&lt;5)</formula>
    </cfRule>
  </conditionalFormatting>
  <conditionalFormatting sqref="H23">
    <cfRule type="expression" priority="502" dxfId="0">
      <formula>AND(COUNT(C23:I23)=7,H23=5)</formula>
    </cfRule>
    <cfRule type="expression" priority="503" dxfId="1">
      <formula>AND(COUNT(C23:I23)=7,H23&lt;5*0.4)</formula>
    </cfRule>
    <cfRule type="expression" priority="504" dxfId="2">
      <formula>AND(COUNT(C23:I23)=7,H23&gt;=5*0.4,H23&lt;5)</formula>
    </cfRule>
  </conditionalFormatting>
  <conditionalFormatting sqref="H24">
    <cfRule type="expression" priority="505" dxfId="0">
      <formula>AND(COUNT(C24:I24)=7,H24=5)</formula>
    </cfRule>
    <cfRule type="expression" priority="506" dxfId="1">
      <formula>AND(COUNT(C24:I24)=7,H24&lt;5*0.4)</formula>
    </cfRule>
    <cfRule type="expression" priority="507" dxfId="2">
      <formula>AND(COUNT(C24:I24)=7,H24&gt;=5*0.4,H24&lt;5)</formula>
    </cfRule>
  </conditionalFormatting>
  <conditionalFormatting sqref="H25">
    <cfRule type="expression" priority="508" dxfId="0">
      <formula>AND(COUNT(C25:I25)=7,H25=5)</formula>
    </cfRule>
    <cfRule type="expression" priority="509" dxfId="1">
      <formula>AND(COUNT(C25:I25)=7,H25&lt;5*0.4)</formula>
    </cfRule>
    <cfRule type="expression" priority="510" dxfId="2">
      <formula>AND(COUNT(C25:I25)=7,H25&gt;=5*0.4,H25&lt;5)</formula>
    </cfRule>
  </conditionalFormatting>
  <conditionalFormatting sqref="H26">
    <cfRule type="expression" priority="511" dxfId="0">
      <formula>AND(COUNT(C26:I26)=7,H26=5)</formula>
    </cfRule>
    <cfRule type="expression" priority="512" dxfId="1">
      <formula>AND(COUNT(C26:I26)=7,H26&lt;5*0.4)</formula>
    </cfRule>
    <cfRule type="expression" priority="513" dxfId="2">
      <formula>AND(COUNT(C26:I26)=7,H26&gt;=5*0.4,H26&lt;5)</formula>
    </cfRule>
  </conditionalFormatting>
  <conditionalFormatting sqref="H27">
    <cfRule type="expression" priority="514" dxfId="0">
      <formula>AND(COUNT(C27:I27)=7,H27=5)</formula>
    </cfRule>
    <cfRule type="expression" priority="515" dxfId="1">
      <formula>AND(COUNT(C27:I27)=7,H27&lt;5*0.4)</formula>
    </cfRule>
    <cfRule type="expression" priority="516" dxfId="2">
      <formula>AND(COUNT(C27:I27)=7,H27&gt;=5*0.4,H27&lt;5)</formula>
    </cfRule>
  </conditionalFormatting>
  <conditionalFormatting sqref="H28">
    <cfRule type="expression" priority="517" dxfId="0">
      <formula>AND(COUNT(C28:I28)=7,H28=5)</formula>
    </cfRule>
    <cfRule type="expression" priority="518" dxfId="1">
      <formula>AND(COUNT(C28:I28)=7,H28&lt;5*0.4)</formula>
    </cfRule>
    <cfRule type="expression" priority="519" dxfId="2">
      <formula>AND(COUNT(C28:I28)=7,H28&gt;=5*0.4,H28&lt;5)</formula>
    </cfRule>
  </conditionalFormatting>
  <conditionalFormatting sqref="H29">
    <cfRule type="expression" priority="520" dxfId="0">
      <formula>AND(COUNT(C29:I29)=7,H29=5)</formula>
    </cfRule>
    <cfRule type="expression" priority="521" dxfId="1">
      <formula>AND(COUNT(C29:I29)=7,H29&lt;5*0.4)</formula>
    </cfRule>
    <cfRule type="expression" priority="522" dxfId="2">
      <formula>AND(COUNT(C29:I29)=7,H29&gt;=5*0.4,H29&lt;5)</formula>
    </cfRule>
  </conditionalFormatting>
  <conditionalFormatting sqref="H30">
    <cfRule type="expression" priority="523" dxfId="0">
      <formula>AND(COUNT(C30:I30)=7,H30=5)</formula>
    </cfRule>
    <cfRule type="expression" priority="524" dxfId="1">
      <formula>AND(COUNT(C30:I30)=7,H30&lt;5*0.4)</formula>
    </cfRule>
    <cfRule type="expression" priority="525" dxfId="2">
      <formula>AND(COUNT(C30:I30)=7,H30&gt;=5*0.4,H30&lt;5)</formula>
    </cfRule>
  </conditionalFormatting>
  <conditionalFormatting sqref="H31">
    <cfRule type="expression" priority="526" dxfId="0">
      <formula>AND(COUNT(C31:I31)=7,H31=5)</formula>
    </cfRule>
    <cfRule type="expression" priority="527" dxfId="1">
      <formula>AND(COUNT(C31:I31)=7,H31&lt;5*0.4)</formula>
    </cfRule>
    <cfRule type="expression" priority="528" dxfId="2">
      <formula>AND(COUNT(C31:I31)=7,H31&gt;=5*0.4,H31&lt;5)</formula>
    </cfRule>
  </conditionalFormatting>
  <conditionalFormatting sqref="H32">
    <cfRule type="expression" priority="529" dxfId="0">
      <formula>AND(COUNT(C32:I32)=7,H32=5)</formula>
    </cfRule>
    <cfRule type="expression" priority="530" dxfId="1">
      <formula>AND(COUNT(C32:I32)=7,H32&lt;5*0.4)</formula>
    </cfRule>
    <cfRule type="expression" priority="531" dxfId="2">
      <formula>AND(COUNT(C32:I32)=7,H32&gt;=5*0.4,H32&lt;5)</formula>
    </cfRule>
  </conditionalFormatting>
  <conditionalFormatting sqref="H33">
    <cfRule type="expression" priority="532" dxfId="0">
      <formula>AND(COUNT(C33:I33)=7,H33=5)</formula>
    </cfRule>
    <cfRule type="expression" priority="533" dxfId="1">
      <formula>AND(COUNT(C33:I33)=7,H33&lt;5*0.4)</formula>
    </cfRule>
    <cfRule type="expression" priority="534" dxfId="2">
      <formula>AND(COUNT(C33:I33)=7,H33&gt;=5*0.4,H33&lt;5)</formula>
    </cfRule>
  </conditionalFormatting>
  <conditionalFormatting sqref="H34">
    <cfRule type="expression" priority="535" dxfId="0">
      <formula>AND(COUNT(C34:I34)=7,H34=5)</formula>
    </cfRule>
    <cfRule type="expression" priority="536" dxfId="1">
      <formula>AND(COUNT(C34:I34)=7,H34&lt;5*0.4)</formula>
    </cfRule>
    <cfRule type="expression" priority="537" dxfId="2">
      <formula>AND(COUNT(C34:I34)=7,H34&gt;=5*0.4,H34&lt;5)</formula>
    </cfRule>
  </conditionalFormatting>
  <conditionalFormatting sqref="H35">
    <cfRule type="expression" priority="538" dxfId="0">
      <formula>AND(COUNT(C35:I35)=7,H35=5)</formula>
    </cfRule>
    <cfRule type="expression" priority="539" dxfId="1">
      <formula>AND(COUNT(C35:I35)=7,H35&lt;5*0.4)</formula>
    </cfRule>
    <cfRule type="expression" priority="540" dxfId="2">
      <formula>AND(COUNT(C35:I35)=7,H35&gt;=5*0.4,H35&lt;5)</formula>
    </cfRule>
  </conditionalFormatting>
  <conditionalFormatting sqref="H36">
    <cfRule type="expression" priority="541" dxfId="0">
      <formula>AND(COUNT(C36:I36)=7,H36=5)</formula>
    </cfRule>
    <cfRule type="expression" priority="542" dxfId="1">
      <formula>AND(COUNT(C36:I36)=7,H36&lt;5*0.4)</formula>
    </cfRule>
    <cfRule type="expression" priority="543" dxfId="2">
      <formula>AND(COUNT(C36:I36)=7,H36&gt;=5*0.4,H36&lt;5)</formula>
    </cfRule>
  </conditionalFormatting>
  <conditionalFormatting sqref="H37">
    <cfRule type="expression" priority="544" dxfId="0">
      <formula>AND(COUNT(C37:I37)=7,H37=5)</formula>
    </cfRule>
    <cfRule type="expression" priority="545" dxfId="1">
      <formula>AND(COUNT(C37:I37)=7,H37&lt;5*0.4)</formula>
    </cfRule>
    <cfRule type="expression" priority="546" dxfId="2">
      <formula>AND(COUNT(C37:I37)=7,H37&gt;=5*0.4,H37&lt;5)</formula>
    </cfRule>
  </conditionalFormatting>
  <conditionalFormatting sqref="H38">
    <cfRule type="expression" priority="547" dxfId="0">
      <formula>AND(COUNT(C38:I38)=7,H38=5)</formula>
    </cfRule>
    <cfRule type="expression" priority="548" dxfId="1">
      <formula>AND(COUNT(C38:I38)=7,H38&lt;5*0.4)</formula>
    </cfRule>
    <cfRule type="expression" priority="549" dxfId="2">
      <formula>AND(COUNT(C38:I38)=7,H38&gt;=5*0.4,H38&lt;5)</formula>
    </cfRule>
  </conditionalFormatting>
  <conditionalFormatting sqref="H39">
    <cfRule type="expression" priority="550" dxfId="0">
      <formula>AND(COUNT(C39:I39)=7,H39=5)</formula>
    </cfRule>
    <cfRule type="expression" priority="551" dxfId="1">
      <formula>AND(COUNT(C39:I39)=7,H39&lt;5*0.4)</formula>
    </cfRule>
    <cfRule type="expression" priority="552" dxfId="2">
      <formula>AND(COUNT(C39:I39)=7,H39&gt;=5*0.4,H39&lt;5)</formula>
    </cfRule>
  </conditionalFormatting>
  <conditionalFormatting sqref="H40">
    <cfRule type="expression" priority="553" dxfId="0">
      <formula>AND(COUNT(C40:I40)=7,H40=5)</formula>
    </cfRule>
    <cfRule type="expression" priority="554" dxfId="1">
      <formula>AND(COUNT(C40:I40)=7,H40&lt;5*0.4)</formula>
    </cfRule>
    <cfRule type="expression" priority="555" dxfId="2">
      <formula>AND(COUNT(C40:I40)=7,H40&gt;=5*0.4,H40&lt;5)</formula>
    </cfRule>
  </conditionalFormatting>
  <conditionalFormatting sqref="H41">
    <cfRule type="expression" priority="556" dxfId="0">
      <formula>AND(COUNT(C41:I41)=7,H41=5)</formula>
    </cfRule>
    <cfRule type="expression" priority="557" dxfId="1">
      <formula>AND(COUNT(C41:I41)=7,H41&lt;5*0.4)</formula>
    </cfRule>
    <cfRule type="expression" priority="558" dxfId="2">
      <formula>AND(COUNT(C41:I41)=7,H41&gt;=5*0.4,H41&lt;5)</formula>
    </cfRule>
  </conditionalFormatting>
  <conditionalFormatting sqref="I11">
    <cfRule type="expression" priority="559" dxfId="0">
      <formula>AND(COUNT(C11:I11)=7,I11=9)</formula>
    </cfRule>
    <cfRule type="expression" priority="560" dxfId="1">
      <formula>AND(COUNT(C11:I11)=7,I11&lt;9*0.4)</formula>
    </cfRule>
    <cfRule type="expression" priority="561" dxfId="2">
      <formula>AND(COUNT(C11:I11)=7,I11&gt;=9*0.4,I11&lt;9)</formula>
    </cfRule>
  </conditionalFormatting>
  <conditionalFormatting sqref="I12">
    <cfRule type="expression" priority="562" dxfId="0">
      <formula>AND(COUNT(C12:I12)=7,I12=9)</formula>
    </cfRule>
    <cfRule type="expression" priority="563" dxfId="1">
      <formula>AND(COUNT(C12:I12)=7,I12&lt;9*0.4)</formula>
    </cfRule>
    <cfRule type="expression" priority="564" dxfId="2">
      <formula>AND(COUNT(C12:I12)=7,I12&gt;=9*0.4,I12&lt;9)</formula>
    </cfRule>
  </conditionalFormatting>
  <conditionalFormatting sqref="I13">
    <cfRule type="expression" priority="565" dxfId="0">
      <formula>AND(COUNT(C13:I13)=7,I13=9)</formula>
    </cfRule>
    <cfRule type="expression" priority="566" dxfId="1">
      <formula>AND(COUNT(C13:I13)=7,I13&lt;9*0.4)</formula>
    </cfRule>
    <cfRule type="expression" priority="567" dxfId="2">
      <formula>AND(COUNT(C13:I13)=7,I13&gt;=9*0.4,I13&lt;9)</formula>
    </cfRule>
  </conditionalFormatting>
  <conditionalFormatting sqref="I14">
    <cfRule type="expression" priority="568" dxfId="0">
      <formula>AND(COUNT(C14:I14)=7,I14=9)</formula>
    </cfRule>
    <cfRule type="expression" priority="569" dxfId="1">
      <formula>AND(COUNT(C14:I14)=7,I14&lt;9*0.4)</formula>
    </cfRule>
    <cfRule type="expression" priority="570" dxfId="2">
      <formula>AND(COUNT(C14:I14)=7,I14&gt;=9*0.4,I14&lt;9)</formula>
    </cfRule>
  </conditionalFormatting>
  <conditionalFormatting sqref="I15">
    <cfRule type="expression" priority="571" dxfId="0">
      <formula>AND(COUNT(C15:I15)=7,I15=9)</formula>
    </cfRule>
    <cfRule type="expression" priority="572" dxfId="1">
      <formula>AND(COUNT(C15:I15)=7,I15&lt;9*0.4)</formula>
    </cfRule>
    <cfRule type="expression" priority="573" dxfId="2">
      <formula>AND(COUNT(C15:I15)=7,I15&gt;=9*0.4,I15&lt;9)</formula>
    </cfRule>
  </conditionalFormatting>
  <conditionalFormatting sqref="I16">
    <cfRule type="expression" priority="574" dxfId="0">
      <formula>AND(COUNT(C16:I16)=7,I16=9)</formula>
    </cfRule>
    <cfRule type="expression" priority="575" dxfId="1">
      <formula>AND(COUNT(C16:I16)=7,I16&lt;9*0.4)</formula>
    </cfRule>
    <cfRule type="expression" priority="576" dxfId="2">
      <formula>AND(COUNT(C16:I16)=7,I16&gt;=9*0.4,I16&lt;9)</formula>
    </cfRule>
  </conditionalFormatting>
  <conditionalFormatting sqref="I17">
    <cfRule type="expression" priority="577" dxfId="0">
      <formula>AND(COUNT(C17:I17)=7,I17=9)</formula>
    </cfRule>
    <cfRule type="expression" priority="578" dxfId="1">
      <formula>AND(COUNT(C17:I17)=7,I17&lt;9*0.4)</formula>
    </cfRule>
    <cfRule type="expression" priority="579" dxfId="2">
      <formula>AND(COUNT(C17:I17)=7,I17&gt;=9*0.4,I17&lt;9)</formula>
    </cfRule>
  </conditionalFormatting>
  <conditionalFormatting sqref="I18">
    <cfRule type="expression" priority="580" dxfId="0">
      <formula>AND(COUNT(C18:I18)=7,I18=9)</formula>
    </cfRule>
    <cfRule type="expression" priority="581" dxfId="1">
      <formula>AND(COUNT(C18:I18)=7,I18&lt;9*0.4)</formula>
    </cfRule>
    <cfRule type="expression" priority="582" dxfId="2">
      <formula>AND(COUNT(C18:I18)=7,I18&gt;=9*0.4,I18&lt;9)</formula>
    </cfRule>
  </conditionalFormatting>
  <conditionalFormatting sqref="I19">
    <cfRule type="expression" priority="583" dxfId="0">
      <formula>AND(COUNT(C19:I19)=7,I19=9)</formula>
    </cfRule>
    <cfRule type="expression" priority="584" dxfId="1">
      <formula>AND(COUNT(C19:I19)=7,I19&lt;9*0.4)</formula>
    </cfRule>
    <cfRule type="expression" priority="585" dxfId="2">
      <formula>AND(COUNT(C19:I19)=7,I19&gt;=9*0.4,I19&lt;9)</formula>
    </cfRule>
  </conditionalFormatting>
  <conditionalFormatting sqref="I20">
    <cfRule type="expression" priority="586" dxfId="0">
      <formula>AND(COUNT(C20:I20)=7,I20=9)</formula>
    </cfRule>
    <cfRule type="expression" priority="587" dxfId="1">
      <formula>AND(COUNT(C20:I20)=7,I20&lt;9*0.4)</formula>
    </cfRule>
    <cfRule type="expression" priority="588" dxfId="2">
      <formula>AND(COUNT(C20:I20)=7,I20&gt;=9*0.4,I20&lt;9)</formula>
    </cfRule>
  </conditionalFormatting>
  <conditionalFormatting sqref="I21">
    <cfRule type="expression" priority="589" dxfId="0">
      <formula>AND(COUNT(C21:I21)=7,I21=9)</formula>
    </cfRule>
    <cfRule type="expression" priority="590" dxfId="1">
      <formula>AND(COUNT(C21:I21)=7,I21&lt;9*0.4)</formula>
    </cfRule>
    <cfRule type="expression" priority="591" dxfId="2">
      <formula>AND(COUNT(C21:I21)=7,I21&gt;=9*0.4,I21&lt;9)</formula>
    </cfRule>
  </conditionalFormatting>
  <conditionalFormatting sqref="I22">
    <cfRule type="expression" priority="592" dxfId="0">
      <formula>AND(COUNT(C22:I22)=7,I22=9)</formula>
    </cfRule>
    <cfRule type="expression" priority="593" dxfId="1">
      <formula>AND(COUNT(C22:I22)=7,I22&lt;9*0.4)</formula>
    </cfRule>
    <cfRule type="expression" priority="594" dxfId="2">
      <formula>AND(COUNT(C22:I22)=7,I22&gt;=9*0.4,I22&lt;9)</formula>
    </cfRule>
  </conditionalFormatting>
  <conditionalFormatting sqref="I23">
    <cfRule type="expression" priority="595" dxfId="0">
      <formula>AND(COUNT(C23:I23)=7,I23=9)</formula>
    </cfRule>
    <cfRule type="expression" priority="596" dxfId="1">
      <formula>AND(COUNT(C23:I23)=7,I23&lt;9*0.4)</formula>
    </cfRule>
    <cfRule type="expression" priority="597" dxfId="2">
      <formula>AND(COUNT(C23:I23)=7,I23&gt;=9*0.4,I23&lt;9)</formula>
    </cfRule>
  </conditionalFormatting>
  <conditionalFormatting sqref="I24">
    <cfRule type="expression" priority="598" dxfId="0">
      <formula>AND(COUNT(C24:I24)=7,I24=9)</formula>
    </cfRule>
    <cfRule type="expression" priority="599" dxfId="1">
      <formula>AND(COUNT(C24:I24)=7,I24&lt;9*0.4)</formula>
    </cfRule>
    <cfRule type="expression" priority="600" dxfId="2">
      <formula>AND(COUNT(C24:I24)=7,I24&gt;=9*0.4,I24&lt;9)</formula>
    </cfRule>
  </conditionalFormatting>
  <conditionalFormatting sqref="I25">
    <cfRule type="expression" priority="601" dxfId="0">
      <formula>AND(COUNT(C25:I25)=7,I25=9)</formula>
    </cfRule>
    <cfRule type="expression" priority="602" dxfId="1">
      <formula>AND(COUNT(C25:I25)=7,I25&lt;9*0.4)</formula>
    </cfRule>
    <cfRule type="expression" priority="603" dxfId="2">
      <formula>AND(COUNT(C25:I25)=7,I25&gt;=9*0.4,I25&lt;9)</formula>
    </cfRule>
  </conditionalFormatting>
  <conditionalFormatting sqref="I26">
    <cfRule type="expression" priority="604" dxfId="0">
      <formula>AND(COUNT(C26:I26)=7,I26=9)</formula>
    </cfRule>
    <cfRule type="expression" priority="605" dxfId="1">
      <formula>AND(COUNT(C26:I26)=7,I26&lt;9*0.4)</formula>
    </cfRule>
    <cfRule type="expression" priority="606" dxfId="2">
      <formula>AND(COUNT(C26:I26)=7,I26&gt;=9*0.4,I26&lt;9)</formula>
    </cfRule>
  </conditionalFormatting>
  <conditionalFormatting sqref="I27">
    <cfRule type="expression" priority="607" dxfId="0">
      <formula>AND(COUNT(C27:I27)=7,I27=9)</formula>
    </cfRule>
    <cfRule type="expression" priority="608" dxfId="1">
      <formula>AND(COUNT(C27:I27)=7,I27&lt;9*0.4)</formula>
    </cfRule>
    <cfRule type="expression" priority="609" dxfId="2">
      <formula>AND(COUNT(C27:I27)=7,I27&gt;=9*0.4,I27&lt;9)</formula>
    </cfRule>
  </conditionalFormatting>
  <conditionalFormatting sqref="I28">
    <cfRule type="expression" priority="610" dxfId="0">
      <formula>AND(COUNT(C28:I28)=7,I28=9)</formula>
    </cfRule>
    <cfRule type="expression" priority="611" dxfId="1">
      <formula>AND(COUNT(C28:I28)=7,I28&lt;9*0.4)</formula>
    </cfRule>
    <cfRule type="expression" priority="612" dxfId="2">
      <formula>AND(COUNT(C28:I28)=7,I28&gt;=9*0.4,I28&lt;9)</formula>
    </cfRule>
  </conditionalFormatting>
  <conditionalFormatting sqref="I29">
    <cfRule type="expression" priority="613" dxfId="0">
      <formula>AND(COUNT(C29:I29)=7,I29=9)</formula>
    </cfRule>
    <cfRule type="expression" priority="614" dxfId="1">
      <formula>AND(COUNT(C29:I29)=7,I29&lt;9*0.4)</formula>
    </cfRule>
    <cfRule type="expression" priority="615" dxfId="2">
      <formula>AND(COUNT(C29:I29)=7,I29&gt;=9*0.4,I29&lt;9)</formula>
    </cfRule>
  </conditionalFormatting>
  <conditionalFormatting sqref="I30">
    <cfRule type="expression" priority="616" dxfId="0">
      <formula>AND(COUNT(C30:I30)=7,I30=9)</formula>
    </cfRule>
    <cfRule type="expression" priority="617" dxfId="1">
      <formula>AND(COUNT(C30:I30)=7,I30&lt;9*0.4)</formula>
    </cfRule>
    <cfRule type="expression" priority="618" dxfId="2">
      <formula>AND(COUNT(C30:I30)=7,I30&gt;=9*0.4,I30&lt;9)</formula>
    </cfRule>
  </conditionalFormatting>
  <conditionalFormatting sqref="I31">
    <cfRule type="expression" priority="619" dxfId="0">
      <formula>AND(COUNT(C31:I31)=7,I31=9)</formula>
    </cfRule>
    <cfRule type="expression" priority="620" dxfId="1">
      <formula>AND(COUNT(C31:I31)=7,I31&lt;9*0.4)</formula>
    </cfRule>
    <cfRule type="expression" priority="621" dxfId="2">
      <formula>AND(COUNT(C31:I31)=7,I31&gt;=9*0.4,I31&lt;9)</formula>
    </cfRule>
  </conditionalFormatting>
  <conditionalFormatting sqref="I32">
    <cfRule type="expression" priority="622" dxfId="0">
      <formula>AND(COUNT(C32:I32)=7,I32=9)</formula>
    </cfRule>
    <cfRule type="expression" priority="623" dxfId="1">
      <formula>AND(COUNT(C32:I32)=7,I32&lt;9*0.4)</formula>
    </cfRule>
    <cfRule type="expression" priority="624" dxfId="2">
      <formula>AND(COUNT(C32:I32)=7,I32&gt;=9*0.4,I32&lt;9)</formula>
    </cfRule>
  </conditionalFormatting>
  <conditionalFormatting sqref="I33">
    <cfRule type="expression" priority="625" dxfId="0">
      <formula>AND(COUNT(C33:I33)=7,I33=9)</formula>
    </cfRule>
    <cfRule type="expression" priority="626" dxfId="1">
      <formula>AND(COUNT(C33:I33)=7,I33&lt;9*0.4)</formula>
    </cfRule>
    <cfRule type="expression" priority="627" dxfId="2">
      <formula>AND(COUNT(C33:I33)=7,I33&gt;=9*0.4,I33&lt;9)</formula>
    </cfRule>
  </conditionalFormatting>
  <conditionalFormatting sqref="I34">
    <cfRule type="expression" priority="628" dxfId="0">
      <formula>AND(COUNT(C34:I34)=7,I34=9)</formula>
    </cfRule>
    <cfRule type="expression" priority="629" dxfId="1">
      <formula>AND(COUNT(C34:I34)=7,I34&lt;9*0.4)</formula>
    </cfRule>
    <cfRule type="expression" priority="630" dxfId="2">
      <formula>AND(COUNT(C34:I34)=7,I34&gt;=9*0.4,I34&lt;9)</formula>
    </cfRule>
  </conditionalFormatting>
  <conditionalFormatting sqref="I35">
    <cfRule type="expression" priority="631" dxfId="0">
      <formula>AND(COUNT(C35:I35)=7,I35=9)</formula>
    </cfRule>
    <cfRule type="expression" priority="632" dxfId="1">
      <formula>AND(COUNT(C35:I35)=7,I35&lt;9*0.4)</formula>
    </cfRule>
    <cfRule type="expression" priority="633" dxfId="2">
      <formula>AND(COUNT(C35:I35)=7,I35&gt;=9*0.4,I35&lt;9)</formula>
    </cfRule>
  </conditionalFormatting>
  <conditionalFormatting sqref="I36">
    <cfRule type="expression" priority="634" dxfId="0">
      <formula>AND(COUNT(C36:I36)=7,I36=9)</formula>
    </cfRule>
    <cfRule type="expression" priority="635" dxfId="1">
      <formula>AND(COUNT(C36:I36)=7,I36&lt;9*0.4)</formula>
    </cfRule>
    <cfRule type="expression" priority="636" dxfId="2">
      <formula>AND(COUNT(C36:I36)=7,I36&gt;=9*0.4,I36&lt;9)</formula>
    </cfRule>
  </conditionalFormatting>
  <conditionalFormatting sqref="I37">
    <cfRule type="expression" priority="637" dxfId="0">
      <formula>AND(COUNT(C37:I37)=7,I37=9)</formula>
    </cfRule>
    <cfRule type="expression" priority="638" dxfId="1">
      <formula>AND(COUNT(C37:I37)=7,I37&lt;9*0.4)</formula>
    </cfRule>
    <cfRule type="expression" priority="639" dxfId="2">
      <formula>AND(COUNT(C37:I37)=7,I37&gt;=9*0.4,I37&lt;9)</formula>
    </cfRule>
  </conditionalFormatting>
  <conditionalFormatting sqref="I38">
    <cfRule type="expression" priority="640" dxfId="0">
      <formula>AND(COUNT(C38:I38)=7,I38=9)</formula>
    </cfRule>
    <cfRule type="expression" priority="641" dxfId="1">
      <formula>AND(COUNT(C38:I38)=7,I38&lt;9*0.4)</formula>
    </cfRule>
    <cfRule type="expression" priority="642" dxfId="2">
      <formula>AND(COUNT(C38:I38)=7,I38&gt;=9*0.4,I38&lt;9)</formula>
    </cfRule>
  </conditionalFormatting>
  <conditionalFormatting sqref="I39">
    <cfRule type="expression" priority="643" dxfId="0">
      <formula>AND(COUNT(C39:I39)=7,I39=9)</formula>
    </cfRule>
    <cfRule type="expression" priority="644" dxfId="1">
      <formula>AND(COUNT(C39:I39)=7,I39&lt;9*0.4)</formula>
    </cfRule>
    <cfRule type="expression" priority="645" dxfId="2">
      <formula>AND(COUNT(C39:I39)=7,I39&gt;=9*0.4,I39&lt;9)</formula>
    </cfRule>
  </conditionalFormatting>
  <conditionalFormatting sqref="I40">
    <cfRule type="expression" priority="646" dxfId="0">
      <formula>AND(COUNT(C40:I40)=7,I40=9)</formula>
    </cfRule>
    <cfRule type="expression" priority="647" dxfId="1">
      <formula>AND(COUNT(C40:I40)=7,I40&lt;9*0.4)</formula>
    </cfRule>
    <cfRule type="expression" priority="648" dxfId="2">
      <formula>AND(COUNT(C40:I40)=7,I40&gt;=9*0.4,I40&lt;9)</formula>
    </cfRule>
  </conditionalFormatting>
  <conditionalFormatting sqref="I41">
    <cfRule type="expression" priority="649" dxfId="0">
      <formula>AND(COUNT(C41:I41)=7,I41=9)</formula>
    </cfRule>
    <cfRule type="expression" priority="650" dxfId="1">
      <formula>AND(COUNT(C41:I41)=7,I41&lt;9*0.4)</formula>
    </cfRule>
    <cfRule type="expression" priority="651" dxfId="2">
      <formula>AND(COUNT(C41:I41)=7,I41&gt;=9*0.4,I41&lt;9)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Chapter 3 End of Topic Test — Modelling and Estimation</t>
        </is>
      </c>
    </row>
    <row r="2">
      <c r="A2" s="2" t="inlineStr">
        <is>
          <t>Every block below pulls live from 'Ch3 EOT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SUMPRODUCT(--ISNUMBER('Ch3 EOT Results'!L12:L41))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IF('Ch3 EOT Results'!L12="","","Chapter 3 End of Topic Test — Modelling and Estimation")</f>
        <v/>
      </c>
      <c r="K5">
        <f>IF('Ch3 EOT Results'!L13="","","Chapter 3 End of Topic Test — Modelling and Estimation")</f>
        <v/>
      </c>
    </row>
    <row r="6">
      <c r="A6">
        <f>IF('Ch3 EOT Results'!L12="","","Name: "&amp;'Ch3 EOT Results'!B12&amp;"   Class: "&amp;'Ch3 EOT Results'!$B$3&amp;"   Date: "&amp;TEXT('Ch3 EOT Results'!$B$5,"DD/MM/YY"))</f>
        <v/>
      </c>
      <c r="K6">
        <f>IF('Ch3 EOT Results'!L13="","","Name: "&amp;'Ch3 EOT Results'!B13&amp;"   Class: "&amp;'Ch3 EOT Results'!$B$3&amp;"   Date: "&amp;TEXT('Ch3 EOT Results'!$B$5,"DD/MM/YY"))</f>
        <v/>
      </c>
    </row>
    <row r="7">
      <c r="A7">
        <f>IF('Ch3 EOT Results'!L12="","","Total: "&amp;'Ch3 EOT Results'!J12&amp;"/47 ("&amp;TEXT('Ch3 EOT Results'!K12,"0%")&amp;")   Overall: "&amp;'Ch3 EOT Results'!L12)</f>
        <v/>
      </c>
      <c r="K7">
        <f>IF('Ch3 EOT Results'!L13="","","Total: "&amp;'Ch3 EOT Results'!J13&amp;"/47 ("&amp;TEXT('Ch3 EOT Results'!K13,"0%")&amp;")   Overall: "&amp;'Ch3 EOT Results'!L13)</f>
        <v/>
      </c>
    </row>
    <row r="8">
      <c r="A8">
        <f>IF('Ch3 EOT Results'!L12="","",IF('Ch3 EOT Results'!L12="Green",Parameters!$C$194,IF('Ch3 EOT Results'!L12="Yellow",Parameters!$C$193,Parameters!$C$192)))</f>
        <v/>
      </c>
      <c r="K8">
        <f>IF('Ch3 EOT Results'!L13="","",IF('Ch3 EOT Results'!L13="Green",Parameters!$C$194,IF('Ch3 EOT Results'!L13="Yellow",Parameters!$C$193,Parameters!$C$192)))</f>
        <v/>
      </c>
    </row>
    <row r="10">
      <c r="A10">
        <f>IF('Ch3 EOT Results'!L12="","","Breakdown:")</f>
        <v/>
      </c>
      <c r="K10">
        <f>IF('Ch3 EOT Results'!L13="","","Breakdown:")</f>
        <v/>
      </c>
    </row>
    <row r="11">
      <c r="A11">
        <f>IF('Ch3 EOT Results'!L12="","","Q1 Fermi estimate: mobile phones: "&amp;'Ch3 EOT Results'!C12&amp;"/7")</f>
        <v/>
      </c>
      <c r="K11">
        <f>IF('Ch3 EOT Results'!L13="","","Q1 Fermi estimate: mobile phones: "&amp;'Ch3 EOT Results'!C13&amp;"/7")</f>
        <v/>
      </c>
    </row>
    <row r="12">
      <c r="A12">
        <f>IF('Ch3 EOT Results'!L12="","","Q2 Standard form &amp; scaling: "&amp;'Ch3 EOT Results'!D12&amp;"/5")</f>
        <v/>
      </c>
      <c r="K12">
        <f>IF('Ch3 EOT Results'!L13="","","Q2 Standard form &amp; scaling: "&amp;'Ch3 EOT Results'!D13&amp;"/5")</f>
        <v/>
      </c>
    </row>
    <row r="13">
      <c r="A13">
        <f>IF('Ch3 EOT Results'!L12="","","Q3 Subdividing: streetlights: "&amp;'Ch3 EOT Results'!E12&amp;"/7")</f>
        <v/>
      </c>
      <c r="K13">
        <f>IF('Ch3 EOT Results'!L13="","","Q3 Subdividing: streetlights: "&amp;'Ch3 EOT Results'!E13&amp;"/7")</f>
        <v/>
      </c>
    </row>
    <row r="14">
      <c r="A14">
        <f>IF('Ch3 EOT Results'!L12="","","Q4 Modelling cycle: water usage: "&amp;'Ch3 EOT Results'!F12&amp;"/9")</f>
        <v/>
      </c>
      <c r="K14">
        <f>IF('Ch3 EOT Results'!L13="","","Q4 Modelling cycle: water usage: "&amp;'Ch3 EOT Results'!F13&amp;"/9")</f>
        <v/>
      </c>
    </row>
    <row r="15">
      <c r="A15">
        <f>IF('Ch3 EOT Results'!L12="","","Q5 Volume estimate &amp; model limitations: "&amp;'Ch3 EOT Results'!G12&amp;"/5")</f>
        <v/>
      </c>
      <c r="K15">
        <f>IF('Ch3 EOT Results'!L13="","","Q5 Volume estimate &amp; model limitations: "&amp;'Ch3 EOT Results'!G13&amp;"/5")</f>
        <v/>
      </c>
    </row>
    <row r="16">
      <c r="A16">
        <f>IF('Ch3 EOT Results'!L12="","","Q6 Standard form: density: "&amp;'Ch3 EOT Results'!H12&amp;"/5")</f>
        <v/>
      </c>
      <c r="K16">
        <f>IF('Ch3 EOT Results'!L13="","","Q6 Standard form: density: "&amp;'Ch3 EOT Results'!H13&amp;"/5")</f>
        <v/>
      </c>
    </row>
    <row r="17">
      <c r="A17">
        <f>IF('Ch3 EOT Results'!L12="","","Q7 Fermi estimate: fish in a lake: "&amp;'Ch3 EOT Results'!I12&amp;"/9")</f>
        <v/>
      </c>
      <c r="K17">
        <f>IF('Ch3 EOT Results'!L13="","","Q7 Fermi estimate: fish in a lake: "&amp;'Ch3 EOT Results'!I13&amp;"/9")</f>
        <v/>
      </c>
    </row>
    <row r="18">
      <c r="A18">
        <f>IF(OR('Ch3 EOT Results'!L12="",'Ch3 EOT Results'!M12=""),"",'Ch3 EOT Results'!M12)</f>
        <v/>
      </c>
      <c r="K18">
        <f>IF(OR('Ch3 EOT Results'!L13="",'Ch3 EOT Results'!M13=""),"",'Ch3 EOT Results'!M13)</f>
        <v/>
      </c>
    </row>
    <row r="20">
      <c r="A20">
        <f>IF('Ch3 EOT Results'!L12="","","Comments:")</f>
        <v/>
      </c>
      <c r="K20">
        <f>IF('Ch3 EOT Results'!L13="","","Comments:")</f>
        <v/>
      </c>
    </row>
    <row r="21">
      <c r="A21">
        <f>IF('Ch3 EOT Results'!L14="","","Chapter 3 End of Topic Test — Modelling and Estimation")</f>
        <v/>
      </c>
      <c r="K21">
        <f>IF('Ch3 EOT Results'!L15="","","Chapter 3 End of Topic Test — Modelling and Estimation")</f>
        <v/>
      </c>
    </row>
    <row r="22">
      <c r="A22">
        <f>IF('Ch3 EOT Results'!L14="","","Name: "&amp;'Ch3 EOT Results'!B14&amp;"   Class: "&amp;'Ch3 EOT Results'!$B$3&amp;"   Date: "&amp;TEXT('Ch3 EOT Results'!$B$5,"DD/MM/YY"))</f>
        <v/>
      </c>
      <c r="K22">
        <f>IF('Ch3 EOT Results'!L15="","","Name: "&amp;'Ch3 EOT Results'!B15&amp;"   Class: "&amp;'Ch3 EOT Results'!$B$3&amp;"   Date: "&amp;TEXT('Ch3 EOT Results'!$B$5,"DD/MM/YY"))</f>
        <v/>
      </c>
    </row>
    <row r="23">
      <c r="A23">
        <f>IF('Ch3 EOT Results'!L14="","","Total: "&amp;'Ch3 EOT Results'!J14&amp;"/47 ("&amp;TEXT('Ch3 EOT Results'!K14,"0%")&amp;")   Overall: "&amp;'Ch3 EOT Results'!L14)</f>
        <v/>
      </c>
      <c r="K23">
        <f>IF('Ch3 EOT Results'!L15="","","Total: "&amp;'Ch3 EOT Results'!J15&amp;"/47 ("&amp;TEXT('Ch3 EOT Results'!K15,"0%")&amp;")   Overall: "&amp;'Ch3 EOT Results'!L15)</f>
        <v/>
      </c>
    </row>
    <row r="24">
      <c r="A24">
        <f>IF('Ch3 EOT Results'!L14="","",IF('Ch3 EOT Results'!L14="Green",Parameters!$C$194,IF('Ch3 EOT Results'!L14="Yellow",Parameters!$C$193,Parameters!$C$192)))</f>
        <v/>
      </c>
      <c r="K24">
        <f>IF('Ch3 EOT Results'!L15="","",IF('Ch3 EOT Results'!L15="Green",Parameters!$C$194,IF('Ch3 EOT Results'!L15="Yellow",Parameters!$C$193,Parameters!$C$192)))</f>
        <v/>
      </c>
    </row>
    <row r="26">
      <c r="A26">
        <f>IF('Ch3 EOT Results'!L14="","","Breakdown:")</f>
        <v/>
      </c>
      <c r="K26">
        <f>IF('Ch3 EOT Results'!L15="","","Breakdown:")</f>
        <v/>
      </c>
    </row>
    <row r="27">
      <c r="A27">
        <f>IF('Ch3 EOT Results'!L14="","","Q1 Fermi estimate: mobile phones: "&amp;'Ch3 EOT Results'!C14&amp;"/7")</f>
        <v/>
      </c>
      <c r="K27">
        <f>IF('Ch3 EOT Results'!L15="","","Q1 Fermi estimate: mobile phones: "&amp;'Ch3 EOT Results'!C15&amp;"/7")</f>
        <v/>
      </c>
    </row>
    <row r="28">
      <c r="A28">
        <f>IF('Ch3 EOT Results'!L14="","","Q2 Standard form &amp; scaling: "&amp;'Ch3 EOT Results'!D14&amp;"/5")</f>
        <v/>
      </c>
      <c r="K28">
        <f>IF('Ch3 EOT Results'!L15="","","Q2 Standard form &amp; scaling: "&amp;'Ch3 EOT Results'!D15&amp;"/5")</f>
        <v/>
      </c>
    </row>
    <row r="29">
      <c r="A29">
        <f>IF('Ch3 EOT Results'!L14="","","Q3 Subdividing: streetlights: "&amp;'Ch3 EOT Results'!E14&amp;"/7")</f>
        <v/>
      </c>
      <c r="K29">
        <f>IF('Ch3 EOT Results'!L15="","","Q3 Subdividing: streetlights: "&amp;'Ch3 EOT Results'!E15&amp;"/7")</f>
        <v/>
      </c>
    </row>
    <row r="30">
      <c r="A30">
        <f>IF('Ch3 EOT Results'!L14="","","Q4 Modelling cycle: water usage: "&amp;'Ch3 EOT Results'!F14&amp;"/9")</f>
        <v/>
      </c>
      <c r="K30">
        <f>IF('Ch3 EOT Results'!L15="","","Q4 Modelling cycle: water usage: "&amp;'Ch3 EOT Results'!F15&amp;"/9")</f>
        <v/>
      </c>
    </row>
    <row r="31">
      <c r="A31">
        <f>IF('Ch3 EOT Results'!L14="","","Q5 Volume estimate &amp; model limitations: "&amp;'Ch3 EOT Results'!G14&amp;"/5")</f>
        <v/>
      </c>
      <c r="K31">
        <f>IF('Ch3 EOT Results'!L15="","","Q5 Volume estimate &amp; model limitations: "&amp;'Ch3 EOT Results'!G15&amp;"/5")</f>
        <v/>
      </c>
    </row>
    <row r="32">
      <c r="A32">
        <f>IF('Ch3 EOT Results'!L14="","","Q6 Standard form: density: "&amp;'Ch3 EOT Results'!H14&amp;"/5")</f>
        <v/>
      </c>
      <c r="K32">
        <f>IF('Ch3 EOT Results'!L15="","","Q6 Standard form: density: "&amp;'Ch3 EOT Results'!H15&amp;"/5")</f>
        <v/>
      </c>
    </row>
    <row r="33">
      <c r="A33">
        <f>IF('Ch3 EOT Results'!L14="","","Q7 Fermi estimate: fish in a lake: "&amp;'Ch3 EOT Results'!I14&amp;"/9")</f>
        <v/>
      </c>
      <c r="K33">
        <f>IF('Ch3 EOT Results'!L15="","","Q7 Fermi estimate: fish in a lake: "&amp;'Ch3 EOT Results'!I15&amp;"/9")</f>
        <v/>
      </c>
    </row>
    <row r="34">
      <c r="A34">
        <f>IF(OR('Ch3 EOT Results'!L14="",'Ch3 EOT Results'!M14=""),"",'Ch3 EOT Results'!M14)</f>
        <v/>
      </c>
      <c r="K34">
        <f>IF(OR('Ch3 EOT Results'!L15="",'Ch3 EOT Results'!M15=""),"",'Ch3 EOT Results'!M15)</f>
        <v/>
      </c>
    </row>
    <row r="36">
      <c r="A36">
        <f>IF('Ch3 EOT Results'!L14="","","Comments:")</f>
        <v/>
      </c>
      <c r="K36">
        <f>IF('Ch3 EOT Results'!L15="","","Comments:")</f>
        <v/>
      </c>
    </row>
    <row r="37">
      <c r="A37">
        <f>IF('Ch3 EOT Results'!L16="","","Chapter 3 End of Topic Test — Modelling and Estimation")</f>
        <v/>
      </c>
      <c r="K37">
        <f>IF('Ch3 EOT Results'!L17="","","Chapter 3 End of Topic Test — Modelling and Estimation")</f>
        <v/>
      </c>
    </row>
    <row r="38">
      <c r="A38">
        <f>IF('Ch3 EOT Results'!L16="","","Name: "&amp;'Ch3 EOT Results'!B16&amp;"   Class: "&amp;'Ch3 EOT Results'!$B$3&amp;"   Date: "&amp;TEXT('Ch3 EOT Results'!$B$5,"DD/MM/YY"))</f>
        <v/>
      </c>
      <c r="K38">
        <f>IF('Ch3 EOT Results'!L17="","","Name: "&amp;'Ch3 EOT Results'!B17&amp;"   Class: "&amp;'Ch3 EOT Results'!$B$3&amp;"   Date: "&amp;TEXT('Ch3 EOT Results'!$B$5,"DD/MM/YY"))</f>
        <v/>
      </c>
    </row>
    <row r="39">
      <c r="A39">
        <f>IF('Ch3 EOT Results'!L16="","","Total: "&amp;'Ch3 EOT Results'!J16&amp;"/47 ("&amp;TEXT('Ch3 EOT Results'!K16,"0%")&amp;")   Overall: "&amp;'Ch3 EOT Results'!L16)</f>
        <v/>
      </c>
      <c r="K39">
        <f>IF('Ch3 EOT Results'!L17="","","Total: "&amp;'Ch3 EOT Results'!J17&amp;"/47 ("&amp;TEXT('Ch3 EOT Results'!K17,"0%")&amp;")   Overall: "&amp;'Ch3 EOT Results'!L17)</f>
        <v/>
      </c>
    </row>
    <row r="40">
      <c r="A40">
        <f>IF('Ch3 EOT Results'!L16="","",IF('Ch3 EOT Results'!L16="Green",Parameters!$C$194,IF('Ch3 EOT Results'!L16="Yellow",Parameters!$C$193,Parameters!$C$192)))</f>
        <v/>
      </c>
      <c r="K40">
        <f>IF('Ch3 EOT Results'!L17="","",IF('Ch3 EOT Results'!L17="Green",Parameters!$C$194,IF('Ch3 EOT Results'!L17="Yellow",Parameters!$C$193,Parameters!$C$192)))</f>
        <v/>
      </c>
    </row>
    <row r="42">
      <c r="A42">
        <f>IF('Ch3 EOT Results'!L16="","","Breakdown:")</f>
        <v/>
      </c>
      <c r="K42">
        <f>IF('Ch3 EOT Results'!L17="","","Breakdown:")</f>
        <v/>
      </c>
    </row>
    <row r="43">
      <c r="A43">
        <f>IF('Ch3 EOT Results'!L16="","","Q1 Fermi estimate: mobile phones: "&amp;'Ch3 EOT Results'!C16&amp;"/7")</f>
        <v/>
      </c>
      <c r="K43">
        <f>IF('Ch3 EOT Results'!L17="","","Q1 Fermi estimate: mobile phones: "&amp;'Ch3 EOT Results'!C17&amp;"/7")</f>
        <v/>
      </c>
    </row>
    <row r="44">
      <c r="A44">
        <f>IF('Ch3 EOT Results'!L16="","","Q2 Standard form &amp; scaling: "&amp;'Ch3 EOT Results'!D16&amp;"/5")</f>
        <v/>
      </c>
      <c r="K44">
        <f>IF('Ch3 EOT Results'!L17="","","Q2 Standard form &amp; scaling: "&amp;'Ch3 EOT Results'!D17&amp;"/5")</f>
        <v/>
      </c>
    </row>
    <row r="45">
      <c r="A45">
        <f>IF('Ch3 EOT Results'!L16="","","Q3 Subdividing: streetlights: "&amp;'Ch3 EOT Results'!E16&amp;"/7")</f>
        <v/>
      </c>
      <c r="K45">
        <f>IF('Ch3 EOT Results'!L17="","","Q3 Subdividing: streetlights: "&amp;'Ch3 EOT Results'!E17&amp;"/7")</f>
        <v/>
      </c>
    </row>
    <row r="46">
      <c r="A46">
        <f>IF('Ch3 EOT Results'!L16="","","Q4 Modelling cycle: water usage: "&amp;'Ch3 EOT Results'!F16&amp;"/9")</f>
        <v/>
      </c>
      <c r="K46">
        <f>IF('Ch3 EOT Results'!L17="","","Q4 Modelling cycle: water usage: "&amp;'Ch3 EOT Results'!F17&amp;"/9")</f>
        <v/>
      </c>
    </row>
    <row r="47">
      <c r="A47">
        <f>IF('Ch3 EOT Results'!L16="","","Q5 Volume estimate &amp; model limitations: "&amp;'Ch3 EOT Results'!G16&amp;"/5")</f>
        <v/>
      </c>
      <c r="K47">
        <f>IF('Ch3 EOT Results'!L17="","","Q5 Volume estimate &amp; model limitations: "&amp;'Ch3 EOT Results'!G17&amp;"/5")</f>
        <v/>
      </c>
    </row>
    <row r="48">
      <c r="A48">
        <f>IF('Ch3 EOT Results'!L16="","","Q6 Standard form: density: "&amp;'Ch3 EOT Results'!H16&amp;"/5")</f>
        <v/>
      </c>
      <c r="K48">
        <f>IF('Ch3 EOT Results'!L17="","","Q6 Standard form: density: "&amp;'Ch3 EOT Results'!H17&amp;"/5")</f>
        <v/>
      </c>
    </row>
    <row r="49">
      <c r="A49">
        <f>IF('Ch3 EOT Results'!L16="","","Q7 Fermi estimate: fish in a lake: "&amp;'Ch3 EOT Results'!I16&amp;"/9")</f>
        <v/>
      </c>
      <c r="K49">
        <f>IF('Ch3 EOT Results'!L17="","","Q7 Fermi estimate: fish in a lake: "&amp;'Ch3 EOT Results'!I17&amp;"/9")</f>
        <v/>
      </c>
    </row>
    <row r="50">
      <c r="A50">
        <f>IF(OR('Ch3 EOT Results'!L16="",'Ch3 EOT Results'!M16=""),"",'Ch3 EOT Results'!M16)</f>
        <v/>
      </c>
      <c r="K50">
        <f>IF(OR('Ch3 EOT Results'!L17="",'Ch3 EOT Results'!M17=""),"",'Ch3 EOT Results'!M17)</f>
        <v/>
      </c>
    </row>
    <row r="52">
      <c r="A52">
        <f>IF('Ch3 EOT Results'!L16="","","Comments:")</f>
        <v/>
      </c>
      <c r="K52">
        <f>IF('Ch3 EOT Results'!L17="","","Comments:")</f>
        <v/>
      </c>
    </row>
    <row r="53">
      <c r="A53">
        <f>IF('Ch3 EOT Results'!L18="","","Chapter 3 End of Topic Test — Modelling and Estimation")</f>
        <v/>
      </c>
      <c r="K53">
        <f>IF('Ch3 EOT Results'!L19="","","Chapter 3 End of Topic Test — Modelling and Estimation")</f>
        <v/>
      </c>
    </row>
    <row r="54">
      <c r="A54">
        <f>IF('Ch3 EOT Results'!L18="","","Name: "&amp;'Ch3 EOT Results'!B18&amp;"   Class: "&amp;'Ch3 EOT Results'!$B$3&amp;"   Date: "&amp;TEXT('Ch3 EOT Results'!$B$5,"DD/MM/YY"))</f>
        <v/>
      </c>
      <c r="K54">
        <f>IF('Ch3 EOT Results'!L19="","","Name: "&amp;'Ch3 EOT Results'!B19&amp;"   Class: "&amp;'Ch3 EOT Results'!$B$3&amp;"   Date: "&amp;TEXT('Ch3 EOT Results'!$B$5,"DD/MM/YY"))</f>
        <v/>
      </c>
    </row>
    <row r="55">
      <c r="A55">
        <f>IF('Ch3 EOT Results'!L18="","","Total: "&amp;'Ch3 EOT Results'!J18&amp;"/47 ("&amp;TEXT('Ch3 EOT Results'!K18,"0%")&amp;")   Overall: "&amp;'Ch3 EOT Results'!L18)</f>
        <v/>
      </c>
      <c r="K55">
        <f>IF('Ch3 EOT Results'!L19="","","Total: "&amp;'Ch3 EOT Results'!J19&amp;"/47 ("&amp;TEXT('Ch3 EOT Results'!K19,"0%")&amp;")   Overall: "&amp;'Ch3 EOT Results'!L19)</f>
        <v/>
      </c>
    </row>
    <row r="56">
      <c r="A56">
        <f>IF('Ch3 EOT Results'!L18="","",IF('Ch3 EOT Results'!L18="Green",Parameters!$C$194,IF('Ch3 EOT Results'!L18="Yellow",Parameters!$C$193,Parameters!$C$192)))</f>
        <v/>
      </c>
      <c r="K56">
        <f>IF('Ch3 EOT Results'!L19="","",IF('Ch3 EOT Results'!L19="Green",Parameters!$C$194,IF('Ch3 EOT Results'!L19="Yellow",Parameters!$C$193,Parameters!$C$192)))</f>
        <v/>
      </c>
    </row>
    <row r="58">
      <c r="A58">
        <f>IF('Ch3 EOT Results'!L18="","","Breakdown:")</f>
        <v/>
      </c>
      <c r="K58">
        <f>IF('Ch3 EOT Results'!L19="","","Breakdown:")</f>
        <v/>
      </c>
    </row>
    <row r="59">
      <c r="A59">
        <f>IF('Ch3 EOT Results'!L18="","","Q1 Fermi estimate: mobile phones: "&amp;'Ch3 EOT Results'!C18&amp;"/7")</f>
        <v/>
      </c>
      <c r="K59">
        <f>IF('Ch3 EOT Results'!L19="","","Q1 Fermi estimate: mobile phones: "&amp;'Ch3 EOT Results'!C19&amp;"/7")</f>
        <v/>
      </c>
    </row>
    <row r="60">
      <c r="A60">
        <f>IF('Ch3 EOT Results'!L18="","","Q2 Standard form &amp; scaling: "&amp;'Ch3 EOT Results'!D18&amp;"/5")</f>
        <v/>
      </c>
      <c r="K60">
        <f>IF('Ch3 EOT Results'!L19="","","Q2 Standard form &amp; scaling: "&amp;'Ch3 EOT Results'!D19&amp;"/5")</f>
        <v/>
      </c>
    </row>
    <row r="61">
      <c r="A61">
        <f>IF('Ch3 EOT Results'!L18="","","Q3 Subdividing: streetlights: "&amp;'Ch3 EOT Results'!E18&amp;"/7")</f>
        <v/>
      </c>
      <c r="K61">
        <f>IF('Ch3 EOT Results'!L19="","","Q3 Subdividing: streetlights: "&amp;'Ch3 EOT Results'!E19&amp;"/7")</f>
        <v/>
      </c>
    </row>
    <row r="62">
      <c r="A62">
        <f>IF('Ch3 EOT Results'!L18="","","Q4 Modelling cycle: water usage: "&amp;'Ch3 EOT Results'!F18&amp;"/9")</f>
        <v/>
      </c>
      <c r="K62">
        <f>IF('Ch3 EOT Results'!L19="","","Q4 Modelling cycle: water usage: "&amp;'Ch3 EOT Results'!F19&amp;"/9")</f>
        <v/>
      </c>
    </row>
    <row r="63">
      <c r="A63">
        <f>IF('Ch3 EOT Results'!L18="","","Q5 Volume estimate &amp; model limitations: "&amp;'Ch3 EOT Results'!G18&amp;"/5")</f>
        <v/>
      </c>
      <c r="K63">
        <f>IF('Ch3 EOT Results'!L19="","","Q5 Volume estimate &amp; model limitations: "&amp;'Ch3 EOT Results'!G19&amp;"/5")</f>
        <v/>
      </c>
    </row>
    <row r="64">
      <c r="A64">
        <f>IF('Ch3 EOT Results'!L18="","","Q6 Standard form: density: "&amp;'Ch3 EOT Results'!H18&amp;"/5")</f>
        <v/>
      </c>
      <c r="K64">
        <f>IF('Ch3 EOT Results'!L19="","","Q6 Standard form: density: "&amp;'Ch3 EOT Results'!H19&amp;"/5")</f>
        <v/>
      </c>
    </row>
    <row r="65">
      <c r="A65">
        <f>IF('Ch3 EOT Results'!L18="","","Q7 Fermi estimate: fish in a lake: "&amp;'Ch3 EOT Results'!I18&amp;"/9")</f>
        <v/>
      </c>
      <c r="K65">
        <f>IF('Ch3 EOT Results'!L19="","","Q7 Fermi estimate: fish in a lake: "&amp;'Ch3 EOT Results'!I19&amp;"/9")</f>
        <v/>
      </c>
    </row>
    <row r="66">
      <c r="A66">
        <f>IF(OR('Ch3 EOT Results'!L18="",'Ch3 EOT Results'!M18=""),"",'Ch3 EOT Results'!M18)</f>
        <v/>
      </c>
      <c r="K66">
        <f>IF(OR('Ch3 EOT Results'!L19="",'Ch3 EOT Results'!M19=""),"",'Ch3 EOT Results'!M19)</f>
        <v/>
      </c>
    </row>
    <row r="68">
      <c r="A68">
        <f>IF('Ch3 EOT Results'!L18="","","Comments:")</f>
        <v/>
      </c>
      <c r="K68">
        <f>IF('Ch3 EOT Results'!L19="","","Comments:")</f>
        <v/>
      </c>
    </row>
    <row r="69">
      <c r="A69">
        <f>IF('Ch3 EOT Results'!L20="","","Chapter 3 End of Topic Test — Modelling and Estimation")</f>
        <v/>
      </c>
      <c r="K69">
        <f>IF('Ch3 EOT Results'!L21="","","Chapter 3 End of Topic Test — Modelling and Estimation")</f>
        <v/>
      </c>
    </row>
    <row r="70">
      <c r="A70">
        <f>IF('Ch3 EOT Results'!L20="","","Name: "&amp;'Ch3 EOT Results'!B20&amp;"   Class: "&amp;'Ch3 EOT Results'!$B$3&amp;"   Date: "&amp;TEXT('Ch3 EOT Results'!$B$5,"DD/MM/YY"))</f>
        <v/>
      </c>
      <c r="K70">
        <f>IF('Ch3 EOT Results'!L21="","","Name: "&amp;'Ch3 EOT Results'!B21&amp;"   Class: "&amp;'Ch3 EOT Results'!$B$3&amp;"   Date: "&amp;TEXT('Ch3 EOT Results'!$B$5,"DD/MM/YY"))</f>
        <v/>
      </c>
    </row>
    <row r="71">
      <c r="A71">
        <f>IF('Ch3 EOT Results'!L20="","","Total: "&amp;'Ch3 EOT Results'!J20&amp;"/47 ("&amp;TEXT('Ch3 EOT Results'!K20,"0%")&amp;")   Overall: "&amp;'Ch3 EOT Results'!L20)</f>
        <v/>
      </c>
      <c r="K71">
        <f>IF('Ch3 EOT Results'!L21="","","Total: "&amp;'Ch3 EOT Results'!J21&amp;"/47 ("&amp;TEXT('Ch3 EOT Results'!K21,"0%")&amp;")   Overall: "&amp;'Ch3 EOT Results'!L21)</f>
        <v/>
      </c>
    </row>
    <row r="72">
      <c r="A72">
        <f>IF('Ch3 EOT Results'!L20="","",IF('Ch3 EOT Results'!L20="Green",Parameters!$C$194,IF('Ch3 EOT Results'!L20="Yellow",Parameters!$C$193,Parameters!$C$192)))</f>
        <v/>
      </c>
      <c r="K72">
        <f>IF('Ch3 EOT Results'!L21="","",IF('Ch3 EOT Results'!L21="Green",Parameters!$C$194,IF('Ch3 EOT Results'!L21="Yellow",Parameters!$C$193,Parameters!$C$192)))</f>
        <v/>
      </c>
    </row>
    <row r="74">
      <c r="A74">
        <f>IF('Ch3 EOT Results'!L20="","","Breakdown:")</f>
        <v/>
      </c>
      <c r="K74">
        <f>IF('Ch3 EOT Results'!L21="","","Breakdown:")</f>
        <v/>
      </c>
    </row>
    <row r="75">
      <c r="A75">
        <f>IF('Ch3 EOT Results'!L20="","","Q1 Fermi estimate: mobile phones: "&amp;'Ch3 EOT Results'!C20&amp;"/7")</f>
        <v/>
      </c>
      <c r="K75">
        <f>IF('Ch3 EOT Results'!L21="","","Q1 Fermi estimate: mobile phones: "&amp;'Ch3 EOT Results'!C21&amp;"/7")</f>
        <v/>
      </c>
    </row>
    <row r="76">
      <c r="A76">
        <f>IF('Ch3 EOT Results'!L20="","","Q2 Standard form &amp; scaling: "&amp;'Ch3 EOT Results'!D20&amp;"/5")</f>
        <v/>
      </c>
      <c r="K76">
        <f>IF('Ch3 EOT Results'!L21="","","Q2 Standard form &amp; scaling: "&amp;'Ch3 EOT Results'!D21&amp;"/5")</f>
        <v/>
      </c>
    </row>
    <row r="77">
      <c r="A77">
        <f>IF('Ch3 EOT Results'!L20="","","Q3 Subdividing: streetlights: "&amp;'Ch3 EOT Results'!E20&amp;"/7")</f>
        <v/>
      </c>
      <c r="K77">
        <f>IF('Ch3 EOT Results'!L21="","","Q3 Subdividing: streetlights: "&amp;'Ch3 EOT Results'!E21&amp;"/7")</f>
        <v/>
      </c>
    </row>
    <row r="78">
      <c r="A78">
        <f>IF('Ch3 EOT Results'!L20="","","Q4 Modelling cycle: water usage: "&amp;'Ch3 EOT Results'!F20&amp;"/9")</f>
        <v/>
      </c>
      <c r="K78">
        <f>IF('Ch3 EOT Results'!L21="","","Q4 Modelling cycle: water usage: "&amp;'Ch3 EOT Results'!F21&amp;"/9")</f>
        <v/>
      </c>
    </row>
    <row r="79">
      <c r="A79">
        <f>IF('Ch3 EOT Results'!L20="","","Q5 Volume estimate &amp; model limitations: "&amp;'Ch3 EOT Results'!G20&amp;"/5")</f>
        <v/>
      </c>
      <c r="K79">
        <f>IF('Ch3 EOT Results'!L21="","","Q5 Volume estimate &amp; model limitations: "&amp;'Ch3 EOT Results'!G21&amp;"/5")</f>
        <v/>
      </c>
    </row>
    <row r="80">
      <c r="A80">
        <f>IF('Ch3 EOT Results'!L20="","","Q6 Standard form: density: "&amp;'Ch3 EOT Results'!H20&amp;"/5")</f>
        <v/>
      </c>
      <c r="K80">
        <f>IF('Ch3 EOT Results'!L21="","","Q6 Standard form: density: "&amp;'Ch3 EOT Results'!H21&amp;"/5")</f>
        <v/>
      </c>
    </row>
    <row r="81">
      <c r="A81">
        <f>IF('Ch3 EOT Results'!L20="","","Q7 Fermi estimate: fish in a lake: "&amp;'Ch3 EOT Results'!I20&amp;"/9")</f>
        <v/>
      </c>
      <c r="K81">
        <f>IF('Ch3 EOT Results'!L21="","","Q7 Fermi estimate: fish in a lake: "&amp;'Ch3 EOT Results'!I21&amp;"/9")</f>
        <v/>
      </c>
    </row>
    <row r="82">
      <c r="A82">
        <f>IF(OR('Ch3 EOT Results'!L20="",'Ch3 EOT Results'!M20=""),"",'Ch3 EOT Results'!M20)</f>
        <v/>
      </c>
      <c r="K82">
        <f>IF(OR('Ch3 EOT Results'!L21="",'Ch3 EOT Results'!M21=""),"",'Ch3 EOT Results'!M21)</f>
        <v/>
      </c>
    </row>
    <row r="84">
      <c r="A84">
        <f>IF('Ch3 EOT Results'!L20="","","Comments:")</f>
        <v/>
      </c>
      <c r="K84">
        <f>IF('Ch3 EOT Results'!L21="","","Comments:")</f>
        <v/>
      </c>
    </row>
    <row r="85">
      <c r="A85">
        <f>IF('Ch3 EOT Results'!L22="","","Chapter 3 End of Topic Test — Modelling and Estimation")</f>
        <v/>
      </c>
      <c r="K85">
        <f>IF('Ch3 EOT Results'!L23="","","Chapter 3 End of Topic Test — Modelling and Estimation")</f>
        <v/>
      </c>
    </row>
    <row r="86">
      <c r="A86">
        <f>IF('Ch3 EOT Results'!L22="","","Name: "&amp;'Ch3 EOT Results'!B22&amp;"   Class: "&amp;'Ch3 EOT Results'!$B$3&amp;"   Date: "&amp;TEXT('Ch3 EOT Results'!$B$5,"DD/MM/YY"))</f>
        <v/>
      </c>
      <c r="K86">
        <f>IF('Ch3 EOT Results'!L23="","","Name: "&amp;'Ch3 EOT Results'!B23&amp;"   Class: "&amp;'Ch3 EOT Results'!$B$3&amp;"   Date: "&amp;TEXT('Ch3 EOT Results'!$B$5,"DD/MM/YY"))</f>
        <v/>
      </c>
    </row>
    <row r="87">
      <c r="A87">
        <f>IF('Ch3 EOT Results'!L22="","","Total: "&amp;'Ch3 EOT Results'!J22&amp;"/47 ("&amp;TEXT('Ch3 EOT Results'!K22,"0%")&amp;")   Overall: "&amp;'Ch3 EOT Results'!L22)</f>
        <v/>
      </c>
      <c r="K87">
        <f>IF('Ch3 EOT Results'!L23="","","Total: "&amp;'Ch3 EOT Results'!J23&amp;"/47 ("&amp;TEXT('Ch3 EOT Results'!K23,"0%")&amp;")   Overall: "&amp;'Ch3 EOT Results'!L23)</f>
        <v/>
      </c>
    </row>
    <row r="88">
      <c r="A88">
        <f>IF('Ch3 EOT Results'!L22="","",IF('Ch3 EOT Results'!L22="Green",Parameters!$C$194,IF('Ch3 EOT Results'!L22="Yellow",Parameters!$C$193,Parameters!$C$192)))</f>
        <v/>
      </c>
      <c r="K88">
        <f>IF('Ch3 EOT Results'!L23="","",IF('Ch3 EOT Results'!L23="Green",Parameters!$C$194,IF('Ch3 EOT Results'!L23="Yellow",Parameters!$C$193,Parameters!$C$192)))</f>
        <v/>
      </c>
    </row>
    <row r="90">
      <c r="A90">
        <f>IF('Ch3 EOT Results'!L22="","","Breakdown:")</f>
        <v/>
      </c>
      <c r="K90">
        <f>IF('Ch3 EOT Results'!L23="","","Breakdown:")</f>
        <v/>
      </c>
    </row>
    <row r="91">
      <c r="A91">
        <f>IF('Ch3 EOT Results'!L22="","","Q1 Fermi estimate: mobile phones: "&amp;'Ch3 EOT Results'!C22&amp;"/7")</f>
        <v/>
      </c>
      <c r="K91">
        <f>IF('Ch3 EOT Results'!L23="","","Q1 Fermi estimate: mobile phones: "&amp;'Ch3 EOT Results'!C23&amp;"/7")</f>
        <v/>
      </c>
    </row>
    <row r="92">
      <c r="A92">
        <f>IF('Ch3 EOT Results'!L22="","","Q2 Standard form &amp; scaling: "&amp;'Ch3 EOT Results'!D22&amp;"/5")</f>
        <v/>
      </c>
      <c r="K92">
        <f>IF('Ch3 EOT Results'!L23="","","Q2 Standard form &amp; scaling: "&amp;'Ch3 EOT Results'!D23&amp;"/5")</f>
        <v/>
      </c>
    </row>
    <row r="93">
      <c r="A93">
        <f>IF('Ch3 EOT Results'!L22="","","Q3 Subdividing: streetlights: "&amp;'Ch3 EOT Results'!E22&amp;"/7")</f>
        <v/>
      </c>
      <c r="K93">
        <f>IF('Ch3 EOT Results'!L23="","","Q3 Subdividing: streetlights: "&amp;'Ch3 EOT Results'!E23&amp;"/7")</f>
        <v/>
      </c>
    </row>
    <row r="94">
      <c r="A94">
        <f>IF('Ch3 EOT Results'!L22="","","Q4 Modelling cycle: water usage: "&amp;'Ch3 EOT Results'!F22&amp;"/9")</f>
        <v/>
      </c>
      <c r="K94">
        <f>IF('Ch3 EOT Results'!L23="","","Q4 Modelling cycle: water usage: "&amp;'Ch3 EOT Results'!F23&amp;"/9")</f>
        <v/>
      </c>
    </row>
    <row r="95">
      <c r="A95">
        <f>IF('Ch3 EOT Results'!L22="","","Q5 Volume estimate &amp; model limitations: "&amp;'Ch3 EOT Results'!G22&amp;"/5")</f>
        <v/>
      </c>
      <c r="K95">
        <f>IF('Ch3 EOT Results'!L23="","","Q5 Volume estimate &amp; model limitations: "&amp;'Ch3 EOT Results'!G23&amp;"/5")</f>
        <v/>
      </c>
    </row>
    <row r="96">
      <c r="A96">
        <f>IF('Ch3 EOT Results'!L22="","","Q6 Standard form: density: "&amp;'Ch3 EOT Results'!H22&amp;"/5")</f>
        <v/>
      </c>
      <c r="K96">
        <f>IF('Ch3 EOT Results'!L23="","","Q6 Standard form: density: "&amp;'Ch3 EOT Results'!H23&amp;"/5")</f>
        <v/>
      </c>
    </row>
    <row r="97">
      <c r="A97">
        <f>IF('Ch3 EOT Results'!L22="","","Q7 Fermi estimate: fish in a lake: "&amp;'Ch3 EOT Results'!I22&amp;"/9")</f>
        <v/>
      </c>
      <c r="K97">
        <f>IF('Ch3 EOT Results'!L23="","","Q7 Fermi estimate: fish in a lake: "&amp;'Ch3 EOT Results'!I23&amp;"/9")</f>
        <v/>
      </c>
    </row>
    <row r="98">
      <c r="A98">
        <f>IF(OR('Ch3 EOT Results'!L22="",'Ch3 EOT Results'!M22=""),"",'Ch3 EOT Results'!M22)</f>
        <v/>
      </c>
      <c r="K98">
        <f>IF(OR('Ch3 EOT Results'!L23="",'Ch3 EOT Results'!M23=""),"",'Ch3 EOT Results'!M23)</f>
        <v/>
      </c>
    </row>
    <row r="100">
      <c r="A100">
        <f>IF('Ch3 EOT Results'!L22="","","Comments:")</f>
        <v/>
      </c>
      <c r="K100">
        <f>IF('Ch3 EOT Results'!L23="","","Comments:")</f>
        <v/>
      </c>
    </row>
    <row r="101">
      <c r="A101">
        <f>IF('Ch3 EOT Results'!L24="","","Chapter 3 End of Topic Test — Modelling and Estimation")</f>
        <v/>
      </c>
      <c r="K101">
        <f>IF('Ch3 EOT Results'!L25="","","Chapter 3 End of Topic Test — Modelling and Estimation")</f>
        <v/>
      </c>
    </row>
    <row r="102">
      <c r="A102">
        <f>IF('Ch3 EOT Results'!L24="","","Name: "&amp;'Ch3 EOT Results'!B24&amp;"   Class: "&amp;'Ch3 EOT Results'!$B$3&amp;"   Date: "&amp;TEXT('Ch3 EOT Results'!$B$5,"DD/MM/YY"))</f>
        <v/>
      </c>
      <c r="K102">
        <f>IF('Ch3 EOT Results'!L25="","","Name: "&amp;'Ch3 EOT Results'!B25&amp;"   Class: "&amp;'Ch3 EOT Results'!$B$3&amp;"   Date: "&amp;TEXT('Ch3 EOT Results'!$B$5,"DD/MM/YY"))</f>
        <v/>
      </c>
    </row>
    <row r="103">
      <c r="A103">
        <f>IF('Ch3 EOT Results'!L24="","","Total: "&amp;'Ch3 EOT Results'!J24&amp;"/47 ("&amp;TEXT('Ch3 EOT Results'!K24,"0%")&amp;")   Overall: "&amp;'Ch3 EOT Results'!L24)</f>
        <v/>
      </c>
      <c r="K103">
        <f>IF('Ch3 EOT Results'!L25="","","Total: "&amp;'Ch3 EOT Results'!J25&amp;"/47 ("&amp;TEXT('Ch3 EOT Results'!K25,"0%")&amp;")   Overall: "&amp;'Ch3 EOT Results'!L25)</f>
        <v/>
      </c>
    </row>
    <row r="104">
      <c r="A104">
        <f>IF('Ch3 EOT Results'!L24="","",IF('Ch3 EOT Results'!L24="Green",Parameters!$C$194,IF('Ch3 EOT Results'!L24="Yellow",Parameters!$C$193,Parameters!$C$192)))</f>
        <v/>
      </c>
      <c r="K104">
        <f>IF('Ch3 EOT Results'!L25="","",IF('Ch3 EOT Results'!L25="Green",Parameters!$C$194,IF('Ch3 EOT Results'!L25="Yellow",Parameters!$C$193,Parameters!$C$192)))</f>
        <v/>
      </c>
    </row>
    <row r="106">
      <c r="A106">
        <f>IF('Ch3 EOT Results'!L24="","","Breakdown:")</f>
        <v/>
      </c>
      <c r="K106">
        <f>IF('Ch3 EOT Results'!L25="","","Breakdown:")</f>
        <v/>
      </c>
    </row>
    <row r="107">
      <c r="A107">
        <f>IF('Ch3 EOT Results'!L24="","","Q1 Fermi estimate: mobile phones: "&amp;'Ch3 EOT Results'!C24&amp;"/7")</f>
        <v/>
      </c>
      <c r="K107">
        <f>IF('Ch3 EOT Results'!L25="","","Q1 Fermi estimate: mobile phones: "&amp;'Ch3 EOT Results'!C25&amp;"/7")</f>
        <v/>
      </c>
    </row>
    <row r="108">
      <c r="A108">
        <f>IF('Ch3 EOT Results'!L24="","","Q2 Standard form &amp; scaling: "&amp;'Ch3 EOT Results'!D24&amp;"/5")</f>
        <v/>
      </c>
      <c r="K108">
        <f>IF('Ch3 EOT Results'!L25="","","Q2 Standard form &amp; scaling: "&amp;'Ch3 EOT Results'!D25&amp;"/5")</f>
        <v/>
      </c>
    </row>
    <row r="109">
      <c r="A109">
        <f>IF('Ch3 EOT Results'!L24="","","Q3 Subdividing: streetlights: "&amp;'Ch3 EOT Results'!E24&amp;"/7")</f>
        <v/>
      </c>
      <c r="K109">
        <f>IF('Ch3 EOT Results'!L25="","","Q3 Subdividing: streetlights: "&amp;'Ch3 EOT Results'!E25&amp;"/7")</f>
        <v/>
      </c>
    </row>
    <row r="110">
      <c r="A110">
        <f>IF('Ch3 EOT Results'!L24="","","Q4 Modelling cycle: water usage: "&amp;'Ch3 EOT Results'!F24&amp;"/9")</f>
        <v/>
      </c>
      <c r="K110">
        <f>IF('Ch3 EOT Results'!L25="","","Q4 Modelling cycle: water usage: "&amp;'Ch3 EOT Results'!F25&amp;"/9")</f>
        <v/>
      </c>
    </row>
    <row r="111">
      <c r="A111">
        <f>IF('Ch3 EOT Results'!L24="","","Q5 Volume estimate &amp; model limitations: "&amp;'Ch3 EOT Results'!G24&amp;"/5")</f>
        <v/>
      </c>
      <c r="K111">
        <f>IF('Ch3 EOT Results'!L25="","","Q5 Volume estimate &amp; model limitations: "&amp;'Ch3 EOT Results'!G25&amp;"/5")</f>
        <v/>
      </c>
    </row>
    <row r="112">
      <c r="A112">
        <f>IF('Ch3 EOT Results'!L24="","","Q6 Standard form: density: "&amp;'Ch3 EOT Results'!H24&amp;"/5")</f>
        <v/>
      </c>
      <c r="K112">
        <f>IF('Ch3 EOT Results'!L25="","","Q6 Standard form: density: "&amp;'Ch3 EOT Results'!H25&amp;"/5")</f>
        <v/>
      </c>
    </row>
    <row r="113">
      <c r="A113">
        <f>IF('Ch3 EOT Results'!L24="","","Q7 Fermi estimate: fish in a lake: "&amp;'Ch3 EOT Results'!I24&amp;"/9")</f>
        <v/>
      </c>
      <c r="K113">
        <f>IF('Ch3 EOT Results'!L25="","","Q7 Fermi estimate: fish in a lake: "&amp;'Ch3 EOT Results'!I25&amp;"/9")</f>
        <v/>
      </c>
    </row>
    <row r="114">
      <c r="A114">
        <f>IF(OR('Ch3 EOT Results'!L24="",'Ch3 EOT Results'!M24=""),"",'Ch3 EOT Results'!M24)</f>
        <v/>
      </c>
      <c r="K114">
        <f>IF(OR('Ch3 EOT Results'!L25="",'Ch3 EOT Results'!M25=""),"",'Ch3 EOT Results'!M25)</f>
        <v/>
      </c>
    </row>
    <row r="116">
      <c r="A116">
        <f>IF('Ch3 EOT Results'!L24="","","Comments:")</f>
        <v/>
      </c>
      <c r="K116">
        <f>IF('Ch3 EOT Results'!L25="","","Comments:")</f>
        <v/>
      </c>
    </row>
    <row r="117">
      <c r="A117">
        <f>IF('Ch3 EOT Results'!L26="","","Chapter 3 End of Topic Test — Modelling and Estimation")</f>
        <v/>
      </c>
      <c r="K117">
        <f>IF('Ch3 EOT Results'!L27="","","Chapter 3 End of Topic Test — Modelling and Estimation")</f>
        <v/>
      </c>
    </row>
    <row r="118">
      <c r="A118">
        <f>IF('Ch3 EOT Results'!L26="","","Name: "&amp;'Ch3 EOT Results'!B26&amp;"   Class: "&amp;'Ch3 EOT Results'!$B$3&amp;"   Date: "&amp;TEXT('Ch3 EOT Results'!$B$5,"DD/MM/YY"))</f>
        <v/>
      </c>
      <c r="K118">
        <f>IF('Ch3 EOT Results'!L27="","","Name: "&amp;'Ch3 EOT Results'!B27&amp;"   Class: "&amp;'Ch3 EOT Results'!$B$3&amp;"   Date: "&amp;TEXT('Ch3 EOT Results'!$B$5,"DD/MM/YY"))</f>
        <v/>
      </c>
    </row>
    <row r="119">
      <c r="A119">
        <f>IF('Ch3 EOT Results'!L26="","","Total: "&amp;'Ch3 EOT Results'!J26&amp;"/47 ("&amp;TEXT('Ch3 EOT Results'!K26,"0%")&amp;")   Overall: "&amp;'Ch3 EOT Results'!L26)</f>
        <v/>
      </c>
      <c r="K119">
        <f>IF('Ch3 EOT Results'!L27="","","Total: "&amp;'Ch3 EOT Results'!J27&amp;"/47 ("&amp;TEXT('Ch3 EOT Results'!K27,"0%")&amp;")   Overall: "&amp;'Ch3 EOT Results'!L27)</f>
        <v/>
      </c>
    </row>
    <row r="120">
      <c r="A120">
        <f>IF('Ch3 EOT Results'!L26="","",IF('Ch3 EOT Results'!L26="Green",Parameters!$C$194,IF('Ch3 EOT Results'!L26="Yellow",Parameters!$C$193,Parameters!$C$192)))</f>
        <v/>
      </c>
      <c r="K120">
        <f>IF('Ch3 EOT Results'!L27="","",IF('Ch3 EOT Results'!L27="Green",Parameters!$C$194,IF('Ch3 EOT Results'!L27="Yellow",Parameters!$C$193,Parameters!$C$192)))</f>
        <v/>
      </c>
    </row>
    <row r="122">
      <c r="A122">
        <f>IF('Ch3 EOT Results'!L26="","","Breakdown:")</f>
        <v/>
      </c>
      <c r="K122">
        <f>IF('Ch3 EOT Results'!L27="","","Breakdown:")</f>
        <v/>
      </c>
    </row>
    <row r="123">
      <c r="A123">
        <f>IF('Ch3 EOT Results'!L26="","","Q1 Fermi estimate: mobile phones: "&amp;'Ch3 EOT Results'!C26&amp;"/7")</f>
        <v/>
      </c>
      <c r="K123">
        <f>IF('Ch3 EOT Results'!L27="","","Q1 Fermi estimate: mobile phones: "&amp;'Ch3 EOT Results'!C27&amp;"/7")</f>
        <v/>
      </c>
    </row>
    <row r="124">
      <c r="A124">
        <f>IF('Ch3 EOT Results'!L26="","","Q2 Standard form &amp; scaling: "&amp;'Ch3 EOT Results'!D26&amp;"/5")</f>
        <v/>
      </c>
      <c r="K124">
        <f>IF('Ch3 EOT Results'!L27="","","Q2 Standard form &amp; scaling: "&amp;'Ch3 EOT Results'!D27&amp;"/5")</f>
        <v/>
      </c>
    </row>
    <row r="125">
      <c r="A125">
        <f>IF('Ch3 EOT Results'!L26="","","Q3 Subdividing: streetlights: "&amp;'Ch3 EOT Results'!E26&amp;"/7")</f>
        <v/>
      </c>
      <c r="K125">
        <f>IF('Ch3 EOT Results'!L27="","","Q3 Subdividing: streetlights: "&amp;'Ch3 EOT Results'!E27&amp;"/7")</f>
        <v/>
      </c>
    </row>
    <row r="126">
      <c r="A126">
        <f>IF('Ch3 EOT Results'!L26="","","Q4 Modelling cycle: water usage: "&amp;'Ch3 EOT Results'!F26&amp;"/9")</f>
        <v/>
      </c>
      <c r="K126">
        <f>IF('Ch3 EOT Results'!L27="","","Q4 Modelling cycle: water usage: "&amp;'Ch3 EOT Results'!F27&amp;"/9")</f>
        <v/>
      </c>
    </row>
    <row r="127">
      <c r="A127">
        <f>IF('Ch3 EOT Results'!L26="","","Q5 Volume estimate &amp; model limitations: "&amp;'Ch3 EOT Results'!G26&amp;"/5")</f>
        <v/>
      </c>
      <c r="K127">
        <f>IF('Ch3 EOT Results'!L27="","","Q5 Volume estimate &amp; model limitations: "&amp;'Ch3 EOT Results'!G27&amp;"/5")</f>
        <v/>
      </c>
    </row>
    <row r="128">
      <c r="A128">
        <f>IF('Ch3 EOT Results'!L26="","","Q6 Standard form: density: "&amp;'Ch3 EOT Results'!H26&amp;"/5")</f>
        <v/>
      </c>
      <c r="K128">
        <f>IF('Ch3 EOT Results'!L27="","","Q6 Standard form: density: "&amp;'Ch3 EOT Results'!H27&amp;"/5")</f>
        <v/>
      </c>
    </row>
    <row r="129">
      <c r="A129">
        <f>IF('Ch3 EOT Results'!L26="","","Q7 Fermi estimate: fish in a lake: "&amp;'Ch3 EOT Results'!I26&amp;"/9")</f>
        <v/>
      </c>
      <c r="K129">
        <f>IF('Ch3 EOT Results'!L27="","","Q7 Fermi estimate: fish in a lake: "&amp;'Ch3 EOT Results'!I27&amp;"/9")</f>
        <v/>
      </c>
    </row>
    <row r="130">
      <c r="A130">
        <f>IF(OR('Ch3 EOT Results'!L26="",'Ch3 EOT Results'!M26=""),"",'Ch3 EOT Results'!M26)</f>
        <v/>
      </c>
      <c r="K130">
        <f>IF(OR('Ch3 EOT Results'!L27="",'Ch3 EOT Results'!M27=""),"",'Ch3 EOT Results'!M27)</f>
        <v/>
      </c>
    </row>
    <row r="132">
      <c r="A132">
        <f>IF('Ch3 EOT Results'!L26="","","Comments:")</f>
        <v/>
      </c>
      <c r="K132">
        <f>IF('Ch3 EOT Results'!L27="","","Comments:")</f>
        <v/>
      </c>
    </row>
    <row r="133">
      <c r="A133">
        <f>IF('Ch3 EOT Results'!L28="","","Chapter 3 End of Topic Test — Modelling and Estimation")</f>
        <v/>
      </c>
      <c r="K133">
        <f>IF('Ch3 EOT Results'!L29="","","Chapter 3 End of Topic Test — Modelling and Estimation")</f>
        <v/>
      </c>
    </row>
    <row r="134">
      <c r="A134">
        <f>IF('Ch3 EOT Results'!L28="","","Name: "&amp;'Ch3 EOT Results'!B28&amp;"   Class: "&amp;'Ch3 EOT Results'!$B$3&amp;"   Date: "&amp;TEXT('Ch3 EOT Results'!$B$5,"DD/MM/YY"))</f>
        <v/>
      </c>
      <c r="K134">
        <f>IF('Ch3 EOT Results'!L29="","","Name: "&amp;'Ch3 EOT Results'!B29&amp;"   Class: "&amp;'Ch3 EOT Results'!$B$3&amp;"   Date: "&amp;TEXT('Ch3 EOT Results'!$B$5,"DD/MM/YY"))</f>
        <v/>
      </c>
    </row>
    <row r="135">
      <c r="A135">
        <f>IF('Ch3 EOT Results'!L28="","","Total: "&amp;'Ch3 EOT Results'!J28&amp;"/47 ("&amp;TEXT('Ch3 EOT Results'!K28,"0%")&amp;")   Overall: "&amp;'Ch3 EOT Results'!L28)</f>
        <v/>
      </c>
      <c r="K135">
        <f>IF('Ch3 EOT Results'!L29="","","Total: "&amp;'Ch3 EOT Results'!J29&amp;"/47 ("&amp;TEXT('Ch3 EOT Results'!K29,"0%")&amp;")   Overall: "&amp;'Ch3 EOT Results'!L29)</f>
        <v/>
      </c>
    </row>
    <row r="136">
      <c r="A136">
        <f>IF('Ch3 EOT Results'!L28="","",IF('Ch3 EOT Results'!L28="Green",Parameters!$C$194,IF('Ch3 EOT Results'!L28="Yellow",Parameters!$C$193,Parameters!$C$192)))</f>
        <v/>
      </c>
      <c r="K136">
        <f>IF('Ch3 EOT Results'!L29="","",IF('Ch3 EOT Results'!L29="Green",Parameters!$C$194,IF('Ch3 EOT Results'!L29="Yellow",Parameters!$C$193,Parameters!$C$192)))</f>
        <v/>
      </c>
    </row>
    <row r="138">
      <c r="A138">
        <f>IF('Ch3 EOT Results'!L28="","","Breakdown:")</f>
        <v/>
      </c>
      <c r="K138">
        <f>IF('Ch3 EOT Results'!L29="","","Breakdown:")</f>
        <v/>
      </c>
    </row>
    <row r="139">
      <c r="A139">
        <f>IF('Ch3 EOT Results'!L28="","","Q1 Fermi estimate: mobile phones: "&amp;'Ch3 EOT Results'!C28&amp;"/7")</f>
        <v/>
      </c>
      <c r="K139">
        <f>IF('Ch3 EOT Results'!L29="","","Q1 Fermi estimate: mobile phones: "&amp;'Ch3 EOT Results'!C29&amp;"/7")</f>
        <v/>
      </c>
    </row>
    <row r="140">
      <c r="A140">
        <f>IF('Ch3 EOT Results'!L28="","","Q2 Standard form &amp; scaling: "&amp;'Ch3 EOT Results'!D28&amp;"/5")</f>
        <v/>
      </c>
      <c r="K140">
        <f>IF('Ch3 EOT Results'!L29="","","Q2 Standard form &amp; scaling: "&amp;'Ch3 EOT Results'!D29&amp;"/5")</f>
        <v/>
      </c>
    </row>
    <row r="141">
      <c r="A141">
        <f>IF('Ch3 EOT Results'!L28="","","Q3 Subdividing: streetlights: "&amp;'Ch3 EOT Results'!E28&amp;"/7")</f>
        <v/>
      </c>
      <c r="K141">
        <f>IF('Ch3 EOT Results'!L29="","","Q3 Subdividing: streetlights: "&amp;'Ch3 EOT Results'!E29&amp;"/7")</f>
        <v/>
      </c>
    </row>
    <row r="142">
      <c r="A142">
        <f>IF('Ch3 EOT Results'!L28="","","Q4 Modelling cycle: water usage: "&amp;'Ch3 EOT Results'!F28&amp;"/9")</f>
        <v/>
      </c>
      <c r="K142">
        <f>IF('Ch3 EOT Results'!L29="","","Q4 Modelling cycle: water usage: "&amp;'Ch3 EOT Results'!F29&amp;"/9")</f>
        <v/>
      </c>
    </row>
    <row r="143">
      <c r="A143">
        <f>IF('Ch3 EOT Results'!L28="","","Q5 Volume estimate &amp; model limitations: "&amp;'Ch3 EOT Results'!G28&amp;"/5")</f>
        <v/>
      </c>
      <c r="K143">
        <f>IF('Ch3 EOT Results'!L29="","","Q5 Volume estimate &amp; model limitations: "&amp;'Ch3 EOT Results'!G29&amp;"/5")</f>
        <v/>
      </c>
    </row>
    <row r="144">
      <c r="A144">
        <f>IF('Ch3 EOT Results'!L28="","","Q6 Standard form: density: "&amp;'Ch3 EOT Results'!H28&amp;"/5")</f>
        <v/>
      </c>
      <c r="K144">
        <f>IF('Ch3 EOT Results'!L29="","","Q6 Standard form: density: "&amp;'Ch3 EOT Results'!H29&amp;"/5")</f>
        <v/>
      </c>
    </row>
    <row r="145">
      <c r="A145">
        <f>IF('Ch3 EOT Results'!L28="","","Q7 Fermi estimate: fish in a lake: "&amp;'Ch3 EOT Results'!I28&amp;"/9")</f>
        <v/>
      </c>
      <c r="K145">
        <f>IF('Ch3 EOT Results'!L29="","","Q7 Fermi estimate: fish in a lake: "&amp;'Ch3 EOT Results'!I29&amp;"/9")</f>
        <v/>
      </c>
    </row>
    <row r="146">
      <c r="A146">
        <f>IF(OR('Ch3 EOT Results'!L28="",'Ch3 EOT Results'!M28=""),"",'Ch3 EOT Results'!M28)</f>
        <v/>
      </c>
      <c r="K146">
        <f>IF(OR('Ch3 EOT Results'!L29="",'Ch3 EOT Results'!M29=""),"",'Ch3 EOT Results'!M29)</f>
        <v/>
      </c>
    </row>
    <row r="148">
      <c r="A148">
        <f>IF('Ch3 EOT Results'!L28="","","Comments:")</f>
        <v/>
      </c>
      <c r="K148">
        <f>IF('Ch3 EOT Results'!L29="","","Comments:")</f>
        <v/>
      </c>
    </row>
    <row r="149">
      <c r="A149">
        <f>IF('Ch3 EOT Results'!L30="","","Chapter 3 End of Topic Test — Modelling and Estimation")</f>
        <v/>
      </c>
      <c r="K149">
        <f>IF('Ch3 EOT Results'!L31="","","Chapter 3 End of Topic Test — Modelling and Estimation")</f>
        <v/>
      </c>
    </row>
    <row r="150">
      <c r="A150">
        <f>IF('Ch3 EOT Results'!L30="","","Name: "&amp;'Ch3 EOT Results'!B30&amp;"   Class: "&amp;'Ch3 EOT Results'!$B$3&amp;"   Date: "&amp;TEXT('Ch3 EOT Results'!$B$5,"DD/MM/YY"))</f>
        <v/>
      </c>
      <c r="K150">
        <f>IF('Ch3 EOT Results'!L31="","","Name: "&amp;'Ch3 EOT Results'!B31&amp;"   Class: "&amp;'Ch3 EOT Results'!$B$3&amp;"   Date: "&amp;TEXT('Ch3 EOT Results'!$B$5,"DD/MM/YY"))</f>
        <v/>
      </c>
    </row>
    <row r="151">
      <c r="A151">
        <f>IF('Ch3 EOT Results'!L30="","","Total: "&amp;'Ch3 EOT Results'!J30&amp;"/47 ("&amp;TEXT('Ch3 EOT Results'!K30,"0%")&amp;")   Overall: "&amp;'Ch3 EOT Results'!L30)</f>
        <v/>
      </c>
      <c r="K151">
        <f>IF('Ch3 EOT Results'!L31="","","Total: "&amp;'Ch3 EOT Results'!J31&amp;"/47 ("&amp;TEXT('Ch3 EOT Results'!K31,"0%")&amp;")   Overall: "&amp;'Ch3 EOT Results'!L31)</f>
        <v/>
      </c>
    </row>
    <row r="152">
      <c r="A152">
        <f>IF('Ch3 EOT Results'!L30="","",IF('Ch3 EOT Results'!L30="Green",Parameters!$C$194,IF('Ch3 EOT Results'!L30="Yellow",Parameters!$C$193,Parameters!$C$192)))</f>
        <v/>
      </c>
      <c r="K152">
        <f>IF('Ch3 EOT Results'!L31="","",IF('Ch3 EOT Results'!L31="Green",Parameters!$C$194,IF('Ch3 EOT Results'!L31="Yellow",Parameters!$C$193,Parameters!$C$192)))</f>
        <v/>
      </c>
    </row>
    <row r="154">
      <c r="A154">
        <f>IF('Ch3 EOT Results'!L30="","","Breakdown:")</f>
        <v/>
      </c>
      <c r="K154">
        <f>IF('Ch3 EOT Results'!L31="","","Breakdown:")</f>
        <v/>
      </c>
    </row>
    <row r="155">
      <c r="A155">
        <f>IF('Ch3 EOT Results'!L30="","","Q1 Fermi estimate: mobile phones: "&amp;'Ch3 EOT Results'!C30&amp;"/7")</f>
        <v/>
      </c>
      <c r="K155">
        <f>IF('Ch3 EOT Results'!L31="","","Q1 Fermi estimate: mobile phones: "&amp;'Ch3 EOT Results'!C31&amp;"/7")</f>
        <v/>
      </c>
    </row>
    <row r="156">
      <c r="A156">
        <f>IF('Ch3 EOT Results'!L30="","","Q2 Standard form &amp; scaling: "&amp;'Ch3 EOT Results'!D30&amp;"/5")</f>
        <v/>
      </c>
      <c r="K156">
        <f>IF('Ch3 EOT Results'!L31="","","Q2 Standard form &amp; scaling: "&amp;'Ch3 EOT Results'!D31&amp;"/5")</f>
        <v/>
      </c>
    </row>
    <row r="157">
      <c r="A157">
        <f>IF('Ch3 EOT Results'!L30="","","Q3 Subdividing: streetlights: "&amp;'Ch3 EOT Results'!E30&amp;"/7")</f>
        <v/>
      </c>
      <c r="K157">
        <f>IF('Ch3 EOT Results'!L31="","","Q3 Subdividing: streetlights: "&amp;'Ch3 EOT Results'!E31&amp;"/7")</f>
        <v/>
      </c>
    </row>
    <row r="158">
      <c r="A158">
        <f>IF('Ch3 EOT Results'!L30="","","Q4 Modelling cycle: water usage: "&amp;'Ch3 EOT Results'!F30&amp;"/9")</f>
        <v/>
      </c>
      <c r="K158">
        <f>IF('Ch3 EOT Results'!L31="","","Q4 Modelling cycle: water usage: "&amp;'Ch3 EOT Results'!F31&amp;"/9")</f>
        <v/>
      </c>
    </row>
    <row r="159">
      <c r="A159">
        <f>IF('Ch3 EOT Results'!L30="","","Q5 Volume estimate &amp; model limitations: "&amp;'Ch3 EOT Results'!G30&amp;"/5")</f>
        <v/>
      </c>
      <c r="K159">
        <f>IF('Ch3 EOT Results'!L31="","","Q5 Volume estimate &amp; model limitations: "&amp;'Ch3 EOT Results'!G31&amp;"/5")</f>
        <v/>
      </c>
    </row>
    <row r="160">
      <c r="A160">
        <f>IF('Ch3 EOT Results'!L30="","","Q6 Standard form: density: "&amp;'Ch3 EOT Results'!H30&amp;"/5")</f>
        <v/>
      </c>
      <c r="K160">
        <f>IF('Ch3 EOT Results'!L31="","","Q6 Standard form: density: "&amp;'Ch3 EOT Results'!H31&amp;"/5")</f>
        <v/>
      </c>
    </row>
    <row r="161">
      <c r="A161">
        <f>IF('Ch3 EOT Results'!L30="","","Q7 Fermi estimate: fish in a lake: "&amp;'Ch3 EOT Results'!I30&amp;"/9")</f>
        <v/>
      </c>
      <c r="K161">
        <f>IF('Ch3 EOT Results'!L31="","","Q7 Fermi estimate: fish in a lake: "&amp;'Ch3 EOT Results'!I31&amp;"/9")</f>
        <v/>
      </c>
    </row>
    <row r="162">
      <c r="A162">
        <f>IF(OR('Ch3 EOT Results'!L30="",'Ch3 EOT Results'!M30=""),"",'Ch3 EOT Results'!M30)</f>
        <v/>
      </c>
      <c r="K162">
        <f>IF(OR('Ch3 EOT Results'!L31="",'Ch3 EOT Results'!M31=""),"",'Ch3 EOT Results'!M31)</f>
        <v/>
      </c>
    </row>
    <row r="164">
      <c r="A164">
        <f>IF('Ch3 EOT Results'!L30="","","Comments:")</f>
        <v/>
      </c>
      <c r="K164">
        <f>IF('Ch3 EOT Results'!L31="","","Comments:")</f>
        <v/>
      </c>
    </row>
    <row r="165">
      <c r="A165">
        <f>IF('Ch3 EOT Results'!L32="","","Chapter 3 End of Topic Test — Modelling and Estimation")</f>
        <v/>
      </c>
      <c r="K165">
        <f>IF('Ch3 EOT Results'!L33="","","Chapter 3 End of Topic Test — Modelling and Estimation")</f>
        <v/>
      </c>
    </row>
    <row r="166">
      <c r="A166">
        <f>IF('Ch3 EOT Results'!L32="","","Name: "&amp;'Ch3 EOT Results'!B32&amp;"   Class: "&amp;'Ch3 EOT Results'!$B$3&amp;"   Date: "&amp;TEXT('Ch3 EOT Results'!$B$5,"DD/MM/YY"))</f>
        <v/>
      </c>
      <c r="K166">
        <f>IF('Ch3 EOT Results'!L33="","","Name: "&amp;'Ch3 EOT Results'!B33&amp;"   Class: "&amp;'Ch3 EOT Results'!$B$3&amp;"   Date: "&amp;TEXT('Ch3 EOT Results'!$B$5,"DD/MM/YY"))</f>
        <v/>
      </c>
    </row>
    <row r="167">
      <c r="A167">
        <f>IF('Ch3 EOT Results'!L32="","","Total: "&amp;'Ch3 EOT Results'!J32&amp;"/47 ("&amp;TEXT('Ch3 EOT Results'!K32,"0%")&amp;")   Overall: "&amp;'Ch3 EOT Results'!L32)</f>
        <v/>
      </c>
      <c r="K167">
        <f>IF('Ch3 EOT Results'!L33="","","Total: "&amp;'Ch3 EOT Results'!J33&amp;"/47 ("&amp;TEXT('Ch3 EOT Results'!K33,"0%")&amp;")   Overall: "&amp;'Ch3 EOT Results'!L33)</f>
        <v/>
      </c>
    </row>
    <row r="168">
      <c r="A168">
        <f>IF('Ch3 EOT Results'!L32="","",IF('Ch3 EOT Results'!L32="Green",Parameters!$C$194,IF('Ch3 EOT Results'!L32="Yellow",Parameters!$C$193,Parameters!$C$192)))</f>
        <v/>
      </c>
      <c r="K168">
        <f>IF('Ch3 EOT Results'!L33="","",IF('Ch3 EOT Results'!L33="Green",Parameters!$C$194,IF('Ch3 EOT Results'!L33="Yellow",Parameters!$C$193,Parameters!$C$192)))</f>
        <v/>
      </c>
    </row>
    <row r="170">
      <c r="A170">
        <f>IF('Ch3 EOT Results'!L32="","","Breakdown:")</f>
        <v/>
      </c>
      <c r="K170">
        <f>IF('Ch3 EOT Results'!L33="","","Breakdown:")</f>
        <v/>
      </c>
    </row>
    <row r="171">
      <c r="A171">
        <f>IF('Ch3 EOT Results'!L32="","","Q1 Fermi estimate: mobile phones: "&amp;'Ch3 EOT Results'!C32&amp;"/7")</f>
        <v/>
      </c>
      <c r="K171">
        <f>IF('Ch3 EOT Results'!L33="","","Q1 Fermi estimate: mobile phones: "&amp;'Ch3 EOT Results'!C33&amp;"/7")</f>
        <v/>
      </c>
    </row>
    <row r="172">
      <c r="A172">
        <f>IF('Ch3 EOT Results'!L32="","","Q2 Standard form &amp; scaling: "&amp;'Ch3 EOT Results'!D32&amp;"/5")</f>
        <v/>
      </c>
      <c r="K172">
        <f>IF('Ch3 EOT Results'!L33="","","Q2 Standard form &amp; scaling: "&amp;'Ch3 EOT Results'!D33&amp;"/5")</f>
        <v/>
      </c>
    </row>
    <row r="173">
      <c r="A173">
        <f>IF('Ch3 EOT Results'!L32="","","Q3 Subdividing: streetlights: "&amp;'Ch3 EOT Results'!E32&amp;"/7")</f>
        <v/>
      </c>
      <c r="K173">
        <f>IF('Ch3 EOT Results'!L33="","","Q3 Subdividing: streetlights: "&amp;'Ch3 EOT Results'!E33&amp;"/7")</f>
        <v/>
      </c>
    </row>
    <row r="174">
      <c r="A174">
        <f>IF('Ch3 EOT Results'!L32="","","Q4 Modelling cycle: water usage: "&amp;'Ch3 EOT Results'!F32&amp;"/9")</f>
        <v/>
      </c>
      <c r="K174">
        <f>IF('Ch3 EOT Results'!L33="","","Q4 Modelling cycle: water usage: "&amp;'Ch3 EOT Results'!F33&amp;"/9")</f>
        <v/>
      </c>
    </row>
    <row r="175">
      <c r="A175">
        <f>IF('Ch3 EOT Results'!L32="","","Q5 Volume estimate &amp; model limitations: "&amp;'Ch3 EOT Results'!G32&amp;"/5")</f>
        <v/>
      </c>
      <c r="K175">
        <f>IF('Ch3 EOT Results'!L33="","","Q5 Volume estimate &amp; model limitations: "&amp;'Ch3 EOT Results'!G33&amp;"/5")</f>
        <v/>
      </c>
    </row>
    <row r="176">
      <c r="A176">
        <f>IF('Ch3 EOT Results'!L32="","","Q6 Standard form: density: "&amp;'Ch3 EOT Results'!H32&amp;"/5")</f>
        <v/>
      </c>
      <c r="K176">
        <f>IF('Ch3 EOT Results'!L33="","","Q6 Standard form: density: "&amp;'Ch3 EOT Results'!H33&amp;"/5")</f>
        <v/>
      </c>
    </row>
    <row r="177">
      <c r="A177">
        <f>IF('Ch3 EOT Results'!L32="","","Q7 Fermi estimate: fish in a lake: "&amp;'Ch3 EOT Results'!I32&amp;"/9")</f>
        <v/>
      </c>
      <c r="K177">
        <f>IF('Ch3 EOT Results'!L33="","","Q7 Fermi estimate: fish in a lake: "&amp;'Ch3 EOT Results'!I33&amp;"/9")</f>
        <v/>
      </c>
    </row>
    <row r="178">
      <c r="A178">
        <f>IF(OR('Ch3 EOT Results'!L32="",'Ch3 EOT Results'!M32=""),"",'Ch3 EOT Results'!M32)</f>
        <v/>
      </c>
      <c r="K178">
        <f>IF(OR('Ch3 EOT Results'!L33="",'Ch3 EOT Results'!M33=""),"",'Ch3 EOT Results'!M33)</f>
        <v/>
      </c>
    </row>
    <row r="180">
      <c r="A180">
        <f>IF('Ch3 EOT Results'!L32="","","Comments:")</f>
        <v/>
      </c>
      <c r="K180">
        <f>IF('Ch3 EOT Results'!L33="","","Comments:")</f>
        <v/>
      </c>
    </row>
    <row r="181">
      <c r="A181">
        <f>IF('Ch3 EOT Results'!L34="","","Chapter 3 End of Topic Test — Modelling and Estimation")</f>
        <v/>
      </c>
      <c r="K181">
        <f>IF('Ch3 EOT Results'!L35="","","Chapter 3 End of Topic Test — Modelling and Estimation")</f>
        <v/>
      </c>
    </row>
    <row r="182">
      <c r="A182">
        <f>IF('Ch3 EOT Results'!L34="","","Name: "&amp;'Ch3 EOT Results'!B34&amp;"   Class: "&amp;'Ch3 EOT Results'!$B$3&amp;"   Date: "&amp;TEXT('Ch3 EOT Results'!$B$5,"DD/MM/YY"))</f>
        <v/>
      </c>
      <c r="K182">
        <f>IF('Ch3 EOT Results'!L35="","","Name: "&amp;'Ch3 EOT Results'!B35&amp;"   Class: "&amp;'Ch3 EOT Results'!$B$3&amp;"   Date: "&amp;TEXT('Ch3 EOT Results'!$B$5,"DD/MM/YY"))</f>
        <v/>
      </c>
    </row>
    <row r="183">
      <c r="A183">
        <f>IF('Ch3 EOT Results'!L34="","","Total: "&amp;'Ch3 EOT Results'!J34&amp;"/47 ("&amp;TEXT('Ch3 EOT Results'!K34,"0%")&amp;")   Overall: "&amp;'Ch3 EOT Results'!L34)</f>
        <v/>
      </c>
      <c r="K183">
        <f>IF('Ch3 EOT Results'!L35="","","Total: "&amp;'Ch3 EOT Results'!J35&amp;"/47 ("&amp;TEXT('Ch3 EOT Results'!K35,"0%")&amp;")   Overall: "&amp;'Ch3 EOT Results'!L35)</f>
        <v/>
      </c>
    </row>
    <row r="184">
      <c r="A184">
        <f>IF('Ch3 EOT Results'!L34="","",IF('Ch3 EOT Results'!L34="Green",Parameters!$C$194,IF('Ch3 EOT Results'!L34="Yellow",Parameters!$C$193,Parameters!$C$192)))</f>
        <v/>
      </c>
      <c r="K184">
        <f>IF('Ch3 EOT Results'!L35="","",IF('Ch3 EOT Results'!L35="Green",Parameters!$C$194,IF('Ch3 EOT Results'!L35="Yellow",Parameters!$C$193,Parameters!$C$192)))</f>
        <v/>
      </c>
    </row>
    <row r="186">
      <c r="A186">
        <f>IF('Ch3 EOT Results'!L34="","","Breakdown:")</f>
        <v/>
      </c>
      <c r="K186">
        <f>IF('Ch3 EOT Results'!L35="","","Breakdown:")</f>
        <v/>
      </c>
    </row>
    <row r="187">
      <c r="A187">
        <f>IF('Ch3 EOT Results'!L34="","","Q1 Fermi estimate: mobile phones: "&amp;'Ch3 EOT Results'!C34&amp;"/7")</f>
        <v/>
      </c>
      <c r="K187">
        <f>IF('Ch3 EOT Results'!L35="","","Q1 Fermi estimate: mobile phones: "&amp;'Ch3 EOT Results'!C35&amp;"/7")</f>
        <v/>
      </c>
    </row>
    <row r="188">
      <c r="A188">
        <f>IF('Ch3 EOT Results'!L34="","","Q2 Standard form &amp; scaling: "&amp;'Ch3 EOT Results'!D34&amp;"/5")</f>
        <v/>
      </c>
      <c r="K188">
        <f>IF('Ch3 EOT Results'!L35="","","Q2 Standard form &amp; scaling: "&amp;'Ch3 EOT Results'!D35&amp;"/5")</f>
        <v/>
      </c>
    </row>
    <row r="189">
      <c r="A189">
        <f>IF('Ch3 EOT Results'!L34="","","Q3 Subdividing: streetlights: "&amp;'Ch3 EOT Results'!E34&amp;"/7")</f>
        <v/>
      </c>
      <c r="K189">
        <f>IF('Ch3 EOT Results'!L35="","","Q3 Subdividing: streetlights: "&amp;'Ch3 EOT Results'!E35&amp;"/7")</f>
        <v/>
      </c>
    </row>
    <row r="190">
      <c r="A190">
        <f>IF('Ch3 EOT Results'!L34="","","Q4 Modelling cycle: water usage: "&amp;'Ch3 EOT Results'!F34&amp;"/9")</f>
        <v/>
      </c>
      <c r="K190">
        <f>IF('Ch3 EOT Results'!L35="","","Q4 Modelling cycle: water usage: "&amp;'Ch3 EOT Results'!F35&amp;"/9")</f>
        <v/>
      </c>
    </row>
    <row r="191">
      <c r="A191">
        <f>IF('Ch3 EOT Results'!L34="","","Q5 Volume estimate &amp; model limitations: "&amp;'Ch3 EOT Results'!G34&amp;"/5")</f>
        <v/>
      </c>
      <c r="K191">
        <f>IF('Ch3 EOT Results'!L35="","","Q5 Volume estimate &amp; model limitations: "&amp;'Ch3 EOT Results'!G35&amp;"/5")</f>
        <v/>
      </c>
    </row>
    <row r="192">
      <c r="A192">
        <f>IF('Ch3 EOT Results'!L34="","","Q6 Standard form: density: "&amp;'Ch3 EOT Results'!H34&amp;"/5")</f>
        <v/>
      </c>
      <c r="K192">
        <f>IF('Ch3 EOT Results'!L35="","","Q6 Standard form: density: "&amp;'Ch3 EOT Results'!H35&amp;"/5")</f>
        <v/>
      </c>
    </row>
    <row r="193">
      <c r="A193">
        <f>IF('Ch3 EOT Results'!L34="","","Q7 Fermi estimate: fish in a lake: "&amp;'Ch3 EOT Results'!I34&amp;"/9")</f>
        <v/>
      </c>
      <c r="K193">
        <f>IF('Ch3 EOT Results'!L35="","","Q7 Fermi estimate: fish in a lake: "&amp;'Ch3 EOT Results'!I35&amp;"/9")</f>
        <v/>
      </c>
    </row>
    <row r="194">
      <c r="A194">
        <f>IF(OR('Ch3 EOT Results'!L34="",'Ch3 EOT Results'!M34=""),"",'Ch3 EOT Results'!M34)</f>
        <v/>
      </c>
      <c r="K194">
        <f>IF(OR('Ch3 EOT Results'!L35="",'Ch3 EOT Results'!M35=""),"",'Ch3 EOT Results'!M35)</f>
        <v/>
      </c>
    </row>
    <row r="196">
      <c r="A196">
        <f>IF('Ch3 EOT Results'!L34="","","Comments:")</f>
        <v/>
      </c>
      <c r="K196">
        <f>IF('Ch3 EOT Results'!L35="","","Comments:")</f>
        <v/>
      </c>
    </row>
    <row r="197">
      <c r="A197">
        <f>IF('Ch3 EOT Results'!L36="","","Chapter 3 End of Topic Test — Modelling and Estimation")</f>
        <v/>
      </c>
      <c r="K197">
        <f>IF('Ch3 EOT Results'!L37="","","Chapter 3 End of Topic Test — Modelling and Estimation")</f>
        <v/>
      </c>
    </row>
    <row r="198">
      <c r="A198">
        <f>IF('Ch3 EOT Results'!L36="","","Name: "&amp;'Ch3 EOT Results'!B36&amp;"   Class: "&amp;'Ch3 EOT Results'!$B$3&amp;"   Date: "&amp;TEXT('Ch3 EOT Results'!$B$5,"DD/MM/YY"))</f>
        <v/>
      </c>
      <c r="K198">
        <f>IF('Ch3 EOT Results'!L37="","","Name: "&amp;'Ch3 EOT Results'!B37&amp;"   Class: "&amp;'Ch3 EOT Results'!$B$3&amp;"   Date: "&amp;TEXT('Ch3 EOT Results'!$B$5,"DD/MM/YY"))</f>
        <v/>
      </c>
    </row>
    <row r="199">
      <c r="A199">
        <f>IF('Ch3 EOT Results'!L36="","","Total: "&amp;'Ch3 EOT Results'!J36&amp;"/47 ("&amp;TEXT('Ch3 EOT Results'!K36,"0%")&amp;")   Overall: "&amp;'Ch3 EOT Results'!L36)</f>
        <v/>
      </c>
      <c r="K199">
        <f>IF('Ch3 EOT Results'!L37="","","Total: "&amp;'Ch3 EOT Results'!J37&amp;"/47 ("&amp;TEXT('Ch3 EOT Results'!K37,"0%")&amp;")   Overall: "&amp;'Ch3 EOT Results'!L37)</f>
        <v/>
      </c>
    </row>
    <row r="200">
      <c r="A200">
        <f>IF('Ch3 EOT Results'!L36="","",IF('Ch3 EOT Results'!L36="Green",Parameters!$C$194,IF('Ch3 EOT Results'!L36="Yellow",Parameters!$C$193,Parameters!$C$192)))</f>
        <v/>
      </c>
      <c r="K200">
        <f>IF('Ch3 EOT Results'!L37="","",IF('Ch3 EOT Results'!L37="Green",Parameters!$C$194,IF('Ch3 EOT Results'!L37="Yellow",Parameters!$C$193,Parameters!$C$192)))</f>
        <v/>
      </c>
    </row>
    <row r="202">
      <c r="A202">
        <f>IF('Ch3 EOT Results'!L36="","","Breakdown:")</f>
        <v/>
      </c>
      <c r="K202">
        <f>IF('Ch3 EOT Results'!L37="","","Breakdown:")</f>
        <v/>
      </c>
    </row>
    <row r="203">
      <c r="A203">
        <f>IF('Ch3 EOT Results'!L36="","","Q1 Fermi estimate: mobile phones: "&amp;'Ch3 EOT Results'!C36&amp;"/7")</f>
        <v/>
      </c>
      <c r="K203">
        <f>IF('Ch3 EOT Results'!L37="","","Q1 Fermi estimate: mobile phones: "&amp;'Ch3 EOT Results'!C37&amp;"/7")</f>
        <v/>
      </c>
    </row>
    <row r="204">
      <c r="A204">
        <f>IF('Ch3 EOT Results'!L36="","","Q2 Standard form &amp; scaling: "&amp;'Ch3 EOT Results'!D36&amp;"/5")</f>
        <v/>
      </c>
      <c r="K204">
        <f>IF('Ch3 EOT Results'!L37="","","Q2 Standard form &amp; scaling: "&amp;'Ch3 EOT Results'!D37&amp;"/5")</f>
        <v/>
      </c>
    </row>
    <row r="205">
      <c r="A205">
        <f>IF('Ch3 EOT Results'!L36="","","Q3 Subdividing: streetlights: "&amp;'Ch3 EOT Results'!E36&amp;"/7")</f>
        <v/>
      </c>
      <c r="K205">
        <f>IF('Ch3 EOT Results'!L37="","","Q3 Subdividing: streetlights: "&amp;'Ch3 EOT Results'!E37&amp;"/7")</f>
        <v/>
      </c>
    </row>
    <row r="206">
      <c r="A206">
        <f>IF('Ch3 EOT Results'!L36="","","Q4 Modelling cycle: water usage: "&amp;'Ch3 EOT Results'!F36&amp;"/9")</f>
        <v/>
      </c>
      <c r="K206">
        <f>IF('Ch3 EOT Results'!L37="","","Q4 Modelling cycle: water usage: "&amp;'Ch3 EOT Results'!F37&amp;"/9")</f>
        <v/>
      </c>
    </row>
    <row r="207">
      <c r="A207">
        <f>IF('Ch3 EOT Results'!L36="","","Q5 Volume estimate &amp; model limitations: "&amp;'Ch3 EOT Results'!G36&amp;"/5")</f>
        <v/>
      </c>
      <c r="K207">
        <f>IF('Ch3 EOT Results'!L37="","","Q5 Volume estimate &amp; model limitations: "&amp;'Ch3 EOT Results'!G37&amp;"/5")</f>
        <v/>
      </c>
    </row>
    <row r="208">
      <c r="A208">
        <f>IF('Ch3 EOT Results'!L36="","","Q6 Standard form: density: "&amp;'Ch3 EOT Results'!H36&amp;"/5")</f>
        <v/>
      </c>
      <c r="K208">
        <f>IF('Ch3 EOT Results'!L37="","","Q6 Standard form: density: "&amp;'Ch3 EOT Results'!H37&amp;"/5")</f>
        <v/>
      </c>
    </row>
    <row r="209">
      <c r="A209">
        <f>IF('Ch3 EOT Results'!L36="","","Q7 Fermi estimate: fish in a lake: "&amp;'Ch3 EOT Results'!I36&amp;"/9")</f>
        <v/>
      </c>
      <c r="K209">
        <f>IF('Ch3 EOT Results'!L37="","","Q7 Fermi estimate: fish in a lake: "&amp;'Ch3 EOT Results'!I37&amp;"/9")</f>
        <v/>
      </c>
    </row>
    <row r="210">
      <c r="A210">
        <f>IF(OR('Ch3 EOT Results'!L36="",'Ch3 EOT Results'!M36=""),"",'Ch3 EOT Results'!M36)</f>
        <v/>
      </c>
      <c r="K210">
        <f>IF(OR('Ch3 EOT Results'!L37="",'Ch3 EOT Results'!M37=""),"",'Ch3 EOT Results'!M37)</f>
        <v/>
      </c>
    </row>
    <row r="212">
      <c r="A212">
        <f>IF('Ch3 EOT Results'!L36="","","Comments:")</f>
        <v/>
      </c>
      <c r="K212">
        <f>IF('Ch3 EOT Results'!L37="","","Comments:")</f>
        <v/>
      </c>
    </row>
    <row r="213">
      <c r="A213">
        <f>IF('Ch3 EOT Results'!L38="","","Chapter 3 End of Topic Test — Modelling and Estimation")</f>
        <v/>
      </c>
      <c r="K213">
        <f>IF('Ch3 EOT Results'!L39="","","Chapter 3 End of Topic Test — Modelling and Estimation")</f>
        <v/>
      </c>
    </row>
    <row r="214">
      <c r="A214">
        <f>IF('Ch3 EOT Results'!L38="","","Name: "&amp;'Ch3 EOT Results'!B38&amp;"   Class: "&amp;'Ch3 EOT Results'!$B$3&amp;"   Date: "&amp;TEXT('Ch3 EOT Results'!$B$5,"DD/MM/YY"))</f>
        <v/>
      </c>
      <c r="K214">
        <f>IF('Ch3 EOT Results'!L39="","","Name: "&amp;'Ch3 EOT Results'!B39&amp;"   Class: "&amp;'Ch3 EOT Results'!$B$3&amp;"   Date: "&amp;TEXT('Ch3 EOT Results'!$B$5,"DD/MM/YY"))</f>
        <v/>
      </c>
    </row>
    <row r="215">
      <c r="A215">
        <f>IF('Ch3 EOT Results'!L38="","","Total: "&amp;'Ch3 EOT Results'!J38&amp;"/47 ("&amp;TEXT('Ch3 EOT Results'!K38,"0%")&amp;")   Overall: "&amp;'Ch3 EOT Results'!L38)</f>
        <v/>
      </c>
      <c r="K215">
        <f>IF('Ch3 EOT Results'!L39="","","Total: "&amp;'Ch3 EOT Results'!J39&amp;"/47 ("&amp;TEXT('Ch3 EOT Results'!K39,"0%")&amp;")   Overall: "&amp;'Ch3 EOT Results'!L39)</f>
        <v/>
      </c>
    </row>
    <row r="216">
      <c r="A216">
        <f>IF('Ch3 EOT Results'!L38="","",IF('Ch3 EOT Results'!L38="Green",Parameters!$C$194,IF('Ch3 EOT Results'!L38="Yellow",Parameters!$C$193,Parameters!$C$192)))</f>
        <v/>
      </c>
      <c r="K216">
        <f>IF('Ch3 EOT Results'!L39="","",IF('Ch3 EOT Results'!L39="Green",Parameters!$C$194,IF('Ch3 EOT Results'!L39="Yellow",Parameters!$C$193,Parameters!$C$192)))</f>
        <v/>
      </c>
    </row>
    <row r="218">
      <c r="A218">
        <f>IF('Ch3 EOT Results'!L38="","","Breakdown:")</f>
        <v/>
      </c>
      <c r="K218">
        <f>IF('Ch3 EOT Results'!L39="","","Breakdown:")</f>
        <v/>
      </c>
    </row>
    <row r="219">
      <c r="A219">
        <f>IF('Ch3 EOT Results'!L38="","","Q1 Fermi estimate: mobile phones: "&amp;'Ch3 EOT Results'!C38&amp;"/7")</f>
        <v/>
      </c>
      <c r="K219">
        <f>IF('Ch3 EOT Results'!L39="","","Q1 Fermi estimate: mobile phones: "&amp;'Ch3 EOT Results'!C39&amp;"/7")</f>
        <v/>
      </c>
    </row>
    <row r="220">
      <c r="A220">
        <f>IF('Ch3 EOT Results'!L38="","","Q2 Standard form &amp; scaling: "&amp;'Ch3 EOT Results'!D38&amp;"/5")</f>
        <v/>
      </c>
      <c r="K220">
        <f>IF('Ch3 EOT Results'!L39="","","Q2 Standard form &amp; scaling: "&amp;'Ch3 EOT Results'!D39&amp;"/5")</f>
        <v/>
      </c>
    </row>
    <row r="221">
      <c r="A221">
        <f>IF('Ch3 EOT Results'!L38="","","Q3 Subdividing: streetlights: "&amp;'Ch3 EOT Results'!E38&amp;"/7")</f>
        <v/>
      </c>
      <c r="K221">
        <f>IF('Ch3 EOT Results'!L39="","","Q3 Subdividing: streetlights: "&amp;'Ch3 EOT Results'!E39&amp;"/7")</f>
        <v/>
      </c>
    </row>
    <row r="222">
      <c r="A222">
        <f>IF('Ch3 EOT Results'!L38="","","Q4 Modelling cycle: water usage: "&amp;'Ch3 EOT Results'!F38&amp;"/9")</f>
        <v/>
      </c>
      <c r="K222">
        <f>IF('Ch3 EOT Results'!L39="","","Q4 Modelling cycle: water usage: "&amp;'Ch3 EOT Results'!F39&amp;"/9")</f>
        <v/>
      </c>
    </row>
    <row r="223">
      <c r="A223">
        <f>IF('Ch3 EOT Results'!L38="","","Q5 Volume estimate &amp; model limitations: "&amp;'Ch3 EOT Results'!G38&amp;"/5")</f>
        <v/>
      </c>
      <c r="K223">
        <f>IF('Ch3 EOT Results'!L39="","","Q5 Volume estimate &amp; model limitations: "&amp;'Ch3 EOT Results'!G39&amp;"/5")</f>
        <v/>
      </c>
    </row>
    <row r="224">
      <c r="A224">
        <f>IF('Ch3 EOT Results'!L38="","","Q6 Standard form: density: "&amp;'Ch3 EOT Results'!H38&amp;"/5")</f>
        <v/>
      </c>
      <c r="K224">
        <f>IF('Ch3 EOT Results'!L39="","","Q6 Standard form: density: "&amp;'Ch3 EOT Results'!H39&amp;"/5")</f>
        <v/>
      </c>
    </row>
    <row r="225">
      <c r="A225">
        <f>IF('Ch3 EOT Results'!L38="","","Q7 Fermi estimate: fish in a lake: "&amp;'Ch3 EOT Results'!I38&amp;"/9")</f>
        <v/>
      </c>
      <c r="K225">
        <f>IF('Ch3 EOT Results'!L39="","","Q7 Fermi estimate: fish in a lake: "&amp;'Ch3 EOT Results'!I39&amp;"/9")</f>
        <v/>
      </c>
    </row>
    <row r="226">
      <c r="A226">
        <f>IF(OR('Ch3 EOT Results'!L38="",'Ch3 EOT Results'!M38=""),"",'Ch3 EOT Results'!M38)</f>
        <v/>
      </c>
      <c r="K226">
        <f>IF(OR('Ch3 EOT Results'!L39="",'Ch3 EOT Results'!M39=""),"",'Ch3 EOT Results'!M39)</f>
        <v/>
      </c>
    </row>
    <row r="228">
      <c r="A228">
        <f>IF('Ch3 EOT Results'!L38="","","Comments:")</f>
        <v/>
      </c>
      <c r="K228">
        <f>IF('Ch3 EOT Results'!L39="","","Comments:")</f>
        <v/>
      </c>
    </row>
    <row r="229">
      <c r="A229">
        <f>IF('Ch3 EOT Results'!L40="","","Chapter 3 End of Topic Test — Modelling and Estimation")</f>
        <v/>
      </c>
      <c r="K229">
        <f>IF('Ch3 EOT Results'!L41="","","Chapter 3 End of Topic Test — Modelling and Estimation")</f>
        <v/>
      </c>
    </row>
    <row r="230">
      <c r="A230">
        <f>IF('Ch3 EOT Results'!L40="","","Name: "&amp;'Ch3 EOT Results'!B40&amp;"   Class: "&amp;'Ch3 EOT Results'!$B$3&amp;"   Date: "&amp;TEXT('Ch3 EOT Results'!$B$5,"DD/MM/YY"))</f>
        <v/>
      </c>
      <c r="K230">
        <f>IF('Ch3 EOT Results'!L41="","","Name: "&amp;'Ch3 EOT Results'!B41&amp;"   Class: "&amp;'Ch3 EOT Results'!$B$3&amp;"   Date: "&amp;TEXT('Ch3 EOT Results'!$B$5,"DD/MM/YY"))</f>
        <v/>
      </c>
    </row>
    <row r="231">
      <c r="A231">
        <f>IF('Ch3 EOT Results'!L40="","","Total: "&amp;'Ch3 EOT Results'!J40&amp;"/47 ("&amp;TEXT('Ch3 EOT Results'!K40,"0%")&amp;")   Overall: "&amp;'Ch3 EOT Results'!L40)</f>
        <v/>
      </c>
      <c r="K231">
        <f>IF('Ch3 EOT Results'!L41="","","Total: "&amp;'Ch3 EOT Results'!J41&amp;"/47 ("&amp;TEXT('Ch3 EOT Results'!K41,"0%")&amp;")   Overall: "&amp;'Ch3 EOT Results'!L41)</f>
        <v/>
      </c>
    </row>
    <row r="232">
      <c r="A232">
        <f>IF('Ch3 EOT Results'!L40="","",IF('Ch3 EOT Results'!L40="Green",Parameters!$C$194,IF('Ch3 EOT Results'!L40="Yellow",Parameters!$C$193,Parameters!$C$192)))</f>
        <v/>
      </c>
      <c r="K232">
        <f>IF('Ch3 EOT Results'!L41="","",IF('Ch3 EOT Results'!L41="Green",Parameters!$C$194,IF('Ch3 EOT Results'!L41="Yellow",Parameters!$C$193,Parameters!$C$192)))</f>
        <v/>
      </c>
    </row>
    <row r="234">
      <c r="A234">
        <f>IF('Ch3 EOT Results'!L40="","","Breakdown:")</f>
        <v/>
      </c>
      <c r="K234">
        <f>IF('Ch3 EOT Results'!L41="","","Breakdown:")</f>
        <v/>
      </c>
    </row>
    <row r="235">
      <c r="A235">
        <f>IF('Ch3 EOT Results'!L40="","","Q1 Fermi estimate: mobile phones: "&amp;'Ch3 EOT Results'!C40&amp;"/7")</f>
        <v/>
      </c>
      <c r="K235">
        <f>IF('Ch3 EOT Results'!L41="","","Q1 Fermi estimate: mobile phones: "&amp;'Ch3 EOT Results'!C41&amp;"/7")</f>
        <v/>
      </c>
    </row>
    <row r="236">
      <c r="A236">
        <f>IF('Ch3 EOT Results'!L40="","","Q2 Standard form &amp; scaling: "&amp;'Ch3 EOT Results'!D40&amp;"/5")</f>
        <v/>
      </c>
      <c r="K236">
        <f>IF('Ch3 EOT Results'!L41="","","Q2 Standard form &amp; scaling: "&amp;'Ch3 EOT Results'!D41&amp;"/5")</f>
        <v/>
      </c>
    </row>
    <row r="237">
      <c r="A237">
        <f>IF('Ch3 EOT Results'!L40="","","Q3 Subdividing: streetlights: "&amp;'Ch3 EOT Results'!E40&amp;"/7")</f>
        <v/>
      </c>
      <c r="K237">
        <f>IF('Ch3 EOT Results'!L41="","","Q3 Subdividing: streetlights: "&amp;'Ch3 EOT Results'!E41&amp;"/7")</f>
        <v/>
      </c>
    </row>
    <row r="238">
      <c r="A238">
        <f>IF('Ch3 EOT Results'!L40="","","Q4 Modelling cycle: water usage: "&amp;'Ch3 EOT Results'!F40&amp;"/9")</f>
        <v/>
      </c>
      <c r="K238">
        <f>IF('Ch3 EOT Results'!L41="","","Q4 Modelling cycle: water usage: "&amp;'Ch3 EOT Results'!F41&amp;"/9")</f>
        <v/>
      </c>
    </row>
    <row r="239">
      <c r="A239">
        <f>IF('Ch3 EOT Results'!L40="","","Q5 Volume estimate &amp; model limitations: "&amp;'Ch3 EOT Results'!G40&amp;"/5")</f>
        <v/>
      </c>
      <c r="K239">
        <f>IF('Ch3 EOT Results'!L41="","","Q5 Volume estimate &amp; model limitations: "&amp;'Ch3 EOT Results'!G41&amp;"/5")</f>
        <v/>
      </c>
    </row>
    <row r="240">
      <c r="A240">
        <f>IF('Ch3 EOT Results'!L40="","","Q6 Standard form: density: "&amp;'Ch3 EOT Results'!H40&amp;"/5")</f>
        <v/>
      </c>
      <c r="K240">
        <f>IF('Ch3 EOT Results'!L41="","","Q6 Standard form: density: "&amp;'Ch3 EOT Results'!H41&amp;"/5")</f>
        <v/>
      </c>
    </row>
    <row r="241">
      <c r="A241">
        <f>IF('Ch3 EOT Results'!L40="","","Q7 Fermi estimate: fish in a lake: "&amp;'Ch3 EOT Results'!I40&amp;"/9")</f>
        <v/>
      </c>
      <c r="K241">
        <f>IF('Ch3 EOT Results'!L41="","","Q7 Fermi estimate: fish in a lake: "&amp;'Ch3 EOT Results'!I41&amp;"/9")</f>
        <v/>
      </c>
    </row>
    <row r="242">
      <c r="A242">
        <f>IF(OR('Ch3 EOT Results'!L40="",'Ch3 EOT Results'!M40=""),"",'Ch3 EOT Results'!M40)</f>
        <v/>
      </c>
      <c r="K242">
        <f>IF(OR('Ch3 EOT Results'!L41="",'Ch3 EOT Results'!M41=""),"",'Ch3 EOT Results'!M41)</f>
        <v/>
      </c>
    </row>
    <row r="244">
      <c r="A244">
        <f>IF('Ch3 EOT Results'!L40="","","Comments:")</f>
        <v/>
      </c>
      <c r="K244">
        <f>IF('Ch3 EOT Results'!L41="","","Comments:")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T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0" customWidth="1" min="10" max="10"/>
    <col width="8" customWidth="1" min="11" max="11"/>
    <col width="10" customWidth="1" min="12" max="12"/>
    <col width="45" customWidth="1" min="13" max="13"/>
  </cols>
  <sheetData>
    <row r="1">
      <c r="A1" s="11" t="inlineStr">
        <is>
          <t>Chapter 3 End of Topic Test 2 — Modelling and Estimation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Fermi: umbrellas
(/7)</t>
        </is>
      </c>
      <c r="D9" s="12" t="inlineStr">
        <is>
          <t>Q2
Standard form &amp; scaling
(/5)</t>
        </is>
      </c>
      <c r="E9" s="12" t="inlineStr">
        <is>
          <t>Q3
Subdividing estimate
(/7)</t>
        </is>
      </c>
      <c r="F9" s="12" t="inlineStr">
        <is>
          <t>Q4
Modelling cycle
(/9)</t>
        </is>
      </c>
      <c r="G9" s="12" t="inlineStr">
        <is>
          <t>Q5
Volume &amp; model limits
(/5)</t>
        </is>
      </c>
      <c r="H9" s="12" t="inlineStr">
        <is>
          <t>Q6
Standard form: density
(/5)</t>
        </is>
      </c>
      <c r="I9" s="12" t="inlineStr">
        <is>
          <t>Q7
Fermi: birds in a reserve
(/9)</t>
        </is>
      </c>
      <c r="J9" s="12" t="inlineStr">
        <is>
          <t>Total
(/47)</t>
        </is>
      </c>
      <c r="K9" s="12" t="inlineStr">
        <is>
          <t>%</t>
        </is>
      </c>
      <c r="L9" s="12" t="inlineStr">
        <is>
          <t>Overall</t>
        </is>
      </c>
      <c r="M9" s="12" t="inlineStr">
        <is>
          <t>Focus for next steps</t>
        </is>
      </c>
      <c r="N9" s="12" t="inlineStr">
        <is>
          <t>Q1%</t>
        </is>
      </c>
      <c r="O9" s="12" t="inlineStr">
        <is>
          <t>Q2%</t>
        </is>
      </c>
      <c r="P9" s="12" t="inlineStr">
        <is>
          <t>Q3%</t>
        </is>
      </c>
      <c r="Q9" s="12" t="inlineStr">
        <is>
          <t>Q4%</t>
        </is>
      </c>
      <c r="R9" s="12" t="inlineStr">
        <is>
          <t>Q5%</t>
        </is>
      </c>
      <c r="S9" s="12" t="inlineStr">
        <is>
          <t>Q6%</t>
        </is>
      </c>
      <c r="T9" s="12" t="inlineStr">
        <is>
          <t>Q7%</t>
        </is>
      </c>
    </row>
    <row r="10">
      <c r="A10" s="3" t="n"/>
      <c r="B10" s="3" t="inlineStr">
        <is>
          <t>Max marks</t>
        </is>
      </c>
      <c r="C10" s="3" t="n">
        <v>7</v>
      </c>
      <c r="D10" s="3" t="n">
        <v>5</v>
      </c>
      <c r="E10" s="3" t="n">
        <v>7</v>
      </c>
      <c r="F10" s="3" t="n">
        <v>9</v>
      </c>
      <c r="G10" s="3" t="n">
        <v>5</v>
      </c>
      <c r="H10" s="3" t="n">
        <v>5</v>
      </c>
      <c r="I10" s="3" t="n">
        <v>9</v>
      </c>
      <c r="J10" s="3" t="n">
        <v>47</v>
      </c>
      <c r="K10" s="3" t="inlineStr">
        <is>
          <t>100%</t>
        </is>
      </c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</row>
    <row r="11">
      <c r="A11" s="13" t="n">
        <v>1</v>
      </c>
      <c r="B11" s="13" t="inlineStr">
        <is>
          <t>Example pupil (edit me)</t>
        </is>
      </c>
      <c r="C11" s="13" t="n">
        <v>6</v>
      </c>
      <c r="D11" s="13" t="n">
        <v>4</v>
      </c>
      <c r="E11" s="13" t="n">
        <v>6</v>
      </c>
      <c r="F11" s="13" t="n">
        <v>7</v>
      </c>
      <c r="G11" s="13" t="n">
        <v>4</v>
      </c>
      <c r="H11" s="13" t="n">
        <v>4</v>
      </c>
      <c r="I11" s="13" t="n">
        <v>7</v>
      </c>
      <c r="J11" s="13">
        <f>IF(COUNT(C11:I11)&lt;7,"",SUM(C11:I11))</f>
        <v/>
      </c>
      <c r="K11" s="13">
        <f>IF(COUNT(C11:I11)&lt;7,"",J11/47)</f>
        <v/>
      </c>
      <c r="L11" s="13">
        <f>IF(COUNT(C11:I11)&lt;7,"",IF(K11&gt;=0.8,"Green",IF(K11&gt;=0.5,"Yellow","Red")))</f>
        <v/>
      </c>
      <c r="M11" s="13">
        <f>IF(COUNT(C11:I11)&lt;7,"",IF(L11="Green","Well done! "&amp;Parameters!$C$212,"Revise: "&amp;_xlfn.TEXTJOIN(", ",TRUE(),IF(N11&lt;1,Parameters!$A$200,""),IF(O11&lt;1,Parameters!$A$201,""),IF(P11&lt;1,Parameters!$A$202,""),IF(Q11&lt;1,Parameters!$A$203,""),IF(R11&lt;1,Parameters!$A$204,""),IF(S11&lt;1,Parameters!$A$205,""),IF(T11&lt;1,Parameters!$A$206,""))))</f>
        <v/>
      </c>
      <c r="N11" s="13">
        <f>IF(C11="","",C11/7)</f>
        <v/>
      </c>
      <c r="O11" s="13">
        <f>IF(D11="","",D11/5)</f>
        <v/>
      </c>
      <c r="P11" s="13">
        <f>IF(E11="","",E11/7)</f>
        <v/>
      </c>
      <c r="Q11" s="13">
        <f>IF(F11="","",F11/9)</f>
        <v/>
      </c>
      <c r="R11" s="13">
        <f>IF(G11="","",G11/5)</f>
        <v/>
      </c>
      <c r="S11" s="13">
        <f>IF(H11="","",H11/5)</f>
        <v/>
      </c>
      <c r="T11" s="13">
        <f>IF(I11="","",I11/9)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4" t="n"/>
      <c r="H12" s="14" t="n"/>
      <c r="I12" s="14" t="n"/>
      <c r="J12" s="13">
        <f>IF(COUNT(C12:I12)&lt;7,"",SUM(C12:I12))</f>
        <v/>
      </c>
      <c r="K12" s="13">
        <f>IF(COUNT(C12:I12)&lt;7,"",J12/47)</f>
        <v/>
      </c>
      <c r="L12" s="13">
        <f>IF(COUNT(C12:I12)&lt;7,"",IF(K12&gt;=0.8,"Green",IF(K12&gt;=0.5,"Yellow","Red")))</f>
        <v/>
      </c>
      <c r="M12" s="13">
        <f>IF(COUNT(C12:I12)&lt;7,"",IF(L12="Green","Well done! "&amp;Parameters!$C$212,"Revise: "&amp;_xlfn.TEXTJOIN(", ",TRUE(),IF(N12&lt;1,Parameters!$A$200,""),IF(O12&lt;1,Parameters!$A$201,""),IF(P12&lt;1,Parameters!$A$202,""),IF(Q12&lt;1,Parameters!$A$203,""),IF(R12&lt;1,Parameters!$A$204,""),IF(S12&lt;1,Parameters!$A$205,""),IF(T12&lt;1,Parameters!$A$206,""))))</f>
        <v/>
      </c>
      <c r="N12" s="13">
        <f>IF(C12="","",C12/7)</f>
        <v/>
      </c>
      <c r="O12" s="13">
        <f>IF(D12="","",D12/5)</f>
        <v/>
      </c>
      <c r="P12" s="13">
        <f>IF(E12="","",E12/7)</f>
        <v/>
      </c>
      <c r="Q12" s="13">
        <f>IF(F12="","",F12/9)</f>
        <v/>
      </c>
      <c r="R12" s="13">
        <f>IF(G12="","",G12/5)</f>
        <v/>
      </c>
      <c r="S12" s="13">
        <f>IF(H12="","",H12/5)</f>
        <v/>
      </c>
      <c r="T12" s="13">
        <f>IF(I12="","",I12/9)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4" t="n"/>
      <c r="H13" s="14" t="n"/>
      <c r="I13" s="14" t="n"/>
      <c r="J13" s="13">
        <f>IF(COUNT(C13:I13)&lt;7,"",SUM(C13:I13))</f>
        <v/>
      </c>
      <c r="K13" s="13">
        <f>IF(COUNT(C13:I13)&lt;7,"",J13/47)</f>
        <v/>
      </c>
      <c r="L13" s="13">
        <f>IF(COUNT(C13:I13)&lt;7,"",IF(K13&gt;=0.8,"Green",IF(K13&gt;=0.5,"Yellow","Red")))</f>
        <v/>
      </c>
      <c r="M13" s="13">
        <f>IF(COUNT(C13:I13)&lt;7,"",IF(L13="Green","Well done! "&amp;Parameters!$C$212,"Revise: "&amp;_xlfn.TEXTJOIN(", ",TRUE(),IF(N13&lt;1,Parameters!$A$200,""),IF(O13&lt;1,Parameters!$A$201,""),IF(P13&lt;1,Parameters!$A$202,""),IF(Q13&lt;1,Parameters!$A$203,""),IF(R13&lt;1,Parameters!$A$204,""),IF(S13&lt;1,Parameters!$A$205,""),IF(T13&lt;1,Parameters!$A$206,""))))</f>
        <v/>
      </c>
      <c r="N13" s="13">
        <f>IF(C13="","",C13/7)</f>
        <v/>
      </c>
      <c r="O13" s="13">
        <f>IF(D13="","",D13/5)</f>
        <v/>
      </c>
      <c r="P13" s="13">
        <f>IF(E13="","",E13/7)</f>
        <v/>
      </c>
      <c r="Q13" s="13">
        <f>IF(F13="","",F13/9)</f>
        <v/>
      </c>
      <c r="R13" s="13">
        <f>IF(G13="","",G13/5)</f>
        <v/>
      </c>
      <c r="S13" s="13">
        <f>IF(H13="","",H13/5)</f>
        <v/>
      </c>
      <c r="T13" s="13">
        <f>IF(I13="","",I13/9)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4" t="n"/>
      <c r="H14" s="14" t="n"/>
      <c r="I14" s="14" t="n"/>
      <c r="J14" s="13">
        <f>IF(COUNT(C14:I14)&lt;7,"",SUM(C14:I14))</f>
        <v/>
      </c>
      <c r="K14" s="13">
        <f>IF(COUNT(C14:I14)&lt;7,"",J14/47)</f>
        <v/>
      </c>
      <c r="L14" s="13">
        <f>IF(COUNT(C14:I14)&lt;7,"",IF(K14&gt;=0.8,"Green",IF(K14&gt;=0.5,"Yellow","Red")))</f>
        <v/>
      </c>
      <c r="M14" s="13">
        <f>IF(COUNT(C14:I14)&lt;7,"",IF(L14="Green","Well done! "&amp;Parameters!$C$212,"Revise: "&amp;_xlfn.TEXTJOIN(", ",TRUE(),IF(N14&lt;1,Parameters!$A$200,""),IF(O14&lt;1,Parameters!$A$201,""),IF(P14&lt;1,Parameters!$A$202,""),IF(Q14&lt;1,Parameters!$A$203,""),IF(R14&lt;1,Parameters!$A$204,""),IF(S14&lt;1,Parameters!$A$205,""),IF(T14&lt;1,Parameters!$A$206,""))))</f>
        <v/>
      </c>
      <c r="N14" s="13">
        <f>IF(C14="","",C14/7)</f>
        <v/>
      </c>
      <c r="O14" s="13">
        <f>IF(D14="","",D14/5)</f>
        <v/>
      </c>
      <c r="P14" s="13">
        <f>IF(E14="","",E14/7)</f>
        <v/>
      </c>
      <c r="Q14" s="13">
        <f>IF(F14="","",F14/9)</f>
        <v/>
      </c>
      <c r="R14" s="13">
        <f>IF(G14="","",G14/5)</f>
        <v/>
      </c>
      <c r="S14" s="13">
        <f>IF(H14="","",H14/5)</f>
        <v/>
      </c>
      <c r="T14" s="13">
        <f>IF(I14="","",I14/9)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4" t="n"/>
      <c r="H15" s="14" t="n"/>
      <c r="I15" s="14" t="n"/>
      <c r="J15" s="13">
        <f>IF(COUNT(C15:I15)&lt;7,"",SUM(C15:I15))</f>
        <v/>
      </c>
      <c r="K15" s="13">
        <f>IF(COUNT(C15:I15)&lt;7,"",J15/47)</f>
        <v/>
      </c>
      <c r="L15" s="13">
        <f>IF(COUNT(C15:I15)&lt;7,"",IF(K15&gt;=0.8,"Green",IF(K15&gt;=0.5,"Yellow","Red")))</f>
        <v/>
      </c>
      <c r="M15" s="13">
        <f>IF(COUNT(C15:I15)&lt;7,"",IF(L15="Green","Well done! "&amp;Parameters!$C$212,"Revise: "&amp;_xlfn.TEXTJOIN(", ",TRUE(),IF(N15&lt;1,Parameters!$A$200,""),IF(O15&lt;1,Parameters!$A$201,""),IF(P15&lt;1,Parameters!$A$202,""),IF(Q15&lt;1,Parameters!$A$203,""),IF(R15&lt;1,Parameters!$A$204,""),IF(S15&lt;1,Parameters!$A$205,""),IF(T15&lt;1,Parameters!$A$206,""))))</f>
        <v/>
      </c>
      <c r="N15" s="13">
        <f>IF(C15="","",C15/7)</f>
        <v/>
      </c>
      <c r="O15" s="13">
        <f>IF(D15="","",D15/5)</f>
        <v/>
      </c>
      <c r="P15" s="13">
        <f>IF(E15="","",E15/7)</f>
        <v/>
      </c>
      <c r="Q15" s="13">
        <f>IF(F15="","",F15/9)</f>
        <v/>
      </c>
      <c r="R15" s="13">
        <f>IF(G15="","",G15/5)</f>
        <v/>
      </c>
      <c r="S15" s="13">
        <f>IF(H15="","",H15/5)</f>
        <v/>
      </c>
      <c r="T15" s="13">
        <f>IF(I15="","",I15/9)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4" t="n"/>
      <c r="H16" s="14" t="n"/>
      <c r="I16" s="14" t="n"/>
      <c r="J16" s="13">
        <f>IF(COUNT(C16:I16)&lt;7,"",SUM(C16:I16))</f>
        <v/>
      </c>
      <c r="K16" s="13">
        <f>IF(COUNT(C16:I16)&lt;7,"",J16/47)</f>
        <v/>
      </c>
      <c r="L16" s="13">
        <f>IF(COUNT(C16:I16)&lt;7,"",IF(K16&gt;=0.8,"Green",IF(K16&gt;=0.5,"Yellow","Red")))</f>
        <v/>
      </c>
      <c r="M16" s="13">
        <f>IF(COUNT(C16:I16)&lt;7,"",IF(L16="Green","Well done! "&amp;Parameters!$C$212,"Revise: "&amp;_xlfn.TEXTJOIN(", ",TRUE(),IF(N16&lt;1,Parameters!$A$200,""),IF(O16&lt;1,Parameters!$A$201,""),IF(P16&lt;1,Parameters!$A$202,""),IF(Q16&lt;1,Parameters!$A$203,""),IF(R16&lt;1,Parameters!$A$204,""),IF(S16&lt;1,Parameters!$A$205,""),IF(T16&lt;1,Parameters!$A$206,""))))</f>
        <v/>
      </c>
      <c r="N16" s="13">
        <f>IF(C16="","",C16/7)</f>
        <v/>
      </c>
      <c r="O16" s="13">
        <f>IF(D16="","",D16/5)</f>
        <v/>
      </c>
      <c r="P16" s="13">
        <f>IF(E16="","",E16/7)</f>
        <v/>
      </c>
      <c r="Q16" s="13">
        <f>IF(F16="","",F16/9)</f>
        <v/>
      </c>
      <c r="R16" s="13">
        <f>IF(G16="","",G16/5)</f>
        <v/>
      </c>
      <c r="S16" s="13">
        <f>IF(H16="","",H16/5)</f>
        <v/>
      </c>
      <c r="T16" s="13">
        <f>IF(I16="","",I16/9)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4" t="n"/>
      <c r="H17" s="14" t="n"/>
      <c r="I17" s="14" t="n"/>
      <c r="J17" s="13">
        <f>IF(COUNT(C17:I17)&lt;7,"",SUM(C17:I17))</f>
        <v/>
      </c>
      <c r="K17" s="13">
        <f>IF(COUNT(C17:I17)&lt;7,"",J17/47)</f>
        <v/>
      </c>
      <c r="L17" s="13">
        <f>IF(COUNT(C17:I17)&lt;7,"",IF(K17&gt;=0.8,"Green",IF(K17&gt;=0.5,"Yellow","Red")))</f>
        <v/>
      </c>
      <c r="M17" s="13">
        <f>IF(COUNT(C17:I17)&lt;7,"",IF(L17="Green","Well done! "&amp;Parameters!$C$212,"Revise: "&amp;_xlfn.TEXTJOIN(", ",TRUE(),IF(N17&lt;1,Parameters!$A$200,""),IF(O17&lt;1,Parameters!$A$201,""),IF(P17&lt;1,Parameters!$A$202,""),IF(Q17&lt;1,Parameters!$A$203,""),IF(R17&lt;1,Parameters!$A$204,""),IF(S17&lt;1,Parameters!$A$205,""),IF(T17&lt;1,Parameters!$A$206,""))))</f>
        <v/>
      </c>
      <c r="N17" s="13">
        <f>IF(C17="","",C17/7)</f>
        <v/>
      </c>
      <c r="O17" s="13">
        <f>IF(D17="","",D17/5)</f>
        <v/>
      </c>
      <c r="P17" s="13">
        <f>IF(E17="","",E17/7)</f>
        <v/>
      </c>
      <c r="Q17" s="13">
        <f>IF(F17="","",F17/9)</f>
        <v/>
      </c>
      <c r="R17" s="13">
        <f>IF(G17="","",G17/5)</f>
        <v/>
      </c>
      <c r="S17" s="13">
        <f>IF(H17="","",H17/5)</f>
        <v/>
      </c>
      <c r="T17" s="13">
        <f>IF(I17="","",I17/9)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4" t="n"/>
      <c r="H18" s="14" t="n"/>
      <c r="I18" s="14" t="n"/>
      <c r="J18" s="13">
        <f>IF(COUNT(C18:I18)&lt;7,"",SUM(C18:I18))</f>
        <v/>
      </c>
      <c r="K18" s="13">
        <f>IF(COUNT(C18:I18)&lt;7,"",J18/47)</f>
        <v/>
      </c>
      <c r="L18" s="13">
        <f>IF(COUNT(C18:I18)&lt;7,"",IF(K18&gt;=0.8,"Green",IF(K18&gt;=0.5,"Yellow","Red")))</f>
        <v/>
      </c>
      <c r="M18" s="13">
        <f>IF(COUNT(C18:I18)&lt;7,"",IF(L18="Green","Well done! "&amp;Parameters!$C$212,"Revise: "&amp;_xlfn.TEXTJOIN(", ",TRUE(),IF(N18&lt;1,Parameters!$A$200,""),IF(O18&lt;1,Parameters!$A$201,""),IF(P18&lt;1,Parameters!$A$202,""),IF(Q18&lt;1,Parameters!$A$203,""),IF(R18&lt;1,Parameters!$A$204,""),IF(S18&lt;1,Parameters!$A$205,""),IF(T18&lt;1,Parameters!$A$206,""))))</f>
        <v/>
      </c>
      <c r="N18" s="13">
        <f>IF(C18="","",C18/7)</f>
        <v/>
      </c>
      <c r="O18" s="13">
        <f>IF(D18="","",D18/5)</f>
        <v/>
      </c>
      <c r="P18" s="13">
        <f>IF(E18="","",E18/7)</f>
        <v/>
      </c>
      <c r="Q18" s="13">
        <f>IF(F18="","",F18/9)</f>
        <v/>
      </c>
      <c r="R18" s="13">
        <f>IF(G18="","",G18/5)</f>
        <v/>
      </c>
      <c r="S18" s="13">
        <f>IF(H18="","",H18/5)</f>
        <v/>
      </c>
      <c r="T18" s="13">
        <f>IF(I18="","",I18/9)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4" t="n"/>
      <c r="H19" s="14" t="n"/>
      <c r="I19" s="14" t="n"/>
      <c r="J19" s="13">
        <f>IF(COUNT(C19:I19)&lt;7,"",SUM(C19:I19))</f>
        <v/>
      </c>
      <c r="K19" s="13">
        <f>IF(COUNT(C19:I19)&lt;7,"",J19/47)</f>
        <v/>
      </c>
      <c r="L19" s="13">
        <f>IF(COUNT(C19:I19)&lt;7,"",IF(K19&gt;=0.8,"Green",IF(K19&gt;=0.5,"Yellow","Red")))</f>
        <v/>
      </c>
      <c r="M19" s="13">
        <f>IF(COUNT(C19:I19)&lt;7,"",IF(L19="Green","Well done! "&amp;Parameters!$C$212,"Revise: "&amp;_xlfn.TEXTJOIN(", ",TRUE(),IF(N19&lt;1,Parameters!$A$200,""),IF(O19&lt;1,Parameters!$A$201,""),IF(P19&lt;1,Parameters!$A$202,""),IF(Q19&lt;1,Parameters!$A$203,""),IF(R19&lt;1,Parameters!$A$204,""),IF(S19&lt;1,Parameters!$A$205,""),IF(T19&lt;1,Parameters!$A$206,""))))</f>
        <v/>
      </c>
      <c r="N19" s="13">
        <f>IF(C19="","",C19/7)</f>
        <v/>
      </c>
      <c r="O19" s="13">
        <f>IF(D19="","",D19/5)</f>
        <v/>
      </c>
      <c r="P19" s="13">
        <f>IF(E19="","",E19/7)</f>
        <v/>
      </c>
      <c r="Q19" s="13">
        <f>IF(F19="","",F19/9)</f>
        <v/>
      </c>
      <c r="R19" s="13">
        <f>IF(G19="","",G19/5)</f>
        <v/>
      </c>
      <c r="S19" s="13">
        <f>IF(H19="","",H19/5)</f>
        <v/>
      </c>
      <c r="T19" s="13">
        <f>IF(I19="","",I19/9)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4" t="n"/>
      <c r="H20" s="14" t="n"/>
      <c r="I20" s="14" t="n"/>
      <c r="J20" s="13">
        <f>IF(COUNT(C20:I20)&lt;7,"",SUM(C20:I20))</f>
        <v/>
      </c>
      <c r="K20" s="13">
        <f>IF(COUNT(C20:I20)&lt;7,"",J20/47)</f>
        <v/>
      </c>
      <c r="L20" s="13">
        <f>IF(COUNT(C20:I20)&lt;7,"",IF(K20&gt;=0.8,"Green",IF(K20&gt;=0.5,"Yellow","Red")))</f>
        <v/>
      </c>
      <c r="M20" s="13">
        <f>IF(COUNT(C20:I20)&lt;7,"",IF(L20="Green","Well done! "&amp;Parameters!$C$212,"Revise: "&amp;_xlfn.TEXTJOIN(", ",TRUE(),IF(N20&lt;1,Parameters!$A$200,""),IF(O20&lt;1,Parameters!$A$201,""),IF(P20&lt;1,Parameters!$A$202,""),IF(Q20&lt;1,Parameters!$A$203,""),IF(R20&lt;1,Parameters!$A$204,""),IF(S20&lt;1,Parameters!$A$205,""),IF(T20&lt;1,Parameters!$A$206,""))))</f>
        <v/>
      </c>
      <c r="N20" s="13">
        <f>IF(C20="","",C20/7)</f>
        <v/>
      </c>
      <c r="O20" s="13">
        <f>IF(D20="","",D20/5)</f>
        <v/>
      </c>
      <c r="P20" s="13">
        <f>IF(E20="","",E20/7)</f>
        <v/>
      </c>
      <c r="Q20" s="13">
        <f>IF(F20="","",F20/9)</f>
        <v/>
      </c>
      <c r="R20" s="13">
        <f>IF(G20="","",G20/5)</f>
        <v/>
      </c>
      <c r="S20" s="13">
        <f>IF(H20="","",H20/5)</f>
        <v/>
      </c>
      <c r="T20" s="13">
        <f>IF(I20="","",I20/9)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4" t="n"/>
      <c r="H21" s="14" t="n"/>
      <c r="I21" s="14" t="n"/>
      <c r="J21" s="13">
        <f>IF(COUNT(C21:I21)&lt;7,"",SUM(C21:I21))</f>
        <v/>
      </c>
      <c r="K21" s="13">
        <f>IF(COUNT(C21:I21)&lt;7,"",J21/47)</f>
        <v/>
      </c>
      <c r="L21" s="13">
        <f>IF(COUNT(C21:I21)&lt;7,"",IF(K21&gt;=0.8,"Green",IF(K21&gt;=0.5,"Yellow","Red")))</f>
        <v/>
      </c>
      <c r="M21" s="13">
        <f>IF(COUNT(C21:I21)&lt;7,"",IF(L21="Green","Well done! "&amp;Parameters!$C$212,"Revise: "&amp;_xlfn.TEXTJOIN(", ",TRUE(),IF(N21&lt;1,Parameters!$A$200,""),IF(O21&lt;1,Parameters!$A$201,""),IF(P21&lt;1,Parameters!$A$202,""),IF(Q21&lt;1,Parameters!$A$203,""),IF(R21&lt;1,Parameters!$A$204,""),IF(S21&lt;1,Parameters!$A$205,""),IF(T21&lt;1,Parameters!$A$206,""))))</f>
        <v/>
      </c>
      <c r="N21" s="13">
        <f>IF(C21="","",C21/7)</f>
        <v/>
      </c>
      <c r="O21" s="13">
        <f>IF(D21="","",D21/5)</f>
        <v/>
      </c>
      <c r="P21" s="13">
        <f>IF(E21="","",E21/7)</f>
        <v/>
      </c>
      <c r="Q21" s="13">
        <f>IF(F21="","",F21/9)</f>
        <v/>
      </c>
      <c r="R21" s="13">
        <f>IF(G21="","",G21/5)</f>
        <v/>
      </c>
      <c r="S21" s="13">
        <f>IF(H21="","",H21/5)</f>
        <v/>
      </c>
      <c r="T21" s="13">
        <f>IF(I21="","",I21/9)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4" t="n"/>
      <c r="H22" s="14" t="n"/>
      <c r="I22" s="14" t="n"/>
      <c r="J22" s="13">
        <f>IF(COUNT(C22:I22)&lt;7,"",SUM(C22:I22))</f>
        <v/>
      </c>
      <c r="K22" s="13">
        <f>IF(COUNT(C22:I22)&lt;7,"",J22/47)</f>
        <v/>
      </c>
      <c r="L22" s="13">
        <f>IF(COUNT(C22:I22)&lt;7,"",IF(K22&gt;=0.8,"Green",IF(K22&gt;=0.5,"Yellow","Red")))</f>
        <v/>
      </c>
      <c r="M22" s="13">
        <f>IF(COUNT(C22:I22)&lt;7,"",IF(L22="Green","Well done! "&amp;Parameters!$C$212,"Revise: "&amp;_xlfn.TEXTJOIN(", ",TRUE(),IF(N22&lt;1,Parameters!$A$200,""),IF(O22&lt;1,Parameters!$A$201,""),IF(P22&lt;1,Parameters!$A$202,""),IF(Q22&lt;1,Parameters!$A$203,""),IF(R22&lt;1,Parameters!$A$204,""),IF(S22&lt;1,Parameters!$A$205,""),IF(T22&lt;1,Parameters!$A$206,""))))</f>
        <v/>
      </c>
      <c r="N22" s="13">
        <f>IF(C22="","",C22/7)</f>
        <v/>
      </c>
      <c r="O22" s="13">
        <f>IF(D22="","",D22/5)</f>
        <v/>
      </c>
      <c r="P22" s="13">
        <f>IF(E22="","",E22/7)</f>
        <v/>
      </c>
      <c r="Q22" s="13">
        <f>IF(F22="","",F22/9)</f>
        <v/>
      </c>
      <c r="R22" s="13">
        <f>IF(G22="","",G22/5)</f>
        <v/>
      </c>
      <c r="S22" s="13">
        <f>IF(H22="","",H22/5)</f>
        <v/>
      </c>
      <c r="T22" s="13">
        <f>IF(I22="","",I22/9)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4" t="n"/>
      <c r="H23" s="14" t="n"/>
      <c r="I23" s="14" t="n"/>
      <c r="J23" s="13">
        <f>IF(COUNT(C23:I23)&lt;7,"",SUM(C23:I23))</f>
        <v/>
      </c>
      <c r="K23" s="13">
        <f>IF(COUNT(C23:I23)&lt;7,"",J23/47)</f>
        <v/>
      </c>
      <c r="L23" s="13">
        <f>IF(COUNT(C23:I23)&lt;7,"",IF(K23&gt;=0.8,"Green",IF(K23&gt;=0.5,"Yellow","Red")))</f>
        <v/>
      </c>
      <c r="M23" s="13">
        <f>IF(COUNT(C23:I23)&lt;7,"",IF(L23="Green","Well done! "&amp;Parameters!$C$212,"Revise: "&amp;_xlfn.TEXTJOIN(", ",TRUE(),IF(N23&lt;1,Parameters!$A$200,""),IF(O23&lt;1,Parameters!$A$201,""),IF(P23&lt;1,Parameters!$A$202,""),IF(Q23&lt;1,Parameters!$A$203,""),IF(R23&lt;1,Parameters!$A$204,""),IF(S23&lt;1,Parameters!$A$205,""),IF(T23&lt;1,Parameters!$A$206,""))))</f>
        <v/>
      </c>
      <c r="N23" s="13">
        <f>IF(C23="","",C23/7)</f>
        <v/>
      </c>
      <c r="O23" s="13">
        <f>IF(D23="","",D23/5)</f>
        <v/>
      </c>
      <c r="P23" s="13">
        <f>IF(E23="","",E23/7)</f>
        <v/>
      </c>
      <c r="Q23" s="13">
        <f>IF(F23="","",F23/9)</f>
        <v/>
      </c>
      <c r="R23" s="13">
        <f>IF(G23="","",G23/5)</f>
        <v/>
      </c>
      <c r="S23" s="13">
        <f>IF(H23="","",H23/5)</f>
        <v/>
      </c>
      <c r="T23" s="13">
        <f>IF(I23="","",I23/9)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4" t="n"/>
      <c r="H24" s="14" t="n"/>
      <c r="I24" s="14" t="n"/>
      <c r="J24" s="13">
        <f>IF(COUNT(C24:I24)&lt;7,"",SUM(C24:I24))</f>
        <v/>
      </c>
      <c r="K24" s="13">
        <f>IF(COUNT(C24:I24)&lt;7,"",J24/47)</f>
        <v/>
      </c>
      <c r="L24" s="13">
        <f>IF(COUNT(C24:I24)&lt;7,"",IF(K24&gt;=0.8,"Green",IF(K24&gt;=0.5,"Yellow","Red")))</f>
        <v/>
      </c>
      <c r="M24" s="13">
        <f>IF(COUNT(C24:I24)&lt;7,"",IF(L24="Green","Well done! "&amp;Parameters!$C$212,"Revise: "&amp;_xlfn.TEXTJOIN(", ",TRUE(),IF(N24&lt;1,Parameters!$A$200,""),IF(O24&lt;1,Parameters!$A$201,""),IF(P24&lt;1,Parameters!$A$202,""),IF(Q24&lt;1,Parameters!$A$203,""),IF(R24&lt;1,Parameters!$A$204,""),IF(S24&lt;1,Parameters!$A$205,""),IF(T24&lt;1,Parameters!$A$206,""))))</f>
        <v/>
      </c>
      <c r="N24" s="13">
        <f>IF(C24="","",C24/7)</f>
        <v/>
      </c>
      <c r="O24" s="13">
        <f>IF(D24="","",D24/5)</f>
        <v/>
      </c>
      <c r="P24" s="13">
        <f>IF(E24="","",E24/7)</f>
        <v/>
      </c>
      <c r="Q24" s="13">
        <f>IF(F24="","",F24/9)</f>
        <v/>
      </c>
      <c r="R24" s="13">
        <f>IF(G24="","",G24/5)</f>
        <v/>
      </c>
      <c r="S24" s="13">
        <f>IF(H24="","",H24/5)</f>
        <v/>
      </c>
      <c r="T24" s="13">
        <f>IF(I24="","",I24/9)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4" t="n"/>
      <c r="H25" s="14" t="n"/>
      <c r="I25" s="14" t="n"/>
      <c r="J25" s="13">
        <f>IF(COUNT(C25:I25)&lt;7,"",SUM(C25:I25))</f>
        <v/>
      </c>
      <c r="K25" s="13">
        <f>IF(COUNT(C25:I25)&lt;7,"",J25/47)</f>
        <v/>
      </c>
      <c r="L25" s="13">
        <f>IF(COUNT(C25:I25)&lt;7,"",IF(K25&gt;=0.8,"Green",IF(K25&gt;=0.5,"Yellow","Red")))</f>
        <v/>
      </c>
      <c r="M25" s="13">
        <f>IF(COUNT(C25:I25)&lt;7,"",IF(L25="Green","Well done! "&amp;Parameters!$C$212,"Revise: "&amp;_xlfn.TEXTJOIN(", ",TRUE(),IF(N25&lt;1,Parameters!$A$200,""),IF(O25&lt;1,Parameters!$A$201,""),IF(P25&lt;1,Parameters!$A$202,""),IF(Q25&lt;1,Parameters!$A$203,""),IF(R25&lt;1,Parameters!$A$204,""),IF(S25&lt;1,Parameters!$A$205,""),IF(T25&lt;1,Parameters!$A$206,""))))</f>
        <v/>
      </c>
      <c r="N25" s="13">
        <f>IF(C25="","",C25/7)</f>
        <v/>
      </c>
      <c r="O25" s="13">
        <f>IF(D25="","",D25/5)</f>
        <v/>
      </c>
      <c r="P25" s="13">
        <f>IF(E25="","",E25/7)</f>
        <v/>
      </c>
      <c r="Q25" s="13">
        <f>IF(F25="","",F25/9)</f>
        <v/>
      </c>
      <c r="R25" s="13">
        <f>IF(G25="","",G25/5)</f>
        <v/>
      </c>
      <c r="S25" s="13">
        <f>IF(H25="","",H25/5)</f>
        <v/>
      </c>
      <c r="T25" s="13">
        <f>IF(I25="","",I25/9)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4" t="n"/>
      <c r="H26" s="14" t="n"/>
      <c r="I26" s="14" t="n"/>
      <c r="J26" s="13">
        <f>IF(COUNT(C26:I26)&lt;7,"",SUM(C26:I26))</f>
        <v/>
      </c>
      <c r="K26" s="13">
        <f>IF(COUNT(C26:I26)&lt;7,"",J26/47)</f>
        <v/>
      </c>
      <c r="L26" s="13">
        <f>IF(COUNT(C26:I26)&lt;7,"",IF(K26&gt;=0.8,"Green",IF(K26&gt;=0.5,"Yellow","Red")))</f>
        <v/>
      </c>
      <c r="M26" s="13">
        <f>IF(COUNT(C26:I26)&lt;7,"",IF(L26="Green","Well done! "&amp;Parameters!$C$212,"Revise: "&amp;_xlfn.TEXTJOIN(", ",TRUE(),IF(N26&lt;1,Parameters!$A$200,""),IF(O26&lt;1,Parameters!$A$201,""),IF(P26&lt;1,Parameters!$A$202,""),IF(Q26&lt;1,Parameters!$A$203,""),IF(R26&lt;1,Parameters!$A$204,""),IF(S26&lt;1,Parameters!$A$205,""),IF(T26&lt;1,Parameters!$A$206,""))))</f>
        <v/>
      </c>
      <c r="N26" s="13">
        <f>IF(C26="","",C26/7)</f>
        <v/>
      </c>
      <c r="O26" s="13">
        <f>IF(D26="","",D26/5)</f>
        <v/>
      </c>
      <c r="P26" s="13">
        <f>IF(E26="","",E26/7)</f>
        <v/>
      </c>
      <c r="Q26" s="13">
        <f>IF(F26="","",F26/9)</f>
        <v/>
      </c>
      <c r="R26" s="13">
        <f>IF(G26="","",G26/5)</f>
        <v/>
      </c>
      <c r="S26" s="13">
        <f>IF(H26="","",H26/5)</f>
        <v/>
      </c>
      <c r="T26" s="13">
        <f>IF(I26="","",I26/9)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4" t="n"/>
      <c r="H27" s="14" t="n"/>
      <c r="I27" s="14" t="n"/>
      <c r="J27" s="13">
        <f>IF(COUNT(C27:I27)&lt;7,"",SUM(C27:I27))</f>
        <v/>
      </c>
      <c r="K27" s="13">
        <f>IF(COUNT(C27:I27)&lt;7,"",J27/47)</f>
        <v/>
      </c>
      <c r="L27" s="13">
        <f>IF(COUNT(C27:I27)&lt;7,"",IF(K27&gt;=0.8,"Green",IF(K27&gt;=0.5,"Yellow","Red")))</f>
        <v/>
      </c>
      <c r="M27" s="13">
        <f>IF(COUNT(C27:I27)&lt;7,"",IF(L27="Green","Well done! "&amp;Parameters!$C$212,"Revise: "&amp;_xlfn.TEXTJOIN(", ",TRUE(),IF(N27&lt;1,Parameters!$A$200,""),IF(O27&lt;1,Parameters!$A$201,""),IF(P27&lt;1,Parameters!$A$202,""),IF(Q27&lt;1,Parameters!$A$203,""),IF(R27&lt;1,Parameters!$A$204,""),IF(S27&lt;1,Parameters!$A$205,""),IF(T27&lt;1,Parameters!$A$206,""))))</f>
        <v/>
      </c>
      <c r="N27" s="13">
        <f>IF(C27="","",C27/7)</f>
        <v/>
      </c>
      <c r="O27" s="13">
        <f>IF(D27="","",D27/5)</f>
        <v/>
      </c>
      <c r="P27" s="13">
        <f>IF(E27="","",E27/7)</f>
        <v/>
      </c>
      <c r="Q27" s="13">
        <f>IF(F27="","",F27/9)</f>
        <v/>
      </c>
      <c r="R27" s="13">
        <f>IF(G27="","",G27/5)</f>
        <v/>
      </c>
      <c r="S27" s="13">
        <f>IF(H27="","",H27/5)</f>
        <v/>
      </c>
      <c r="T27" s="13">
        <f>IF(I27="","",I27/9)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4" t="n"/>
      <c r="H28" s="14" t="n"/>
      <c r="I28" s="14" t="n"/>
      <c r="J28" s="13">
        <f>IF(COUNT(C28:I28)&lt;7,"",SUM(C28:I28))</f>
        <v/>
      </c>
      <c r="K28" s="13">
        <f>IF(COUNT(C28:I28)&lt;7,"",J28/47)</f>
        <v/>
      </c>
      <c r="L28" s="13">
        <f>IF(COUNT(C28:I28)&lt;7,"",IF(K28&gt;=0.8,"Green",IF(K28&gt;=0.5,"Yellow","Red")))</f>
        <v/>
      </c>
      <c r="M28" s="13">
        <f>IF(COUNT(C28:I28)&lt;7,"",IF(L28="Green","Well done! "&amp;Parameters!$C$212,"Revise: "&amp;_xlfn.TEXTJOIN(", ",TRUE(),IF(N28&lt;1,Parameters!$A$200,""),IF(O28&lt;1,Parameters!$A$201,""),IF(P28&lt;1,Parameters!$A$202,""),IF(Q28&lt;1,Parameters!$A$203,""),IF(R28&lt;1,Parameters!$A$204,""),IF(S28&lt;1,Parameters!$A$205,""),IF(T28&lt;1,Parameters!$A$206,""))))</f>
        <v/>
      </c>
      <c r="N28" s="13">
        <f>IF(C28="","",C28/7)</f>
        <v/>
      </c>
      <c r="O28" s="13">
        <f>IF(D28="","",D28/5)</f>
        <v/>
      </c>
      <c r="P28" s="13">
        <f>IF(E28="","",E28/7)</f>
        <v/>
      </c>
      <c r="Q28" s="13">
        <f>IF(F28="","",F28/9)</f>
        <v/>
      </c>
      <c r="R28" s="13">
        <f>IF(G28="","",G28/5)</f>
        <v/>
      </c>
      <c r="S28" s="13">
        <f>IF(H28="","",H28/5)</f>
        <v/>
      </c>
      <c r="T28" s="13">
        <f>IF(I28="","",I28/9)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4" t="n"/>
      <c r="H29" s="14" t="n"/>
      <c r="I29" s="14" t="n"/>
      <c r="J29" s="13">
        <f>IF(COUNT(C29:I29)&lt;7,"",SUM(C29:I29))</f>
        <v/>
      </c>
      <c r="K29" s="13">
        <f>IF(COUNT(C29:I29)&lt;7,"",J29/47)</f>
        <v/>
      </c>
      <c r="L29" s="13">
        <f>IF(COUNT(C29:I29)&lt;7,"",IF(K29&gt;=0.8,"Green",IF(K29&gt;=0.5,"Yellow","Red")))</f>
        <v/>
      </c>
      <c r="M29" s="13">
        <f>IF(COUNT(C29:I29)&lt;7,"",IF(L29="Green","Well done! "&amp;Parameters!$C$212,"Revise: "&amp;_xlfn.TEXTJOIN(", ",TRUE(),IF(N29&lt;1,Parameters!$A$200,""),IF(O29&lt;1,Parameters!$A$201,""),IF(P29&lt;1,Parameters!$A$202,""),IF(Q29&lt;1,Parameters!$A$203,""),IF(R29&lt;1,Parameters!$A$204,""),IF(S29&lt;1,Parameters!$A$205,""),IF(T29&lt;1,Parameters!$A$206,""))))</f>
        <v/>
      </c>
      <c r="N29" s="13">
        <f>IF(C29="","",C29/7)</f>
        <v/>
      </c>
      <c r="O29" s="13">
        <f>IF(D29="","",D29/5)</f>
        <v/>
      </c>
      <c r="P29" s="13">
        <f>IF(E29="","",E29/7)</f>
        <v/>
      </c>
      <c r="Q29" s="13">
        <f>IF(F29="","",F29/9)</f>
        <v/>
      </c>
      <c r="R29" s="13">
        <f>IF(G29="","",G29/5)</f>
        <v/>
      </c>
      <c r="S29" s="13">
        <f>IF(H29="","",H29/5)</f>
        <v/>
      </c>
      <c r="T29" s="13">
        <f>IF(I29="","",I29/9)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4" t="n"/>
      <c r="H30" s="14" t="n"/>
      <c r="I30" s="14" t="n"/>
      <c r="J30" s="13">
        <f>IF(COUNT(C30:I30)&lt;7,"",SUM(C30:I30))</f>
        <v/>
      </c>
      <c r="K30" s="13">
        <f>IF(COUNT(C30:I30)&lt;7,"",J30/47)</f>
        <v/>
      </c>
      <c r="L30" s="13">
        <f>IF(COUNT(C30:I30)&lt;7,"",IF(K30&gt;=0.8,"Green",IF(K30&gt;=0.5,"Yellow","Red")))</f>
        <v/>
      </c>
      <c r="M30" s="13">
        <f>IF(COUNT(C30:I30)&lt;7,"",IF(L30="Green","Well done! "&amp;Parameters!$C$212,"Revise: "&amp;_xlfn.TEXTJOIN(", ",TRUE(),IF(N30&lt;1,Parameters!$A$200,""),IF(O30&lt;1,Parameters!$A$201,""),IF(P30&lt;1,Parameters!$A$202,""),IF(Q30&lt;1,Parameters!$A$203,""),IF(R30&lt;1,Parameters!$A$204,""),IF(S30&lt;1,Parameters!$A$205,""),IF(T30&lt;1,Parameters!$A$206,""))))</f>
        <v/>
      </c>
      <c r="N30" s="13">
        <f>IF(C30="","",C30/7)</f>
        <v/>
      </c>
      <c r="O30" s="13">
        <f>IF(D30="","",D30/5)</f>
        <v/>
      </c>
      <c r="P30" s="13">
        <f>IF(E30="","",E30/7)</f>
        <v/>
      </c>
      <c r="Q30" s="13">
        <f>IF(F30="","",F30/9)</f>
        <v/>
      </c>
      <c r="R30" s="13">
        <f>IF(G30="","",G30/5)</f>
        <v/>
      </c>
      <c r="S30" s="13">
        <f>IF(H30="","",H30/5)</f>
        <v/>
      </c>
      <c r="T30" s="13">
        <f>IF(I30="","",I30/9)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4" t="n"/>
      <c r="H31" s="14" t="n"/>
      <c r="I31" s="14" t="n"/>
      <c r="J31" s="13">
        <f>IF(COUNT(C31:I31)&lt;7,"",SUM(C31:I31))</f>
        <v/>
      </c>
      <c r="K31" s="13">
        <f>IF(COUNT(C31:I31)&lt;7,"",J31/47)</f>
        <v/>
      </c>
      <c r="L31" s="13">
        <f>IF(COUNT(C31:I31)&lt;7,"",IF(K31&gt;=0.8,"Green",IF(K31&gt;=0.5,"Yellow","Red")))</f>
        <v/>
      </c>
      <c r="M31" s="13">
        <f>IF(COUNT(C31:I31)&lt;7,"",IF(L31="Green","Well done! "&amp;Parameters!$C$212,"Revise: "&amp;_xlfn.TEXTJOIN(", ",TRUE(),IF(N31&lt;1,Parameters!$A$200,""),IF(O31&lt;1,Parameters!$A$201,""),IF(P31&lt;1,Parameters!$A$202,""),IF(Q31&lt;1,Parameters!$A$203,""),IF(R31&lt;1,Parameters!$A$204,""),IF(S31&lt;1,Parameters!$A$205,""),IF(T31&lt;1,Parameters!$A$206,""))))</f>
        <v/>
      </c>
      <c r="N31" s="13">
        <f>IF(C31="","",C31/7)</f>
        <v/>
      </c>
      <c r="O31" s="13">
        <f>IF(D31="","",D31/5)</f>
        <v/>
      </c>
      <c r="P31" s="13">
        <f>IF(E31="","",E31/7)</f>
        <v/>
      </c>
      <c r="Q31" s="13">
        <f>IF(F31="","",F31/9)</f>
        <v/>
      </c>
      <c r="R31" s="13">
        <f>IF(G31="","",G31/5)</f>
        <v/>
      </c>
      <c r="S31" s="13">
        <f>IF(H31="","",H31/5)</f>
        <v/>
      </c>
      <c r="T31" s="13">
        <f>IF(I31="","",I31/9)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4" t="n"/>
      <c r="H32" s="14" t="n"/>
      <c r="I32" s="14" t="n"/>
      <c r="J32" s="13">
        <f>IF(COUNT(C32:I32)&lt;7,"",SUM(C32:I32))</f>
        <v/>
      </c>
      <c r="K32" s="13">
        <f>IF(COUNT(C32:I32)&lt;7,"",J32/47)</f>
        <v/>
      </c>
      <c r="L32" s="13">
        <f>IF(COUNT(C32:I32)&lt;7,"",IF(K32&gt;=0.8,"Green",IF(K32&gt;=0.5,"Yellow","Red")))</f>
        <v/>
      </c>
      <c r="M32" s="13">
        <f>IF(COUNT(C32:I32)&lt;7,"",IF(L32="Green","Well done! "&amp;Parameters!$C$212,"Revise: "&amp;_xlfn.TEXTJOIN(", ",TRUE(),IF(N32&lt;1,Parameters!$A$200,""),IF(O32&lt;1,Parameters!$A$201,""),IF(P32&lt;1,Parameters!$A$202,""),IF(Q32&lt;1,Parameters!$A$203,""),IF(R32&lt;1,Parameters!$A$204,""),IF(S32&lt;1,Parameters!$A$205,""),IF(T32&lt;1,Parameters!$A$206,""))))</f>
        <v/>
      </c>
      <c r="N32" s="13">
        <f>IF(C32="","",C32/7)</f>
        <v/>
      </c>
      <c r="O32" s="13">
        <f>IF(D32="","",D32/5)</f>
        <v/>
      </c>
      <c r="P32" s="13">
        <f>IF(E32="","",E32/7)</f>
        <v/>
      </c>
      <c r="Q32" s="13">
        <f>IF(F32="","",F32/9)</f>
        <v/>
      </c>
      <c r="R32" s="13">
        <f>IF(G32="","",G32/5)</f>
        <v/>
      </c>
      <c r="S32" s="13">
        <f>IF(H32="","",H32/5)</f>
        <v/>
      </c>
      <c r="T32" s="13">
        <f>IF(I32="","",I32/9)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4" t="n"/>
      <c r="H33" s="14" t="n"/>
      <c r="I33" s="14" t="n"/>
      <c r="J33" s="13">
        <f>IF(COUNT(C33:I33)&lt;7,"",SUM(C33:I33))</f>
        <v/>
      </c>
      <c r="K33" s="13">
        <f>IF(COUNT(C33:I33)&lt;7,"",J33/47)</f>
        <v/>
      </c>
      <c r="L33" s="13">
        <f>IF(COUNT(C33:I33)&lt;7,"",IF(K33&gt;=0.8,"Green",IF(K33&gt;=0.5,"Yellow","Red")))</f>
        <v/>
      </c>
      <c r="M33" s="13">
        <f>IF(COUNT(C33:I33)&lt;7,"",IF(L33="Green","Well done! "&amp;Parameters!$C$212,"Revise: "&amp;_xlfn.TEXTJOIN(", ",TRUE(),IF(N33&lt;1,Parameters!$A$200,""),IF(O33&lt;1,Parameters!$A$201,""),IF(P33&lt;1,Parameters!$A$202,""),IF(Q33&lt;1,Parameters!$A$203,""),IF(R33&lt;1,Parameters!$A$204,""),IF(S33&lt;1,Parameters!$A$205,""),IF(T33&lt;1,Parameters!$A$206,""))))</f>
        <v/>
      </c>
      <c r="N33" s="13">
        <f>IF(C33="","",C33/7)</f>
        <v/>
      </c>
      <c r="O33" s="13">
        <f>IF(D33="","",D33/5)</f>
        <v/>
      </c>
      <c r="P33" s="13">
        <f>IF(E33="","",E33/7)</f>
        <v/>
      </c>
      <c r="Q33" s="13">
        <f>IF(F33="","",F33/9)</f>
        <v/>
      </c>
      <c r="R33" s="13">
        <f>IF(G33="","",G33/5)</f>
        <v/>
      </c>
      <c r="S33" s="13">
        <f>IF(H33="","",H33/5)</f>
        <v/>
      </c>
      <c r="T33" s="13">
        <f>IF(I33="","",I33/9)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4" t="n"/>
      <c r="H34" s="14" t="n"/>
      <c r="I34" s="14" t="n"/>
      <c r="J34" s="13">
        <f>IF(COUNT(C34:I34)&lt;7,"",SUM(C34:I34))</f>
        <v/>
      </c>
      <c r="K34" s="13">
        <f>IF(COUNT(C34:I34)&lt;7,"",J34/47)</f>
        <v/>
      </c>
      <c r="L34" s="13">
        <f>IF(COUNT(C34:I34)&lt;7,"",IF(K34&gt;=0.8,"Green",IF(K34&gt;=0.5,"Yellow","Red")))</f>
        <v/>
      </c>
      <c r="M34" s="13">
        <f>IF(COUNT(C34:I34)&lt;7,"",IF(L34="Green","Well done! "&amp;Parameters!$C$212,"Revise: "&amp;_xlfn.TEXTJOIN(", ",TRUE(),IF(N34&lt;1,Parameters!$A$200,""),IF(O34&lt;1,Parameters!$A$201,""),IF(P34&lt;1,Parameters!$A$202,""),IF(Q34&lt;1,Parameters!$A$203,""),IF(R34&lt;1,Parameters!$A$204,""),IF(S34&lt;1,Parameters!$A$205,""),IF(T34&lt;1,Parameters!$A$206,""))))</f>
        <v/>
      </c>
      <c r="N34" s="13">
        <f>IF(C34="","",C34/7)</f>
        <v/>
      </c>
      <c r="O34" s="13">
        <f>IF(D34="","",D34/5)</f>
        <v/>
      </c>
      <c r="P34" s="13">
        <f>IF(E34="","",E34/7)</f>
        <v/>
      </c>
      <c r="Q34" s="13">
        <f>IF(F34="","",F34/9)</f>
        <v/>
      </c>
      <c r="R34" s="13">
        <f>IF(G34="","",G34/5)</f>
        <v/>
      </c>
      <c r="S34" s="13">
        <f>IF(H34="","",H34/5)</f>
        <v/>
      </c>
      <c r="T34" s="13">
        <f>IF(I34="","",I34/9)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4" t="n"/>
      <c r="H35" s="14" t="n"/>
      <c r="I35" s="14" t="n"/>
      <c r="J35" s="13">
        <f>IF(COUNT(C35:I35)&lt;7,"",SUM(C35:I35))</f>
        <v/>
      </c>
      <c r="K35" s="13">
        <f>IF(COUNT(C35:I35)&lt;7,"",J35/47)</f>
        <v/>
      </c>
      <c r="L35" s="13">
        <f>IF(COUNT(C35:I35)&lt;7,"",IF(K35&gt;=0.8,"Green",IF(K35&gt;=0.5,"Yellow","Red")))</f>
        <v/>
      </c>
      <c r="M35" s="13">
        <f>IF(COUNT(C35:I35)&lt;7,"",IF(L35="Green","Well done! "&amp;Parameters!$C$212,"Revise: "&amp;_xlfn.TEXTJOIN(", ",TRUE(),IF(N35&lt;1,Parameters!$A$200,""),IF(O35&lt;1,Parameters!$A$201,""),IF(P35&lt;1,Parameters!$A$202,""),IF(Q35&lt;1,Parameters!$A$203,""),IF(R35&lt;1,Parameters!$A$204,""),IF(S35&lt;1,Parameters!$A$205,""),IF(T35&lt;1,Parameters!$A$206,""))))</f>
        <v/>
      </c>
      <c r="N35" s="13">
        <f>IF(C35="","",C35/7)</f>
        <v/>
      </c>
      <c r="O35" s="13">
        <f>IF(D35="","",D35/5)</f>
        <v/>
      </c>
      <c r="P35" s="13">
        <f>IF(E35="","",E35/7)</f>
        <v/>
      </c>
      <c r="Q35" s="13">
        <f>IF(F35="","",F35/9)</f>
        <v/>
      </c>
      <c r="R35" s="13">
        <f>IF(G35="","",G35/5)</f>
        <v/>
      </c>
      <c r="S35" s="13">
        <f>IF(H35="","",H35/5)</f>
        <v/>
      </c>
      <c r="T35" s="13">
        <f>IF(I35="","",I35/9)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4" t="n"/>
      <c r="H36" s="14" t="n"/>
      <c r="I36" s="14" t="n"/>
      <c r="J36" s="13">
        <f>IF(COUNT(C36:I36)&lt;7,"",SUM(C36:I36))</f>
        <v/>
      </c>
      <c r="K36" s="13">
        <f>IF(COUNT(C36:I36)&lt;7,"",J36/47)</f>
        <v/>
      </c>
      <c r="L36" s="13">
        <f>IF(COUNT(C36:I36)&lt;7,"",IF(K36&gt;=0.8,"Green",IF(K36&gt;=0.5,"Yellow","Red")))</f>
        <v/>
      </c>
      <c r="M36" s="13">
        <f>IF(COUNT(C36:I36)&lt;7,"",IF(L36="Green","Well done! "&amp;Parameters!$C$212,"Revise: "&amp;_xlfn.TEXTJOIN(", ",TRUE(),IF(N36&lt;1,Parameters!$A$200,""),IF(O36&lt;1,Parameters!$A$201,""),IF(P36&lt;1,Parameters!$A$202,""),IF(Q36&lt;1,Parameters!$A$203,""),IF(R36&lt;1,Parameters!$A$204,""),IF(S36&lt;1,Parameters!$A$205,""),IF(T36&lt;1,Parameters!$A$206,""))))</f>
        <v/>
      </c>
      <c r="N36" s="13">
        <f>IF(C36="","",C36/7)</f>
        <v/>
      </c>
      <c r="O36" s="13">
        <f>IF(D36="","",D36/5)</f>
        <v/>
      </c>
      <c r="P36" s="13">
        <f>IF(E36="","",E36/7)</f>
        <v/>
      </c>
      <c r="Q36" s="13">
        <f>IF(F36="","",F36/9)</f>
        <v/>
      </c>
      <c r="R36" s="13">
        <f>IF(G36="","",G36/5)</f>
        <v/>
      </c>
      <c r="S36" s="13">
        <f>IF(H36="","",H36/5)</f>
        <v/>
      </c>
      <c r="T36" s="13">
        <f>IF(I36="","",I36/9)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4" t="n"/>
      <c r="H37" s="14" t="n"/>
      <c r="I37" s="14" t="n"/>
      <c r="J37" s="13">
        <f>IF(COUNT(C37:I37)&lt;7,"",SUM(C37:I37))</f>
        <v/>
      </c>
      <c r="K37" s="13">
        <f>IF(COUNT(C37:I37)&lt;7,"",J37/47)</f>
        <v/>
      </c>
      <c r="L37" s="13">
        <f>IF(COUNT(C37:I37)&lt;7,"",IF(K37&gt;=0.8,"Green",IF(K37&gt;=0.5,"Yellow","Red")))</f>
        <v/>
      </c>
      <c r="M37" s="13">
        <f>IF(COUNT(C37:I37)&lt;7,"",IF(L37="Green","Well done! "&amp;Parameters!$C$212,"Revise: "&amp;_xlfn.TEXTJOIN(", ",TRUE(),IF(N37&lt;1,Parameters!$A$200,""),IF(O37&lt;1,Parameters!$A$201,""),IF(P37&lt;1,Parameters!$A$202,""),IF(Q37&lt;1,Parameters!$A$203,""),IF(R37&lt;1,Parameters!$A$204,""),IF(S37&lt;1,Parameters!$A$205,""),IF(T37&lt;1,Parameters!$A$206,""))))</f>
        <v/>
      </c>
      <c r="N37" s="13">
        <f>IF(C37="","",C37/7)</f>
        <v/>
      </c>
      <c r="O37" s="13">
        <f>IF(D37="","",D37/5)</f>
        <v/>
      </c>
      <c r="P37" s="13">
        <f>IF(E37="","",E37/7)</f>
        <v/>
      </c>
      <c r="Q37" s="13">
        <f>IF(F37="","",F37/9)</f>
        <v/>
      </c>
      <c r="R37" s="13">
        <f>IF(G37="","",G37/5)</f>
        <v/>
      </c>
      <c r="S37" s="13">
        <f>IF(H37="","",H37/5)</f>
        <v/>
      </c>
      <c r="T37" s="13">
        <f>IF(I37="","",I37/9)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4" t="n"/>
      <c r="H38" s="14" t="n"/>
      <c r="I38" s="14" t="n"/>
      <c r="J38" s="13">
        <f>IF(COUNT(C38:I38)&lt;7,"",SUM(C38:I38))</f>
        <v/>
      </c>
      <c r="K38" s="13">
        <f>IF(COUNT(C38:I38)&lt;7,"",J38/47)</f>
        <v/>
      </c>
      <c r="L38" s="13">
        <f>IF(COUNT(C38:I38)&lt;7,"",IF(K38&gt;=0.8,"Green",IF(K38&gt;=0.5,"Yellow","Red")))</f>
        <v/>
      </c>
      <c r="M38" s="13">
        <f>IF(COUNT(C38:I38)&lt;7,"",IF(L38="Green","Well done! "&amp;Parameters!$C$212,"Revise: "&amp;_xlfn.TEXTJOIN(", ",TRUE(),IF(N38&lt;1,Parameters!$A$200,""),IF(O38&lt;1,Parameters!$A$201,""),IF(P38&lt;1,Parameters!$A$202,""),IF(Q38&lt;1,Parameters!$A$203,""),IF(R38&lt;1,Parameters!$A$204,""),IF(S38&lt;1,Parameters!$A$205,""),IF(T38&lt;1,Parameters!$A$206,""))))</f>
        <v/>
      </c>
      <c r="N38" s="13">
        <f>IF(C38="","",C38/7)</f>
        <v/>
      </c>
      <c r="O38" s="13">
        <f>IF(D38="","",D38/5)</f>
        <v/>
      </c>
      <c r="P38" s="13">
        <f>IF(E38="","",E38/7)</f>
        <v/>
      </c>
      <c r="Q38" s="13">
        <f>IF(F38="","",F38/9)</f>
        <v/>
      </c>
      <c r="R38" s="13">
        <f>IF(G38="","",G38/5)</f>
        <v/>
      </c>
      <c r="S38" s="13">
        <f>IF(H38="","",H38/5)</f>
        <v/>
      </c>
      <c r="T38" s="13">
        <f>IF(I38="","",I38/9)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4" t="n"/>
      <c r="H39" s="14" t="n"/>
      <c r="I39" s="14" t="n"/>
      <c r="J39" s="13">
        <f>IF(COUNT(C39:I39)&lt;7,"",SUM(C39:I39))</f>
        <v/>
      </c>
      <c r="K39" s="13">
        <f>IF(COUNT(C39:I39)&lt;7,"",J39/47)</f>
        <v/>
      </c>
      <c r="L39" s="13">
        <f>IF(COUNT(C39:I39)&lt;7,"",IF(K39&gt;=0.8,"Green",IF(K39&gt;=0.5,"Yellow","Red")))</f>
        <v/>
      </c>
      <c r="M39" s="13">
        <f>IF(COUNT(C39:I39)&lt;7,"",IF(L39="Green","Well done! "&amp;Parameters!$C$212,"Revise: "&amp;_xlfn.TEXTJOIN(", ",TRUE(),IF(N39&lt;1,Parameters!$A$200,""),IF(O39&lt;1,Parameters!$A$201,""),IF(P39&lt;1,Parameters!$A$202,""),IF(Q39&lt;1,Parameters!$A$203,""),IF(R39&lt;1,Parameters!$A$204,""),IF(S39&lt;1,Parameters!$A$205,""),IF(T39&lt;1,Parameters!$A$206,""))))</f>
        <v/>
      </c>
      <c r="N39" s="13">
        <f>IF(C39="","",C39/7)</f>
        <v/>
      </c>
      <c r="O39" s="13">
        <f>IF(D39="","",D39/5)</f>
        <v/>
      </c>
      <c r="P39" s="13">
        <f>IF(E39="","",E39/7)</f>
        <v/>
      </c>
      <c r="Q39" s="13">
        <f>IF(F39="","",F39/9)</f>
        <v/>
      </c>
      <c r="R39" s="13">
        <f>IF(G39="","",G39/5)</f>
        <v/>
      </c>
      <c r="S39" s="13">
        <f>IF(H39="","",H39/5)</f>
        <v/>
      </c>
      <c r="T39" s="13">
        <f>IF(I39="","",I39/9)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4" t="n"/>
      <c r="H40" s="14" t="n"/>
      <c r="I40" s="14" t="n"/>
      <c r="J40" s="13">
        <f>IF(COUNT(C40:I40)&lt;7,"",SUM(C40:I40))</f>
        <v/>
      </c>
      <c r="K40" s="13">
        <f>IF(COUNT(C40:I40)&lt;7,"",J40/47)</f>
        <v/>
      </c>
      <c r="L40" s="13">
        <f>IF(COUNT(C40:I40)&lt;7,"",IF(K40&gt;=0.8,"Green",IF(K40&gt;=0.5,"Yellow","Red")))</f>
        <v/>
      </c>
      <c r="M40" s="13">
        <f>IF(COUNT(C40:I40)&lt;7,"",IF(L40="Green","Well done! "&amp;Parameters!$C$212,"Revise: "&amp;_xlfn.TEXTJOIN(", ",TRUE(),IF(N40&lt;1,Parameters!$A$200,""),IF(O40&lt;1,Parameters!$A$201,""),IF(P40&lt;1,Parameters!$A$202,""),IF(Q40&lt;1,Parameters!$A$203,""),IF(R40&lt;1,Parameters!$A$204,""),IF(S40&lt;1,Parameters!$A$205,""),IF(T40&lt;1,Parameters!$A$206,""))))</f>
        <v/>
      </c>
      <c r="N40" s="13">
        <f>IF(C40="","",C40/7)</f>
        <v/>
      </c>
      <c r="O40" s="13">
        <f>IF(D40="","",D40/5)</f>
        <v/>
      </c>
      <c r="P40" s="13">
        <f>IF(E40="","",E40/7)</f>
        <v/>
      </c>
      <c r="Q40" s="13">
        <f>IF(F40="","",F40/9)</f>
        <v/>
      </c>
      <c r="R40" s="13">
        <f>IF(G40="","",G40/5)</f>
        <v/>
      </c>
      <c r="S40" s="13">
        <f>IF(H40="","",H40/5)</f>
        <v/>
      </c>
      <c r="T40" s="13">
        <f>IF(I40="","",I40/9)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4" t="n"/>
      <c r="H41" s="14" t="n"/>
      <c r="I41" s="14" t="n"/>
      <c r="J41" s="13">
        <f>IF(COUNT(C41:I41)&lt;7,"",SUM(C41:I41))</f>
        <v/>
      </c>
      <c r="K41" s="13">
        <f>IF(COUNT(C41:I41)&lt;7,"",J41/47)</f>
        <v/>
      </c>
      <c r="L41" s="13">
        <f>IF(COUNT(C41:I41)&lt;7,"",IF(K41&gt;=0.8,"Green",IF(K41&gt;=0.5,"Yellow","Red")))</f>
        <v/>
      </c>
      <c r="M41" s="13">
        <f>IF(COUNT(C41:I41)&lt;7,"",IF(L41="Green","Well done! "&amp;Parameters!$C$212,"Revise: "&amp;_xlfn.TEXTJOIN(", ",TRUE(),IF(N41&lt;1,Parameters!$A$200,""),IF(O41&lt;1,Parameters!$A$201,""),IF(P41&lt;1,Parameters!$A$202,""),IF(Q41&lt;1,Parameters!$A$203,""),IF(R41&lt;1,Parameters!$A$204,""),IF(S41&lt;1,Parameters!$A$205,""),IF(T41&lt;1,Parameters!$A$206,""))))</f>
        <v/>
      </c>
      <c r="N41" s="13">
        <f>IF(C41="","",C41/7)</f>
        <v/>
      </c>
      <c r="O41" s="13">
        <f>IF(D41="","",D41/5)</f>
        <v/>
      </c>
      <c r="P41" s="13">
        <f>IF(E41="","",E41/7)</f>
        <v/>
      </c>
      <c r="Q41" s="13">
        <f>IF(F41="","",F41/9)</f>
        <v/>
      </c>
      <c r="R41" s="13">
        <f>IF(G41="","",G41/5)</f>
        <v/>
      </c>
      <c r="S41" s="13">
        <f>IF(H41="","",H41/5)</f>
        <v/>
      </c>
      <c r="T41" s="13">
        <f>IF(I41="","",I41/9)</f>
        <v/>
      </c>
    </row>
  </sheetData>
  <conditionalFormatting sqref="C11">
    <cfRule type="expression" priority="1" dxfId="0">
      <formula>AND(COUNT(C11:I11)=7,C11=7)</formula>
    </cfRule>
    <cfRule type="expression" priority="2" dxfId="1">
      <formula>AND(COUNT(C11:I11)=7,C11&lt;7*0.4)</formula>
    </cfRule>
    <cfRule type="expression" priority="3" dxfId="2">
      <formula>AND(COUNT(C11:I11)=7,C11&gt;=7*0.4,C11&lt;7)</formula>
    </cfRule>
  </conditionalFormatting>
  <conditionalFormatting sqref="C12">
    <cfRule type="expression" priority="4" dxfId="0">
      <formula>AND(COUNT(C12:I12)=7,C12=7)</formula>
    </cfRule>
    <cfRule type="expression" priority="5" dxfId="1">
      <formula>AND(COUNT(C12:I12)=7,C12&lt;7*0.4)</formula>
    </cfRule>
    <cfRule type="expression" priority="6" dxfId="2">
      <formula>AND(COUNT(C12:I12)=7,C12&gt;=7*0.4,C12&lt;7)</formula>
    </cfRule>
  </conditionalFormatting>
  <conditionalFormatting sqref="C13">
    <cfRule type="expression" priority="7" dxfId="0">
      <formula>AND(COUNT(C13:I13)=7,C13=7)</formula>
    </cfRule>
    <cfRule type="expression" priority="8" dxfId="1">
      <formula>AND(COUNT(C13:I13)=7,C13&lt;7*0.4)</formula>
    </cfRule>
    <cfRule type="expression" priority="9" dxfId="2">
      <formula>AND(COUNT(C13:I13)=7,C13&gt;=7*0.4,C13&lt;7)</formula>
    </cfRule>
  </conditionalFormatting>
  <conditionalFormatting sqref="C14">
    <cfRule type="expression" priority="10" dxfId="0">
      <formula>AND(COUNT(C14:I14)=7,C14=7)</formula>
    </cfRule>
    <cfRule type="expression" priority="11" dxfId="1">
      <formula>AND(COUNT(C14:I14)=7,C14&lt;7*0.4)</formula>
    </cfRule>
    <cfRule type="expression" priority="12" dxfId="2">
      <formula>AND(COUNT(C14:I14)=7,C14&gt;=7*0.4,C14&lt;7)</formula>
    </cfRule>
  </conditionalFormatting>
  <conditionalFormatting sqref="C15">
    <cfRule type="expression" priority="13" dxfId="0">
      <formula>AND(COUNT(C15:I15)=7,C15=7)</formula>
    </cfRule>
    <cfRule type="expression" priority="14" dxfId="1">
      <formula>AND(COUNT(C15:I15)=7,C15&lt;7*0.4)</formula>
    </cfRule>
    <cfRule type="expression" priority="15" dxfId="2">
      <formula>AND(COUNT(C15:I15)=7,C15&gt;=7*0.4,C15&lt;7)</formula>
    </cfRule>
  </conditionalFormatting>
  <conditionalFormatting sqref="C16">
    <cfRule type="expression" priority="16" dxfId="0">
      <formula>AND(COUNT(C16:I16)=7,C16=7)</formula>
    </cfRule>
    <cfRule type="expression" priority="17" dxfId="1">
      <formula>AND(COUNT(C16:I16)=7,C16&lt;7*0.4)</formula>
    </cfRule>
    <cfRule type="expression" priority="18" dxfId="2">
      <formula>AND(COUNT(C16:I16)=7,C16&gt;=7*0.4,C16&lt;7)</formula>
    </cfRule>
  </conditionalFormatting>
  <conditionalFormatting sqref="C17">
    <cfRule type="expression" priority="19" dxfId="0">
      <formula>AND(COUNT(C17:I17)=7,C17=7)</formula>
    </cfRule>
    <cfRule type="expression" priority="20" dxfId="1">
      <formula>AND(COUNT(C17:I17)=7,C17&lt;7*0.4)</formula>
    </cfRule>
    <cfRule type="expression" priority="21" dxfId="2">
      <formula>AND(COUNT(C17:I17)=7,C17&gt;=7*0.4,C17&lt;7)</formula>
    </cfRule>
  </conditionalFormatting>
  <conditionalFormatting sqref="C18">
    <cfRule type="expression" priority="22" dxfId="0">
      <formula>AND(COUNT(C18:I18)=7,C18=7)</formula>
    </cfRule>
    <cfRule type="expression" priority="23" dxfId="1">
      <formula>AND(COUNT(C18:I18)=7,C18&lt;7*0.4)</formula>
    </cfRule>
    <cfRule type="expression" priority="24" dxfId="2">
      <formula>AND(COUNT(C18:I18)=7,C18&gt;=7*0.4,C18&lt;7)</formula>
    </cfRule>
  </conditionalFormatting>
  <conditionalFormatting sqref="C19">
    <cfRule type="expression" priority="25" dxfId="0">
      <formula>AND(COUNT(C19:I19)=7,C19=7)</formula>
    </cfRule>
    <cfRule type="expression" priority="26" dxfId="1">
      <formula>AND(COUNT(C19:I19)=7,C19&lt;7*0.4)</formula>
    </cfRule>
    <cfRule type="expression" priority="27" dxfId="2">
      <formula>AND(COUNT(C19:I19)=7,C19&gt;=7*0.4,C19&lt;7)</formula>
    </cfRule>
  </conditionalFormatting>
  <conditionalFormatting sqref="C20">
    <cfRule type="expression" priority="28" dxfId="0">
      <formula>AND(COUNT(C20:I20)=7,C20=7)</formula>
    </cfRule>
    <cfRule type="expression" priority="29" dxfId="1">
      <formula>AND(COUNT(C20:I20)=7,C20&lt;7*0.4)</formula>
    </cfRule>
    <cfRule type="expression" priority="30" dxfId="2">
      <formula>AND(COUNT(C20:I20)=7,C20&gt;=7*0.4,C20&lt;7)</formula>
    </cfRule>
  </conditionalFormatting>
  <conditionalFormatting sqref="C21">
    <cfRule type="expression" priority="31" dxfId="0">
      <formula>AND(COUNT(C21:I21)=7,C21=7)</formula>
    </cfRule>
    <cfRule type="expression" priority="32" dxfId="1">
      <formula>AND(COUNT(C21:I21)=7,C21&lt;7*0.4)</formula>
    </cfRule>
    <cfRule type="expression" priority="33" dxfId="2">
      <formula>AND(COUNT(C21:I21)=7,C21&gt;=7*0.4,C21&lt;7)</formula>
    </cfRule>
  </conditionalFormatting>
  <conditionalFormatting sqref="C22">
    <cfRule type="expression" priority="34" dxfId="0">
      <formula>AND(COUNT(C22:I22)=7,C22=7)</formula>
    </cfRule>
    <cfRule type="expression" priority="35" dxfId="1">
      <formula>AND(COUNT(C22:I22)=7,C22&lt;7*0.4)</formula>
    </cfRule>
    <cfRule type="expression" priority="36" dxfId="2">
      <formula>AND(COUNT(C22:I22)=7,C22&gt;=7*0.4,C22&lt;7)</formula>
    </cfRule>
  </conditionalFormatting>
  <conditionalFormatting sqref="C23">
    <cfRule type="expression" priority="37" dxfId="0">
      <formula>AND(COUNT(C23:I23)=7,C23=7)</formula>
    </cfRule>
    <cfRule type="expression" priority="38" dxfId="1">
      <formula>AND(COUNT(C23:I23)=7,C23&lt;7*0.4)</formula>
    </cfRule>
    <cfRule type="expression" priority="39" dxfId="2">
      <formula>AND(COUNT(C23:I23)=7,C23&gt;=7*0.4,C23&lt;7)</formula>
    </cfRule>
  </conditionalFormatting>
  <conditionalFormatting sqref="C24">
    <cfRule type="expression" priority="40" dxfId="0">
      <formula>AND(COUNT(C24:I24)=7,C24=7)</formula>
    </cfRule>
    <cfRule type="expression" priority="41" dxfId="1">
      <formula>AND(COUNT(C24:I24)=7,C24&lt;7*0.4)</formula>
    </cfRule>
    <cfRule type="expression" priority="42" dxfId="2">
      <formula>AND(COUNT(C24:I24)=7,C24&gt;=7*0.4,C24&lt;7)</formula>
    </cfRule>
  </conditionalFormatting>
  <conditionalFormatting sqref="C25">
    <cfRule type="expression" priority="43" dxfId="0">
      <formula>AND(COUNT(C25:I25)=7,C25=7)</formula>
    </cfRule>
    <cfRule type="expression" priority="44" dxfId="1">
      <formula>AND(COUNT(C25:I25)=7,C25&lt;7*0.4)</formula>
    </cfRule>
    <cfRule type="expression" priority="45" dxfId="2">
      <formula>AND(COUNT(C25:I25)=7,C25&gt;=7*0.4,C25&lt;7)</formula>
    </cfRule>
  </conditionalFormatting>
  <conditionalFormatting sqref="C26">
    <cfRule type="expression" priority="46" dxfId="0">
      <formula>AND(COUNT(C26:I26)=7,C26=7)</formula>
    </cfRule>
    <cfRule type="expression" priority="47" dxfId="1">
      <formula>AND(COUNT(C26:I26)=7,C26&lt;7*0.4)</formula>
    </cfRule>
    <cfRule type="expression" priority="48" dxfId="2">
      <formula>AND(COUNT(C26:I26)=7,C26&gt;=7*0.4,C26&lt;7)</formula>
    </cfRule>
  </conditionalFormatting>
  <conditionalFormatting sqref="C27">
    <cfRule type="expression" priority="49" dxfId="0">
      <formula>AND(COUNT(C27:I27)=7,C27=7)</formula>
    </cfRule>
    <cfRule type="expression" priority="50" dxfId="1">
      <formula>AND(COUNT(C27:I27)=7,C27&lt;7*0.4)</formula>
    </cfRule>
    <cfRule type="expression" priority="51" dxfId="2">
      <formula>AND(COUNT(C27:I27)=7,C27&gt;=7*0.4,C27&lt;7)</formula>
    </cfRule>
  </conditionalFormatting>
  <conditionalFormatting sqref="C28">
    <cfRule type="expression" priority="52" dxfId="0">
      <formula>AND(COUNT(C28:I28)=7,C28=7)</formula>
    </cfRule>
    <cfRule type="expression" priority="53" dxfId="1">
      <formula>AND(COUNT(C28:I28)=7,C28&lt;7*0.4)</formula>
    </cfRule>
    <cfRule type="expression" priority="54" dxfId="2">
      <formula>AND(COUNT(C28:I28)=7,C28&gt;=7*0.4,C28&lt;7)</formula>
    </cfRule>
  </conditionalFormatting>
  <conditionalFormatting sqref="C29">
    <cfRule type="expression" priority="55" dxfId="0">
      <formula>AND(COUNT(C29:I29)=7,C29=7)</formula>
    </cfRule>
    <cfRule type="expression" priority="56" dxfId="1">
      <formula>AND(COUNT(C29:I29)=7,C29&lt;7*0.4)</formula>
    </cfRule>
    <cfRule type="expression" priority="57" dxfId="2">
      <formula>AND(COUNT(C29:I29)=7,C29&gt;=7*0.4,C29&lt;7)</formula>
    </cfRule>
  </conditionalFormatting>
  <conditionalFormatting sqref="C30">
    <cfRule type="expression" priority="58" dxfId="0">
      <formula>AND(COUNT(C30:I30)=7,C30=7)</formula>
    </cfRule>
    <cfRule type="expression" priority="59" dxfId="1">
      <formula>AND(COUNT(C30:I30)=7,C30&lt;7*0.4)</formula>
    </cfRule>
    <cfRule type="expression" priority="60" dxfId="2">
      <formula>AND(COUNT(C30:I30)=7,C30&gt;=7*0.4,C30&lt;7)</formula>
    </cfRule>
  </conditionalFormatting>
  <conditionalFormatting sqref="C31">
    <cfRule type="expression" priority="61" dxfId="0">
      <formula>AND(COUNT(C31:I31)=7,C31=7)</formula>
    </cfRule>
    <cfRule type="expression" priority="62" dxfId="1">
      <formula>AND(COUNT(C31:I31)=7,C31&lt;7*0.4)</formula>
    </cfRule>
    <cfRule type="expression" priority="63" dxfId="2">
      <formula>AND(COUNT(C31:I31)=7,C31&gt;=7*0.4,C31&lt;7)</formula>
    </cfRule>
  </conditionalFormatting>
  <conditionalFormatting sqref="C32">
    <cfRule type="expression" priority="64" dxfId="0">
      <formula>AND(COUNT(C32:I32)=7,C32=7)</formula>
    </cfRule>
    <cfRule type="expression" priority="65" dxfId="1">
      <formula>AND(COUNT(C32:I32)=7,C32&lt;7*0.4)</formula>
    </cfRule>
    <cfRule type="expression" priority="66" dxfId="2">
      <formula>AND(COUNT(C32:I32)=7,C32&gt;=7*0.4,C32&lt;7)</formula>
    </cfRule>
  </conditionalFormatting>
  <conditionalFormatting sqref="C33">
    <cfRule type="expression" priority="67" dxfId="0">
      <formula>AND(COUNT(C33:I33)=7,C33=7)</formula>
    </cfRule>
    <cfRule type="expression" priority="68" dxfId="1">
      <formula>AND(COUNT(C33:I33)=7,C33&lt;7*0.4)</formula>
    </cfRule>
    <cfRule type="expression" priority="69" dxfId="2">
      <formula>AND(COUNT(C33:I33)=7,C33&gt;=7*0.4,C33&lt;7)</formula>
    </cfRule>
  </conditionalFormatting>
  <conditionalFormatting sqref="C34">
    <cfRule type="expression" priority="70" dxfId="0">
      <formula>AND(COUNT(C34:I34)=7,C34=7)</formula>
    </cfRule>
    <cfRule type="expression" priority="71" dxfId="1">
      <formula>AND(COUNT(C34:I34)=7,C34&lt;7*0.4)</formula>
    </cfRule>
    <cfRule type="expression" priority="72" dxfId="2">
      <formula>AND(COUNT(C34:I34)=7,C34&gt;=7*0.4,C34&lt;7)</formula>
    </cfRule>
  </conditionalFormatting>
  <conditionalFormatting sqref="C35">
    <cfRule type="expression" priority="73" dxfId="0">
      <formula>AND(COUNT(C35:I35)=7,C35=7)</formula>
    </cfRule>
    <cfRule type="expression" priority="74" dxfId="1">
      <formula>AND(COUNT(C35:I35)=7,C35&lt;7*0.4)</formula>
    </cfRule>
    <cfRule type="expression" priority="75" dxfId="2">
      <formula>AND(COUNT(C35:I35)=7,C35&gt;=7*0.4,C35&lt;7)</formula>
    </cfRule>
  </conditionalFormatting>
  <conditionalFormatting sqref="C36">
    <cfRule type="expression" priority="76" dxfId="0">
      <formula>AND(COUNT(C36:I36)=7,C36=7)</formula>
    </cfRule>
    <cfRule type="expression" priority="77" dxfId="1">
      <formula>AND(COUNT(C36:I36)=7,C36&lt;7*0.4)</formula>
    </cfRule>
    <cfRule type="expression" priority="78" dxfId="2">
      <formula>AND(COUNT(C36:I36)=7,C36&gt;=7*0.4,C36&lt;7)</formula>
    </cfRule>
  </conditionalFormatting>
  <conditionalFormatting sqref="C37">
    <cfRule type="expression" priority="79" dxfId="0">
      <formula>AND(COUNT(C37:I37)=7,C37=7)</formula>
    </cfRule>
    <cfRule type="expression" priority="80" dxfId="1">
      <formula>AND(COUNT(C37:I37)=7,C37&lt;7*0.4)</formula>
    </cfRule>
    <cfRule type="expression" priority="81" dxfId="2">
      <formula>AND(COUNT(C37:I37)=7,C37&gt;=7*0.4,C37&lt;7)</formula>
    </cfRule>
  </conditionalFormatting>
  <conditionalFormatting sqref="C38">
    <cfRule type="expression" priority="82" dxfId="0">
      <formula>AND(COUNT(C38:I38)=7,C38=7)</formula>
    </cfRule>
    <cfRule type="expression" priority="83" dxfId="1">
      <formula>AND(COUNT(C38:I38)=7,C38&lt;7*0.4)</formula>
    </cfRule>
    <cfRule type="expression" priority="84" dxfId="2">
      <formula>AND(COUNT(C38:I38)=7,C38&gt;=7*0.4,C38&lt;7)</formula>
    </cfRule>
  </conditionalFormatting>
  <conditionalFormatting sqref="C39">
    <cfRule type="expression" priority="85" dxfId="0">
      <formula>AND(COUNT(C39:I39)=7,C39=7)</formula>
    </cfRule>
    <cfRule type="expression" priority="86" dxfId="1">
      <formula>AND(COUNT(C39:I39)=7,C39&lt;7*0.4)</formula>
    </cfRule>
    <cfRule type="expression" priority="87" dxfId="2">
      <formula>AND(COUNT(C39:I39)=7,C39&gt;=7*0.4,C39&lt;7)</formula>
    </cfRule>
  </conditionalFormatting>
  <conditionalFormatting sqref="C40">
    <cfRule type="expression" priority="88" dxfId="0">
      <formula>AND(COUNT(C40:I40)=7,C40=7)</formula>
    </cfRule>
    <cfRule type="expression" priority="89" dxfId="1">
      <formula>AND(COUNT(C40:I40)=7,C40&lt;7*0.4)</formula>
    </cfRule>
    <cfRule type="expression" priority="90" dxfId="2">
      <formula>AND(COUNT(C40:I40)=7,C40&gt;=7*0.4,C40&lt;7)</formula>
    </cfRule>
  </conditionalFormatting>
  <conditionalFormatting sqref="C41">
    <cfRule type="expression" priority="91" dxfId="0">
      <formula>AND(COUNT(C41:I41)=7,C41=7)</formula>
    </cfRule>
    <cfRule type="expression" priority="92" dxfId="1">
      <formula>AND(COUNT(C41:I41)=7,C41&lt;7*0.4)</formula>
    </cfRule>
    <cfRule type="expression" priority="93" dxfId="2">
      <formula>AND(COUNT(C41:I41)=7,C41&gt;=7*0.4,C41&lt;7)</formula>
    </cfRule>
  </conditionalFormatting>
  <conditionalFormatting sqref="D11">
    <cfRule type="expression" priority="94" dxfId="0">
      <formula>AND(COUNT(C11:I11)=7,D11=5)</formula>
    </cfRule>
    <cfRule type="expression" priority="95" dxfId="1">
      <formula>AND(COUNT(C11:I11)=7,D11&lt;5*0.4)</formula>
    </cfRule>
    <cfRule type="expression" priority="96" dxfId="2">
      <formula>AND(COUNT(C11:I11)=7,D11&gt;=5*0.4,D11&lt;5)</formula>
    </cfRule>
  </conditionalFormatting>
  <conditionalFormatting sqref="D12">
    <cfRule type="expression" priority="97" dxfId="0">
      <formula>AND(COUNT(C12:I12)=7,D12=5)</formula>
    </cfRule>
    <cfRule type="expression" priority="98" dxfId="1">
      <formula>AND(COUNT(C12:I12)=7,D12&lt;5*0.4)</formula>
    </cfRule>
    <cfRule type="expression" priority="99" dxfId="2">
      <formula>AND(COUNT(C12:I12)=7,D12&gt;=5*0.4,D12&lt;5)</formula>
    </cfRule>
  </conditionalFormatting>
  <conditionalFormatting sqref="D13">
    <cfRule type="expression" priority="100" dxfId="0">
      <formula>AND(COUNT(C13:I13)=7,D13=5)</formula>
    </cfRule>
    <cfRule type="expression" priority="101" dxfId="1">
      <formula>AND(COUNT(C13:I13)=7,D13&lt;5*0.4)</formula>
    </cfRule>
    <cfRule type="expression" priority="102" dxfId="2">
      <formula>AND(COUNT(C13:I13)=7,D13&gt;=5*0.4,D13&lt;5)</formula>
    </cfRule>
  </conditionalFormatting>
  <conditionalFormatting sqref="D14">
    <cfRule type="expression" priority="103" dxfId="0">
      <formula>AND(COUNT(C14:I14)=7,D14=5)</formula>
    </cfRule>
    <cfRule type="expression" priority="104" dxfId="1">
      <formula>AND(COUNT(C14:I14)=7,D14&lt;5*0.4)</formula>
    </cfRule>
    <cfRule type="expression" priority="105" dxfId="2">
      <formula>AND(COUNT(C14:I14)=7,D14&gt;=5*0.4,D14&lt;5)</formula>
    </cfRule>
  </conditionalFormatting>
  <conditionalFormatting sqref="D15">
    <cfRule type="expression" priority="106" dxfId="0">
      <formula>AND(COUNT(C15:I15)=7,D15=5)</formula>
    </cfRule>
    <cfRule type="expression" priority="107" dxfId="1">
      <formula>AND(COUNT(C15:I15)=7,D15&lt;5*0.4)</formula>
    </cfRule>
    <cfRule type="expression" priority="108" dxfId="2">
      <formula>AND(COUNT(C15:I15)=7,D15&gt;=5*0.4,D15&lt;5)</formula>
    </cfRule>
  </conditionalFormatting>
  <conditionalFormatting sqref="D16">
    <cfRule type="expression" priority="109" dxfId="0">
      <formula>AND(COUNT(C16:I16)=7,D16=5)</formula>
    </cfRule>
    <cfRule type="expression" priority="110" dxfId="1">
      <formula>AND(COUNT(C16:I16)=7,D16&lt;5*0.4)</formula>
    </cfRule>
    <cfRule type="expression" priority="111" dxfId="2">
      <formula>AND(COUNT(C16:I16)=7,D16&gt;=5*0.4,D16&lt;5)</formula>
    </cfRule>
  </conditionalFormatting>
  <conditionalFormatting sqref="D17">
    <cfRule type="expression" priority="112" dxfId="0">
      <formula>AND(COUNT(C17:I17)=7,D17=5)</formula>
    </cfRule>
    <cfRule type="expression" priority="113" dxfId="1">
      <formula>AND(COUNT(C17:I17)=7,D17&lt;5*0.4)</formula>
    </cfRule>
    <cfRule type="expression" priority="114" dxfId="2">
      <formula>AND(COUNT(C17:I17)=7,D17&gt;=5*0.4,D17&lt;5)</formula>
    </cfRule>
  </conditionalFormatting>
  <conditionalFormatting sqref="D18">
    <cfRule type="expression" priority="115" dxfId="0">
      <formula>AND(COUNT(C18:I18)=7,D18=5)</formula>
    </cfRule>
    <cfRule type="expression" priority="116" dxfId="1">
      <formula>AND(COUNT(C18:I18)=7,D18&lt;5*0.4)</formula>
    </cfRule>
    <cfRule type="expression" priority="117" dxfId="2">
      <formula>AND(COUNT(C18:I18)=7,D18&gt;=5*0.4,D18&lt;5)</formula>
    </cfRule>
  </conditionalFormatting>
  <conditionalFormatting sqref="D19">
    <cfRule type="expression" priority="118" dxfId="0">
      <formula>AND(COUNT(C19:I19)=7,D19=5)</formula>
    </cfRule>
    <cfRule type="expression" priority="119" dxfId="1">
      <formula>AND(COUNT(C19:I19)=7,D19&lt;5*0.4)</formula>
    </cfRule>
    <cfRule type="expression" priority="120" dxfId="2">
      <formula>AND(COUNT(C19:I19)=7,D19&gt;=5*0.4,D19&lt;5)</formula>
    </cfRule>
  </conditionalFormatting>
  <conditionalFormatting sqref="D20">
    <cfRule type="expression" priority="121" dxfId="0">
      <formula>AND(COUNT(C20:I20)=7,D20=5)</formula>
    </cfRule>
    <cfRule type="expression" priority="122" dxfId="1">
      <formula>AND(COUNT(C20:I20)=7,D20&lt;5*0.4)</formula>
    </cfRule>
    <cfRule type="expression" priority="123" dxfId="2">
      <formula>AND(COUNT(C20:I20)=7,D20&gt;=5*0.4,D20&lt;5)</formula>
    </cfRule>
  </conditionalFormatting>
  <conditionalFormatting sqref="D21">
    <cfRule type="expression" priority="124" dxfId="0">
      <formula>AND(COUNT(C21:I21)=7,D21=5)</formula>
    </cfRule>
    <cfRule type="expression" priority="125" dxfId="1">
      <formula>AND(COUNT(C21:I21)=7,D21&lt;5*0.4)</formula>
    </cfRule>
    <cfRule type="expression" priority="126" dxfId="2">
      <formula>AND(COUNT(C21:I21)=7,D21&gt;=5*0.4,D21&lt;5)</formula>
    </cfRule>
  </conditionalFormatting>
  <conditionalFormatting sqref="D22">
    <cfRule type="expression" priority="127" dxfId="0">
      <formula>AND(COUNT(C22:I22)=7,D22=5)</formula>
    </cfRule>
    <cfRule type="expression" priority="128" dxfId="1">
      <formula>AND(COUNT(C22:I22)=7,D22&lt;5*0.4)</formula>
    </cfRule>
    <cfRule type="expression" priority="129" dxfId="2">
      <formula>AND(COUNT(C22:I22)=7,D22&gt;=5*0.4,D22&lt;5)</formula>
    </cfRule>
  </conditionalFormatting>
  <conditionalFormatting sqref="D23">
    <cfRule type="expression" priority="130" dxfId="0">
      <formula>AND(COUNT(C23:I23)=7,D23=5)</formula>
    </cfRule>
    <cfRule type="expression" priority="131" dxfId="1">
      <formula>AND(COUNT(C23:I23)=7,D23&lt;5*0.4)</formula>
    </cfRule>
    <cfRule type="expression" priority="132" dxfId="2">
      <formula>AND(COUNT(C23:I23)=7,D23&gt;=5*0.4,D23&lt;5)</formula>
    </cfRule>
  </conditionalFormatting>
  <conditionalFormatting sqref="D24">
    <cfRule type="expression" priority="133" dxfId="0">
      <formula>AND(COUNT(C24:I24)=7,D24=5)</formula>
    </cfRule>
    <cfRule type="expression" priority="134" dxfId="1">
      <formula>AND(COUNT(C24:I24)=7,D24&lt;5*0.4)</formula>
    </cfRule>
    <cfRule type="expression" priority="135" dxfId="2">
      <formula>AND(COUNT(C24:I24)=7,D24&gt;=5*0.4,D24&lt;5)</formula>
    </cfRule>
  </conditionalFormatting>
  <conditionalFormatting sqref="D25">
    <cfRule type="expression" priority="136" dxfId="0">
      <formula>AND(COUNT(C25:I25)=7,D25=5)</formula>
    </cfRule>
    <cfRule type="expression" priority="137" dxfId="1">
      <formula>AND(COUNT(C25:I25)=7,D25&lt;5*0.4)</formula>
    </cfRule>
    <cfRule type="expression" priority="138" dxfId="2">
      <formula>AND(COUNT(C25:I25)=7,D25&gt;=5*0.4,D25&lt;5)</formula>
    </cfRule>
  </conditionalFormatting>
  <conditionalFormatting sqref="D26">
    <cfRule type="expression" priority="139" dxfId="0">
      <formula>AND(COUNT(C26:I26)=7,D26=5)</formula>
    </cfRule>
    <cfRule type="expression" priority="140" dxfId="1">
      <formula>AND(COUNT(C26:I26)=7,D26&lt;5*0.4)</formula>
    </cfRule>
    <cfRule type="expression" priority="141" dxfId="2">
      <formula>AND(COUNT(C26:I26)=7,D26&gt;=5*0.4,D26&lt;5)</formula>
    </cfRule>
  </conditionalFormatting>
  <conditionalFormatting sqref="D27">
    <cfRule type="expression" priority="142" dxfId="0">
      <formula>AND(COUNT(C27:I27)=7,D27=5)</formula>
    </cfRule>
    <cfRule type="expression" priority="143" dxfId="1">
      <formula>AND(COUNT(C27:I27)=7,D27&lt;5*0.4)</formula>
    </cfRule>
    <cfRule type="expression" priority="144" dxfId="2">
      <formula>AND(COUNT(C27:I27)=7,D27&gt;=5*0.4,D27&lt;5)</formula>
    </cfRule>
  </conditionalFormatting>
  <conditionalFormatting sqref="D28">
    <cfRule type="expression" priority="145" dxfId="0">
      <formula>AND(COUNT(C28:I28)=7,D28=5)</formula>
    </cfRule>
    <cfRule type="expression" priority="146" dxfId="1">
      <formula>AND(COUNT(C28:I28)=7,D28&lt;5*0.4)</formula>
    </cfRule>
    <cfRule type="expression" priority="147" dxfId="2">
      <formula>AND(COUNT(C28:I28)=7,D28&gt;=5*0.4,D28&lt;5)</formula>
    </cfRule>
  </conditionalFormatting>
  <conditionalFormatting sqref="D29">
    <cfRule type="expression" priority="148" dxfId="0">
      <formula>AND(COUNT(C29:I29)=7,D29=5)</formula>
    </cfRule>
    <cfRule type="expression" priority="149" dxfId="1">
      <formula>AND(COUNT(C29:I29)=7,D29&lt;5*0.4)</formula>
    </cfRule>
    <cfRule type="expression" priority="150" dxfId="2">
      <formula>AND(COUNT(C29:I29)=7,D29&gt;=5*0.4,D29&lt;5)</formula>
    </cfRule>
  </conditionalFormatting>
  <conditionalFormatting sqref="D30">
    <cfRule type="expression" priority="151" dxfId="0">
      <formula>AND(COUNT(C30:I30)=7,D30=5)</formula>
    </cfRule>
    <cfRule type="expression" priority="152" dxfId="1">
      <formula>AND(COUNT(C30:I30)=7,D30&lt;5*0.4)</formula>
    </cfRule>
    <cfRule type="expression" priority="153" dxfId="2">
      <formula>AND(COUNT(C30:I30)=7,D30&gt;=5*0.4,D30&lt;5)</formula>
    </cfRule>
  </conditionalFormatting>
  <conditionalFormatting sqref="D31">
    <cfRule type="expression" priority="154" dxfId="0">
      <formula>AND(COUNT(C31:I31)=7,D31=5)</formula>
    </cfRule>
    <cfRule type="expression" priority="155" dxfId="1">
      <formula>AND(COUNT(C31:I31)=7,D31&lt;5*0.4)</formula>
    </cfRule>
    <cfRule type="expression" priority="156" dxfId="2">
      <formula>AND(COUNT(C31:I31)=7,D31&gt;=5*0.4,D31&lt;5)</formula>
    </cfRule>
  </conditionalFormatting>
  <conditionalFormatting sqref="D32">
    <cfRule type="expression" priority="157" dxfId="0">
      <formula>AND(COUNT(C32:I32)=7,D32=5)</formula>
    </cfRule>
    <cfRule type="expression" priority="158" dxfId="1">
      <formula>AND(COUNT(C32:I32)=7,D32&lt;5*0.4)</formula>
    </cfRule>
    <cfRule type="expression" priority="159" dxfId="2">
      <formula>AND(COUNT(C32:I32)=7,D32&gt;=5*0.4,D32&lt;5)</formula>
    </cfRule>
  </conditionalFormatting>
  <conditionalFormatting sqref="D33">
    <cfRule type="expression" priority="160" dxfId="0">
      <formula>AND(COUNT(C33:I33)=7,D33=5)</formula>
    </cfRule>
    <cfRule type="expression" priority="161" dxfId="1">
      <formula>AND(COUNT(C33:I33)=7,D33&lt;5*0.4)</formula>
    </cfRule>
    <cfRule type="expression" priority="162" dxfId="2">
      <formula>AND(COUNT(C33:I33)=7,D33&gt;=5*0.4,D33&lt;5)</formula>
    </cfRule>
  </conditionalFormatting>
  <conditionalFormatting sqref="D34">
    <cfRule type="expression" priority="163" dxfId="0">
      <formula>AND(COUNT(C34:I34)=7,D34=5)</formula>
    </cfRule>
    <cfRule type="expression" priority="164" dxfId="1">
      <formula>AND(COUNT(C34:I34)=7,D34&lt;5*0.4)</formula>
    </cfRule>
    <cfRule type="expression" priority="165" dxfId="2">
      <formula>AND(COUNT(C34:I34)=7,D34&gt;=5*0.4,D34&lt;5)</formula>
    </cfRule>
  </conditionalFormatting>
  <conditionalFormatting sqref="D35">
    <cfRule type="expression" priority="166" dxfId="0">
      <formula>AND(COUNT(C35:I35)=7,D35=5)</formula>
    </cfRule>
    <cfRule type="expression" priority="167" dxfId="1">
      <formula>AND(COUNT(C35:I35)=7,D35&lt;5*0.4)</formula>
    </cfRule>
    <cfRule type="expression" priority="168" dxfId="2">
      <formula>AND(COUNT(C35:I35)=7,D35&gt;=5*0.4,D35&lt;5)</formula>
    </cfRule>
  </conditionalFormatting>
  <conditionalFormatting sqref="D36">
    <cfRule type="expression" priority="169" dxfId="0">
      <formula>AND(COUNT(C36:I36)=7,D36=5)</formula>
    </cfRule>
    <cfRule type="expression" priority="170" dxfId="1">
      <formula>AND(COUNT(C36:I36)=7,D36&lt;5*0.4)</formula>
    </cfRule>
    <cfRule type="expression" priority="171" dxfId="2">
      <formula>AND(COUNT(C36:I36)=7,D36&gt;=5*0.4,D36&lt;5)</formula>
    </cfRule>
  </conditionalFormatting>
  <conditionalFormatting sqref="D37">
    <cfRule type="expression" priority="172" dxfId="0">
      <formula>AND(COUNT(C37:I37)=7,D37=5)</formula>
    </cfRule>
    <cfRule type="expression" priority="173" dxfId="1">
      <formula>AND(COUNT(C37:I37)=7,D37&lt;5*0.4)</formula>
    </cfRule>
    <cfRule type="expression" priority="174" dxfId="2">
      <formula>AND(COUNT(C37:I37)=7,D37&gt;=5*0.4,D37&lt;5)</formula>
    </cfRule>
  </conditionalFormatting>
  <conditionalFormatting sqref="D38">
    <cfRule type="expression" priority="175" dxfId="0">
      <formula>AND(COUNT(C38:I38)=7,D38=5)</formula>
    </cfRule>
    <cfRule type="expression" priority="176" dxfId="1">
      <formula>AND(COUNT(C38:I38)=7,D38&lt;5*0.4)</formula>
    </cfRule>
    <cfRule type="expression" priority="177" dxfId="2">
      <formula>AND(COUNT(C38:I38)=7,D38&gt;=5*0.4,D38&lt;5)</formula>
    </cfRule>
  </conditionalFormatting>
  <conditionalFormatting sqref="D39">
    <cfRule type="expression" priority="178" dxfId="0">
      <formula>AND(COUNT(C39:I39)=7,D39=5)</formula>
    </cfRule>
    <cfRule type="expression" priority="179" dxfId="1">
      <formula>AND(COUNT(C39:I39)=7,D39&lt;5*0.4)</formula>
    </cfRule>
    <cfRule type="expression" priority="180" dxfId="2">
      <formula>AND(COUNT(C39:I39)=7,D39&gt;=5*0.4,D39&lt;5)</formula>
    </cfRule>
  </conditionalFormatting>
  <conditionalFormatting sqref="D40">
    <cfRule type="expression" priority="181" dxfId="0">
      <formula>AND(COUNT(C40:I40)=7,D40=5)</formula>
    </cfRule>
    <cfRule type="expression" priority="182" dxfId="1">
      <formula>AND(COUNT(C40:I40)=7,D40&lt;5*0.4)</formula>
    </cfRule>
    <cfRule type="expression" priority="183" dxfId="2">
      <formula>AND(COUNT(C40:I40)=7,D40&gt;=5*0.4,D40&lt;5)</formula>
    </cfRule>
  </conditionalFormatting>
  <conditionalFormatting sqref="D41">
    <cfRule type="expression" priority="184" dxfId="0">
      <formula>AND(COUNT(C41:I41)=7,D41=5)</formula>
    </cfRule>
    <cfRule type="expression" priority="185" dxfId="1">
      <formula>AND(COUNT(C41:I41)=7,D41&lt;5*0.4)</formula>
    </cfRule>
    <cfRule type="expression" priority="186" dxfId="2">
      <formula>AND(COUNT(C41:I41)=7,D41&gt;=5*0.4,D41&lt;5)</formula>
    </cfRule>
  </conditionalFormatting>
  <conditionalFormatting sqref="E11">
    <cfRule type="expression" priority="187" dxfId="0">
      <formula>AND(COUNT(C11:I11)=7,E11=7)</formula>
    </cfRule>
    <cfRule type="expression" priority="188" dxfId="1">
      <formula>AND(COUNT(C11:I11)=7,E11&lt;7*0.4)</formula>
    </cfRule>
    <cfRule type="expression" priority="189" dxfId="2">
      <formula>AND(COUNT(C11:I11)=7,E11&gt;=7*0.4,E11&lt;7)</formula>
    </cfRule>
  </conditionalFormatting>
  <conditionalFormatting sqref="E12">
    <cfRule type="expression" priority="190" dxfId="0">
      <formula>AND(COUNT(C12:I12)=7,E12=7)</formula>
    </cfRule>
    <cfRule type="expression" priority="191" dxfId="1">
      <formula>AND(COUNT(C12:I12)=7,E12&lt;7*0.4)</formula>
    </cfRule>
    <cfRule type="expression" priority="192" dxfId="2">
      <formula>AND(COUNT(C12:I12)=7,E12&gt;=7*0.4,E12&lt;7)</formula>
    </cfRule>
  </conditionalFormatting>
  <conditionalFormatting sqref="E13">
    <cfRule type="expression" priority="193" dxfId="0">
      <formula>AND(COUNT(C13:I13)=7,E13=7)</formula>
    </cfRule>
    <cfRule type="expression" priority="194" dxfId="1">
      <formula>AND(COUNT(C13:I13)=7,E13&lt;7*0.4)</formula>
    </cfRule>
    <cfRule type="expression" priority="195" dxfId="2">
      <formula>AND(COUNT(C13:I13)=7,E13&gt;=7*0.4,E13&lt;7)</formula>
    </cfRule>
  </conditionalFormatting>
  <conditionalFormatting sqref="E14">
    <cfRule type="expression" priority="196" dxfId="0">
      <formula>AND(COUNT(C14:I14)=7,E14=7)</formula>
    </cfRule>
    <cfRule type="expression" priority="197" dxfId="1">
      <formula>AND(COUNT(C14:I14)=7,E14&lt;7*0.4)</formula>
    </cfRule>
    <cfRule type="expression" priority="198" dxfId="2">
      <formula>AND(COUNT(C14:I14)=7,E14&gt;=7*0.4,E14&lt;7)</formula>
    </cfRule>
  </conditionalFormatting>
  <conditionalFormatting sqref="E15">
    <cfRule type="expression" priority="199" dxfId="0">
      <formula>AND(COUNT(C15:I15)=7,E15=7)</formula>
    </cfRule>
    <cfRule type="expression" priority="200" dxfId="1">
      <formula>AND(COUNT(C15:I15)=7,E15&lt;7*0.4)</formula>
    </cfRule>
    <cfRule type="expression" priority="201" dxfId="2">
      <formula>AND(COUNT(C15:I15)=7,E15&gt;=7*0.4,E15&lt;7)</formula>
    </cfRule>
  </conditionalFormatting>
  <conditionalFormatting sqref="E16">
    <cfRule type="expression" priority="202" dxfId="0">
      <formula>AND(COUNT(C16:I16)=7,E16=7)</formula>
    </cfRule>
    <cfRule type="expression" priority="203" dxfId="1">
      <formula>AND(COUNT(C16:I16)=7,E16&lt;7*0.4)</formula>
    </cfRule>
    <cfRule type="expression" priority="204" dxfId="2">
      <formula>AND(COUNT(C16:I16)=7,E16&gt;=7*0.4,E16&lt;7)</formula>
    </cfRule>
  </conditionalFormatting>
  <conditionalFormatting sqref="E17">
    <cfRule type="expression" priority="205" dxfId="0">
      <formula>AND(COUNT(C17:I17)=7,E17=7)</formula>
    </cfRule>
    <cfRule type="expression" priority="206" dxfId="1">
      <formula>AND(COUNT(C17:I17)=7,E17&lt;7*0.4)</formula>
    </cfRule>
    <cfRule type="expression" priority="207" dxfId="2">
      <formula>AND(COUNT(C17:I17)=7,E17&gt;=7*0.4,E17&lt;7)</formula>
    </cfRule>
  </conditionalFormatting>
  <conditionalFormatting sqref="E18">
    <cfRule type="expression" priority="208" dxfId="0">
      <formula>AND(COUNT(C18:I18)=7,E18=7)</formula>
    </cfRule>
    <cfRule type="expression" priority="209" dxfId="1">
      <formula>AND(COUNT(C18:I18)=7,E18&lt;7*0.4)</formula>
    </cfRule>
    <cfRule type="expression" priority="210" dxfId="2">
      <formula>AND(COUNT(C18:I18)=7,E18&gt;=7*0.4,E18&lt;7)</formula>
    </cfRule>
  </conditionalFormatting>
  <conditionalFormatting sqref="E19">
    <cfRule type="expression" priority="211" dxfId="0">
      <formula>AND(COUNT(C19:I19)=7,E19=7)</formula>
    </cfRule>
    <cfRule type="expression" priority="212" dxfId="1">
      <formula>AND(COUNT(C19:I19)=7,E19&lt;7*0.4)</formula>
    </cfRule>
    <cfRule type="expression" priority="213" dxfId="2">
      <formula>AND(COUNT(C19:I19)=7,E19&gt;=7*0.4,E19&lt;7)</formula>
    </cfRule>
  </conditionalFormatting>
  <conditionalFormatting sqref="E20">
    <cfRule type="expression" priority="214" dxfId="0">
      <formula>AND(COUNT(C20:I20)=7,E20=7)</formula>
    </cfRule>
    <cfRule type="expression" priority="215" dxfId="1">
      <formula>AND(COUNT(C20:I20)=7,E20&lt;7*0.4)</formula>
    </cfRule>
    <cfRule type="expression" priority="216" dxfId="2">
      <formula>AND(COUNT(C20:I20)=7,E20&gt;=7*0.4,E20&lt;7)</formula>
    </cfRule>
  </conditionalFormatting>
  <conditionalFormatting sqref="E21">
    <cfRule type="expression" priority="217" dxfId="0">
      <formula>AND(COUNT(C21:I21)=7,E21=7)</formula>
    </cfRule>
    <cfRule type="expression" priority="218" dxfId="1">
      <formula>AND(COUNT(C21:I21)=7,E21&lt;7*0.4)</formula>
    </cfRule>
    <cfRule type="expression" priority="219" dxfId="2">
      <formula>AND(COUNT(C21:I21)=7,E21&gt;=7*0.4,E21&lt;7)</formula>
    </cfRule>
  </conditionalFormatting>
  <conditionalFormatting sqref="E22">
    <cfRule type="expression" priority="220" dxfId="0">
      <formula>AND(COUNT(C22:I22)=7,E22=7)</formula>
    </cfRule>
    <cfRule type="expression" priority="221" dxfId="1">
      <formula>AND(COUNT(C22:I22)=7,E22&lt;7*0.4)</formula>
    </cfRule>
    <cfRule type="expression" priority="222" dxfId="2">
      <formula>AND(COUNT(C22:I22)=7,E22&gt;=7*0.4,E22&lt;7)</formula>
    </cfRule>
  </conditionalFormatting>
  <conditionalFormatting sqref="E23">
    <cfRule type="expression" priority="223" dxfId="0">
      <formula>AND(COUNT(C23:I23)=7,E23=7)</formula>
    </cfRule>
    <cfRule type="expression" priority="224" dxfId="1">
      <formula>AND(COUNT(C23:I23)=7,E23&lt;7*0.4)</formula>
    </cfRule>
    <cfRule type="expression" priority="225" dxfId="2">
      <formula>AND(COUNT(C23:I23)=7,E23&gt;=7*0.4,E23&lt;7)</formula>
    </cfRule>
  </conditionalFormatting>
  <conditionalFormatting sqref="E24">
    <cfRule type="expression" priority="226" dxfId="0">
      <formula>AND(COUNT(C24:I24)=7,E24=7)</formula>
    </cfRule>
    <cfRule type="expression" priority="227" dxfId="1">
      <formula>AND(COUNT(C24:I24)=7,E24&lt;7*0.4)</formula>
    </cfRule>
    <cfRule type="expression" priority="228" dxfId="2">
      <formula>AND(COUNT(C24:I24)=7,E24&gt;=7*0.4,E24&lt;7)</formula>
    </cfRule>
  </conditionalFormatting>
  <conditionalFormatting sqref="E25">
    <cfRule type="expression" priority="229" dxfId="0">
      <formula>AND(COUNT(C25:I25)=7,E25=7)</formula>
    </cfRule>
    <cfRule type="expression" priority="230" dxfId="1">
      <formula>AND(COUNT(C25:I25)=7,E25&lt;7*0.4)</formula>
    </cfRule>
    <cfRule type="expression" priority="231" dxfId="2">
      <formula>AND(COUNT(C25:I25)=7,E25&gt;=7*0.4,E25&lt;7)</formula>
    </cfRule>
  </conditionalFormatting>
  <conditionalFormatting sqref="E26">
    <cfRule type="expression" priority="232" dxfId="0">
      <formula>AND(COUNT(C26:I26)=7,E26=7)</formula>
    </cfRule>
    <cfRule type="expression" priority="233" dxfId="1">
      <formula>AND(COUNT(C26:I26)=7,E26&lt;7*0.4)</formula>
    </cfRule>
    <cfRule type="expression" priority="234" dxfId="2">
      <formula>AND(COUNT(C26:I26)=7,E26&gt;=7*0.4,E26&lt;7)</formula>
    </cfRule>
  </conditionalFormatting>
  <conditionalFormatting sqref="E27">
    <cfRule type="expression" priority="235" dxfId="0">
      <formula>AND(COUNT(C27:I27)=7,E27=7)</formula>
    </cfRule>
    <cfRule type="expression" priority="236" dxfId="1">
      <formula>AND(COUNT(C27:I27)=7,E27&lt;7*0.4)</formula>
    </cfRule>
    <cfRule type="expression" priority="237" dxfId="2">
      <formula>AND(COUNT(C27:I27)=7,E27&gt;=7*0.4,E27&lt;7)</formula>
    </cfRule>
  </conditionalFormatting>
  <conditionalFormatting sqref="E28">
    <cfRule type="expression" priority="238" dxfId="0">
      <formula>AND(COUNT(C28:I28)=7,E28=7)</formula>
    </cfRule>
    <cfRule type="expression" priority="239" dxfId="1">
      <formula>AND(COUNT(C28:I28)=7,E28&lt;7*0.4)</formula>
    </cfRule>
    <cfRule type="expression" priority="240" dxfId="2">
      <formula>AND(COUNT(C28:I28)=7,E28&gt;=7*0.4,E28&lt;7)</formula>
    </cfRule>
  </conditionalFormatting>
  <conditionalFormatting sqref="E29">
    <cfRule type="expression" priority="241" dxfId="0">
      <formula>AND(COUNT(C29:I29)=7,E29=7)</formula>
    </cfRule>
    <cfRule type="expression" priority="242" dxfId="1">
      <formula>AND(COUNT(C29:I29)=7,E29&lt;7*0.4)</formula>
    </cfRule>
    <cfRule type="expression" priority="243" dxfId="2">
      <formula>AND(COUNT(C29:I29)=7,E29&gt;=7*0.4,E29&lt;7)</formula>
    </cfRule>
  </conditionalFormatting>
  <conditionalFormatting sqref="E30">
    <cfRule type="expression" priority="244" dxfId="0">
      <formula>AND(COUNT(C30:I30)=7,E30=7)</formula>
    </cfRule>
    <cfRule type="expression" priority="245" dxfId="1">
      <formula>AND(COUNT(C30:I30)=7,E30&lt;7*0.4)</formula>
    </cfRule>
    <cfRule type="expression" priority="246" dxfId="2">
      <formula>AND(COUNT(C30:I30)=7,E30&gt;=7*0.4,E30&lt;7)</formula>
    </cfRule>
  </conditionalFormatting>
  <conditionalFormatting sqref="E31">
    <cfRule type="expression" priority="247" dxfId="0">
      <formula>AND(COUNT(C31:I31)=7,E31=7)</formula>
    </cfRule>
    <cfRule type="expression" priority="248" dxfId="1">
      <formula>AND(COUNT(C31:I31)=7,E31&lt;7*0.4)</formula>
    </cfRule>
    <cfRule type="expression" priority="249" dxfId="2">
      <formula>AND(COUNT(C31:I31)=7,E31&gt;=7*0.4,E31&lt;7)</formula>
    </cfRule>
  </conditionalFormatting>
  <conditionalFormatting sqref="E32">
    <cfRule type="expression" priority="250" dxfId="0">
      <formula>AND(COUNT(C32:I32)=7,E32=7)</formula>
    </cfRule>
    <cfRule type="expression" priority="251" dxfId="1">
      <formula>AND(COUNT(C32:I32)=7,E32&lt;7*0.4)</formula>
    </cfRule>
    <cfRule type="expression" priority="252" dxfId="2">
      <formula>AND(COUNT(C32:I32)=7,E32&gt;=7*0.4,E32&lt;7)</formula>
    </cfRule>
  </conditionalFormatting>
  <conditionalFormatting sqref="E33">
    <cfRule type="expression" priority="253" dxfId="0">
      <formula>AND(COUNT(C33:I33)=7,E33=7)</formula>
    </cfRule>
    <cfRule type="expression" priority="254" dxfId="1">
      <formula>AND(COUNT(C33:I33)=7,E33&lt;7*0.4)</formula>
    </cfRule>
    <cfRule type="expression" priority="255" dxfId="2">
      <formula>AND(COUNT(C33:I33)=7,E33&gt;=7*0.4,E33&lt;7)</formula>
    </cfRule>
  </conditionalFormatting>
  <conditionalFormatting sqref="E34">
    <cfRule type="expression" priority="256" dxfId="0">
      <formula>AND(COUNT(C34:I34)=7,E34=7)</formula>
    </cfRule>
    <cfRule type="expression" priority="257" dxfId="1">
      <formula>AND(COUNT(C34:I34)=7,E34&lt;7*0.4)</formula>
    </cfRule>
    <cfRule type="expression" priority="258" dxfId="2">
      <formula>AND(COUNT(C34:I34)=7,E34&gt;=7*0.4,E34&lt;7)</formula>
    </cfRule>
  </conditionalFormatting>
  <conditionalFormatting sqref="E35">
    <cfRule type="expression" priority="259" dxfId="0">
      <formula>AND(COUNT(C35:I35)=7,E35=7)</formula>
    </cfRule>
    <cfRule type="expression" priority="260" dxfId="1">
      <formula>AND(COUNT(C35:I35)=7,E35&lt;7*0.4)</formula>
    </cfRule>
    <cfRule type="expression" priority="261" dxfId="2">
      <formula>AND(COUNT(C35:I35)=7,E35&gt;=7*0.4,E35&lt;7)</formula>
    </cfRule>
  </conditionalFormatting>
  <conditionalFormatting sqref="E36">
    <cfRule type="expression" priority="262" dxfId="0">
      <formula>AND(COUNT(C36:I36)=7,E36=7)</formula>
    </cfRule>
    <cfRule type="expression" priority="263" dxfId="1">
      <formula>AND(COUNT(C36:I36)=7,E36&lt;7*0.4)</formula>
    </cfRule>
    <cfRule type="expression" priority="264" dxfId="2">
      <formula>AND(COUNT(C36:I36)=7,E36&gt;=7*0.4,E36&lt;7)</formula>
    </cfRule>
  </conditionalFormatting>
  <conditionalFormatting sqref="E37">
    <cfRule type="expression" priority="265" dxfId="0">
      <formula>AND(COUNT(C37:I37)=7,E37=7)</formula>
    </cfRule>
    <cfRule type="expression" priority="266" dxfId="1">
      <formula>AND(COUNT(C37:I37)=7,E37&lt;7*0.4)</formula>
    </cfRule>
    <cfRule type="expression" priority="267" dxfId="2">
      <formula>AND(COUNT(C37:I37)=7,E37&gt;=7*0.4,E37&lt;7)</formula>
    </cfRule>
  </conditionalFormatting>
  <conditionalFormatting sqref="E38">
    <cfRule type="expression" priority="268" dxfId="0">
      <formula>AND(COUNT(C38:I38)=7,E38=7)</formula>
    </cfRule>
    <cfRule type="expression" priority="269" dxfId="1">
      <formula>AND(COUNT(C38:I38)=7,E38&lt;7*0.4)</formula>
    </cfRule>
    <cfRule type="expression" priority="270" dxfId="2">
      <formula>AND(COUNT(C38:I38)=7,E38&gt;=7*0.4,E38&lt;7)</formula>
    </cfRule>
  </conditionalFormatting>
  <conditionalFormatting sqref="E39">
    <cfRule type="expression" priority="271" dxfId="0">
      <formula>AND(COUNT(C39:I39)=7,E39=7)</formula>
    </cfRule>
    <cfRule type="expression" priority="272" dxfId="1">
      <formula>AND(COUNT(C39:I39)=7,E39&lt;7*0.4)</formula>
    </cfRule>
    <cfRule type="expression" priority="273" dxfId="2">
      <formula>AND(COUNT(C39:I39)=7,E39&gt;=7*0.4,E39&lt;7)</formula>
    </cfRule>
  </conditionalFormatting>
  <conditionalFormatting sqref="E40">
    <cfRule type="expression" priority="274" dxfId="0">
      <formula>AND(COUNT(C40:I40)=7,E40=7)</formula>
    </cfRule>
    <cfRule type="expression" priority="275" dxfId="1">
      <formula>AND(COUNT(C40:I40)=7,E40&lt;7*0.4)</formula>
    </cfRule>
    <cfRule type="expression" priority="276" dxfId="2">
      <formula>AND(COUNT(C40:I40)=7,E40&gt;=7*0.4,E40&lt;7)</formula>
    </cfRule>
  </conditionalFormatting>
  <conditionalFormatting sqref="E41">
    <cfRule type="expression" priority="277" dxfId="0">
      <formula>AND(COUNT(C41:I41)=7,E41=7)</formula>
    </cfRule>
    <cfRule type="expression" priority="278" dxfId="1">
      <formula>AND(COUNT(C41:I41)=7,E41&lt;7*0.4)</formula>
    </cfRule>
    <cfRule type="expression" priority="279" dxfId="2">
      <formula>AND(COUNT(C41:I41)=7,E41&gt;=7*0.4,E41&lt;7)</formula>
    </cfRule>
  </conditionalFormatting>
  <conditionalFormatting sqref="F11">
    <cfRule type="expression" priority="280" dxfId="0">
      <formula>AND(COUNT(C11:I11)=7,F11=9)</formula>
    </cfRule>
    <cfRule type="expression" priority="281" dxfId="1">
      <formula>AND(COUNT(C11:I11)=7,F11&lt;9*0.4)</formula>
    </cfRule>
    <cfRule type="expression" priority="282" dxfId="2">
      <formula>AND(COUNT(C11:I11)=7,F11&gt;=9*0.4,F11&lt;9)</formula>
    </cfRule>
  </conditionalFormatting>
  <conditionalFormatting sqref="F12">
    <cfRule type="expression" priority="283" dxfId="0">
      <formula>AND(COUNT(C12:I12)=7,F12=9)</formula>
    </cfRule>
    <cfRule type="expression" priority="284" dxfId="1">
      <formula>AND(COUNT(C12:I12)=7,F12&lt;9*0.4)</formula>
    </cfRule>
    <cfRule type="expression" priority="285" dxfId="2">
      <formula>AND(COUNT(C12:I12)=7,F12&gt;=9*0.4,F12&lt;9)</formula>
    </cfRule>
  </conditionalFormatting>
  <conditionalFormatting sqref="F13">
    <cfRule type="expression" priority="286" dxfId="0">
      <formula>AND(COUNT(C13:I13)=7,F13=9)</formula>
    </cfRule>
    <cfRule type="expression" priority="287" dxfId="1">
      <formula>AND(COUNT(C13:I13)=7,F13&lt;9*0.4)</formula>
    </cfRule>
    <cfRule type="expression" priority="288" dxfId="2">
      <formula>AND(COUNT(C13:I13)=7,F13&gt;=9*0.4,F13&lt;9)</formula>
    </cfRule>
  </conditionalFormatting>
  <conditionalFormatting sqref="F14">
    <cfRule type="expression" priority="289" dxfId="0">
      <formula>AND(COUNT(C14:I14)=7,F14=9)</formula>
    </cfRule>
    <cfRule type="expression" priority="290" dxfId="1">
      <formula>AND(COUNT(C14:I14)=7,F14&lt;9*0.4)</formula>
    </cfRule>
    <cfRule type="expression" priority="291" dxfId="2">
      <formula>AND(COUNT(C14:I14)=7,F14&gt;=9*0.4,F14&lt;9)</formula>
    </cfRule>
  </conditionalFormatting>
  <conditionalFormatting sqref="F15">
    <cfRule type="expression" priority="292" dxfId="0">
      <formula>AND(COUNT(C15:I15)=7,F15=9)</formula>
    </cfRule>
    <cfRule type="expression" priority="293" dxfId="1">
      <formula>AND(COUNT(C15:I15)=7,F15&lt;9*0.4)</formula>
    </cfRule>
    <cfRule type="expression" priority="294" dxfId="2">
      <formula>AND(COUNT(C15:I15)=7,F15&gt;=9*0.4,F15&lt;9)</formula>
    </cfRule>
  </conditionalFormatting>
  <conditionalFormatting sqref="F16">
    <cfRule type="expression" priority="295" dxfId="0">
      <formula>AND(COUNT(C16:I16)=7,F16=9)</formula>
    </cfRule>
    <cfRule type="expression" priority="296" dxfId="1">
      <formula>AND(COUNT(C16:I16)=7,F16&lt;9*0.4)</formula>
    </cfRule>
    <cfRule type="expression" priority="297" dxfId="2">
      <formula>AND(COUNT(C16:I16)=7,F16&gt;=9*0.4,F16&lt;9)</formula>
    </cfRule>
  </conditionalFormatting>
  <conditionalFormatting sqref="F17">
    <cfRule type="expression" priority="298" dxfId="0">
      <formula>AND(COUNT(C17:I17)=7,F17=9)</formula>
    </cfRule>
    <cfRule type="expression" priority="299" dxfId="1">
      <formula>AND(COUNT(C17:I17)=7,F17&lt;9*0.4)</formula>
    </cfRule>
    <cfRule type="expression" priority="300" dxfId="2">
      <formula>AND(COUNT(C17:I17)=7,F17&gt;=9*0.4,F17&lt;9)</formula>
    </cfRule>
  </conditionalFormatting>
  <conditionalFormatting sqref="F18">
    <cfRule type="expression" priority="301" dxfId="0">
      <formula>AND(COUNT(C18:I18)=7,F18=9)</formula>
    </cfRule>
    <cfRule type="expression" priority="302" dxfId="1">
      <formula>AND(COUNT(C18:I18)=7,F18&lt;9*0.4)</formula>
    </cfRule>
    <cfRule type="expression" priority="303" dxfId="2">
      <formula>AND(COUNT(C18:I18)=7,F18&gt;=9*0.4,F18&lt;9)</formula>
    </cfRule>
  </conditionalFormatting>
  <conditionalFormatting sqref="F19">
    <cfRule type="expression" priority="304" dxfId="0">
      <formula>AND(COUNT(C19:I19)=7,F19=9)</formula>
    </cfRule>
    <cfRule type="expression" priority="305" dxfId="1">
      <formula>AND(COUNT(C19:I19)=7,F19&lt;9*0.4)</formula>
    </cfRule>
    <cfRule type="expression" priority="306" dxfId="2">
      <formula>AND(COUNT(C19:I19)=7,F19&gt;=9*0.4,F19&lt;9)</formula>
    </cfRule>
  </conditionalFormatting>
  <conditionalFormatting sqref="F20">
    <cfRule type="expression" priority="307" dxfId="0">
      <formula>AND(COUNT(C20:I20)=7,F20=9)</formula>
    </cfRule>
    <cfRule type="expression" priority="308" dxfId="1">
      <formula>AND(COUNT(C20:I20)=7,F20&lt;9*0.4)</formula>
    </cfRule>
    <cfRule type="expression" priority="309" dxfId="2">
      <formula>AND(COUNT(C20:I20)=7,F20&gt;=9*0.4,F20&lt;9)</formula>
    </cfRule>
  </conditionalFormatting>
  <conditionalFormatting sqref="F21">
    <cfRule type="expression" priority="310" dxfId="0">
      <formula>AND(COUNT(C21:I21)=7,F21=9)</formula>
    </cfRule>
    <cfRule type="expression" priority="311" dxfId="1">
      <formula>AND(COUNT(C21:I21)=7,F21&lt;9*0.4)</formula>
    </cfRule>
    <cfRule type="expression" priority="312" dxfId="2">
      <formula>AND(COUNT(C21:I21)=7,F21&gt;=9*0.4,F21&lt;9)</formula>
    </cfRule>
  </conditionalFormatting>
  <conditionalFormatting sqref="F22">
    <cfRule type="expression" priority="313" dxfId="0">
      <formula>AND(COUNT(C22:I22)=7,F22=9)</formula>
    </cfRule>
    <cfRule type="expression" priority="314" dxfId="1">
      <formula>AND(COUNT(C22:I22)=7,F22&lt;9*0.4)</formula>
    </cfRule>
    <cfRule type="expression" priority="315" dxfId="2">
      <formula>AND(COUNT(C22:I22)=7,F22&gt;=9*0.4,F22&lt;9)</formula>
    </cfRule>
  </conditionalFormatting>
  <conditionalFormatting sqref="F23">
    <cfRule type="expression" priority="316" dxfId="0">
      <formula>AND(COUNT(C23:I23)=7,F23=9)</formula>
    </cfRule>
    <cfRule type="expression" priority="317" dxfId="1">
      <formula>AND(COUNT(C23:I23)=7,F23&lt;9*0.4)</formula>
    </cfRule>
    <cfRule type="expression" priority="318" dxfId="2">
      <formula>AND(COUNT(C23:I23)=7,F23&gt;=9*0.4,F23&lt;9)</formula>
    </cfRule>
  </conditionalFormatting>
  <conditionalFormatting sqref="F24">
    <cfRule type="expression" priority="319" dxfId="0">
      <formula>AND(COUNT(C24:I24)=7,F24=9)</formula>
    </cfRule>
    <cfRule type="expression" priority="320" dxfId="1">
      <formula>AND(COUNT(C24:I24)=7,F24&lt;9*0.4)</formula>
    </cfRule>
    <cfRule type="expression" priority="321" dxfId="2">
      <formula>AND(COUNT(C24:I24)=7,F24&gt;=9*0.4,F24&lt;9)</formula>
    </cfRule>
  </conditionalFormatting>
  <conditionalFormatting sqref="F25">
    <cfRule type="expression" priority="322" dxfId="0">
      <formula>AND(COUNT(C25:I25)=7,F25=9)</formula>
    </cfRule>
    <cfRule type="expression" priority="323" dxfId="1">
      <formula>AND(COUNT(C25:I25)=7,F25&lt;9*0.4)</formula>
    </cfRule>
    <cfRule type="expression" priority="324" dxfId="2">
      <formula>AND(COUNT(C25:I25)=7,F25&gt;=9*0.4,F25&lt;9)</formula>
    </cfRule>
  </conditionalFormatting>
  <conditionalFormatting sqref="F26">
    <cfRule type="expression" priority="325" dxfId="0">
      <formula>AND(COUNT(C26:I26)=7,F26=9)</formula>
    </cfRule>
    <cfRule type="expression" priority="326" dxfId="1">
      <formula>AND(COUNT(C26:I26)=7,F26&lt;9*0.4)</formula>
    </cfRule>
    <cfRule type="expression" priority="327" dxfId="2">
      <formula>AND(COUNT(C26:I26)=7,F26&gt;=9*0.4,F26&lt;9)</formula>
    </cfRule>
  </conditionalFormatting>
  <conditionalFormatting sqref="F27">
    <cfRule type="expression" priority="328" dxfId="0">
      <formula>AND(COUNT(C27:I27)=7,F27=9)</formula>
    </cfRule>
    <cfRule type="expression" priority="329" dxfId="1">
      <formula>AND(COUNT(C27:I27)=7,F27&lt;9*0.4)</formula>
    </cfRule>
    <cfRule type="expression" priority="330" dxfId="2">
      <formula>AND(COUNT(C27:I27)=7,F27&gt;=9*0.4,F27&lt;9)</formula>
    </cfRule>
  </conditionalFormatting>
  <conditionalFormatting sqref="F28">
    <cfRule type="expression" priority="331" dxfId="0">
      <formula>AND(COUNT(C28:I28)=7,F28=9)</formula>
    </cfRule>
    <cfRule type="expression" priority="332" dxfId="1">
      <formula>AND(COUNT(C28:I28)=7,F28&lt;9*0.4)</formula>
    </cfRule>
    <cfRule type="expression" priority="333" dxfId="2">
      <formula>AND(COUNT(C28:I28)=7,F28&gt;=9*0.4,F28&lt;9)</formula>
    </cfRule>
  </conditionalFormatting>
  <conditionalFormatting sqref="F29">
    <cfRule type="expression" priority="334" dxfId="0">
      <formula>AND(COUNT(C29:I29)=7,F29=9)</formula>
    </cfRule>
    <cfRule type="expression" priority="335" dxfId="1">
      <formula>AND(COUNT(C29:I29)=7,F29&lt;9*0.4)</formula>
    </cfRule>
    <cfRule type="expression" priority="336" dxfId="2">
      <formula>AND(COUNT(C29:I29)=7,F29&gt;=9*0.4,F29&lt;9)</formula>
    </cfRule>
  </conditionalFormatting>
  <conditionalFormatting sqref="F30">
    <cfRule type="expression" priority="337" dxfId="0">
      <formula>AND(COUNT(C30:I30)=7,F30=9)</formula>
    </cfRule>
    <cfRule type="expression" priority="338" dxfId="1">
      <formula>AND(COUNT(C30:I30)=7,F30&lt;9*0.4)</formula>
    </cfRule>
    <cfRule type="expression" priority="339" dxfId="2">
      <formula>AND(COUNT(C30:I30)=7,F30&gt;=9*0.4,F30&lt;9)</formula>
    </cfRule>
  </conditionalFormatting>
  <conditionalFormatting sqref="F31">
    <cfRule type="expression" priority="340" dxfId="0">
      <formula>AND(COUNT(C31:I31)=7,F31=9)</formula>
    </cfRule>
    <cfRule type="expression" priority="341" dxfId="1">
      <formula>AND(COUNT(C31:I31)=7,F31&lt;9*0.4)</formula>
    </cfRule>
    <cfRule type="expression" priority="342" dxfId="2">
      <formula>AND(COUNT(C31:I31)=7,F31&gt;=9*0.4,F31&lt;9)</formula>
    </cfRule>
  </conditionalFormatting>
  <conditionalFormatting sqref="F32">
    <cfRule type="expression" priority="343" dxfId="0">
      <formula>AND(COUNT(C32:I32)=7,F32=9)</formula>
    </cfRule>
    <cfRule type="expression" priority="344" dxfId="1">
      <formula>AND(COUNT(C32:I32)=7,F32&lt;9*0.4)</formula>
    </cfRule>
    <cfRule type="expression" priority="345" dxfId="2">
      <formula>AND(COUNT(C32:I32)=7,F32&gt;=9*0.4,F32&lt;9)</formula>
    </cfRule>
  </conditionalFormatting>
  <conditionalFormatting sqref="F33">
    <cfRule type="expression" priority="346" dxfId="0">
      <formula>AND(COUNT(C33:I33)=7,F33=9)</formula>
    </cfRule>
    <cfRule type="expression" priority="347" dxfId="1">
      <formula>AND(COUNT(C33:I33)=7,F33&lt;9*0.4)</formula>
    </cfRule>
    <cfRule type="expression" priority="348" dxfId="2">
      <formula>AND(COUNT(C33:I33)=7,F33&gt;=9*0.4,F33&lt;9)</formula>
    </cfRule>
  </conditionalFormatting>
  <conditionalFormatting sqref="F34">
    <cfRule type="expression" priority="349" dxfId="0">
      <formula>AND(COUNT(C34:I34)=7,F34=9)</formula>
    </cfRule>
    <cfRule type="expression" priority="350" dxfId="1">
      <formula>AND(COUNT(C34:I34)=7,F34&lt;9*0.4)</formula>
    </cfRule>
    <cfRule type="expression" priority="351" dxfId="2">
      <formula>AND(COUNT(C34:I34)=7,F34&gt;=9*0.4,F34&lt;9)</formula>
    </cfRule>
  </conditionalFormatting>
  <conditionalFormatting sqref="F35">
    <cfRule type="expression" priority="352" dxfId="0">
      <formula>AND(COUNT(C35:I35)=7,F35=9)</formula>
    </cfRule>
    <cfRule type="expression" priority="353" dxfId="1">
      <formula>AND(COUNT(C35:I35)=7,F35&lt;9*0.4)</formula>
    </cfRule>
    <cfRule type="expression" priority="354" dxfId="2">
      <formula>AND(COUNT(C35:I35)=7,F35&gt;=9*0.4,F35&lt;9)</formula>
    </cfRule>
  </conditionalFormatting>
  <conditionalFormatting sqref="F36">
    <cfRule type="expression" priority="355" dxfId="0">
      <formula>AND(COUNT(C36:I36)=7,F36=9)</formula>
    </cfRule>
    <cfRule type="expression" priority="356" dxfId="1">
      <formula>AND(COUNT(C36:I36)=7,F36&lt;9*0.4)</formula>
    </cfRule>
    <cfRule type="expression" priority="357" dxfId="2">
      <formula>AND(COUNT(C36:I36)=7,F36&gt;=9*0.4,F36&lt;9)</formula>
    </cfRule>
  </conditionalFormatting>
  <conditionalFormatting sqref="F37">
    <cfRule type="expression" priority="358" dxfId="0">
      <formula>AND(COUNT(C37:I37)=7,F37=9)</formula>
    </cfRule>
    <cfRule type="expression" priority="359" dxfId="1">
      <formula>AND(COUNT(C37:I37)=7,F37&lt;9*0.4)</formula>
    </cfRule>
    <cfRule type="expression" priority="360" dxfId="2">
      <formula>AND(COUNT(C37:I37)=7,F37&gt;=9*0.4,F37&lt;9)</formula>
    </cfRule>
  </conditionalFormatting>
  <conditionalFormatting sqref="F38">
    <cfRule type="expression" priority="361" dxfId="0">
      <formula>AND(COUNT(C38:I38)=7,F38=9)</formula>
    </cfRule>
    <cfRule type="expression" priority="362" dxfId="1">
      <formula>AND(COUNT(C38:I38)=7,F38&lt;9*0.4)</formula>
    </cfRule>
    <cfRule type="expression" priority="363" dxfId="2">
      <formula>AND(COUNT(C38:I38)=7,F38&gt;=9*0.4,F38&lt;9)</formula>
    </cfRule>
  </conditionalFormatting>
  <conditionalFormatting sqref="F39">
    <cfRule type="expression" priority="364" dxfId="0">
      <formula>AND(COUNT(C39:I39)=7,F39=9)</formula>
    </cfRule>
    <cfRule type="expression" priority="365" dxfId="1">
      <formula>AND(COUNT(C39:I39)=7,F39&lt;9*0.4)</formula>
    </cfRule>
    <cfRule type="expression" priority="366" dxfId="2">
      <formula>AND(COUNT(C39:I39)=7,F39&gt;=9*0.4,F39&lt;9)</formula>
    </cfRule>
  </conditionalFormatting>
  <conditionalFormatting sqref="F40">
    <cfRule type="expression" priority="367" dxfId="0">
      <formula>AND(COUNT(C40:I40)=7,F40=9)</formula>
    </cfRule>
    <cfRule type="expression" priority="368" dxfId="1">
      <formula>AND(COUNT(C40:I40)=7,F40&lt;9*0.4)</formula>
    </cfRule>
    <cfRule type="expression" priority="369" dxfId="2">
      <formula>AND(COUNT(C40:I40)=7,F40&gt;=9*0.4,F40&lt;9)</formula>
    </cfRule>
  </conditionalFormatting>
  <conditionalFormatting sqref="F41">
    <cfRule type="expression" priority="370" dxfId="0">
      <formula>AND(COUNT(C41:I41)=7,F41=9)</formula>
    </cfRule>
    <cfRule type="expression" priority="371" dxfId="1">
      <formula>AND(COUNT(C41:I41)=7,F41&lt;9*0.4)</formula>
    </cfRule>
    <cfRule type="expression" priority="372" dxfId="2">
      <formula>AND(COUNT(C41:I41)=7,F41&gt;=9*0.4,F41&lt;9)</formula>
    </cfRule>
  </conditionalFormatting>
  <conditionalFormatting sqref="G11">
    <cfRule type="expression" priority="373" dxfId="0">
      <formula>AND(COUNT(C11:I11)=7,G11=5)</formula>
    </cfRule>
    <cfRule type="expression" priority="374" dxfId="1">
      <formula>AND(COUNT(C11:I11)=7,G11&lt;5*0.4)</formula>
    </cfRule>
    <cfRule type="expression" priority="375" dxfId="2">
      <formula>AND(COUNT(C11:I11)=7,G11&gt;=5*0.4,G11&lt;5)</formula>
    </cfRule>
  </conditionalFormatting>
  <conditionalFormatting sqref="G12">
    <cfRule type="expression" priority="376" dxfId="0">
      <formula>AND(COUNT(C12:I12)=7,G12=5)</formula>
    </cfRule>
    <cfRule type="expression" priority="377" dxfId="1">
      <formula>AND(COUNT(C12:I12)=7,G12&lt;5*0.4)</formula>
    </cfRule>
    <cfRule type="expression" priority="378" dxfId="2">
      <formula>AND(COUNT(C12:I12)=7,G12&gt;=5*0.4,G12&lt;5)</formula>
    </cfRule>
  </conditionalFormatting>
  <conditionalFormatting sqref="G13">
    <cfRule type="expression" priority="379" dxfId="0">
      <formula>AND(COUNT(C13:I13)=7,G13=5)</formula>
    </cfRule>
    <cfRule type="expression" priority="380" dxfId="1">
      <formula>AND(COUNT(C13:I13)=7,G13&lt;5*0.4)</formula>
    </cfRule>
    <cfRule type="expression" priority="381" dxfId="2">
      <formula>AND(COUNT(C13:I13)=7,G13&gt;=5*0.4,G13&lt;5)</formula>
    </cfRule>
  </conditionalFormatting>
  <conditionalFormatting sqref="G14">
    <cfRule type="expression" priority="382" dxfId="0">
      <formula>AND(COUNT(C14:I14)=7,G14=5)</formula>
    </cfRule>
    <cfRule type="expression" priority="383" dxfId="1">
      <formula>AND(COUNT(C14:I14)=7,G14&lt;5*0.4)</formula>
    </cfRule>
    <cfRule type="expression" priority="384" dxfId="2">
      <formula>AND(COUNT(C14:I14)=7,G14&gt;=5*0.4,G14&lt;5)</formula>
    </cfRule>
  </conditionalFormatting>
  <conditionalFormatting sqref="G15">
    <cfRule type="expression" priority="385" dxfId="0">
      <formula>AND(COUNT(C15:I15)=7,G15=5)</formula>
    </cfRule>
    <cfRule type="expression" priority="386" dxfId="1">
      <formula>AND(COUNT(C15:I15)=7,G15&lt;5*0.4)</formula>
    </cfRule>
    <cfRule type="expression" priority="387" dxfId="2">
      <formula>AND(COUNT(C15:I15)=7,G15&gt;=5*0.4,G15&lt;5)</formula>
    </cfRule>
  </conditionalFormatting>
  <conditionalFormatting sqref="G16">
    <cfRule type="expression" priority="388" dxfId="0">
      <formula>AND(COUNT(C16:I16)=7,G16=5)</formula>
    </cfRule>
    <cfRule type="expression" priority="389" dxfId="1">
      <formula>AND(COUNT(C16:I16)=7,G16&lt;5*0.4)</formula>
    </cfRule>
    <cfRule type="expression" priority="390" dxfId="2">
      <formula>AND(COUNT(C16:I16)=7,G16&gt;=5*0.4,G16&lt;5)</formula>
    </cfRule>
  </conditionalFormatting>
  <conditionalFormatting sqref="G17">
    <cfRule type="expression" priority="391" dxfId="0">
      <formula>AND(COUNT(C17:I17)=7,G17=5)</formula>
    </cfRule>
    <cfRule type="expression" priority="392" dxfId="1">
      <formula>AND(COUNT(C17:I17)=7,G17&lt;5*0.4)</formula>
    </cfRule>
    <cfRule type="expression" priority="393" dxfId="2">
      <formula>AND(COUNT(C17:I17)=7,G17&gt;=5*0.4,G17&lt;5)</formula>
    </cfRule>
  </conditionalFormatting>
  <conditionalFormatting sqref="G18">
    <cfRule type="expression" priority="394" dxfId="0">
      <formula>AND(COUNT(C18:I18)=7,G18=5)</formula>
    </cfRule>
    <cfRule type="expression" priority="395" dxfId="1">
      <formula>AND(COUNT(C18:I18)=7,G18&lt;5*0.4)</formula>
    </cfRule>
    <cfRule type="expression" priority="396" dxfId="2">
      <formula>AND(COUNT(C18:I18)=7,G18&gt;=5*0.4,G18&lt;5)</formula>
    </cfRule>
  </conditionalFormatting>
  <conditionalFormatting sqref="G19">
    <cfRule type="expression" priority="397" dxfId="0">
      <formula>AND(COUNT(C19:I19)=7,G19=5)</formula>
    </cfRule>
    <cfRule type="expression" priority="398" dxfId="1">
      <formula>AND(COUNT(C19:I19)=7,G19&lt;5*0.4)</formula>
    </cfRule>
    <cfRule type="expression" priority="399" dxfId="2">
      <formula>AND(COUNT(C19:I19)=7,G19&gt;=5*0.4,G19&lt;5)</formula>
    </cfRule>
  </conditionalFormatting>
  <conditionalFormatting sqref="G20">
    <cfRule type="expression" priority="400" dxfId="0">
      <formula>AND(COUNT(C20:I20)=7,G20=5)</formula>
    </cfRule>
    <cfRule type="expression" priority="401" dxfId="1">
      <formula>AND(COUNT(C20:I20)=7,G20&lt;5*0.4)</formula>
    </cfRule>
    <cfRule type="expression" priority="402" dxfId="2">
      <formula>AND(COUNT(C20:I20)=7,G20&gt;=5*0.4,G20&lt;5)</formula>
    </cfRule>
  </conditionalFormatting>
  <conditionalFormatting sqref="G21">
    <cfRule type="expression" priority="403" dxfId="0">
      <formula>AND(COUNT(C21:I21)=7,G21=5)</formula>
    </cfRule>
    <cfRule type="expression" priority="404" dxfId="1">
      <formula>AND(COUNT(C21:I21)=7,G21&lt;5*0.4)</formula>
    </cfRule>
    <cfRule type="expression" priority="405" dxfId="2">
      <formula>AND(COUNT(C21:I21)=7,G21&gt;=5*0.4,G21&lt;5)</formula>
    </cfRule>
  </conditionalFormatting>
  <conditionalFormatting sqref="G22">
    <cfRule type="expression" priority="406" dxfId="0">
      <formula>AND(COUNT(C22:I22)=7,G22=5)</formula>
    </cfRule>
    <cfRule type="expression" priority="407" dxfId="1">
      <formula>AND(COUNT(C22:I22)=7,G22&lt;5*0.4)</formula>
    </cfRule>
    <cfRule type="expression" priority="408" dxfId="2">
      <formula>AND(COUNT(C22:I22)=7,G22&gt;=5*0.4,G22&lt;5)</formula>
    </cfRule>
  </conditionalFormatting>
  <conditionalFormatting sqref="G23">
    <cfRule type="expression" priority="409" dxfId="0">
      <formula>AND(COUNT(C23:I23)=7,G23=5)</formula>
    </cfRule>
    <cfRule type="expression" priority="410" dxfId="1">
      <formula>AND(COUNT(C23:I23)=7,G23&lt;5*0.4)</formula>
    </cfRule>
    <cfRule type="expression" priority="411" dxfId="2">
      <formula>AND(COUNT(C23:I23)=7,G23&gt;=5*0.4,G23&lt;5)</formula>
    </cfRule>
  </conditionalFormatting>
  <conditionalFormatting sqref="G24">
    <cfRule type="expression" priority="412" dxfId="0">
      <formula>AND(COUNT(C24:I24)=7,G24=5)</formula>
    </cfRule>
    <cfRule type="expression" priority="413" dxfId="1">
      <formula>AND(COUNT(C24:I24)=7,G24&lt;5*0.4)</formula>
    </cfRule>
    <cfRule type="expression" priority="414" dxfId="2">
      <formula>AND(COUNT(C24:I24)=7,G24&gt;=5*0.4,G24&lt;5)</formula>
    </cfRule>
  </conditionalFormatting>
  <conditionalFormatting sqref="G25">
    <cfRule type="expression" priority="415" dxfId="0">
      <formula>AND(COUNT(C25:I25)=7,G25=5)</formula>
    </cfRule>
    <cfRule type="expression" priority="416" dxfId="1">
      <formula>AND(COUNT(C25:I25)=7,G25&lt;5*0.4)</formula>
    </cfRule>
    <cfRule type="expression" priority="417" dxfId="2">
      <formula>AND(COUNT(C25:I25)=7,G25&gt;=5*0.4,G25&lt;5)</formula>
    </cfRule>
  </conditionalFormatting>
  <conditionalFormatting sqref="G26">
    <cfRule type="expression" priority="418" dxfId="0">
      <formula>AND(COUNT(C26:I26)=7,G26=5)</formula>
    </cfRule>
    <cfRule type="expression" priority="419" dxfId="1">
      <formula>AND(COUNT(C26:I26)=7,G26&lt;5*0.4)</formula>
    </cfRule>
    <cfRule type="expression" priority="420" dxfId="2">
      <formula>AND(COUNT(C26:I26)=7,G26&gt;=5*0.4,G26&lt;5)</formula>
    </cfRule>
  </conditionalFormatting>
  <conditionalFormatting sqref="G27">
    <cfRule type="expression" priority="421" dxfId="0">
      <formula>AND(COUNT(C27:I27)=7,G27=5)</formula>
    </cfRule>
    <cfRule type="expression" priority="422" dxfId="1">
      <formula>AND(COUNT(C27:I27)=7,G27&lt;5*0.4)</formula>
    </cfRule>
    <cfRule type="expression" priority="423" dxfId="2">
      <formula>AND(COUNT(C27:I27)=7,G27&gt;=5*0.4,G27&lt;5)</formula>
    </cfRule>
  </conditionalFormatting>
  <conditionalFormatting sqref="G28">
    <cfRule type="expression" priority="424" dxfId="0">
      <formula>AND(COUNT(C28:I28)=7,G28=5)</formula>
    </cfRule>
    <cfRule type="expression" priority="425" dxfId="1">
      <formula>AND(COUNT(C28:I28)=7,G28&lt;5*0.4)</formula>
    </cfRule>
    <cfRule type="expression" priority="426" dxfId="2">
      <formula>AND(COUNT(C28:I28)=7,G28&gt;=5*0.4,G28&lt;5)</formula>
    </cfRule>
  </conditionalFormatting>
  <conditionalFormatting sqref="G29">
    <cfRule type="expression" priority="427" dxfId="0">
      <formula>AND(COUNT(C29:I29)=7,G29=5)</formula>
    </cfRule>
    <cfRule type="expression" priority="428" dxfId="1">
      <formula>AND(COUNT(C29:I29)=7,G29&lt;5*0.4)</formula>
    </cfRule>
    <cfRule type="expression" priority="429" dxfId="2">
      <formula>AND(COUNT(C29:I29)=7,G29&gt;=5*0.4,G29&lt;5)</formula>
    </cfRule>
  </conditionalFormatting>
  <conditionalFormatting sqref="G30">
    <cfRule type="expression" priority="430" dxfId="0">
      <formula>AND(COUNT(C30:I30)=7,G30=5)</formula>
    </cfRule>
    <cfRule type="expression" priority="431" dxfId="1">
      <formula>AND(COUNT(C30:I30)=7,G30&lt;5*0.4)</formula>
    </cfRule>
    <cfRule type="expression" priority="432" dxfId="2">
      <formula>AND(COUNT(C30:I30)=7,G30&gt;=5*0.4,G30&lt;5)</formula>
    </cfRule>
  </conditionalFormatting>
  <conditionalFormatting sqref="G31">
    <cfRule type="expression" priority="433" dxfId="0">
      <formula>AND(COUNT(C31:I31)=7,G31=5)</formula>
    </cfRule>
    <cfRule type="expression" priority="434" dxfId="1">
      <formula>AND(COUNT(C31:I31)=7,G31&lt;5*0.4)</formula>
    </cfRule>
    <cfRule type="expression" priority="435" dxfId="2">
      <formula>AND(COUNT(C31:I31)=7,G31&gt;=5*0.4,G31&lt;5)</formula>
    </cfRule>
  </conditionalFormatting>
  <conditionalFormatting sqref="G32">
    <cfRule type="expression" priority="436" dxfId="0">
      <formula>AND(COUNT(C32:I32)=7,G32=5)</formula>
    </cfRule>
    <cfRule type="expression" priority="437" dxfId="1">
      <formula>AND(COUNT(C32:I32)=7,G32&lt;5*0.4)</formula>
    </cfRule>
    <cfRule type="expression" priority="438" dxfId="2">
      <formula>AND(COUNT(C32:I32)=7,G32&gt;=5*0.4,G32&lt;5)</formula>
    </cfRule>
  </conditionalFormatting>
  <conditionalFormatting sqref="G33">
    <cfRule type="expression" priority="439" dxfId="0">
      <formula>AND(COUNT(C33:I33)=7,G33=5)</formula>
    </cfRule>
    <cfRule type="expression" priority="440" dxfId="1">
      <formula>AND(COUNT(C33:I33)=7,G33&lt;5*0.4)</formula>
    </cfRule>
    <cfRule type="expression" priority="441" dxfId="2">
      <formula>AND(COUNT(C33:I33)=7,G33&gt;=5*0.4,G33&lt;5)</formula>
    </cfRule>
  </conditionalFormatting>
  <conditionalFormatting sqref="G34">
    <cfRule type="expression" priority="442" dxfId="0">
      <formula>AND(COUNT(C34:I34)=7,G34=5)</formula>
    </cfRule>
    <cfRule type="expression" priority="443" dxfId="1">
      <formula>AND(COUNT(C34:I34)=7,G34&lt;5*0.4)</formula>
    </cfRule>
    <cfRule type="expression" priority="444" dxfId="2">
      <formula>AND(COUNT(C34:I34)=7,G34&gt;=5*0.4,G34&lt;5)</formula>
    </cfRule>
  </conditionalFormatting>
  <conditionalFormatting sqref="G35">
    <cfRule type="expression" priority="445" dxfId="0">
      <formula>AND(COUNT(C35:I35)=7,G35=5)</formula>
    </cfRule>
    <cfRule type="expression" priority="446" dxfId="1">
      <formula>AND(COUNT(C35:I35)=7,G35&lt;5*0.4)</formula>
    </cfRule>
    <cfRule type="expression" priority="447" dxfId="2">
      <formula>AND(COUNT(C35:I35)=7,G35&gt;=5*0.4,G35&lt;5)</formula>
    </cfRule>
  </conditionalFormatting>
  <conditionalFormatting sqref="G36">
    <cfRule type="expression" priority="448" dxfId="0">
      <formula>AND(COUNT(C36:I36)=7,G36=5)</formula>
    </cfRule>
    <cfRule type="expression" priority="449" dxfId="1">
      <formula>AND(COUNT(C36:I36)=7,G36&lt;5*0.4)</formula>
    </cfRule>
    <cfRule type="expression" priority="450" dxfId="2">
      <formula>AND(COUNT(C36:I36)=7,G36&gt;=5*0.4,G36&lt;5)</formula>
    </cfRule>
  </conditionalFormatting>
  <conditionalFormatting sqref="G37">
    <cfRule type="expression" priority="451" dxfId="0">
      <formula>AND(COUNT(C37:I37)=7,G37=5)</formula>
    </cfRule>
    <cfRule type="expression" priority="452" dxfId="1">
      <formula>AND(COUNT(C37:I37)=7,G37&lt;5*0.4)</formula>
    </cfRule>
    <cfRule type="expression" priority="453" dxfId="2">
      <formula>AND(COUNT(C37:I37)=7,G37&gt;=5*0.4,G37&lt;5)</formula>
    </cfRule>
  </conditionalFormatting>
  <conditionalFormatting sqref="G38">
    <cfRule type="expression" priority="454" dxfId="0">
      <formula>AND(COUNT(C38:I38)=7,G38=5)</formula>
    </cfRule>
    <cfRule type="expression" priority="455" dxfId="1">
      <formula>AND(COUNT(C38:I38)=7,G38&lt;5*0.4)</formula>
    </cfRule>
    <cfRule type="expression" priority="456" dxfId="2">
      <formula>AND(COUNT(C38:I38)=7,G38&gt;=5*0.4,G38&lt;5)</formula>
    </cfRule>
  </conditionalFormatting>
  <conditionalFormatting sqref="G39">
    <cfRule type="expression" priority="457" dxfId="0">
      <formula>AND(COUNT(C39:I39)=7,G39=5)</formula>
    </cfRule>
    <cfRule type="expression" priority="458" dxfId="1">
      <formula>AND(COUNT(C39:I39)=7,G39&lt;5*0.4)</formula>
    </cfRule>
    <cfRule type="expression" priority="459" dxfId="2">
      <formula>AND(COUNT(C39:I39)=7,G39&gt;=5*0.4,G39&lt;5)</formula>
    </cfRule>
  </conditionalFormatting>
  <conditionalFormatting sqref="G40">
    <cfRule type="expression" priority="460" dxfId="0">
      <formula>AND(COUNT(C40:I40)=7,G40=5)</formula>
    </cfRule>
    <cfRule type="expression" priority="461" dxfId="1">
      <formula>AND(COUNT(C40:I40)=7,G40&lt;5*0.4)</formula>
    </cfRule>
    <cfRule type="expression" priority="462" dxfId="2">
      <formula>AND(COUNT(C40:I40)=7,G40&gt;=5*0.4,G40&lt;5)</formula>
    </cfRule>
  </conditionalFormatting>
  <conditionalFormatting sqref="G41">
    <cfRule type="expression" priority="463" dxfId="0">
      <formula>AND(COUNT(C41:I41)=7,G41=5)</formula>
    </cfRule>
    <cfRule type="expression" priority="464" dxfId="1">
      <formula>AND(COUNT(C41:I41)=7,G41&lt;5*0.4)</formula>
    </cfRule>
    <cfRule type="expression" priority="465" dxfId="2">
      <formula>AND(COUNT(C41:I41)=7,G41&gt;=5*0.4,G41&lt;5)</formula>
    </cfRule>
  </conditionalFormatting>
  <conditionalFormatting sqref="H11">
    <cfRule type="expression" priority="466" dxfId="0">
      <formula>AND(COUNT(C11:I11)=7,H11=5)</formula>
    </cfRule>
    <cfRule type="expression" priority="467" dxfId="1">
      <formula>AND(COUNT(C11:I11)=7,H11&lt;5*0.4)</formula>
    </cfRule>
    <cfRule type="expression" priority="468" dxfId="2">
      <formula>AND(COUNT(C11:I11)=7,H11&gt;=5*0.4,H11&lt;5)</formula>
    </cfRule>
  </conditionalFormatting>
  <conditionalFormatting sqref="H12">
    <cfRule type="expression" priority="469" dxfId="0">
      <formula>AND(COUNT(C12:I12)=7,H12=5)</formula>
    </cfRule>
    <cfRule type="expression" priority="470" dxfId="1">
      <formula>AND(COUNT(C12:I12)=7,H12&lt;5*0.4)</formula>
    </cfRule>
    <cfRule type="expression" priority="471" dxfId="2">
      <formula>AND(COUNT(C12:I12)=7,H12&gt;=5*0.4,H12&lt;5)</formula>
    </cfRule>
  </conditionalFormatting>
  <conditionalFormatting sqref="H13">
    <cfRule type="expression" priority="472" dxfId="0">
      <formula>AND(COUNT(C13:I13)=7,H13=5)</formula>
    </cfRule>
    <cfRule type="expression" priority="473" dxfId="1">
      <formula>AND(COUNT(C13:I13)=7,H13&lt;5*0.4)</formula>
    </cfRule>
    <cfRule type="expression" priority="474" dxfId="2">
      <formula>AND(COUNT(C13:I13)=7,H13&gt;=5*0.4,H13&lt;5)</formula>
    </cfRule>
  </conditionalFormatting>
  <conditionalFormatting sqref="H14">
    <cfRule type="expression" priority="475" dxfId="0">
      <formula>AND(COUNT(C14:I14)=7,H14=5)</formula>
    </cfRule>
    <cfRule type="expression" priority="476" dxfId="1">
      <formula>AND(COUNT(C14:I14)=7,H14&lt;5*0.4)</formula>
    </cfRule>
    <cfRule type="expression" priority="477" dxfId="2">
      <formula>AND(COUNT(C14:I14)=7,H14&gt;=5*0.4,H14&lt;5)</formula>
    </cfRule>
  </conditionalFormatting>
  <conditionalFormatting sqref="H15">
    <cfRule type="expression" priority="478" dxfId="0">
      <formula>AND(COUNT(C15:I15)=7,H15=5)</formula>
    </cfRule>
    <cfRule type="expression" priority="479" dxfId="1">
      <formula>AND(COUNT(C15:I15)=7,H15&lt;5*0.4)</formula>
    </cfRule>
    <cfRule type="expression" priority="480" dxfId="2">
      <formula>AND(COUNT(C15:I15)=7,H15&gt;=5*0.4,H15&lt;5)</formula>
    </cfRule>
  </conditionalFormatting>
  <conditionalFormatting sqref="H16">
    <cfRule type="expression" priority="481" dxfId="0">
      <formula>AND(COUNT(C16:I16)=7,H16=5)</formula>
    </cfRule>
    <cfRule type="expression" priority="482" dxfId="1">
      <formula>AND(COUNT(C16:I16)=7,H16&lt;5*0.4)</formula>
    </cfRule>
    <cfRule type="expression" priority="483" dxfId="2">
      <formula>AND(COUNT(C16:I16)=7,H16&gt;=5*0.4,H16&lt;5)</formula>
    </cfRule>
  </conditionalFormatting>
  <conditionalFormatting sqref="H17">
    <cfRule type="expression" priority="484" dxfId="0">
      <formula>AND(COUNT(C17:I17)=7,H17=5)</formula>
    </cfRule>
    <cfRule type="expression" priority="485" dxfId="1">
      <formula>AND(COUNT(C17:I17)=7,H17&lt;5*0.4)</formula>
    </cfRule>
    <cfRule type="expression" priority="486" dxfId="2">
      <formula>AND(COUNT(C17:I17)=7,H17&gt;=5*0.4,H17&lt;5)</formula>
    </cfRule>
  </conditionalFormatting>
  <conditionalFormatting sqref="H18">
    <cfRule type="expression" priority="487" dxfId="0">
      <formula>AND(COUNT(C18:I18)=7,H18=5)</formula>
    </cfRule>
    <cfRule type="expression" priority="488" dxfId="1">
      <formula>AND(COUNT(C18:I18)=7,H18&lt;5*0.4)</formula>
    </cfRule>
    <cfRule type="expression" priority="489" dxfId="2">
      <formula>AND(COUNT(C18:I18)=7,H18&gt;=5*0.4,H18&lt;5)</formula>
    </cfRule>
  </conditionalFormatting>
  <conditionalFormatting sqref="H19">
    <cfRule type="expression" priority="490" dxfId="0">
      <formula>AND(COUNT(C19:I19)=7,H19=5)</formula>
    </cfRule>
    <cfRule type="expression" priority="491" dxfId="1">
      <formula>AND(COUNT(C19:I19)=7,H19&lt;5*0.4)</formula>
    </cfRule>
    <cfRule type="expression" priority="492" dxfId="2">
      <formula>AND(COUNT(C19:I19)=7,H19&gt;=5*0.4,H19&lt;5)</formula>
    </cfRule>
  </conditionalFormatting>
  <conditionalFormatting sqref="H20">
    <cfRule type="expression" priority="493" dxfId="0">
      <formula>AND(COUNT(C20:I20)=7,H20=5)</formula>
    </cfRule>
    <cfRule type="expression" priority="494" dxfId="1">
      <formula>AND(COUNT(C20:I20)=7,H20&lt;5*0.4)</formula>
    </cfRule>
    <cfRule type="expression" priority="495" dxfId="2">
      <formula>AND(COUNT(C20:I20)=7,H20&gt;=5*0.4,H20&lt;5)</formula>
    </cfRule>
  </conditionalFormatting>
  <conditionalFormatting sqref="H21">
    <cfRule type="expression" priority="496" dxfId="0">
      <formula>AND(COUNT(C21:I21)=7,H21=5)</formula>
    </cfRule>
    <cfRule type="expression" priority="497" dxfId="1">
      <formula>AND(COUNT(C21:I21)=7,H21&lt;5*0.4)</formula>
    </cfRule>
    <cfRule type="expression" priority="498" dxfId="2">
      <formula>AND(COUNT(C21:I21)=7,H21&gt;=5*0.4,H21&lt;5)</formula>
    </cfRule>
  </conditionalFormatting>
  <conditionalFormatting sqref="H22">
    <cfRule type="expression" priority="499" dxfId="0">
      <formula>AND(COUNT(C22:I22)=7,H22=5)</formula>
    </cfRule>
    <cfRule type="expression" priority="500" dxfId="1">
      <formula>AND(COUNT(C22:I22)=7,H22&lt;5*0.4)</formula>
    </cfRule>
    <cfRule type="expression" priority="501" dxfId="2">
      <formula>AND(COUNT(C22:I22)=7,H22&gt;=5*0.4,H22&lt;5)</formula>
    </cfRule>
  </conditionalFormatting>
  <conditionalFormatting sqref="H23">
    <cfRule type="expression" priority="502" dxfId="0">
      <formula>AND(COUNT(C23:I23)=7,H23=5)</formula>
    </cfRule>
    <cfRule type="expression" priority="503" dxfId="1">
      <formula>AND(COUNT(C23:I23)=7,H23&lt;5*0.4)</formula>
    </cfRule>
    <cfRule type="expression" priority="504" dxfId="2">
      <formula>AND(COUNT(C23:I23)=7,H23&gt;=5*0.4,H23&lt;5)</formula>
    </cfRule>
  </conditionalFormatting>
  <conditionalFormatting sqref="H24">
    <cfRule type="expression" priority="505" dxfId="0">
      <formula>AND(COUNT(C24:I24)=7,H24=5)</formula>
    </cfRule>
    <cfRule type="expression" priority="506" dxfId="1">
      <formula>AND(COUNT(C24:I24)=7,H24&lt;5*0.4)</formula>
    </cfRule>
    <cfRule type="expression" priority="507" dxfId="2">
      <formula>AND(COUNT(C24:I24)=7,H24&gt;=5*0.4,H24&lt;5)</formula>
    </cfRule>
  </conditionalFormatting>
  <conditionalFormatting sqref="H25">
    <cfRule type="expression" priority="508" dxfId="0">
      <formula>AND(COUNT(C25:I25)=7,H25=5)</formula>
    </cfRule>
    <cfRule type="expression" priority="509" dxfId="1">
      <formula>AND(COUNT(C25:I25)=7,H25&lt;5*0.4)</formula>
    </cfRule>
    <cfRule type="expression" priority="510" dxfId="2">
      <formula>AND(COUNT(C25:I25)=7,H25&gt;=5*0.4,H25&lt;5)</formula>
    </cfRule>
  </conditionalFormatting>
  <conditionalFormatting sqref="H26">
    <cfRule type="expression" priority="511" dxfId="0">
      <formula>AND(COUNT(C26:I26)=7,H26=5)</formula>
    </cfRule>
    <cfRule type="expression" priority="512" dxfId="1">
      <formula>AND(COUNT(C26:I26)=7,H26&lt;5*0.4)</formula>
    </cfRule>
    <cfRule type="expression" priority="513" dxfId="2">
      <formula>AND(COUNT(C26:I26)=7,H26&gt;=5*0.4,H26&lt;5)</formula>
    </cfRule>
  </conditionalFormatting>
  <conditionalFormatting sqref="H27">
    <cfRule type="expression" priority="514" dxfId="0">
      <formula>AND(COUNT(C27:I27)=7,H27=5)</formula>
    </cfRule>
    <cfRule type="expression" priority="515" dxfId="1">
      <formula>AND(COUNT(C27:I27)=7,H27&lt;5*0.4)</formula>
    </cfRule>
    <cfRule type="expression" priority="516" dxfId="2">
      <formula>AND(COUNT(C27:I27)=7,H27&gt;=5*0.4,H27&lt;5)</formula>
    </cfRule>
  </conditionalFormatting>
  <conditionalFormatting sqref="H28">
    <cfRule type="expression" priority="517" dxfId="0">
      <formula>AND(COUNT(C28:I28)=7,H28=5)</formula>
    </cfRule>
    <cfRule type="expression" priority="518" dxfId="1">
      <formula>AND(COUNT(C28:I28)=7,H28&lt;5*0.4)</formula>
    </cfRule>
    <cfRule type="expression" priority="519" dxfId="2">
      <formula>AND(COUNT(C28:I28)=7,H28&gt;=5*0.4,H28&lt;5)</formula>
    </cfRule>
  </conditionalFormatting>
  <conditionalFormatting sqref="H29">
    <cfRule type="expression" priority="520" dxfId="0">
      <formula>AND(COUNT(C29:I29)=7,H29=5)</formula>
    </cfRule>
    <cfRule type="expression" priority="521" dxfId="1">
      <formula>AND(COUNT(C29:I29)=7,H29&lt;5*0.4)</formula>
    </cfRule>
    <cfRule type="expression" priority="522" dxfId="2">
      <formula>AND(COUNT(C29:I29)=7,H29&gt;=5*0.4,H29&lt;5)</formula>
    </cfRule>
  </conditionalFormatting>
  <conditionalFormatting sqref="H30">
    <cfRule type="expression" priority="523" dxfId="0">
      <formula>AND(COUNT(C30:I30)=7,H30=5)</formula>
    </cfRule>
    <cfRule type="expression" priority="524" dxfId="1">
      <formula>AND(COUNT(C30:I30)=7,H30&lt;5*0.4)</formula>
    </cfRule>
    <cfRule type="expression" priority="525" dxfId="2">
      <formula>AND(COUNT(C30:I30)=7,H30&gt;=5*0.4,H30&lt;5)</formula>
    </cfRule>
  </conditionalFormatting>
  <conditionalFormatting sqref="H31">
    <cfRule type="expression" priority="526" dxfId="0">
      <formula>AND(COUNT(C31:I31)=7,H31=5)</formula>
    </cfRule>
    <cfRule type="expression" priority="527" dxfId="1">
      <formula>AND(COUNT(C31:I31)=7,H31&lt;5*0.4)</formula>
    </cfRule>
    <cfRule type="expression" priority="528" dxfId="2">
      <formula>AND(COUNT(C31:I31)=7,H31&gt;=5*0.4,H31&lt;5)</formula>
    </cfRule>
  </conditionalFormatting>
  <conditionalFormatting sqref="H32">
    <cfRule type="expression" priority="529" dxfId="0">
      <formula>AND(COUNT(C32:I32)=7,H32=5)</formula>
    </cfRule>
    <cfRule type="expression" priority="530" dxfId="1">
      <formula>AND(COUNT(C32:I32)=7,H32&lt;5*0.4)</formula>
    </cfRule>
    <cfRule type="expression" priority="531" dxfId="2">
      <formula>AND(COUNT(C32:I32)=7,H32&gt;=5*0.4,H32&lt;5)</formula>
    </cfRule>
  </conditionalFormatting>
  <conditionalFormatting sqref="H33">
    <cfRule type="expression" priority="532" dxfId="0">
      <formula>AND(COUNT(C33:I33)=7,H33=5)</formula>
    </cfRule>
    <cfRule type="expression" priority="533" dxfId="1">
      <formula>AND(COUNT(C33:I33)=7,H33&lt;5*0.4)</formula>
    </cfRule>
    <cfRule type="expression" priority="534" dxfId="2">
      <formula>AND(COUNT(C33:I33)=7,H33&gt;=5*0.4,H33&lt;5)</formula>
    </cfRule>
  </conditionalFormatting>
  <conditionalFormatting sqref="H34">
    <cfRule type="expression" priority="535" dxfId="0">
      <formula>AND(COUNT(C34:I34)=7,H34=5)</formula>
    </cfRule>
    <cfRule type="expression" priority="536" dxfId="1">
      <formula>AND(COUNT(C34:I34)=7,H34&lt;5*0.4)</formula>
    </cfRule>
    <cfRule type="expression" priority="537" dxfId="2">
      <formula>AND(COUNT(C34:I34)=7,H34&gt;=5*0.4,H34&lt;5)</formula>
    </cfRule>
  </conditionalFormatting>
  <conditionalFormatting sqref="H35">
    <cfRule type="expression" priority="538" dxfId="0">
      <formula>AND(COUNT(C35:I35)=7,H35=5)</formula>
    </cfRule>
    <cfRule type="expression" priority="539" dxfId="1">
      <formula>AND(COUNT(C35:I35)=7,H35&lt;5*0.4)</formula>
    </cfRule>
    <cfRule type="expression" priority="540" dxfId="2">
      <formula>AND(COUNT(C35:I35)=7,H35&gt;=5*0.4,H35&lt;5)</formula>
    </cfRule>
  </conditionalFormatting>
  <conditionalFormatting sqref="H36">
    <cfRule type="expression" priority="541" dxfId="0">
      <formula>AND(COUNT(C36:I36)=7,H36=5)</formula>
    </cfRule>
    <cfRule type="expression" priority="542" dxfId="1">
      <formula>AND(COUNT(C36:I36)=7,H36&lt;5*0.4)</formula>
    </cfRule>
    <cfRule type="expression" priority="543" dxfId="2">
      <formula>AND(COUNT(C36:I36)=7,H36&gt;=5*0.4,H36&lt;5)</formula>
    </cfRule>
  </conditionalFormatting>
  <conditionalFormatting sqref="H37">
    <cfRule type="expression" priority="544" dxfId="0">
      <formula>AND(COUNT(C37:I37)=7,H37=5)</formula>
    </cfRule>
    <cfRule type="expression" priority="545" dxfId="1">
      <formula>AND(COUNT(C37:I37)=7,H37&lt;5*0.4)</formula>
    </cfRule>
    <cfRule type="expression" priority="546" dxfId="2">
      <formula>AND(COUNT(C37:I37)=7,H37&gt;=5*0.4,H37&lt;5)</formula>
    </cfRule>
  </conditionalFormatting>
  <conditionalFormatting sqref="H38">
    <cfRule type="expression" priority="547" dxfId="0">
      <formula>AND(COUNT(C38:I38)=7,H38=5)</formula>
    </cfRule>
    <cfRule type="expression" priority="548" dxfId="1">
      <formula>AND(COUNT(C38:I38)=7,H38&lt;5*0.4)</formula>
    </cfRule>
    <cfRule type="expression" priority="549" dxfId="2">
      <formula>AND(COUNT(C38:I38)=7,H38&gt;=5*0.4,H38&lt;5)</formula>
    </cfRule>
  </conditionalFormatting>
  <conditionalFormatting sqref="H39">
    <cfRule type="expression" priority="550" dxfId="0">
      <formula>AND(COUNT(C39:I39)=7,H39=5)</formula>
    </cfRule>
    <cfRule type="expression" priority="551" dxfId="1">
      <formula>AND(COUNT(C39:I39)=7,H39&lt;5*0.4)</formula>
    </cfRule>
    <cfRule type="expression" priority="552" dxfId="2">
      <formula>AND(COUNT(C39:I39)=7,H39&gt;=5*0.4,H39&lt;5)</formula>
    </cfRule>
  </conditionalFormatting>
  <conditionalFormatting sqref="H40">
    <cfRule type="expression" priority="553" dxfId="0">
      <formula>AND(COUNT(C40:I40)=7,H40=5)</formula>
    </cfRule>
    <cfRule type="expression" priority="554" dxfId="1">
      <formula>AND(COUNT(C40:I40)=7,H40&lt;5*0.4)</formula>
    </cfRule>
    <cfRule type="expression" priority="555" dxfId="2">
      <formula>AND(COUNT(C40:I40)=7,H40&gt;=5*0.4,H40&lt;5)</formula>
    </cfRule>
  </conditionalFormatting>
  <conditionalFormatting sqref="H41">
    <cfRule type="expression" priority="556" dxfId="0">
      <formula>AND(COUNT(C41:I41)=7,H41=5)</formula>
    </cfRule>
    <cfRule type="expression" priority="557" dxfId="1">
      <formula>AND(COUNT(C41:I41)=7,H41&lt;5*0.4)</formula>
    </cfRule>
    <cfRule type="expression" priority="558" dxfId="2">
      <formula>AND(COUNT(C41:I41)=7,H41&gt;=5*0.4,H41&lt;5)</formula>
    </cfRule>
  </conditionalFormatting>
  <conditionalFormatting sqref="I11">
    <cfRule type="expression" priority="559" dxfId="0">
      <formula>AND(COUNT(C11:I11)=7,I11=9)</formula>
    </cfRule>
    <cfRule type="expression" priority="560" dxfId="1">
      <formula>AND(COUNT(C11:I11)=7,I11&lt;9*0.4)</formula>
    </cfRule>
    <cfRule type="expression" priority="561" dxfId="2">
      <formula>AND(COUNT(C11:I11)=7,I11&gt;=9*0.4,I11&lt;9)</formula>
    </cfRule>
  </conditionalFormatting>
  <conditionalFormatting sqref="I12">
    <cfRule type="expression" priority="562" dxfId="0">
      <formula>AND(COUNT(C12:I12)=7,I12=9)</formula>
    </cfRule>
    <cfRule type="expression" priority="563" dxfId="1">
      <formula>AND(COUNT(C12:I12)=7,I12&lt;9*0.4)</formula>
    </cfRule>
    <cfRule type="expression" priority="564" dxfId="2">
      <formula>AND(COUNT(C12:I12)=7,I12&gt;=9*0.4,I12&lt;9)</formula>
    </cfRule>
  </conditionalFormatting>
  <conditionalFormatting sqref="I13">
    <cfRule type="expression" priority="565" dxfId="0">
      <formula>AND(COUNT(C13:I13)=7,I13=9)</formula>
    </cfRule>
    <cfRule type="expression" priority="566" dxfId="1">
      <formula>AND(COUNT(C13:I13)=7,I13&lt;9*0.4)</formula>
    </cfRule>
    <cfRule type="expression" priority="567" dxfId="2">
      <formula>AND(COUNT(C13:I13)=7,I13&gt;=9*0.4,I13&lt;9)</formula>
    </cfRule>
  </conditionalFormatting>
  <conditionalFormatting sqref="I14">
    <cfRule type="expression" priority="568" dxfId="0">
      <formula>AND(COUNT(C14:I14)=7,I14=9)</formula>
    </cfRule>
    <cfRule type="expression" priority="569" dxfId="1">
      <formula>AND(COUNT(C14:I14)=7,I14&lt;9*0.4)</formula>
    </cfRule>
    <cfRule type="expression" priority="570" dxfId="2">
      <formula>AND(COUNT(C14:I14)=7,I14&gt;=9*0.4,I14&lt;9)</formula>
    </cfRule>
  </conditionalFormatting>
  <conditionalFormatting sqref="I15">
    <cfRule type="expression" priority="571" dxfId="0">
      <formula>AND(COUNT(C15:I15)=7,I15=9)</formula>
    </cfRule>
    <cfRule type="expression" priority="572" dxfId="1">
      <formula>AND(COUNT(C15:I15)=7,I15&lt;9*0.4)</formula>
    </cfRule>
    <cfRule type="expression" priority="573" dxfId="2">
      <formula>AND(COUNT(C15:I15)=7,I15&gt;=9*0.4,I15&lt;9)</formula>
    </cfRule>
  </conditionalFormatting>
  <conditionalFormatting sqref="I16">
    <cfRule type="expression" priority="574" dxfId="0">
      <formula>AND(COUNT(C16:I16)=7,I16=9)</formula>
    </cfRule>
    <cfRule type="expression" priority="575" dxfId="1">
      <formula>AND(COUNT(C16:I16)=7,I16&lt;9*0.4)</formula>
    </cfRule>
    <cfRule type="expression" priority="576" dxfId="2">
      <formula>AND(COUNT(C16:I16)=7,I16&gt;=9*0.4,I16&lt;9)</formula>
    </cfRule>
  </conditionalFormatting>
  <conditionalFormatting sqref="I17">
    <cfRule type="expression" priority="577" dxfId="0">
      <formula>AND(COUNT(C17:I17)=7,I17=9)</formula>
    </cfRule>
    <cfRule type="expression" priority="578" dxfId="1">
      <formula>AND(COUNT(C17:I17)=7,I17&lt;9*0.4)</formula>
    </cfRule>
    <cfRule type="expression" priority="579" dxfId="2">
      <formula>AND(COUNT(C17:I17)=7,I17&gt;=9*0.4,I17&lt;9)</formula>
    </cfRule>
  </conditionalFormatting>
  <conditionalFormatting sqref="I18">
    <cfRule type="expression" priority="580" dxfId="0">
      <formula>AND(COUNT(C18:I18)=7,I18=9)</formula>
    </cfRule>
    <cfRule type="expression" priority="581" dxfId="1">
      <formula>AND(COUNT(C18:I18)=7,I18&lt;9*0.4)</formula>
    </cfRule>
    <cfRule type="expression" priority="582" dxfId="2">
      <formula>AND(COUNT(C18:I18)=7,I18&gt;=9*0.4,I18&lt;9)</formula>
    </cfRule>
  </conditionalFormatting>
  <conditionalFormatting sqref="I19">
    <cfRule type="expression" priority="583" dxfId="0">
      <formula>AND(COUNT(C19:I19)=7,I19=9)</formula>
    </cfRule>
    <cfRule type="expression" priority="584" dxfId="1">
      <formula>AND(COUNT(C19:I19)=7,I19&lt;9*0.4)</formula>
    </cfRule>
    <cfRule type="expression" priority="585" dxfId="2">
      <formula>AND(COUNT(C19:I19)=7,I19&gt;=9*0.4,I19&lt;9)</formula>
    </cfRule>
  </conditionalFormatting>
  <conditionalFormatting sqref="I20">
    <cfRule type="expression" priority="586" dxfId="0">
      <formula>AND(COUNT(C20:I20)=7,I20=9)</formula>
    </cfRule>
    <cfRule type="expression" priority="587" dxfId="1">
      <formula>AND(COUNT(C20:I20)=7,I20&lt;9*0.4)</formula>
    </cfRule>
    <cfRule type="expression" priority="588" dxfId="2">
      <formula>AND(COUNT(C20:I20)=7,I20&gt;=9*0.4,I20&lt;9)</formula>
    </cfRule>
  </conditionalFormatting>
  <conditionalFormatting sqref="I21">
    <cfRule type="expression" priority="589" dxfId="0">
      <formula>AND(COUNT(C21:I21)=7,I21=9)</formula>
    </cfRule>
    <cfRule type="expression" priority="590" dxfId="1">
      <formula>AND(COUNT(C21:I21)=7,I21&lt;9*0.4)</formula>
    </cfRule>
    <cfRule type="expression" priority="591" dxfId="2">
      <formula>AND(COUNT(C21:I21)=7,I21&gt;=9*0.4,I21&lt;9)</formula>
    </cfRule>
  </conditionalFormatting>
  <conditionalFormatting sqref="I22">
    <cfRule type="expression" priority="592" dxfId="0">
      <formula>AND(COUNT(C22:I22)=7,I22=9)</formula>
    </cfRule>
    <cfRule type="expression" priority="593" dxfId="1">
      <formula>AND(COUNT(C22:I22)=7,I22&lt;9*0.4)</formula>
    </cfRule>
    <cfRule type="expression" priority="594" dxfId="2">
      <formula>AND(COUNT(C22:I22)=7,I22&gt;=9*0.4,I22&lt;9)</formula>
    </cfRule>
  </conditionalFormatting>
  <conditionalFormatting sqref="I23">
    <cfRule type="expression" priority="595" dxfId="0">
      <formula>AND(COUNT(C23:I23)=7,I23=9)</formula>
    </cfRule>
    <cfRule type="expression" priority="596" dxfId="1">
      <formula>AND(COUNT(C23:I23)=7,I23&lt;9*0.4)</formula>
    </cfRule>
    <cfRule type="expression" priority="597" dxfId="2">
      <formula>AND(COUNT(C23:I23)=7,I23&gt;=9*0.4,I23&lt;9)</formula>
    </cfRule>
  </conditionalFormatting>
  <conditionalFormatting sqref="I24">
    <cfRule type="expression" priority="598" dxfId="0">
      <formula>AND(COUNT(C24:I24)=7,I24=9)</formula>
    </cfRule>
    <cfRule type="expression" priority="599" dxfId="1">
      <formula>AND(COUNT(C24:I24)=7,I24&lt;9*0.4)</formula>
    </cfRule>
    <cfRule type="expression" priority="600" dxfId="2">
      <formula>AND(COUNT(C24:I24)=7,I24&gt;=9*0.4,I24&lt;9)</formula>
    </cfRule>
  </conditionalFormatting>
  <conditionalFormatting sqref="I25">
    <cfRule type="expression" priority="601" dxfId="0">
      <formula>AND(COUNT(C25:I25)=7,I25=9)</formula>
    </cfRule>
    <cfRule type="expression" priority="602" dxfId="1">
      <formula>AND(COUNT(C25:I25)=7,I25&lt;9*0.4)</formula>
    </cfRule>
    <cfRule type="expression" priority="603" dxfId="2">
      <formula>AND(COUNT(C25:I25)=7,I25&gt;=9*0.4,I25&lt;9)</formula>
    </cfRule>
  </conditionalFormatting>
  <conditionalFormatting sqref="I26">
    <cfRule type="expression" priority="604" dxfId="0">
      <formula>AND(COUNT(C26:I26)=7,I26=9)</formula>
    </cfRule>
    <cfRule type="expression" priority="605" dxfId="1">
      <formula>AND(COUNT(C26:I26)=7,I26&lt;9*0.4)</formula>
    </cfRule>
    <cfRule type="expression" priority="606" dxfId="2">
      <formula>AND(COUNT(C26:I26)=7,I26&gt;=9*0.4,I26&lt;9)</formula>
    </cfRule>
  </conditionalFormatting>
  <conditionalFormatting sqref="I27">
    <cfRule type="expression" priority="607" dxfId="0">
      <formula>AND(COUNT(C27:I27)=7,I27=9)</formula>
    </cfRule>
    <cfRule type="expression" priority="608" dxfId="1">
      <formula>AND(COUNT(C27:I27)=7,I27&lt;9*0.4)</formula>
    </cfRule>
    <cfRule type="expression" priority="609" dxfId="2">
      <formula>AND(COUNT(C27:I27)=7,I27&gt;=9*0.4,I27&lt;9)</formula>
    </cfRule>
  </conditionalFormatting>
  <conditionalFormatting sqref="I28">
    <cfRule type="expression" priority="610" dxfId="0">
      <formula>AND(COUNT(C28:I28)=7,I28=9)</formula>
    </cfRule>
    <cfRule type="expression" priority="611" dxfId="1">
      <formula>AND(COUNT(C28:I28)=7,I28&lt;9*0.4)</formula>
    </cfRule>
    <cfRule type="expression" priority="612" dxfId="2">
      <formula>AND(COUNT(C28:I28)=7,I28&gt;=9*0.4,I28&lt;9)</formula>
    </cfRule>
  </conditionalFormatting>
  <conditionalFormatting sqref="I29">
    <cfRule type="expression" priority="613" dxfId="0">
      <formula>AND(COUNT(C29:I29)=7,I29=9)</formula>
    </cfRule>
    <cfRule type="expression" priority="614" dxfId="1">
      <formula>AND(COUNT(C29:I29)=7,I29&lt;9*0.4)</formula>
    </cfRule>
    <cfRule type="expression" priority="615" dxfId="2">
      <formula>AND(COUNT(C29:I29)=7,I29&gt;=9*0.4,I29&lt;9)</formula>
    </cfRule>
  </conditionalFormatting>
  <conditionalFormatting sqref="I30">
    <cfRule type="expression" priority="616" dxfId="0">
      <formula>AND(COUNT(C30:I30)=7,I30=9)</formula>
    </cfRule>
    <cfRule type="expression" priority="617" dxfId="1">
      <formula>AND(COUNT(C30:I30)=7,I30&lt;9*0.4)</formula>
    </cfRule>
    <cfRule type="expression" priority="618" dxfId="2">
      <formula>AND(COUNT(C30:I30)=7,I30&gt;=9*0.4,I30&lt;9)</formula>
    </cfRule>
  </conditionalFormatting>
  <conditionalFormatting sqref="I31">
    <cfRule type="expression" priority="619" dxfId="0">
      <formula>AND(COUNT(C31:I31)=7,I31=9)</formula>
    </cfRule>
    <cfRule type="expression" priority="620" dxfId="1">
      <formula>AND(COUNT(C31:I31)=7,I31&lt;9*0.4)</formula>
    </cfRule>
    <cfRule type="expression" priority="621" dxfId="2">
      <formula>AND(COUNT(C31:I31)=7,I31&gt;=9*0.4,I31&lt;9)</formula>
    </cfRule>
  </conditionalFormatting>
  <conditionalFormatting sqref="I32">
    <cfRule type="expression" priority="622" dxfId="0">
      <formula>AND(COUNT(C32:I32)=7,I32=9)</formula>
    </cfRule>
    <cfRule type="expression" priority="623" dxfId="1">
      <formula>AND(COUNT(C32:I32)=7,I32&lt;9*0.4)</formula>
    </cfRule>
    <cfRule type="expression" priority="624" dxfId="2">
      <formula>AND(COUNT(C32:I32)=7,I32&gt;=9*0.4,I32&lt;9)</formula>
    </cfRule>
  </conditionalFormatting>
  <conditionalFormatting sqref="I33">
    <cfRule type="expression" priority="625" dxfId="0">
      <formula>AND(COUNT(C33:I33)=7,I33=9)</formula>
    </cfRule>
    <cfRule type="expression" priority="626" dxfId="1">
      <formula>AND(COUNT(C33:I33)=7,I33&lt;9*0.4)</formula>
    </cfRule>
    <cfRule type="expression" priority="627" dxfId="2">
      <formula>AND(COUNT(C33:I33)=7,I33&gt;=9*0.4,I33&lt;9)</formula>
    </cfRule>
  </conditionalFormatting>
  <conditionalFormatting sqref="I34">
    <cfRule type="expression" priority="628" dxfId="0">
      <formula>AND(COUNT(C34:I34)=7,I34=9)</formula>
    </cfRule>
    <cfRule type="expression" priority="629" dxfId="1">
      <formula>AND(COUNT(C34:I34)=7,I34&lt;9*0.4)</formula>
    </cfRule>
    <cfRule type="expression" priority="630" dxfId="2">
      <formula>AND(COUNT(C34:I34)=7,I34&gt;=9*0.4,I34&lt;9)</formula>
    </cfRule>
  </conditionalFormatting>
  <conditionalFormatting sqref="I35">
    <cfRule type="expression" priority="631" dxfId="0">
      <formula>AND(COUNT(C35:I35)=7,I35=9)</formula>
    </cfRule>
    <cfRule type="expression" priority="632" dxfId="1">
      <formula>AND(COUNT(C35:I35)=7,I35&lt;9*0.4)</formula>
    </cfRule>
    <cfRule type="expression" priority="633" dxfId="2">
      <formula>AND(COUNT(C35:I35)=7,I35&gt;=9*0.4,I35&lt;9)</formula>
    </cfRule>
  </conditionalFormatting>
  <conditionalFormatting sqref="I36">
    <cfRule type="expression" priority="634" dxfId="0">
      <formula>AND(COUNT(C36:I36)=7,I36=9)</formula>
    </cfRule>
    <cfRule type="expression" priority="635" dxfId="1">
      <formula>AND(COUNT(C36:I36)=7,I36&lt;9*0.4)</formula>
    </cfRule>
    <cfRule type="expression" priority="636" dxfId="2">
      <formula>AND(COUNT(C36:I36)=7,I36&gt;=9*0.4,I36&lt;9)</formula>
    </cfRule>
  </conditionalFormatting>
  <conditionalFormatting sqref="I37">
    <cfRule type="expression" priority="637" dxfId="0">
      <formula>AND(COUNT(C37:I37)=7,I37=9)</formula>
    </cfRule>
    <cfRule type="expression" priority="638" dxfId="1">
      <formula>AND(COUNT(C37:I37)=7,I37&lt;9*0.4)</formula>
    </cfRule>
    <cfRule type="expression" priority="639" dxfId="2">
      <formula>AND(COUNT(C37:I37)=7,I37&gt;=9*0.4,I37&lt;9)</formula>
    </cfRule>
  </conditionalFormatting>
  <conditionalFormatting sqref="I38">
    <cfRule type="expression" priority="640" dxfId="0">
      <formula>AND(COUNT(C38:I38)=7,I38=9)</formula>
    </cfRule>
    <cfRule type="expression" priority="641" dxfId="1">
      <formula>AND(COUNT(C38:I38)=7,I38&lt;9*0.4)</formula>
    </cfRule>
    <cfRule type="expression" priority="642" dxfId="2">
      <formula>AND(COUNT(C38:I38)=7,I38&gt;=9*0.4,I38&lt;9)</formula>
    </cfRule>
  </conditionalFormatting>
  <conditionalFormatting sqref="I39">
    <cfRule type="expression" priority="643" dxfId="0">
      <formula>AND(COUNT(C39:I39)=7,I39=9)</formula>
    </cfRule>
    <cfRule type="expression" priority="644" dxfId="1">
      <formula>AND(COUNT(C39:I39)=7,I39&lt;9*0.4)</formula>
    </cfRule>
    <cfRule type="expression" priority="645" dxfId="2">
      <formula>AND(COUNT(C39:I39)=7,I39&gt;=9*0.4,I39&lt;9)</formula>
    </cfRule>
  </conditionalFormatting>
  <conditionalFormatting sqref="I40">
    <cfRule type="expression" priority="646" dxfId="0">
      <formula>AND(COUNT(C40:I40)=7,I40=9)</formula>
    </cfRule>
    <cfRule type="expression" priority="647" dxfId="1">
      <formula>AND(COUNT(C40:I40)=7,I40&lt;9*0.4)</formula>
    </cfRule>
    <cfRule type="expression" priority="648" dxfId="2">
      <formula>AND(COUNT(C40:I40)=7,I40&gt;=9*0.4,I40&lt;9)</formula>
    </cfRule>
  </conditionalFormatting>
  <conditionalFormatting sqref="I41">
    <cfRule type="expression" priority="649" dxfId="0">
      <formula>AND(COUNT(C41:I41)=7,I41=9)</formula>
    </cfRule>
    <cfRule type="expression" priority="650" dxfId="1">
      <formula>AND(COUNT(C41:I41)=7,I41&lt;9*0.4)</formula>
    </cfRule>
    <cfRule type="expression" priority="651" dxfId="2">
      <formula>AND(COUNT(C41:I41)=7,I41&gt;=9*0.4,I41&lt;9)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Chapter 3 End of Topic Test 2 — Modelling and Estimation</t>
        </is>
      </c>
    </row>
    <row r="2">
      <c r="A2" s="2" t="inlineStr">
        <is>
          <t>Every block below pulls live from 'Ch3 EOT2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SUMPRODUCT(--ISNUMBER('Ch3 EOT2 Results'!L12:L41))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IF('Ch3 EOT2 Results'!L12="","","Chapter 3 End of Topic Test 2 — Modelling and Estimation")</f>
        <v/>
      </c>
      <c r="K5">
        <f>IF('Ch3 EOT2 Results'!L13="","","Chapter 3 End of Topic Test 2 — Modelling and Estimation")</f>
        <v/>
      </c>
    </row>
    <row r="6">
      <c r="A6">
        <f>IF('Ch3 EOT2 Results'!L12="","","Name: "&amp;'Ch3 EOT2 Results'!B12&amp;"   Class: "&amp;'Ch3 EOT2 Results'!$B$3&amp;"   Date: "&amp;TEXT('Ch3 EOT2 Results'!$B$5,"DD/MM/YY"))</f>
        <v/>
      </c>
      <c r="K6">
        <f>IF('Ch3 EOT2 Results'!L13="","","Name: "&amp;'Ch3 EOT2 Results'!B13&amp;"   Class: "&amp;'Ch3 EOT2 Results'!$B$3&amp;"   Date: "&amp;TEXT('Ch3 EOT2 Results'!$B$5,"DD/MM/YY"))</f>
        <v/>
      </c>
    </row>
    <row r="7">
      <c r="A7">
        <f>IF('Ch3 EOT2 Results'!L12="","","Total: "&amp;'Ch3 EOT2 Results'!J12&amp;"/47 ("&amp;TEXT('Ch3 EOT2 Results'!K12,"0%")&amp;")   Overall: "&amp;'Ch3 EOT2 Results'!L12)</f>
        <v/>
      </c>
      <c r="K7">
        <f>IF('Ch3 EOT2 Results'!L13="","","Total: "&amp;'Ch3 EOT2 Results'!J13&amp;"/47 ("&amp;TEXT('Ch3 EOT2 Results'!K13,"0%")&amp;")   Overall: "&amp;'Ch3 EOT2 Results'!L13)</f>
        <v/>
      </c>
    </row>
    <row r="8">
      <c r="A8">
        <f>IF('Ch3 EOT2 Results'!L12="","",IF('Ch3 EOT2 Results'!L12="Green",Parameters!$C$212,IF('Ch3 EOT2 Results'!L12="Yellow",Parameters!$C$211,Parameters!$C$210)))</f>
        <v/>
      </c>
      <c r="K8">
        <f>IF('Ch3 EOT2 Results'!L13="","",IF('Ch3 EOT2 Results'!L13="Green",Parameters!$C$212,IF('Ch3 EOT2 Results'!L13="Yellow",Parameters!$C$211,Parameters!$C$210)))</f>
        <v/>
      </c>
    </row>
    <row r="10">
      <c r="A10">
        <f>IF('Ch3 EOT2 Results'!L12="","","Breakdown:")</f>
        <v/>
      </c>
      <c r="K10">
        <f>IF('Ch3 EOT2 Results'!L13="","","Breakdown:")</f>
        <v/>
      </c>
    </row>
    <row r="11">
      <c r="A11">
        <f>IF('Ch3 EOT2 Results'!L12="","","Q1 Fermi estimate: umbrellas: "&amp;'Ch3 EOT2 Results'!C12&amp;"/7")</f>
        <v/>
      </c>
      <c r="K11">
        <f>IF('Ch3 EOT2 Results'!L13="","","Q1 Fermi estimate: umbrellas: "&amp;'Ch3 EOT2 Results'!C13&amp;"/7")</f>
        <v/>
      </c>
    </row>
    <row r="12">
      <c r="A12">
        <f>IF('Ch3 EOT2 Results'!L12="","","Q2 Standard form &amp; scaling: "&amp;'Ch3 EOT2 Results'!D12&amp;"/5")</f>
        <v/>
      </c>
      <c r="K12">
        <f>IF('Ch3 EOT2 Results'!L13="","","Q2 Standard form &amp; scaling: "&amp;'Ch3 EOT2 Results'!D13&amp;"/5")</f>
        <v/>
      </c>
    </row>
    <row r="13">
      <c r="A13">
        <f>IF('Ch3 EOT2 Results'!L12="","","Q3 Subdividing: trees in a park: "&amp;'Ch3 EOT2 Results'!E12&amp;"/7")</f>
        <v/>
      </c>
      <c r="K13">
        <f>IF('Ch3 EOT2 Results'!L13="","","Q3 Subdividing: trees in a park: "&amp;'Ch3 EOT2 Results'!E13&amp;"/7")</f>
        <v/>
      </c>
    </row>
    <row r="14">
      <c r="A14">
        <f>IF('Ch3 EOT2 Results'!L12="","","Q4 Modelling cycle: paper usage: "&amp;'Ch3 EOT2 Results'!F12&amp;"/9")</f>
        <v/>
      </c>
      <c r="K14">
        <f>IF('Ch3 EOT2 Results'!L13="","","Q4 Modelling cycle: paper usage: "&amp;'Ch3 EOT2 Results'!F13&amp;"/9")</f>
        <v/>
      </c>
    </row>
    <row r="15">
      <c r="A15">
        <f>IF('Ch3 EOT2 Results'!L12="","","Q5 Volume estimate &amp; model limitations: "&amp;'Ch3 EOT2 Results'!G12&amp;"/5")</f>
        <v/>
      </c>
      <c r="K15">
        <f>IF('Ch3 EOT2 Results'!L13="","","Q5 Volume estimate &amp; model limitations: "&amp;'Ch3 EOT2 Results'!G13&amp;"/5")</f>
        <v/>
      </c>
    </row>
    <row r="16">
      <c r="A16">
        <f>IF('Ch3 EOT2 Results'!L12="","","Q6 Standard form: density: "&amp;'Ch3 EOT2 Results'!H12&amp;"/5")</f>
        <v/>
      </c>
      <c r="K16">
        <f>IF('Ch3 EOT2 Results'!L13="","","Q6 Standard form: density: "&amp;'Ch3 EOT2 Results'!H13&amp;"/5")</f>
        <v/>
      </c>
    </row>
    <row r="17">
      <c r="A17">
        <f>IF('Ch3 EOT2 Results'!L12="","","Q7 Fermi estimate: birds in a reserve: "&amp;'Ch3 EOT2 Results'!I12&amp;"/9")</f>
        <v/>
      </c>
      <c r="K17">
        <f>IF('Ch3 EOT2 Results'!L13="","","Q7 Fermi estimate: birds in a reserve: "&amp;'Ch3 EOT2 Results'!I13&amp;"/9")</f>
        <v/>
      </c>
    </row>
    <row r="18">
      <c r="A18">
        <f>IF(OR('Ch3 EOT2 Results'!L12="",'Ch3 EOT2 Results'!M12=""),"",'Ch3 EOT2 Results'!M12)</f>
        <v/>
      </c>
      <c r="K18">
        <f>IF(OR('Ch3 EOT2 Results'!L13="",'Ch3 EOT2 Results'!M13=""),"",'Ch3 EOT2 Results'!M13)</f>
        <v/>
      </c>
    </row>
    <row r="20">
      <c r="A20">
        <f>IF('Ch3 EOT2 Results'!L12="","","Comments:")</f>
        <v/>
      </c>
      <c r="K20">
        <f>IF('Ch3 EOT2 Results'!L13="","","Comments:")</f>
        <v/>
      </c>
    </row>
    <row r="21">
      <c r="A21">
        <f>IF('Ch3 EOT2 Results'!L14="","","Chapter 3 End of Topic Test 2 — Modelling and Estimation")</f>
        <v/>
      </c>
      <c r="K21">
        <f>IF('Ch3 EOT2 Results'!L15="","","Chapter 3 End of Topic Test 2 — Modelling and Estimation")</f>
        <v/>
      </c>
    </row>
    <row r="22">
      <c r="A22">
        <f>IF('Ch3 EOT2 Results'!L14="","","Name: "&amp;'Ch3 EOT2 Results'!B14&amp;"   Class: "&amp;'Ch3 EOT2 Results'!$B$3&amp;"   Date: "&amp;TEXT('Ch3 EOT2 Results'!$B$5,"DD/MM/YY"))</f>
        <v/>
      </c>
      <c r="K22">
        <f>IF('Ch3 EOT2 Results'!L15="","","Name: "&amp;'Ch3 EOT2 Results'!B15&amp;"   Class: "&amp;'Ch3 EOT2 Results'!$B$3&amp;"   Date: "&amp;TEXT('Ch3 EOT2 Results'!$B$5,"DD/MM/YY"))</f>
        <v/>
      </c>
    </row>
    <row r="23">
      <c r="A23">
        <f>IF('Ch3 EOT2 Results'!L14="","","Total: "&amp;'Ch3 EOT2 Results'!J14&amp;"/47 ("&amp;TEXT('Ch3 EOT2 Results'!K14,"0%")&amp;")   Overall: "&amp;'Ch3 EOT2 Results'!L14)</f>
        <v/>
      </c>
      <c r="K23">
        <f>IF('Ch3 EOT2 Results'!L15="","","Total: "&amp;'Ch3 EOT2 Results'!J15&amp;"/47 ("&amp;TEXT('Ch3 EOT2 Results'!K15,"0%")&amp;")   Overall: "&amp;'Ch3 EOT2 Results'!L15)</f>
        <v/>
      </c>
    </row>
    <row r="24">
      <c r="A24">
        <f>IF('Ch3 EOT2 Results'!L14="","",IF('Ch3 EOT2 Results'!L14="Green",Parameters!$C$212,IF('Ch3 EOT2 Results'!L14="Yellow",Parameters!$C$211,Parameters!$C$210)))</f>
        <v/>
      </c>
      <c r="K24">
        <f>IF('Ch3 EOT2 Results'!L15="","",IF('Ch3 EOT2 Results'!L15="Green",Parameters!$C$212,IF('Ch3 EOT2 Results'!L15="Yellow",Parameters!$C$211,Parameters!$C$210)))</f>
        <v/>
      </c>
    </row>
    <row r="26">
      <c r="A26">
        <f>IF('Ch3 EOT2 Results'!L14="","","Breakdown:")</f>
        <v/>
      </c>
      <c r="K26">
        <f>IF('Ch3 EOT2 Results'!L15="","","Breakdown:")</f>
        <v/>
      </c>
    </row>
    <row r="27">
      <c r="A27">
        <f>IF('Ch3 EOT2 Results'!L14="","","Q1 Fermi estimate: umbrellas: "&amp;'Ch3 EOT2 Results'!C14&amp;"/7")</f>
        <v/>
      </c>
      <c r="K27">
        <f>IF('Ch3 EOT2 Results'!L15="","","Q1 Fermi estimate: umbrellas: "&amp;'Ch3 EOT2 Results'!C15&amp;"/7")</f>
        <v/>
      </c>
    </row>
    <row r="28">
      <c r="A28">
        <f>IF('Ch3 EOT2 Results'!L14="","","Q2 Standard form &amp; scaling: "&amp;'Ch3 EOT2 Results'!D14&amp;"/5")</f>
        <v/>
      </c>
      <c r="K28">
        <f>IF('Ch3 EOT2 Results'!L15="","","Q2 Standard form &amp; scaling: "&amp;'Ch3 EOT2 Results'!D15&amp;"/5")</f>
        <v/>
      </c>
    </row>
    <row r="29">
      <c r="A29">
        <f>IF('Ch3 EOT2 Results'!L14="","","Q3 Subdividing: trees in a park: "&amp;'Ch3 EOT2 Results'!E14&amp;"/7")</f>
        <v/>
      </c>
      <c r="K29">
        <f>IF('Ch3 EOT2 Results'!L15="","","Q3 Subdividing: trees in a park: "&amp;'Ch3 EOT2 Results'!E15&amp;"/7")</f>
        <v/>
      </c>
    </row>
    <row r="30">
      <c r="A30">
        <f>IF('Ch3 EOT2 Results'!L14="","","Q4 Modelling cycle: paper usage: "&amp;'Ch3 EOT2 Results'!F14&amp;"/9")</f>
        <v/>
      </c>
      <c r="K30">
        <f>IF('Ch3 EOT2 Results'!L15="","","Q4 Modelling cycle: paper usage: "&amp;'Ch3 EOT2 Results'!F15&amp;"/9")</f>
        <v/>
      </c>
    </row>
    <row r="31">
      <c r="A31">
        <f>IF('Ch3 EOT2 Results'!L14="","","Q5 Volume estimate &amp; model limitations: "&amp;'Ch3 EOT2 Results'!G14&amp;"/5")</f>
        <v/>
      </c>
      <c r="K31">
        <f>IF('Ch3 EOT2 Results'!L15="","","Q5 Volume estimate &amp; model limitations: "&amp;'Ch3 EOT2 Results'!G15&amp;"/5")</f>
        <v/>
      </c>
    </row>
    <row r="32">
      <c r="A32">
        <f>IF('Ch3 EOT2 Results'!L14="","","Q6 Standard form: density: "&amp;'Ch3 EOT2 Results'!H14&amp;"/5")</f>
        <v/>
      </c>
      <c r="K32">
        <f>IF('Ch3 EOT2 Results'!L15="","","Q6 Standard form: density: "&amp;'Ch3 EOT2 Results'!H15&amp;"/5")</f>
        <v/>
      </c>
    </row>
    <row r="33">
      <c r="A33">
        <f>IF('Ch3 EOT2 Results'!L14="","","Q7 Fermi estimate: birds in a reserve: "&amp;'Ch3 EOT2 Results'!I14&amp;"/9")</f>
        <v/>
      </c>
      <c r="K33">
        <f>IF('Ch3 EOT2 Results'!L15="","","Q7 Fermi estimate: birds in a reserve: "&amp;'Ch3 EOT2 Results'!I15&amp;"/9")</f>
        <v/>
      </c>
    </row>
    <row r="34">
      <c r="A34">
        <f>IF(OR('Ch3 EOT2 Results'!L14="",'Ch3 EOT2 Results'!M14=""),"",'Ch3 EOT2 Results'!M14)</f>
        <v/>
      </c>
      <c r="K34">
        <f>IF(OR('Ch3 EOT2 Results'!L15="",'Ch3 EOT2 Results'!M15=""),"",'Ch3 EOT2 Results'!M15)</f>
        <v/>
      </c>
    </row>
    <row r="36">
      <c r="A36">
        <f>IF('Ch3 EOT2 Results'!L14="","","Comments:")</f>
        <v/>
      </c>
      <c r="K36">
        <f>IF('Ch3 EOT2 Results'!L15="","","Comments:")</f>
        <v/>
      </c>
    </row>
    <row r="37">
      <c r="A37">
        <f>IF('Ch3 EOT2 Results'!L16="","","Chapter 3 End of Topic Test 2 — Modelling and Estimation")</f>
        <v/>
      </c>
      <c r="K37">
        <f>IF('Ch3 EOT2 Results'!L17="","","Chapter 3 End of Topic Test 2 — Modelling and Estimation")</f>
        <v/>
      </c>
    </row>
    <row r="38">
      <c r="A38">
        <f>IF('Ch3 EOT2 Results'!L16="","","Name: "&amp;'Ch3 EOT2 Results'!B16&amp;"   Class: "&amp;'Ch3 EOT2 Results'!$B$3&amp;"   Date: "&amp;TEXT('Ch3 EOT2 Results'!$B$5,"DD/MM/YY"))</f>
        <v/>
      </c>
      <c r="K38">
        <f>IF('Ch3 EOT2 Results'!L17="","","Name: "&amp;'Ch3 EOT2 Results'!B17&amp;"   Class: "&amp;'Ch3 EOT2 Results'!$B$3&amp;"   Date: "&amp;TEXT('Ch3 EOT2 Results'!$B$5,"DD/MM/YY"))</f>
        <v/>
      </c>
    </row>
    <row r="39">
      <c r="A39">
        <f>IF('Ch3 EOT2 Results'!L16="","","Total: "&amp;'Ch3 EOT2 Results'!J16&amp;"/47 ("&amp;TEXT('Ch3 EOT2 Results'!K16,"0%")&amp;")   Overall: "&amp;'Ch3 EOT2 Results'!L16)</f>
        <v/>
      </c>
      <c r="K39">
        <f>IF('Ch3 EOT2 Results'!L17="","","Total: "&amp;'Ch3 EOT2 Results'!J17&amp;"/47 ("&amp;TEXT('Ch3 EOT2 Results'!K17,"0%")&amp;")   Overall: "&amp;'Ch3 EOT2 Results'!L17)</f>
        <v/>
      </c>
    </row>
    <row r="40">
      <c r="A40">
        <f>IF('Ch3 EOT2 Results'!L16="","",IF('Ch3 EOT2 Results'!L16="Green",Parameters!$C$212,IF('Ch3 EOT2 Results'!L16="Yellow",Parameters!$C$211,Parameters!$C$210)))</f>
        <v/>
      </c>
      <c r="K40">
        <f>IF('Ch3 EOT2 Results'!L17="","",IF('Ch3 EOT2 Results'!L17="Green",Parameters!$C$212,IF('Ch3 EOT2 Results'!L17="Yellow",Parameters!$C$211,Parameters!$C$210)))</f>
        <v/>
      </c>
    </row>
    <row r="42">
      <c r="A42">
        <f>IF('Ch3 EOT2 Results'!L16="","","Breakdown:")</f>
        <v/>
      </c>
      <c r="K42">
        <f>IF('Ch3 EOT2 Results'!L17="","","Breakdown:")</f>
        <v/>
      </c>
    </row>
    <row r="43">
      <c r="A43">
        <f>IF('Ch3 EOT2 Results'!L16="","","Q1 Fermi estimate: umbrellas: "&amp;'Ch3 EOT2 Results'!C16&amp;"/7")</f>
        <v/>
      </c>
      <c r="K43">
        <f>IF('Ch3 EOT2 Results'!L17="","","Q1 Fermi estimate: umbrellas: "&amp;'Ch3 EOT2 Results'!C17&amp;"/7")</f>
        <v/>
      </c>
    </row>
    <row r="44">
      <c r="A44">
        <f>IF('Ch3 EOT2 Results'!L16="","","Q2 Standard form &amp; scaling: "&amp;'Ch3 EOT2 Results'!D16&amp;"/5")</f>
        <v/>
      </c>
      <c r="K44">
        <f>IF('Ch3 EOT2 Results'!L17="","","Q2 Standard form &amp; scaling: "&amp;'Ch3 EOT2 Results'!D17&amp;"/5")</f>
        <v/>
      </c>
    </row>
    <row r="45">
      <c r="A45">
        <f>IF('Ch3 EOT2 Results'!L16="","","Q3 Subdividing: trees in a park: "&amp;'Ch3 EOT2 Results'!E16&amp;"/7")</f>
        <v/>
      </c>
      <c r="K45">
        <f>IF('Ch3 EOT2 Results'!L17="","","Q3 Subdividing: trees in a park: "&amp;'Ch3 EOT2 Results'!E17&amp;"/7")</f>
        <v/>
      </c>
    </row>
    <row r="46">
      <c r="A46">
        <f>IF('Ch3 EOT2 Results'!L16="","","Q4 Modelling cycle: paper usage: "&amp;'Ch3 EOT2 Results'!F16&amp;"/9")</f>
        <v/>
      </c>
      <c r="K46">
        <f>IF('Ch3 EOT2 Results'!L17="","","Q4 Modelling cycle: paper usage: "&amp;'Ch3 EOT2 Results'!F17&amp;"/9")</f>
        <v/>
      </c>
    </row>
    <row r="47">
      <c r="A47">
        <f>IF('Ch3 EOT2 Results'!L16="","","Q5 Volume estimate &amp; model limitations: "&amp;'Ch3 EOT2 Results'!G16&amp;"/5")</f>
        <v/>
      </c>
      <c r="K47">
        <f>IF('Ch3 EOT2 Results'!L17="","","Q5 Volume estimate &amp; model limitations: "&amp;'Ch3 EOT2 Results'!G17&amp;"/5")</f>
        <v/>
      </c>
    </row>
    <row r="48">
      <c r="A48">
        <f>IF('Ch3 EOT2 Results'!L16="","","Q6 Standard form: density: "&amp;'Ch3 EOT2 Results'!H16&amp;"/5")</f>
        <v/>
      </c>
      <c r="K48">
        <f>IF('Ch3 EOT2 Results'!L17="","","Q6 Standard form: density: "&amp;'Ch3 EOT2 Results'!H17&amp;"/5")</f>
        <v/>
      </c>
    </row>
    <row r="49">
      <c r="A49">
        <f>IF('Ch3 EOT2 Results'!L16="","","Q7 Fermi estimate: birds in a reserve: "&amp;'Ch3 EOT2 Results'!I16&amp;"/9")</f>
        <v/>
      </c>
      <c r="K49">
        <f>IF('Ch3 EOT2 Results'!L17="","","Q7 Fermi estimate: birds in a reserve: "&amp;'Ch3 EOT2 Results'!I17&amp;"/9")</f>
        <v/>
      </c>
    </row>
    <row r="50">
      <c r="A50">
        <f>IF(OR('Ch3 EOT2 Results'!L16="",'Ch3 EOT2 Results'!M16=""),"",'Ch3 EOT2 Results'!M16)</f>
        <v/>
      </c>
      <c r="K50">
        <f>IF(OR('Ch3 EOT2 Results'!L17="",'Ch3 EOT2 Results'!M17=""),"",'Ch3 EOT2 Results'!M17)</f>
        <v/>
      </c>
    </row>
    <row r="52">
      <c r="A52">
        <f>IF('Ch3 EOT2 Results'!L16="","","Comments:")</f>
        <v/>
      </c>
      <c r="K52">
        <f>IF('Ch3 EOT2 Results'!L17="","","Comments:")</f>
        <v/>
      </c>
    </row>
    <row r="53">
      <c r="A53">
        <f>IF('Ch3 EOT2 Results'!L18="","","Chapter 3 End of Topic Test 2 — Modelling and Estimation")</f>
        <v/>
      </c>
      <c r="K53">
        <f>IF('Ch3 EOT2 Results'!L19="","","Chapter 3 End of Topic Test 2 — Modelling and Estimation")</f>
        <v/>
      </c>
    </row>
    <row r="54">
      <c r="A54">
        <f>IF('Ch3 EOT2 Results'!L18="","","Name: "&amp;'Ch3 EOT2 Results'!B18&amp;"   Class: "&amp;'Ch3 EOT2 Results'!$B$3&amp;"   Date: "&amp;TEXT('Ch3 EOT2 Results'!$B$5,"DD/MM/YY"))</f>
        <v/>
      </c>
      <c r="K54">
        <f>IF('Ch3 EOT2 Results'!L19="","","Name: "&amp;'Ch3 EOT2 Results'!B19&amp;"   Class: "&amp;'Ch3 EOT2 Results'!$B$3&amp;"   Date: "&amp;TEXT('Ch3 EOT2 Results'!$B$5,"DD/MM/YY"))</f>
        <v/>
      </c>
    </row>
    <row r="55">
      <c r="A55">
        <f>IF('Ch3 EOT2 Results'!L18="","","Total: "&amp;'Ch3 EOT2 Results'!J18&amp;"/47 ("&amp;TEXT('Ch3 EOT2 Results'!K18,"0%")&amp;")   Overall: "&amp;'Ch3 EOT2 Results'!L18)</f>
        <v/>
      </c>
      <c r="K55">
        <f>IF('Ch3 EOT2 Results'!L19="","","Total: "&amp;'Ch3 EOT2 Results'!J19&amp;"/47 ("&amp;TEXT('Ch3 EOT2 Results'!K19,"0%")&amp;")   Overall: "&amp;'Ch3 EOT2 Results'!L19)</f>
        <v/>
      </c>
    </row>
    <row r="56">
      <c r="A56">
        <f>IF('Ch3 EOT2 Results'!L18="","",IF('Ch3 EOT2 Results'!L18="Green",Parameters!$C$212,IF('Ch3 EOT2 Results'!L18="Yellow",Parameters!$C$211,Parameters!$C$210)))</f>
        <v/>
      </c>
      <c r="K56">
        <f>IF('Ch3 EOT2 Results'!L19="","",IF('Ch3 EOT2 Results'!L19="Green",Parameters!$C$212,IF('Ch3 EOT2 Results'!L19="Yellow",Parameters!$C$211,Parameters!$C$210)))</f>
        <v/>
      </c>
    </row>
    <row r="58">
      <c r="A58">
        <f>IF('Ch3 EOT2 Results'!L18="","","Breakdown:")</f>
        <v/>
      </c>
      <c r="K58">
        <f>IF('Ch3 EOT2 Results'!L19="","","Breakdown:")</f>
        <v/>
      </c>
    </row>
    <row r="59">
      <c r="A59">
        <f>IF('Ch3 EOT2 Results'!L18="","","Q1 Fermi estimate: umbrellas: "&amp;'Ch3 EOT2 Results'!C18&amp;"/7")</f>
        <v/>
      </c>
      <c r="K59">
        <f>IF('Ch3 EOT2 Results'!L19="","","Q1 Fermi estimate: umbrellas: "&amp;'Ch3 EOT2 Results'!C19&amp;"/7")</f>
        <v/>
      </c>
    </row>
    <row r="60">
      <c r="A60">
        <f>IF('Ch3 EOT2 Results'!L18="","","Q2 Standard form &amp; scaling: "&amp;'Ch3 EOT2 Results'!D18&amp;"/5")</f>
        <v/>
      </c>
      <c r="K60">
        <f>IF('Ch3 EOT2 Results'!L19="","","Q2 Standard form &amp; scaling: "&amp;'Ch3 EOT2 Results'!D19&amp;"/5")</f>
        <v/>
      </c>
    </row>
    <row r="61">
      <c r="A61">
        <f>IF('Ch3 EOT2 Results'!L18="","","Q3 Subdividing: trees in a park: "&amp;'Ch3 EOT2 Results'!E18&amp;"/7")</f>
        <v/>
      </c>
      <c r="K61">
        <f>IF('Ch3 EOT2 Results'!L19="","","Q3 Subdividing: trees in a park: "&amp;'Ch3 EOT2 Results'!E19&amp;"/7")</f>
        <v/>
      </c>
    </row>
    <row r="62">
      <c r="A62">
        <f>IF('Ch3 EOT2 Results'!L18="","","Q4 Modelling cycle: paper usage: "&amp;'Ch3 EOT2 Results'!F18&amp;"/9")</f>
        <v/>
      </c>
      <c r="K62">
        <f>IF('Ch3 EOT2 Results'!L19="","","Q4 Modelling cycle: paper usage: "&amp;'Ch3 EOT2 Results'!F19&amp;"/9")</f>
        <v/>
      </c>
    </row>
    <row r="63">
      <c r="A63">
        <f>IF('Ch3 EOT2 Results'!L18="","","Q5 Volume estimate &amp; model limitations: "&amp;'Ch3 EOT2 Results'!G18&amp;"/5")</f>
        <v/>
      </c>
      <c r="K63">
        <f>IF('Ch3 EOT2 Results'!L19="","","Q5 Volume estimate &amp; model limitations: "&amp;'Ch3 EOT2 Results'!G19&amp;"/5")</f>
        <v/>
      </c>
    </row>
    <row r="64">
      <c r="A64">
        <f>IF('Ch3 EOT2 Results'!L18="","","Q6 Standard form: density: "&amp;'Ch3 EOT2 Results'!H18&amp;"/5")</f>
        <v/>
      </c>
      <c r="K64">
        <f>IF('Ch3 EOT2 Results'!L19="","","Q6 Standard form: density: "&amp;'Ch3 EOT2 Results'!H19&amp;"/5")</f>
        <v/>
      </c>
    </row>
    <row r="65">
      <c r="A65">
        <f>IF('Ch3 EOT2 Results'!L18="","","Q7 Fermi estimate: birds in a reserve: "&amp;'Ch3 EOT2 Results'!I18&amp;"/9")</f>
        <v/>
      </c>
      <c r="K65">
        <f>IF('Ch3 EOT2 Results'!L19="","","Q7 Fermi estimate: birds in a reserve: "&amp;'Ch3 EOT2 Results'!I19&amp;"/9")</f>
        <v/>
      </c>
    </row>
    <row r="66">
      <c r="A66">
        <f>IF(OR('Ch3 EOT2 Results'!L18="",'Ch3 EOT2 Results'!M18=""),"",'Ch3 EOT2 Results'!M18)</f>
        <v/>
      </c>
      <c r="K66">
        <f>IF(OR('Ch3 EOT2 Results'!L19="",'Ch3 EOT2 Results'!M19=""),"",'Ch3 EOT2 Results'!M19)</f>
        <v/>
      </c>
    </row>
    <row r="68">
      <c r="A68">
        <f>IF('Ch3 EOT2 Results'!L18="","","Comments:")</f>
        <v/>
      </c>
      <c r="K68">
        <f>IF('Ch3 EOT2 Results'!L19="","","Comments:")</f>
        <v/>
      </c>
    </row>
    <row r="69">
      <c r="A69">
        <f>IF('Ch3 EOT2 Results'!L20="","","Chapter 3 End of Topic Test 2 — Modelling and Estimation")</f>
        <v/>
      </c>
      <c r="K69">
        <f>IF('Ch3 EOT2 Results'!L21="","","Chapter 3 End of Topic Test 2 — Modelling and Estimation")</f>
        <v/>
      </c>
    </row>
    <row r="70">
      <c r="A70">
        <f>IF('Ch3 EOT2 Results'!L20="","","Name: "&amp;'Ch3 EOT2 Results'!B20&amp;"   Class: "&amp;'Ch3 EOT2 Results'!$B$3&amp;"   Date: "&amp;TEXT('Ch3 EOT2 Results'!$B$5,"DD/MM/YY"))</f>
        <v/>
      </c>
      <c r="K70">
        <f>IF('Ch3 EOT2 Results'!L21="","","Name: "&amp;'Ch3 EOT2 Results'!B21&amp;"   Class: "&amp;'Ch3 EOT2 Results'!$B$3&amp;"   Date: "&amp;TEXT('Ch3 EOT2 Results'!$B$5,"DD/MM/YY"))</f>
        <v/>
      </c>
    </row>
    <row r="71">
      <c r="A71">
        <f>IF('Ch3 EOT2 Results'!L20="","","Total: "&amp;'Ch3 EOT2 Results'!J20&amp;"/47 ("&amp;TEXT('Ch3 EOT2 Results'!K20,"0%")&amp;")   Overall: "&amp;'Ch3 EOT2 Results'!L20)</f>
        <v/>
      </c>
      <c r="K71">
        <f>IF('Ch3 EOT2 Results'!L21="","","Total: "&amp;'Ch3 EOT2 Results'!J21&amp;"/47 ("&amp;TEXT('Ch3 EOT2 Results'!K21,"0%")&amp;")   Overall: "&amp;'Ch3 EOT2 Results'!L21)</f>
        <v/>
      </c>
    </row>
    <row r="72">
      <c r="A72">
        <f>IF('Ch3 EOT2 Results'!L20="","",IF('Ch3 EOT2 Results'!L20="Green",Parameters!$C$212,IF('Ch3 EOT2 Results'!L20="Yellow",Parameters!$C$211,Parameters!$C$210)))</f>
        <v/>
      </c>
      <c r="K72">
        <f>IF('Ch3 EOT2 Results'!L21="","",IF('Ch3 EOT2 Results'!L21="Green",Parameters!$C$212,IF('Ch3 EOT2 Results'!L21="Yellow",Parameters!$C$211,Parameters!$C$210)))</f>
        <v/>
      </c>
    </row>
    <row r="74">
      <c r="A74">
        <f>IF('Ch3 EOT2 Results'!L20="","","Breakdown:")</f>
        <v/>
      </c>
      <c r="K74">
        <f>IF('Ch3 EOT2 Results'!L21="","","Breakdown:")</f>
        <v/>
      </c>
    </row>
    <row r="75">
      <c r="A75">
        <f>IF('Ch3 EOT2 Results'!L20="","","Q1 Fermi estimate: umbrellas: "&amp;'Ch3 EOT2 Results'!C20&amp;"/7")</f>
        <v/>
      </c>
      <c r="K75">
        <f>IF('Ch3 EOT2 Results'!L21="","","Q1 Fermi estimate: umbrellas: "&amp;'Ch3 EOT2 Results'!C21&amp;"/7")</f>
        <v/>
      </c>
    </row>
    <row r="76">
      <c r="A76">
        <f>IF('Ch3 EOT2 Results'!L20="","","Q2 Standard form &amp; scaling: "&amp;'Ch3 EOT2 Results'!D20&amp;"/5")</f>
        <v/>
      </c>
      <c r="K76">
        <f>IF('Ch3 EOT2 Results'!L21="","","Q2 Standard form &amp; scaling: "&amp;'Ch3 EOT2 Results'!D21&amp;"/5")</f>
        <v/>
      </c>
    </row>
    <row r="77">
      <c r="A77">
        <f>IF('Ch3 EOT2 Results'!L20="","","Q3 Subdividing: trees in a park: "&amp;'Ch3 EOT2 Results'!E20&amp;"/7")</f>
        <v/>
      </c>
      <c r="K77">
        <f>IF('Ch3 EOT2 Results'!L21="","","Q3 Subdividing: trees in a park: "&amp;'Ch3 EOT2 Results'!E21&amp;"/7")</f>
        <v/>
      </c>
    </row>
    <row r="78">
      <c r="A78">
        <f>IF('Ch3 EOT2 Results'!L20="","","Q4 Modelling cycle: paper usage: "&amp;'Ch3 EOT2 Results'!F20&amp;"/9")</f>
        <v/>
      </c>
      <c r="K78">
        <f>IF('Ch3 EOT2 Results'!L21="","","Q4 Modelling cycle: paper usage: "&amp;'Ch3 EOT2 Results'!F21&amp;"/9")</f>
        <v/>
      </c>
    </row>
    <row r="79">
      <c r="A79">
        <f>IF('Ch3 EOT2 Results'!L20="","","Q5 Volume estimate &amp; model limitations: "&amp;'Ch3 EOT2 Results'!G20&amp;"/5")</f>
        <v/>
      </c>
      <c r="K79">
        <f>IF('Ch3 EOT2 Results'!L21="","","Q5 Volume estimate &amp; model limitations: "&amp;'Ch3 EOT2 Results'!G21&amp;"/5")</f>
        <v/>
      </c>
    </row>
    <row r="80">
      <c r="A80">
        <f>IF('Ch3 EOT2 Results'!L20="","","Q6 Standard form: density: "&amp;'Ch3 EOT2 Results'!H20&amp;"/5")</f>
        <v/>
      </c>
      <c r="K80">
        <f>IF('Ch3 EOT2 Results'!L21="","","Q6 Standard form: density: "&amp;'Ch3 EOT2 Results'!H21&amp;"/5")</f>
        <v/>
      </c>
    </row>
    <row r="81">
      <c r="A81">
        <f>IF('Ch3 EOT2 Results'!L20="","","Q7 Fermi estimate: birds in a reserve: "&amp;'Ch3 EOT2 Results'!I20&amp;"/9")</f>
        <v/>
      </c>
      <c r="K81">
        <f>IF('Ch3 EOT2 Results'!L21="","","Q7 Fermi estimate: birds in a reserve: "&amp;'Ch3 EOT2 Results'!I21&amp;"/9")</f>
        <v/>
      </c>
    </row>
    <row r="82">
      <c r="A82">
        <f>IF(OR('Ch3 EOT2 Results'!L20="",'Ch3 EOT2 Results'!M20=""),"",'Ch3 EOT2 Results'!M20)</f>
        <v/>
      </c>
      <c r="K82">
        <f>IF(OR('Ch3 EOT2 Results'!L21="",'Ch3 EOT2 Results'!M21=""),"",'Ch3 EOT2 Results'!M21)</f>
        <v/>
      </c>
    </row>
    <row r="84">
      <c r="A84">
        <f>IF('Ch3 EOT2 Results'!L20="","","Comments:")</f>
        <v/>
      </c>
      <c r="K84">
        <f>IF('Ch3 EOT2 Results'!L21="","","Comments:")</f>
        <v/>
      </c>
    </row>
    <row r="85">
      <c r="A85">
        <f>IF('Ch3 EOT2 Results'!L22="","","Chapter 3 End of Topic Test 2 — Modelling and Estimation")</f>
        <v/>
      </c>
      <c r="K85">
        <f>IF('Ch3 EOT2 Results'!L23="","","Chapter 3 End of Topic Test 2 — Modelling and Estimation")</f>
        <v/>
      </c>
    </row>
    <row r="86">
      <c r="A86">
        <f>IF('Ch3 EOT2 Results'!L22="","","Name: "&amp;'Ch3 EOT2 Results'!B22&amp;"   Class: "&amp;'Ch3 EOT2 Results'!$B$3&amp;"   Date: "&amp;TEXT('Ch3 EOT2 Results'!$B$5,"DD/MM/YY"))</f>
        <v/>
      </c>
      <c r="K86">
        <f>IF('Ch3 EOT2 Results'!L23="","","Name: "&amp;'Ch3 EOT2 Results'!B23&amp;"   Class: "&amp;'Ch3 EOT2 Results'!$B$3&amp;"   Date: "&amp;TEXT('Ch3 EOT2 Results'!$B$5,"DD/MM/YY"))</f>
        <v/>
      </c>
    </row>
    <row r="87">
      <c r="A87">
        <f>IF('Ch3 EOT2 Results'!L22="","","Total: "&amp;'Ch3 EOT2 Results'!J22&amp;"/47 ("&amp;TEXT('Ch3 EOT2 Results'!K22,"0%")&amp;")   Overall: "&amp;'Ch3 EOT2 Results'!L22)</f>
        <v/>
      </c>
      <c r="K87">
        <f>IF('Ch3 EOT2 Results'!L23="","","Total: "&amp;'Ch3 EOT2 Results'!J23&amp;"/47 ("&amp;TEXT('Ch3 EOT2 Results'!K23,"0%")&amp;")   Overall: "&amp;'Ch3 EOT2 Results'!L23)</f>
        <v/>
      </c>
    </row>
    <row r="88">
      <c r="A88">
        <f>IF('Ch3 EOT2 Results'!L22="","",IF('Ch3 EOT2 Results'!L22="Green",Parameters!$C$212,IF('Ch3 EOT2 Results'!L22="Yellow",Parameters!$C$211,Parameters!$C$210)))</f>
        <v/>
      </c>
      <c r="K88">
        <f>IF('Ch3 EOT2 Results'!L23="","",IF('Ch3 EOT2 Results'!L23="Green",Parameters!$C$212,IF('Ch3 EOT2 Results'!L23="Yellow",Parameters!$C$211,Parameters!$C$210)))</f>
        <v/>
      </c>
    </row>
    <row r="90">
      <c r="A90">
        <f>IF('Ch3 EOT2 Results'!L22="","","Breakdown:")</f>
        <v/>
      </c>
      <c r="K90">
        <f>IF('Ch3 EOT2 Results'!L23="","","Breakdown:")</f>
        <v/>
      </c>
    </row>
    <row r="91">
      <c r="A91">
        <f>IF('Ch3 EOT2 Results'!L22="","","Q1 Fermi estimate: umbrellas: "&amp;'Ch3 EOT2 Results'!C22&amp;"/7")</f>
        <v/>
      </c>
      <c r="K91">
        <f>IF('Ch3 EOT2 Results'!L23="","","Q1 Fermi estimate: umbrellas: "&amp;'Ch3 EOT2 Results'!C23&amp;"/7")</f>
        <v/>
      </c>
    </row>
    <row r="92">
      <c r="A92">
        <f>IF('Ch3 EOT2 Results'!L22="","","Q2 Standard form &amp; scaling: "&amp;'Ch3 EOT2 Results'!D22&amp;"/5")</f>
        <v/>
      </c>
      <c r="K92">
        <f>IF('Ch3 EOT2 Results'!L23="","","Q2 Standard form &amp; scaling: "&amp;'Ch3 EOT2 Results'!D23&amp;"/5")</f>
        <v/>
      </c>
    </row>
    <row r="93">
      <c r="A93">
        <f>IF('Ch3 EOT2 Results'!L22="","","Q3 Subdividing: trees in a park: "&amp;'Ch3 EOT2 Results'!E22&amp;"/7")</f>
        <v/>
      </c>
      <c r="K93">
        <f>IF('Ch3 EOT2 Results'!L23="","","Q3 Subdividing: trees in a park: "&amp;'Ch3 EOT2 Results'!E23&amp;"/7")</f>
        <v/>
      </c>
    </row>
    <row r="94">
      <c r="A94">
        <f>IF('Ch3 EOT2 Results'!L22="","","Q4 Modelling cycle: paper usage: "&amp;'Ch3 EOT2 Results'!F22&amp;"/9")</f>
        <v/>
      </c>
      <c r="K94">
        <f>IF('Ch3 EOT2 Results'!L23="","","Q4 Modelling cycle: paper usage: "&amp;'Ch3 EOT2 Results'!F23&amp;"/9")</f>
        <v/>
      </c>
    </row>
    <row r="95">
      <c r="A95">
        <f>IF('Ch3 EOT2 Results'!L22="","","Q5 Volume estimate &amp; model limitations: "&amp;'Ch3 EOT2 Results'!G22&amp;"/5")</f>
        <v/>
      </c>
      <c r="K95">
        <f>IF('Ch3 EOT2 Results'!L23="","","Q5 Volume estimate &amp; model limitations: "&amp;'Ch3 EOT2 Results'!G23&amp;"/5")</f>
        <v/>
      </c>
    </row>
    <row r="96">
      <c r="A96">
        <f>IF('Ch3 EOT2 Results'!L22="","","Q6 Standard form: density: "&amp;'Ch3 EOT2 Results'!H22&amp;"/5")</f>
        <v/>
      </c>
      <c r="K96">
        <f>IF('Ch3 EOT2 Results'!L23="","","Q6 Standard form: density: "&amp;'Ch3 EOT2 Results'!H23&amp;"/5")</f>
        <v/>
      </c>
    </row>
    <row r="97">
      <c r="A97">
        <f>IF('Ch3 EOT2 Results'!L22="","","Q7 Fermi estimate: birds in a reserve: "&amp;'Ch3 EOT2 Results'!I22&amp;"/9")</f>
        <v/>
      </c>
      <c r="K97">
        <f>IF('Ch3 EOT2 Results'!L23="","","Q7 Fermi estimate: birds in a reserve: "&amp;'Ch3 EOT2 Results'!I23&amp;"/9")</f>
        <v/>
      </c>
    </row>
    <row r="98">
      <c r="A98">
        <f>IF(OR('Ch3 EOT2 Results'!L22="",'Ch3 EOT2 Results'!M22=""),"",'Ch3 EOT2 Results'!M22)</f>
        <v/>
      </c>
      <c r="K98">
        <f>IF(OR('Ch3 EOT2 Results'!L23="",'Ch3 EOT2 Results'!M23=""),"",'Ch3 EOT2 Results'!M23)</f>
        <v/>
      </c>
    </row>
    <row r="100">
      <c r="A100">
        <f>IF('Ch3 EOT2 Results'!L22="","","Comments:")</f>
        <v/>
      </c>
      <c r="K100">
        <f>IF('Ch3 EOT2 Results'!L23="","","Comments:")</f>
        <v/>
      </c>
    </row>
    <row r="101">
      <c r="A101">
        <f>IF('Ch3 EOT2 Results'!L24="","","Chapter 3 End of Topic Test 2 — Modelling and Estimation")</f>
        <v/>
      </c>
      <c r="K101">
        <f>IF('Ch3 EOT2 Results'!L25="","","Chapter 3 End of Topic Test 2 — Modelling and Estimation")</f>
        <v/>
      </c>
    </row>
    <row r="102">
      <c r="A102">
        <f>IF('Ch3 EOT2 Results'!L24="","","Name: "&amp;'Ch3 EOT2 Results'!B24&amp;"   Class: "&amp;'Ch3 EOT2 Results'!$B$3&amp;"   Date: "&amp;TEXT('Ch3 EOT2 Results'!$B$5,"DD/MM/YY"))</f>
        <v/>
      </c>
      <c r="K102">
        <f>IF('Ch3 EOT2 Results'!L25="","","Name: "&amp;'Ch3 EOT2 Results'!B25&amp;"   Class: "&amp;'Ch3 EOT2 Results'!$B$3&amp;"   Date: "&amp;TEXT('Ch3 EOT2 Results'!$B$5,"DD/MM/YY"))</f>
        <v/>
      </c>
    </row>
    <row r="103">
      <c r="A103">
        <f>IF('Ch3 EOT2 Results'!L24="","","Total: "&amp;'Ch3 EOT2 Results'!J24&amp;"/47 ("&amp;TEXT('Ch3 EOT2 Results'!K24,"0%")&amp;")   Overall: "&amp;'Ch3 EOT2 Results'!L24)</f>
        <v/>
      </c>
      <c r="K103">
        <f>IF('Ch3 EOT2 Results'!L25="","","Total: "&amp;'Ch3 EOT2 Results'!J25&amp;"/47 ("&amp;TEXT('Ch3 EOT2 Results'!K25,"0%")&amp;")   Overall: "&amp;'Ch3 EOT2 Results'!L25)</f>
        <v/>
      </c>
    </row>
    <row r="104">
      <c r="A104">
        <f>IF('Ch3 EOT2 Results'!L24="","",IF('Ch3 EOT2 Results'!L24="Green",Parameters!$C$212,IF('Ch3 EOT2 Results'!L24="Yellow",Parameters!$C$211,Parameters!$C$210)))</f>
        <v/>
      </c>
      <c r="K104">
        <f>IF('Ch3 EOT2 Results'!L25="","",IF('Ch3 EOT2 Results'!L25="Green",Parameters!$C$212,IF('Ch3 EOT2 Results'!L25="Yellow",Parameters!$C$211,Parameters!$C$210)))</f>
        <v/>
      </c>
    </row>
    <row r="106">
      <c r="A106">
        <f>IF('Ch3 EOT2 Results'!L24="","","Breakdown:")</f>
        <v/>
      </c>
      <c r="K106">
        <f>IF('Ch3 EOT2 Results'!L25="","","Breakdown:")</f>
        <v/>
      </c>
    </row>
    <row r="107">
      <c r="A107">
        <f>IF('Ch3 EOT2 Results'!L24="","","Q1 Fermi estimate: umbrellas: "&amp;'Ch3 EOT2 Results'!C24&amp;"/7")</f>
        <v/>
      </c>
      <c r="K107">
        <f>IF('Ch3 EOT2 Results'!L25="","","Q1 Fermi estimate: umbrellas: "&amp;'Ch3 EOT2 Results'!C25&amp;"/7")</f>
        <v/>
      </c>
    </row>
    <row r="108">
      <c r="A108">
        <f>IF('Ch3 EOT2 Results'!L24="","","Q2 Standard form &amp; scaling: "&amp;'Ch3 EOT2 Results'!D24&amp;"/5")</f>
        <v/>
      </c>
      <c r="K108">
        <f>IF('Ch3 EOT2 Results'!L25="","","Q2 Standard form &amp; scaling: "&amp;'Ch3 EOT2 Results'!D25&amp;"/5")</f>
        <v/>
      </c>
    </row>
    <row r="109">
      <c r="A109">
        <f>IF('Ch3 EOT2 Results'!L24="","","Q3 Subdividing: trees in a park: "&amp;'Ch3 EOT2 Results'!E24&amp;"/7")</f>
        <v/>
      </c>
      <c r="K109">
        <f>IF('Ch3 EOT2 Results'!L25="","","Q3 Subdividing: trees in a park: "&amp;'Ch3 EOT2 Results'!E25&amp;"/7")</f>
        <v/>
      </c>
    </row>
    <row r="110">
      <c r="A110">
        <f>IF('Ch3 EOT2 Results'!L24="","","Q4 Modelling cycle: paper usage: "&amp;'Ch3 EOT2 Results'!F24&amp;"/9")</f>
        <v/>
      </c>
      <c r="K110">
        <f>IF('Ch3 EOT2 Results'!L25="","","Q4 Modelling cycle: paper usage: "&amp;'Ch3 EOT2 Results'!F25&amp;"/9")</f>
        <v/>
      </c>
    </row>
    <row r="111">
      <c r="A111">
        <f>IF('Ch3 EOT2 Results'!L24="","","Q5 Volume estimate &amp; model limitations: "&amp;'Ch3 EOT2 Results'!G24&amp;"/5")</f>
        <v/>
      </c>
      <c r="K111">
        <f>IF('Ch3 EOT2 Results'!L25="","","Q5 Volume estimate &amp; model limitations: "&amp;'Ch3 EOT2 Results'!G25&amp;"/5")</f>
        <v/>
      </c>
    </row>
    <row r="112">
      <c r="A112">
        <f>IF('Ch3 EOT2 Results'!L24="","","Q6 Standard form: density: "&amp;'Ch3 EOT2 Results'!H24&amp;"/5")</f>
        <v/>
      </c>
      <c r="K112">
        <f>IF('Ch3 EOT2 Results'!L25="","","Q6 Standard form: density: "&amp;'Ch3 EOT2 Results'!H25&amp;"/5")</f>
        <v/>
      </c>
    </row>
    <row r="113">
      <c r="A113">
        <f>IF('Ch3 EOT2 Results'!L24="","","Q7 Fermi estimate: birds in a reserve: "&amp;'Ch3 EOT2 Results'!I24&amp;"/9")</f>
        <v/>
      </c>
      <c r="K113">
        <f>IF('Ch3 EOT2 Results'!L25="","","Q7 Fermi estimate: birds in a reserve: "&amp;'Ch3 EOT2 Results'!I25&amp;"/9")</f>
        <v/>
      </c>
    </row>
    <row r="114">
      <c r="A114">
        <f>IF(OR('Ch3 EOT2 Results'!L24="",'Ch3 EOT2 Results'!M24=""),"",'Ch3 EOT2 Results'!M24)</f>
        <v/>
      </c>
      <c r="K114">
        <f>IF(OR('Ch3 EOT2 Results'!L25="",'Ch3 EOT2 Results'!M25=""),"",'Ch3 EOT2 Results'!M25)</f>
        <v/>
      </c>
    </row>
    <row r="116">
      <c r="A116">
        <f>IF('Ch3 EOT2 Results'!L24="","","Comments:")</f>
        <v/>
      </c>
      <c r="K116">
        <f>IF('Ch3 EOT2 Results'!L25="","","Comments:")</f>
        <v/>
      </c>
    </row>
    <row r="117">
      <c r="A117">
        <f>IF('Ch3 EOT2 Results'!L26="","","Chapter 3 End of Topic Test 2 — Modelling and Estimation")</f>
        <v/>
      </c>
      <c r="K117">
        <f>IF('Ch3 EOT2 Results'!L27="","","Chapter 3 End of Topic Test 2 — Modelling and Estimation")</f>
        <v/>
      </c>
    </row>
    <row r="118">
      <c r="A118">
        <f>IF('Ch3 EOT2 Results'!L26="","","Name: "&amp;'Ch3 EOT2 Results'!B26&amp;"   Class: "&amp;'Ch3 EOT2 Results'!$B$3&amp;"   Date: "&amp;TEXT('Ch3 EOT2 Results'!$B$5,"DD/MM/YY"))</f>
        <v/>
      </c>
      <c r="K118">
        <f>IF('Ch3 EOT2 Results'!L27="","","Name: "&amp;'Ch3 EOT2 Results'!B27&amp;"   Class: "&amp;'Ch3 EOT2 Results'!$B$3&amp;"   Date: "&amp;TEXT('Ch3 EOT2 Results'!$B$5,"DD/MM/YY"))</f>
        <v/>
      </c>
    </row>
    <row r="119">
      <c r="A119">
        <f>IF('Ch3 EOT2 Results'!L26="","","Total: "&amp;'Ch3 EOT2 Results'!J26&amp;"/47 ("&amp;TEXT('Ch3 EOT2 Results'!K26,"0%")&amp;")   Overall: "&amp;'Ch3 EOT2 Results'!L26)</f>
        <v/>
      </c>
      <c r="K119">
        <f>IF('Ch3 EOT2 Results'!L27="","","Total: "&amp;'Ch3 EOT2 Results'!J27&amp;"/47 ("&amp;TEXT('Ch3 EOT2 Results'!K27,"0%")&amp;")   Overall: "&amp;'Ch3 EOT2 Results'!L27)</f>
        <v/>
      </c>
    </row>
    <row r="120">
      <c r="A120">
        <f>IF('Ch3 EOT2 Results'!L26="","",IF('Ch3 EOT2 Results'!L26="Green",Parameters!$C$212,IF('Ch3 EOT2 Results'!L26="Yellow",Parameters!$C$211,Parameters!$C$210)))</f>
        <v/>
      </c>
      <c r="K120">
        <f>IF('Ch3 EOT2 Results'!L27="","",IF('Ch3 EOT2 Results'!L27="Green",Parameters!$C$212,IF('Ch3 EOT2 Results'!L27="Yellow",Parameters!$C$211,Parameters!$C$210)))</f>
        <v/>
      </c>
    </row>
    <row r="122">
      <c r="A122">
        <f>IF('Ch3 EOT2 Results'!L26="","","Breakdown:")</f>
        <v/>
      </c>
      <c r="K122">
        <f>IF('Ch3 EOT2 Results'!L27="","","Breakdown:")</f>
        <v/>
      </c>
    </row>
    <row r="123">
      <c r="A123">
        <f>IF('Ch3 EOT2 Results'!L26="","","Q1 Fermi estimate: umbrellas: "&amp;'Ch3 EOT2 Results'!C26&amp;"/7")</f>
        <v/>
      </c>
      <c r="K123">
        <f>IF('Ch3 EOT2 Results'!L27="","","Q1 Fermi estimate: umbrellas: "&amp;'Ch3 EOT2 Results'!C27&amp;"/7")</f>
        <v/>
      </c>
    </row>
    <row r="124">
      <c r="A124">
        <f>IF('Ch3 EOT2 Results'!L26="","","Q2 Standard form &amp; scaling: "&amp;'Ch3 EOT2 Results'!D26&amp;"/5")</f>
        <v/>
      </c>
      <c r="K124">
        <f>IF('Ch3 EOT2 Results'!L27="","","Q2 Standard form &amp; scaling: "&amp;'Ch3 EOT2 Results'!D27&amp;"/5")</f>
        <v/>
      </c>
    </row>
    <row r="125">
      <c r="A125">
        <f>IF('Ch3 EOT2 Results'!L26="","","Q3 Subdividing: trees in a park: "&amp;'Ch3 EOT2 Results'!E26&amp;"/7")</f>
        <v/>
      </c>
      <c r="K125">
        <f>IF('Ch3 EOT2 Results'!L27="","","Q3 Subdividing: trees in a park: "&amp;'Ch3 EOT2 Results'!E27&amp;"/7")</f>
        <v/>
      </c>
    </row>
    <row r="126">
      <c r="A126">
        <f>IF('Ch3 EOT2 Results'!L26="","","Q4 Modelling cycle: paper usage: "&amp;'Ch3 EOT2 Results'!F26&amp;"/9")</f>
        <v/>
      </c>
      <c r="K126">
        <f>IF('Ch3 EOT2 Results'!L27="","","Q4 Modelling cycle: paper usage: "&amp;'Ch3 EOT2 Results'!F27&amp;"/9")</f>
        <v/>
      </c>
    </row>
    <row r="127">
      <c r="A127">
        <f>IF('Ch3 EOT2 Results'!L26="","","Q5 Volume estimate &amp; model limitations: "&amp;'Ch3 EOT2 Results'!G26&amp;"/5")</f>
        <v/>
      </c>
      <c r="K127">
        <f>IF('Ch3 EOT2 Results'!L27="","","Q5 Volume estimate &amp; model limitations: "&amp;'Ch3 EOT2 Results'!G27&amp;"/5")</f>
        <v/>
      </c>
    </row>
    <row r="128">
      <c r="A128">
        <f>IF('Ch3 EOT2 Results'!L26="","","Q6 Standard form: density: "&amp;'Ch3 EOT2 Results'!H26&amp;"/5")</f>
        <v/>
      </c>
      <c r="K128">
        <f>IF('Ch3 EOT2 Results'!L27="","","Q6 Standard form: density: "&amp;'Ch3 EOT2 Results'!H27&amp;"/5")</f>
        <v/>
      </c>
    </row>
    <row r="129">
      <c r="A129">
        <f>IF('Ch3 EOT2 Results'!L26="","","Q7 Fermi estimate: birds in a reserve: "&amp;'Ch3 EOT2 Results'!I26&amp;"/9")</f>
        <v/>
      </c>
      <c r="K129">
        <f>IF('Ch3 EOT2 Results'!L27="","","Q7 Fermi estimate: birds in a reserve: "&amp;'Ch3 EOT2 Results'!I27&amp;"/9")</f>
        <v/>
      </c>
    </row>
    <row r="130">
      <c r="A130">
        <f>IF(OR('Ch3 EOT2 Results'!L26="",'Ch3 EOT2 Results'!M26=""),"",'Ch3 EOT2 Results'!M26)</f>
        <v/>
      </c>
      <c r="K130">
        <f>IF(OR('Ch3 EOT2 Results'!L27="",'Ch3 EOT2 Results'!M27=""),"",'Ch3 EOT2 Results'!M27)</f>
        <v/>
      </c>
    </row>
    <row r="132">
      <c r="A132">
        <f>IF('Ch3 EOT2 Results'!L26="","","Comments:")</f>
        <v/>
      </c>
      <c r="K132">
        <f>IF('Ch3 EOT2 Results'!L27="","","Comments:")</f>
        <v/>
      </c>
    </row>
    <row r="133">
      <c r="A133">
        <f>IF('Ch3 EOT2 Results'!L28="","","Chapter 3 End of Topic Test 2 — Modelling and Estimation")</f>
        <v/>
      </c>
      <c r="K133">
        <f>IF('Ch3 EOT2 Results'!L29="","","Chapter 3 End of Topic Test 2 — Modelling and Estimation")</f>
        <v/>
      </c>
    </row>
    <row r="134">
      <c r="A134">
        <f>IF('Ch3 EOT2 Results'!L28="","","Name: "&amp;'Ch3 EOT2 Results'!B28&amp;"   Class: "&amp;'Ch3 EOT2 Results'!$B$3&amp;"   Date: "&amp;TEXT('Ch3 EOT2 Results'!$B$5,"DD/MM/YY"))</f>
        <v/>
      </c>
      <c r="K134">
        <f>IF('Ch3 EOT2 Results'!L29="","","Name: "&amp;'Ch3 EOT2 Results'!B29&amp;"   Class: "&amp;'Ch3 EOT2 Results'!$B$3&amp;"   Date: "&amp;TEXT('Ch3 EOT2 Results'!$B$5,"DD/MM/YY"))</f>
        <v/>
      </c>
    </row>
    <row r="135">
      <c r="A135">
        <f>IF('Ch3 EOT2 Results'!L28="","","Total: "&amp;'Ch3 EOT2 Results'!J28&amp;"/47 ("&amp;TEXT('Ch3 EOT2 Results'!K28,"0%")&amp;")   Overall: "&amp;'Ch3 EOT2 Results'!L28)</f>
        <v/>
      </c>
      <c r="K135">
        <f>IF('Ch3 EOT2 Results'!L29="","","Total: "&amp;'Ch3 EOT2 Results'!J29&amp;"/47 ("&amp;TEXT('Ch3 EOT2 Results'!K29,"0%")&amp;")   Overall: "&amp;'Ch3 EOT2 Results'!L29)</f>
        <v/>
      </c>
    </row>
    <row r="136">
      <c r="A136">
        <f>IF('Ch3 EOT2 Results'!L28="","",IF('Ch3 EOT2 Results'!L28="Green",Parameters!$C$212,IF('Ch3 EOT2 Results'!L28="Yellow",Parameters!$C$211,Parameters!$C$210)))</f>
        <v/>
      </c>
      <c r="K136">
        <f>IF('Ch3 EOT2 Results'!L29="","",IF('Ch3 EOT2 Results'!L29="Green",Parameters!$C$212,IF('Ch3 EOT2 Results'!L29="Yellow",Parameters!$C$211,Parameters!$C$210)))</f>
        <v/>
      </c>
    </row>
    <row r="138">
      <c r="A138">
        <f>IF('Ch3 EOT2 Results'!L28="","","Breakdown:")</f>
        <v/>
      </c>
      <c r="K138">
        <f>IF('Ch3 EOT2 Results'!L29="","","Breakdown:")</f>
        <v/>
      </c>
    </row>
    <row r="139">
      <c r="A139">
        <f>IF('Ch3 EOT2 Results'!L28="","","Q1 Fermi estimate: umbrellas: "&amp;'Ch3 EOT2 Results'!C28&amp;"/7")</f>
        <v/>
      </c>
      <c r="K139">
        <f>IF('Ch3 EOT2 Results'!L29="","","Q1 Fermi estimate: umbrellas: "&amp;'Ch3 EOT2 Results'!C29&amp;"/7")</f>
        <v/>
      </c>
    </row>
    <row r="140">
      <c r="A140">
        <f>IF('Ch3 EOT2 Results'!L28="","","Q2 Standard form &amp; scaling: "&amp;'Ch3 EOT2 Results'!D28&amp;"/5")</f>
        <v/>
      </c>
      <c r="K140">
        <f>IF('Ch3 EOT2 Results'!L29="","","Q2 Standard form &amp; scaling: "&amp;'Ch3 EOT2 Results'!D29&amp;"/5")</f>
        <v/>
      </c>
    </row>
    <row r="141">
      <c r="A141">
        <f>IF('Ch3 EOT2 Results'!L28="","","Q3 Subdividing: trees in a park: "&amp;'Ch3 EOT2 Results'!E28&amp;"/7")</f>
        <v/>
      </c>
      <c r="K141">
        <f>IF('Ch3 EOT2 Results'!L29="","","Q3 Subdividing: trees in a park: "&amp;'Ch3 EOT2 Results'!E29&amp;"/7")</f>
        <v/>
      </c>
    </row>
    <row r="142">
      <c r="A142">
        <f>IF('Ch3 EOT2 Results'!L28="","","Q4 Modelling cycle: paper usage: "&amp;'Ch3 EOT2 Results'!F28&amp;"/9")</f>
        <v/>
      </c>
      <c r="K142">
        <f>IF('Ch3 EOT2 Results'!L29="","","Q4 Modelling cycle: paper usage: "&amp;'Ch3 EOT2 Results'!F29&amp;"/9")</f>
        <v/>
      </c>
    </row>
    <row r="143">
      <c r="A143">
        <f>IF('Ch3 EOT2 Results'!L28="","","Q5 Volume estimate &amp; model limitations: "&amp;'Ch3 EOT2 Results'!G28&amp;"/5")</f>
        <v/>
      </c>
      <c r="K143">
        <f>IF('Ch3 EOT2 Results'!L29="","","Q5 Volume estimate &amp; model limitations: "&amp;'Ch3 EOT2 Results'!G29&amp;"/5")</f>
        <v/>
      </c>
    </row>
    <row r="144">
      <c r="A144">
        <f>IF('Ch3 EOT2 Results'!L28="","","Q6 Standard form: density: "&amp;'Ch3 EOT2 Results'!H28&amp;"/5")</f>
        <v/>
      </c>
      <c r="K144">
        <f>IF('Ch3 EOT2 Results'!L29="","","Q6 Standard form: density: "&amp;'Ch3 EOT2 Results'!H29&amp;"/5")</f>
        <v/>
      </c>
    </row>
    <row r="145">
      <c r="A145">
        <f>IF('Ch3 EOT2 Results'!L28="","","Q7 Fermi estimate: birds in a reserve: "&amp;'Ch3 EOT2 Results'!I28&amp;"/9")</f>
        <v/>
      </c>
      <c r="K145">
        <f>IF('Ch3 EOT2 Results'!L29="","","Q7 Fermi estimate: birds in a reserve: "&amp;'Ch3 EOT2 Results'!I29&amp;"/9")</f>
        <v/>
      </c>
    </row>
    <row r="146">
      <c r="A146">
        <f>IF(OR('Ch3 EOT2 Results'!L28="",'Ch3 EOT2 Results'!M28=""),"",'Ch3 EOT2 Results'!M28)</f>
        <v/>
      </c>
      <c r="K146">
        <f>IF(OR('Ch3 EOT2 Results'!L29="",'Ch3 EOT2 Results'!M29=""),"",'Ch3 EOT2 Results'!M29)</f>
        <v/>
      </c>
    </row>
    <row r="148">
      <c r="A148">
        <f>IF('Ch3 EOT2 Results'!L28="","","Comments:")</f>
        <v/>
      </c>
      <c r="K148">
        <f>IF('Ch3 EOT2 Results'!L29="","","Comments:")</f>
        <v/>
      </c>
    </row>
    <row r="149">
      <c r="A149">
        <f>IF('Ch3 EOT2 Results'!L30="","","Chapter 3 End of Topic Test 2 — Modelling and Estimation")</f>
        <v/>
      </c>
      <c r="K149">
        <f>IF('Ch3 EOT2 Results'!L31="","","Chapter 3 End of Topic Test 2 — Modelling and Estimation")</f>
        <v/>
      </c>
    </row>
    <row r="150">
      <c r="A150">
        <f>IF('Ch3 EOT2 Results'!L30="","","Name: "&amp;'Ch3 EOT2 Results'!B30&amp;"   Class: "&amp;'Ch3 EOT2 Results'!$B$3&amp;"   Date: "&amp;TEXT('Ch3 EOT2 Results'!$B$5,"DD/MM/YY"))</f>
        <v/>
      </c>
      <c r="K150">
        <f>IF('Ch3 EOT2 Results'!L31="","","Name: "&amp;'Ch3 EOT2 Results'!B31&amp;"   Class: "&amp;'Ch3 EOT2 Results'!$B$3&amp;"   Date: "&amp;TEXT('Ch3 EOT2 Results'!$B$5,"DD/MM/YY"))</f>
        <v/>
      </c>
    </row>
    <row r="151">
      <c r="A151">
        <f>IF('Ch3 EOT2 Results'!L30="","","Total: "&amp;'Ch3 EOT2 Results'!J30&amp;"/47 ("&amp;TEXT('Ch3 EOT2 Results'!K30,"0%")&amp;")   Overall: "&amp;'Ch3 EOT2 Results'!L30)</f>
        <v/>
      </c>
      <c r="K151">
        <f>IF('Ch3 EOT2 Results'!L31="","","Total: "&amp;'Ch3 EOT2 Results'!J31&amp;"/47 ("&amp;TEXT('Ch3 EOT2 Results'!K31,"0%")&amp;")   Overall: "&amp;'Ch3 EOT2 Results'!L31)</f>
        <v/>
      </c>
    </row>
    <row r="152">
      <c r="A152">
        <f>IF('Ch3 EOT2 Results'!L30="","",IF('Ch3 EOT2 Results'!L30="Green",Parameters!$C$212,IF('Ch3 EOT2 Results'!L30="Yellow",Parameters!$C$211,Parameters!$C$210)))</f>
        <v/>
      </c>
      <c r="K152">
        <f>IF('Ch3 EOT2 Results'!L31="","",IF('Ch3 EOT2 Results'!L31="Green",Parameters!$C$212,IF('Ch3 EOT2 Results'!L31="Yellow",Parameters!$C$211,Parameters!$C$210)))</f>
        <v/>
      </c>
    </row>
    <row r="154">
      <c r="A154">
        <f>IF('Ch3 EOT2 Results'!L30="","","Breakdown:")</f>
        <v/>
      </c>
      <c r="K154">
        <f>IF('Ch3 EOT2 Results'!L31="","","Breakdown:")</f>
        <v/>
      </c>
    </row>
    <row r="155">
      <c r="A155">
        <f>IF('Ch3 EOT2 Results'!L30="","","Q1 Fermi estimate: umbrellas: "&amp;'Ch3 EOT2 Results'!C30&amp;"/7")</f>
        <v/>
      </c>
      <c r="K155">
        <f>IF('Ch3 EOT2 Results'!L31="","","Q1 Fermi estimate: umbrellas: "&amp;'Ch3 EOT2 Results'!C31&amp;"/7")</f>
        <v/>
      </c>
    </row>
    <row r="156">
      <c r="A156">
        <f>IF('Ch3 EOT2 Results'!L30="","","Q2 Standard form &amp; scaling: "&amp;'Ch3 EOT2 Results'!D30&amp;"/5")</f>
        <v/>
      </c>
      <c r="K156">
        <f>IF('Ch3 EOT2 Results'!L31="","","Q2 Standard form &amp; scaling: "&amp;'Ch3 EOT2 Results'!D31&amp;"/5")</f>
        <v/>
      </c>
    </row>
    <row r="157">
      <c r="A157">
        <f>IF('Ch3 EOT2 Results'!L30="","","Q3 Subdividing: trees in a park: "&amp;'Ch3 EOT2 Results'!E30&amp;"/7")</f>
        <v/>
      </c>
      <c r="K157">
        <f>IF('Ch3 EOT2 Results'!L31="","","Q3 Subdividing: trees in a park: "&amp;'Ch3 EOT2 Results'!E31&amp;"/7")</f>
        <v/>
      </c>
    </row>
    <row r="158">
      <c r="A158">
        <f>IF('Ch3 EOT2 Results'!L30="","","Q4 Modelling cycle: paper usage: "&amp;'Ch3 EOT2 Results'!F30&amp;"/9")</f>
        <v/>
      </c>
      <c r="K158">
        <f>IF('Ch3 EOT2 Results'!L31="","","Q4 Modelling cycle: paper usage: "&amp;'Ch3 EOT2 Results'!F31&amp;"/9")</f>
        <v/>
      </c>
    </row>
    <row r="159">
      <c r="A159">
        <f>IF('Ch3 EOT2 Results'!L30="","","Q5 Volume estimate &amp; model limitations: "&amp;'Ch3 EOT2 Results'!G30&amp;"/5")</f>
        <v/>
      </c>
      <c r="K159">
        <f>IF('Ch3 EOT2 Results'!L31="","","Q5 Volume estimate &amp; model limitations: "&amp;'Ch3 EOT2 Results'!G31&amp;"/5")</f>
        <v/>
      </c>
    </row>
    <row r="160">
      <c r="A160">
        <f>IF('Ch3 EOT2 Results'!L30="","","Q6 Standard form: density: "&amp;'Ch3 EOT2 Results'!H30&amp;"/5")</f>
        <v/>
      </c>
      <c r="K160">
        <f>IF('Ch3 EOT2 Results'!L31="","","Q6 Standard form: density: "&amp;'Ch3 EOT2 Results'!H31&amp;"/5")</f>
        <v/>
      </c>
    </row>
    <row r="161">
      <c r="A161">
        <f>IF('Ch3 EOT2 Results'!L30="","","Q7 Fermi estimate: birds in a reserve: "&amp;'Ch3 EOT2 Results'!I30&amp;"/9")</f>
        <v/>
      </c>
      <c r="K161">
        <f>IF('Ch3 EOT2 Results'!L31="","","Q7 Fermi estimate: birds in a reserve: "&amp;'Ch3 EOT2 Results'!I31&amp;"/9")</f>
        <v/>
      </c>
    </row>
    <row r="162">
      <c r="A162">
        <f>IF(OR('Ch3 EOT2 Results'!L30="",'Ch3 EOT2 Results'!M30=""),"",'Ch3 EOT2 Results'!M30)</f>
        <v/>
      </c>
      <c r="K162">
        <f>IF(OR('Ch3 EOT2 Results'!L31="",'Ch3 EOT2 Results'!M31=""),"",'Ch3 EOT2 Results'!M31)</f>
        <v/>
      </c>
    </row>
    <row r="164">
      <c r="A164">
        <f>IF('Ch3 EOT2 Results'!L30="","","Comments:")</f>
        <v/>
      </c>
      <c r="K164">
        <f>IF('Ch3 EOT2 Results'!L31="","","Comments:")</f>
        <v/>
      </c>
    </row>
    <row r="165">
      <c r="A165">
        <f>IF('Ch3 EOT2 Results'!L32="","","Chapter 3 End of Topic Test 2 — Modelling and Estimation")</f>
        <v/>
      </c>
      <c r="K165">
        <f>IF('Ch3 EOT2 Results'!L33="","","Chapter 3 End of Topic Test 2 — Modelling and Estimation")</f>
        <v/>
      </c>
    </row>
    <row r="166">
      <c r="A166">
        <f>IF('Ch3 EOT2 Results'!L32="","","Name: "&amp;'Ch3 EOT2 Results'!B32&amp;"   Class: "&amp;'Ch3 EOT2 Results'!$B$3&amp;"   Date: "&amp;TEXT('Ch3 EOT2 Results'!$B$5,"DD/MM/YY"))</f>
        <v/>
      </c>
      <c r="K166">
        <f>IF('Ch3 EOT2 Results'!L33="","","Name: "&amp;'Ch3 EOT2 Results'!B33&amp;"   Class: "&amp;'Ch3 EOT2 Results'!$B$3&amp;"   Date: "&amp;TEXT('Ch3 EOT2 Results'!$B$5,"DD/MM/YY"))</f>
        <v/>
      </c>
    </row>
    <row r="167">
      <c r="A167">
        <f>IF('Ch3 EOT2 Results'!L32="","","Total: "&amp;'Ch3 EOT2 Results'!J32&amp;"/47 ("&amp;TEXT('Ch3 EOT2 Results'!K32,"0%")&amp;")   Overall: "&amp;'Ch3 EOT2 Results'!L32)</f>
        <v/>
      </c>
      <c r="K167">
        <f>IF('Ch3 EOT2 Results'!L33="","","Total: "&amp;'Ch3 EOT2 Results'!J33&amp;"/47 ("&amp;TEXT('Ch3 EOT2 Results'!K33,"0%")&amp;")   Overall: "&amp;'Ch3 EOT2 Results'!L33)</f>
        <v/>
      </c>
    </row>
    <row r="168">
      <c r="A168">
        <f>IF('Ch3 EOT2 Results'!L32="","",IF('Ch3 EOT2 Results'!L32="Green",Parameters!$C$212,IF('Ch3 EOT2 Results'!L32="Yellow",Parameters!$C$211,Parameters!$C$210)))</f>
        <v/>
      </c>
      <c r="K168">
        <f>IF('Ch3 EOT2 Results'!L33="","",IF('Ch3 EOT2 Results'!L33="Green",Parameters!$C$212,IF('Ch3 EOT2 Results'!L33="Yellow",Parameters!$C$211,Parameters!$C$210)))</f>
        <v/>
      </c>
    </row>
    <row r="170">
      <c r="A170">
        <f>IF('Ch3 EOT2 Results'!L32="","","Breakdown:")</f>
        <v/>
      </c>
      <c r="K170">
        <f>IF('Ch3 EOT2 Results'!L33="","","Breakdown:")</f>
        <v/>
      </c>
    </row>
    <row r="171">
      <c r="A171">
        <f>IF('Ch3 EOT2 Results'!L32="","","Q1 Fermi estimate: umbrellas: "&amp;'Ch3 EOT2 Results'!C32&amp;"/7")</f>
        <v/>
      </c>
      <c r="K171">
        <f>IF('Ch3 EOT2 Results'!L33="","","Q1 Fermi estimate: umbrellas: "&amp;'Ch3 EOT2 Results'!C33&amp;"/7")</f>
        <v/>
      </c>
    </row>
    <row r="172">
      <c r="A172">
        <f>IF('Ch3 EOT2 Results'!L32="","","Q2 Standard form &amp; scaling: "&amp;'Ch3 EOT2 Results'!D32&amp;"/5")</f>
        <v/>
      </c>
      <c r="K172">
        <f>IF('Ch3 EOT2 Results'!L33="","","Q2 Standard form &amp; scaling: "&amp;'Ch3 EOT2 Results'!D33&amp;"/5")</f>
        <v/>
      </c>
    </row>
    <row r="173">
      <c r="A173">
        <f>IF('Ch3 EOT2 Results'!L32="","","Q3 Subdividing: trees in a park: "&amp;'Ch3 EOT2 Results'!E32&amp;"/7")</f>
        <v/>
      </c>
      <c r="K173">
        <f>IF('Ch3 EOT2 Results'!L33="","","Q3 Subdividing: trees in a park: "&amp;'Ch3 EOT2 Results'!E33&amp;"/7")</f>
        <v/>
      </c>
    </row>
    <row r="174">
      <c r="A174">
        <f>IF('Ch3 EOT2 Results'!L32="","","Q4 Modelling cycle: paper usage: "&amp;'Ch3 EOT2 Results'!F32&amp;"/9")</f>
        <v/>
      </c>
      <c r="K174">
        <f>IF('Ch3 EOT2 Results'!L33="","","Q4 Modelling cycle: paper usage: "&amp;'Ch3 EOT2 Results'!F33&amp;"/9")</f>
        <v/>
      </c>
    </row>
    <row r="175">
      <c r="A175">
        <f>IF('Ch3 EOT2 Results'!L32="","","Q5 Volume estimate &amp; model limitations: "&amp;'Ch3 EOT2 Results'!G32&amp;"/5")</f>
        <v/>
      </c>
      <c r="K175">
        <f>IF('Ch3 EOT2 Results'!L33="","","Q5 Volume estimate &amp; model limitations: "&amp;'Ch3 EOT2 Results'!G33&amp;"/5")</f>
        <v/>
      </c>
    </row>
    <row r="176">
      <c r="A176">
        <f>IF('Ch3 EOT2 Results'!L32="","","Q6 Standard form: density: "&amp;'Ch3 EOT2 Results'!H32&amp;"/5")</f>
        <v/>
      </c>
      <c r="K176">
        <f>IF('Ch3 EOT2 Results'!L33="","","Q6 Standard form: density: "&amp;'Ch3 EOT2 Results'!H33&amp;"/5")</f>
        <v/>
      </c>
    </row>
    <row r="177">
      <c r="A177">
        <f>IF('Ch3 EOT2 Results'!L32="","","Q7 Fermi estimate: birds in a reserve: "&amp;'Ch3 EOT2 Results'!I32&amp;"/9")</f>
        <v/>
      </c>
      <c r="K177">
        <f>IF('Ch3 EOT2 Results'!L33="","","Q7 Fermi estimate: birds in a reserve: "&amp;'Ch3 EOT2 Results'!I33&amp;"/9")</f>
        <v/>
      </c>
    </row>
    <row r="178">
      <c r="A178">
        <f>IF(OR('Ch3 EOT2 Results'!L32="",'Ch3 EOT2 Results'!M32=""),"",'Ch3 EOT2 Results'!M32)</f>
        <v/>
      </c>
      <c r="K178">
        <f>IF(OR('Ch3 EOT2 Results'!L33="",'Ch3 EOT2 Results'!M33=""),"",'Ch3 EOT2 Results'!M33)</f>
        <v/>
      </c>
    </row>
    <row r="180">
      <c r="A180">
        <f>IF('Ch3 EOT2 Results'!L32="","","Comments:")</f>
        <v/>
      </c>
      <c r="K180">
        <f>IF('Ch3 EOT2 Results'!L33="","","Comments:")</f>
        <v/>
      </c>
    </row>
    <row r="181">
      <c r="A181">
        <f>IF('Ch3 EOT2 Results'!L34="","","Chapter 3 End of Topic Test 2 — Modelling and Estimation")</f>
        <v/>
      </c>
      <c r="K181">
        <f>IF('Ch3 EOT2 Results'!L35="","","Chapter 3 End of Topic Test 2 — Modelling and Estimation")</f>
        <v/>
      </c>
    </row>
    <row r="182">
      <c r="A182">
        <f>IF('Ch3 EOT2 Results'!L34="","","Name: "&amp;'Ch3 EOT2 Results'!B34&amp;"   Class: "&amp;'Ch3 EOT2 Results'!$B$3&amp;"   Date: "&amp;TEXT('Ch3 EOT2 Results'!$B$5,"DD/MM/YY"))</f>
        <v/>
      </c>
      <c r="K182">
        <f>IF('Ch3 EOT2 Results'!L35="","","Name: "&amp;'Ch3 EOT2 Results'!B35&amp;"   Class: "&amp;'Ch3 EOT2 Results'!$B$3&amp;"   Date: "&amp;TEXT('Ch3 EOT2 Results'!$B$5,"DD/MM/YY"))</f>
        <v/>
      </c>
    </row>
    <row r="183">
      <c r="A183">
        <f>IF('Ch3 EOT2 Results'!L34="","","Total: "&amp;'Ch3 EOT2 Results'!J34&amp;"/47 ("&amp;TEXT('Ch3 EOT2 Results'!K34,"0%")&amp;")   Overall: "&amp;'Ch3 EOT2 Results'!L34)</f>
        <v/>
      </c>
      <c r="K183">
        <f>IF('Ch3 EOT2 Results'!L35="","","Total: "&amp;'Ch3 EOT2 Results'!J35&amp;"/47 ("&amp;TEXT('Ch3 EOT2 Results'!K35,"0%")&amp;")   Overall: "&amp;'Ch3 EOT2 Results'!L35)</f>
        <v/>
      </c>
    </row>
    <row r="184">
      <c r="A184">
        <f>IF('Ch3 EOT2 Results'!L34="","",IF('Ch3 EOT2 Results'!L34="Green",Parameters!$C$212,IF('Ch3 EOT2 Results'!L34="Yellow",Parameters!$C$211,Parameters!$C$210)))</f>
        <v/>
      </c>
      <c r="K184">
        <f>IF('Ch3 EOT2 Results'!L35="","",IF('Ch3 EOT2 Results'!L35="Green",Parameters!$C$212,IF('Ch3 EOT2 Results'!L35="Yellow",Parameters!$C$211,Parameters!$C$210)))</f>
        <v/>
      </c>
    </row>
    <row r="186">
      <c r="A186">
        <f>IF('Ch3 EOT2 Results'!L34="","","Breakdown:")</f>
        <v/>
      </c>
      <c r="K186">
        <f>IF('Ch3 EOT2 Results'!L35="","","Breakdown:")</f>
        <v/>
      </c>
    </row>
    <row r="187">
      <c r="A187">
        <f>IF('Ch3 EOT2 Results'!L34="","","Q1 Fermi estimate: umbrellas: "&amp;'Ch3 EOT2 Results'!C34&amp;"/7")</f>
        <v/>
      </c>
      <c r="K187">
        <f>IF('Ch3 EOT2 Results'!L35="","","Q1 Fermi estimate: umbrellas: "&amp;'Ch3 EOT2 Results'!C35&amp;"/7")</f>
        <v/>
      </c>
    </row>
    <row r="188">
      <c r="A188">
        <f>IF('Ch3 EOT2 Results'!L34="","","Q2 Standard form &amp; scaling: "&amp;'Ch3 EOT2 Results'!D34&amp;"/5")</f>
        <v/>
      </c>
      <c r="K188">
        <f>IF('Ch3 EOT2 Results'!L35="","","Q2 Standard form &amp; scaling: "&amp;'Ch3 EOT2 Results'!D35&amp;"/5")</f>
        <v/>
      </c>
    </row>
    <row r="189">
      <c r="A189">
        <f>IF('Ch3 EOT2 Results'!L34="","","Q3 Subdividing: trees in a park: "&amp;'Ch3 EOT2 Results'!E34&amp;"/7")</f>
        <v/>
      </c>
      <c r="K189">
        <f>IF('Ch3 EOT2 Results'!L35="","","Q3 Subdividing: trees in a park: "&amp;'Ch3 EOT2 Results'!E35&amp;"/7")</f>
        <v/>
      </c>
    </row>
    <row r="190">
      <c r="A190">
        <f>IF('Ch3 EOT2 Results'!L34="","","Q4 Modelling cycle: paper usage: "&amp;'Ch3 EOT2 Results'!F34&amp;"/9")</f>
        <v/>
      </c>
      <c r="K190">
        <f>IF('Ch3 EOT2 Results'!L35="","","Q4 Modelling cycle: paper usage: "&amp;'Ch3 EOT2 Results'!F35&amp;"/9")</f>
        <v/>
      </c>
    </row>
    <row r="191">
      <c r="A191">
        <f>IF('Ch3 EOT2 Results'!L34="","","Q5 Volume estimate &amp; model limitations: "&amp;'Ch3 EOT2 Results'!G34&amp;"/5")</f>
        <v/>
      </c>
      <c r="K191">
        <f>IF('Ch3 EOT2 Results'!L35="","","Q5 Volume estimate &amp; model limitations: "&amp;'Ch3 EOT2 Results'!G35&amp;"/5")</f>
        <v/>
      </c>
    </row>
    <row r="192">
      <c r="A192">
        <f>IF('Ch3 EOT2 Results'!L34="","","Q6 Standard form: density: "&amp;'Ch3 EOT2 Results'!H34&amp;"/5")</f>
        <v/>
      </c>
      <c r="K192">
        <f>IF('Ch3 EOT2 Results'!L35="","","Q6 Standard form: density: "&amp;'Ch3 EOT2 Results'!H35&amp;"/5")</f>
        <v/>
      </c>
    </row>
    <row r="193">
      <c r="A193">
        <f>IF('Ch3 EOT2 Results'!L34="","","Q7 Fermi estimate: birds in a reserve: "&amp;'Ch3 EOT2 Results'!I34&amp;"/9")</f>
        <v/>
      </c>
      <c r="K193">
        <f>IF('Ch3 EOT2 Results'!L35="","","Q7 Fermi estimate: birds in a reserve: "&amp;'Ch3 EOT2 Results'!I35&amp;"/9")</f>
        <v/>
      </c>
    </row>
    <row r="194">
      <c r="A194">
        <f>IF(OR('Ch3 EOT2 Results'!L34="",'Ch3 EOT2 Results'!M34=""),"",'Ch3 EOT2 Results'!M34)</f>
        <v/>
      </c>
      <c r="K194">
        <f>IF(OR('Ch3 EOT2 Results'!L35="",'Ch3 EOT2 Results'!M35=""),"",'Ch3 EOT2 Results'!M35)</f>
        <v/>
      </c>
    </row>
    <row r="196">
      <c r="A196">
        <f>IF('Ch3 EOT2 Results'!L34="","","Comments:")</f>
        <v/>
      </c>
      <c r="K196">
        <f>IF('Ch3 EOT2 Results'!L35="","","Comments:")</f>
        <v/>
      </c>
    </row>
    <row r="197">
      <c r="A197">
        <f>IF('Ch3 EOT2 Results'!L36="","","Chapter 3 End of Topic Test 2 — Modelling and Estimation")</f>
        <v/>
      </c>
      <c r="K197">
        <f>IF('Ch3 EOT2 Results'!L37="","","Chapter 3 End of Topic Test 2 — Modelling and Estimation")</f>
        <v/>
      </c>
    </row>
    <row r="198">
      <c r="A198">
        <f>IF('Ch3 EOT2 Results'!L36="","","Name: "&amp;'Ch3 EOT2 Results'!B36&amp;"   Class: "&amp;'Ch3 EOT2 Results'!$B$3&amp;"   Date: "&amp;TEXT('Ch3 EOT2 Results'!$B$5,"DD/MM/YY"))</f>
        <v/>
      </c>
      <c r="K198">
        <f>IF('Ch3 EOT2 Results'!L37="","","Name: "&amp;'Ch3 EOT2 Results'!B37&amp;"   Class: "&amp;'Ch3 EOT2 Results'!$B$3&amp;"   Date: "&amp;TEXT('Ch3 EOT2 Results'!$B$5,"DD/MM/YY"))</f>
        <v/>
      </c>
    </row>
    <row r="199">
      <c r="A199">
        <f>IF('Ch3 EOT2 Results'!L36="","","Total: "&amp;'Ch3 EOT2 Results'!J36&amp;"/47 ("&amp;TEXT('Ch3 EOT2 Results'!K36,"0%")&amp;")   Overall: "&amp;'Ch3 EOT2 Results'!L36)</f>
        <v/>
      </c>
      <c r="K199">
        <f>IF('Ch3 EOT2 Results'!L37="","","Total: "&amp;'Ch3 EOT2 Results'!J37&amp;"/47 ("&amp;TEXT('Ch3 EOT2 Results'!K37,"0%")&amp;")   Overall: "&amp;'Ch3 EOT2 Results'!L37)</f>
        <v/>
      </c>
    </row>
    <row r="200">
      <c r="A200">
        <f>IF('Ch3 EOT2 Results'!L36="","",IF('Ch3 EOT2 Results'!L36="Green",Parameters!$C$212,IF('Ch3 EOT2 Results'!L36="Yellow",Parameters!$C$211,Parameters!$C$210)))</f>
        <v/>
      </c>
      <c r="K200">
        <f>IF('Ch3 EOT2 Results'!L37="","",IF('Ch3 EOT2 Results'!L37="Green",Parameters!$C$212,IF('Ch3 EOT2 Results'!L37="Yellow",Parameters!$C$211,Parameters!$C$210)))</f>
        <v/>
      </c>
    </row>
    <row r="202">
      <c r="A202">
        <f>IF('Ch3 EOT2 Results'!L36="","","Breakdown:")</f>
        <v/>
      </c>
      <c r="K202">
        <f>IF('Ch3 EOT2 Results'!L37="","","Breakdown:")</f>
        <v/>
      </c>
    </row>
    <row r="203">
      <c r="A203">
        <f>IF('Ch3 EOT2 Results'!L36="","","Q1 Fermi estimate: umbrellas: "&amp;'Ch3 EOT2 Results'!C36&amp;"/7")</f>
        <v/>
      </c>
      <c r="K203">
        <f>IF('Ch3 EOT2 Results'!L37="","","Q1 Fermi estimate: umbrellas: "&amp;'Ch3 EOT2 Results'!C37&amp;"/7")</f>
        <v/>
      </c>
    </row>
    <row r="204">
      <c r="A204">
        <f>IF('Ch3 EOT2 Results'!L36="","","Q2 Standard form &amp; scaling: "&amp;'Ch3 EOT2 Results'!D36&amp;"/5")</f>
        <v/>
      </c>
      <c r="K204">
        <f>IF('Ch3 EOT2 Results'!L37="","","Q2 Standard form &amp; scaling: "&amp;'Ch3 EOT2 Results'!D37&amp;"/5")</f>
        <v/>
      </c>
    </row>
    <row r="205">
      <c r="A205">
        <f>IF('Ch3 EOT2 Results'!L36="","","Q3 Subdividing: trees in a park: "&amp;'Ch3 EOT2 Results'!E36&amp;"/7")</f>
        <v/>
      </c>
      <c r="K205">
        <f>IF('Ch3 EOT2 Results'!L37="","","Q3 Subdividing: trees in a park: "&amp;'Ch3 EOT2 Results'!E37&amp;"/7")</f>
        <v/>
      </c>
    </row>
    <row r="206">
      <c r="A206">
        <f>IF('Ch3 EOT2 Results'!L36="","","Q4 Modelling cycle: paper usage: "&amp;'Ch3 EOT2 Results'!F36&amp;"/9")</f>
        <v/>
      </c>
      <c r="K206">
        <f>IF('Ch3 EOT2 Results'!L37="","","Q4 Modelling cycle: paper usage: "&amp;'Ch3 EOT2 Results'!F37&amp;"/9")</f>
        <v/>
      </c>
    </row>
    <row r="207">
      <c r="A207">
        <f>IF('Ch3 EOT2 Results'!L36="","","Q5 Volume estimate &amp; model limitations: "&amp;'Ch3 EOT2 Results'!G36&amp;"/5")</f>
        <v/>
      </c>
      <c r="K207">
        <f>IF('Ch3 EOT2 Results'!L37="","","Q5 Volume estimate &amp; model limitations: "&amp;'Ch3 EOT2 Results'!G37&amp;"/5")</f>
        <v/>
      </c>
    </row>
    <row r="208">
      <c r="A208">
        <f>IF('Ch3 EOT2 Results'!L36="","","Q6 Standard form: density: "&amp;'Ch3 EOT2 Results'!H36&amp;"/5")</f>
        <v/>
      </c>
      <c r="K208">
        <f>IF('Ch3 EOT2 Results'!L37="","","Q6 Standard form: density: "&amp;'Ch3 EOT2 Results'!H37&amp;"/5")</f>
        <v/>
      </c>
    </row>
    <row r="209">
      <c r="A209">
        <f>IF('Ch3 EOT2 Results'!L36="","","Q7 Fermi estimate: birds in a reserve: "&amp;'Ch3 EOT2 Results'!I36&amp;"/9")</f>
        <v/>
      </c>
      <c r="K209">
        <f>IF('Ch3 EOT2 Results'!L37="","","Q7 Fermi estimate: birds in a reserve: "&amp;'Ch3 EOT2 Results'!I37&amp;"/9")</f>
        <v/>
      </c>
    </row>
    <row r="210">
      <c r="A210">
        <f>IF(OR('Ch3 EOT2 Results'!L36="",'Ch3 EOT2 Results'!M36=""),"",'Ch3 EOT2 Results'!M36)</f>
        <v/>
      </c>
      <c r="K210">
        <f>IF(OR('Ch3 EOT2 Results'!L37="",'Ch3 EOT2 Results'!M37=""),"",'Ch3 EOT2 Results'!M37)</f>
        <v/>
      </c>
    </row>
    <row r="212">
      <c r="A212">
        <f>IF('Ch3 EOT2 Results'!L36="","","Comments:")</f>
        <v/>
      </c>
      <c r="K212">
        <f>IF('Ch3 EOT2 Results'!L37="","","Comments:")</f>
        <v/>
      </c>
    </row>
    <row r="213">
      <c r="A213">
        <f>IF('Ch3 EOT2 Results'!L38="","","Chapter 3 End of Topic Test 2 — Modelling and Estimation")</f>
        <v/>
      </c>
      <c r="K213">
        <f>IF('Ch3 EOT2 Results'!L39="","","Chapter 3 End of Topic Test 2 — Modelling and Estimation")</f>
        <v/>
      </c>
    </row>
    <row r="214">
      <c r="A214">
        <f>IF('Ch3 EOT2 Results'!L38="","","Name: "&amp;'Ch3 EOT2 Results'!B38&amp;"   Class: "&amp;'Ch3 EOT2 Results'!$B$3&amp;"   Date: "&amp;TEXT('Ch3 EOT2 Results'!$B$5,"DD/MM/YY"))</f>
        <v/>
      </c>
      <c r="K214">
        <f>IF('Ch3 EOT2 Results'!L39="","","Name: "&amp;'Ch3 EOT2 Results'!B39&amp;"   Class: "&amp;'Ch3 EOT2 Results'!$B$3&amp;"   Date: "&amp;TEXT('Ch3 EOT2 Results'!$B$5,"DD/MM/YY"))</f>
        <v/>
      </c>
    </row>
    <row r="215">
      <c r="A215">
        <f>IF('Ch3 EOT2 Results'!L38="","","Total: "&amp;'Ch3 EOT2 Results'!J38&amp;"/47 ("&amp;TEXT('Ch3 EOT2 Results'!K38,"0%")&amp;")   Overall: "&amp;'Ch3 EOT2 Results'!L38)</f>
        <v/>
      </c>
      <c r="K215">
        <f>IF('Ch3 EOT2 Results'!L39="","","Total: "&amp;'Ch3 EOT2 Results'!J39&amp;"/47 ("&amp;TEXT('Ch3 EOT2 Results'!K39,"0%")&amp;")   Overall: "&amp;'Ch3 EOT2 Results'!L39)</f>
        <v/>
      </c>
    </row>
    <row r="216">
      <c r="A216">
        <f>IF('Ch3 EOT2 Results'!L38="","",IF('Ch3 EOT2 Results'!L38="Green",Parameters!$C$212,IF('Ch3 EOT2 Results'!L38="Yellow",Parameters!$C$211,Parameters!$C$210)))</f>
        <v/>
      </c>
      <c r="K216">
        <f>IF('Ch3 EOT2 Results'!L39="","",IF('Ch3 EOT2 Results'!L39="Green",Parameters!$C$212,IF('Ch3 EOT2 Results'!L39="Yellow",Parameters!$C$211,Parameters!$C$210)))</f>
        <v/>
      </c>
    </row>
    <row r="218">
      <c r="A218">
        <f>IF('Ch3 EOT2 Results'!L38="","","Breakdown:")</f>
        <v/>
      </c>
      <c r="K218">
        <f>IF('Ch3 EOT2 Results'!L39="","","Breakdown:")</f>
        <v/>
      </c>
    </row>
    <row r="219">
      <c r="A219">
        <f>IF('Ch3 EOT2 Results'!L38="","","Q1 Fermi estimate: umbrellas: "&amp;'Ch3 EOT2 Results'!C38&amp;"/7")</f>
        <v/>
      </c>
      <c r="K219">
        <f>IF('Ch3 EOT2 Results'!L39="","","Q1 Fermi estimate: umbrellas: "&amp;'Ch3 EOT2 Results'!C39&amp;"/7")</f>
        <v/>
      </c>
    </row>
    <row r="220">
      <c r="A220">
        <f>IF('Ch3 EOT2 Results'!L38="","","Q2 Standard form &amp; scaling: "&amp;'Ch3 EOT2 Results'!D38&amp;"/5")</f>
        <v/>
      </c>
      <c r="K220">
        <f>IF('Ch3 EOT2 Results'!L39="","","Q2 Standard form &amp; scaling: "&amp;'Ch3 EOT2 Results'!D39&amp;"/5")</f>
        <v/>
      </c>
    </row>
    <row r="221">
      <c r="A221">
        <f>IF('Ch3 EOT2 Results'!L38="","","Q3 Subdividing: trees in a park: "&amp;'Ch3 EOT2 Results'!E38&amp;"/7")</f>
        <v/>
      </c>
      <c r="K221">
        <f>IF('Ch3 EOT2 Results'!L39="","","Q3 Subdividing: trees in a park: "&amp;'Ch3 EOT2 Results'!E39&amp;"/7")</f>
        <v/>
      </c>
    </row>
    <row r="222">
      <c r="A222">
        <f>IF('Ch3 EOT2 Results'!L38="","","Q4 Modelling cycle: paper usage: "&amp;'Ch3 EOT2 Results'!F38&amp;"/9")</f>
        <v/>
      </c>
      <c r="K222">
        <f>IF('Ch3 EOT2 Results'!L39="","","Q4 Modelling cycle: paper usage: "&amp;'Ch3 EOT2 Results'!F39&amp;"/9")</f>
        <v/>
      </c>
    </row>
    <row r="223">
      <c r="A223">
        <f>IF('Ch3 EOT2 Results'!L38="","","Q5 Volume estimate &amp; model limitations: "&amp;'Ch3 EOT2 Results'!G38&amp;"/5")</f>
        <v/>
      </c>
      <c r="K223">
        <f>IF('Ch3 EOT2 Results'!L39="","","Q5 Volume estimate &amp; model limitations: "&amp;'Ch3 EOT2 Results'!G39&amp;"/5")</f>
        <v/>
      </c>
    </row>
    <row r="224">
      <c r="A224">
        <f>IF('Ch3 EOT2 Results'!L38="","","Q6 Standard form: density: "&amp;'Ch3 EOT2 Results'!H38&amp;"/5")</f>
        <v/>
      </c>
      <c r="K224">
        <f>IF('Ch3 EOT2 Results'!L39="","","Q6 Standard form: density: "&amp;'Ch3 EOT2 Results'!H39&amp;"/5")</f>
        <v/>
      </c>
    </row>
    <row r="225">
      <c r="A225">
        <f>IF('Ch3 EOT2 Results'!L38="","","Q7 Fermi estimate: birds in a reserve: "&amp;'Ch3 EOT2 Results'!I38&amp;"/9")</f>
        <v/>
      </c>
      <c r="K225">
        <f>IF('Ch3 EOT2 Results'!L39="","","Q7 Fermi estimate: birds in a reserve: "&amp;'Ch3 EOT2 Results'!I39&amp;"/9")</f>
        <v/>
      </c>
    </row>
    <row r="226">
      <c r="A226">
        <f>IF(OR('Ch3 EOT2 Results'!L38="",'Ch3 EOT2 Results'!M38=""),"",'Ch3 EOT2 Results'!M38)</f>
        <v/>
      </c>
      <c r="K226">
        <f>IF(OR('Ch3 EOT2 Results'!L39="",'Ch3 EOT2 Results'!M39=""),"",'Ch3 EOT2 Results'!M39)</f>
        <v/>
      </c>
    </row>
    <row r="228">
      <c r="A228">
        <f>IF('Ch3 EOT2 Results'!L38="","","Comments:")</f>
        <v/>
      </c>
      <c r="K228">
        <f>IF('Ch3 EOT2 Results'!L39="","","Comments:")</f>
        <v/>
      </c>
    </row>
    <row r="229">
      <c r="A229">
        <f>IF('Ch3 EOT2 Results'!L40="","","Chapter 3 End of Topic Test 2 — Modelling and Estimation")</f>
        <v/>
      </c>
      <c r="K229">
        <f>IF('Ch3 EOT2 Results'!L41="","","Chapter 3 End of Topic Test 2 — Modelling and Estimation")</f>
        <v/>
      </c>
    </row>
    <row r="230">
      <c r="A230">
        <f>IF('Ch3 EOT2 Results'!L40="","","Name: "&amp;'Ch3 EOT2 Results'!B40&amp;"   Class: "&amp;'Ch3 EOT2 Results'!$B$3&amp;"   Date: "&amp;TEXT('Ch3 EOT2 Results'!$B$5,"DD/MM/YY"))</f>
        <v/>
      </c>
      <c r="K230">
        <f>IF('Ch3 EOT2 Results'!L41="","","Name: "&amp;'Ch3 EOT2 Results'!B41&amp;"   Class: "&amp;'Ch3 EOT2 Results'!$B$3&amp;"   Date: "&amp;TEXT('Ch3 EOT2 Results'!$B$5,"DD/MM/YY"))</f>
        <v/>
      </c>
    </row>
    <row r="231">
      <c r="A231">
        <f>IF('Ch3 EOT2 Results'!L40="","","Total: "&amp;'Ch3 EOT2 Results'!J40&amp;"/47 ("&amp;TEXT('Ch3 EOT2 Results'!K40,"0%")&amp;")   Overall: "&amp;'Ch3 EOT2 Results'!L40)</f>
        <v/>
      </c>
      <c r="K231">
        <f>IF('Ch3 EOT2 Results'!L41="","","Total: "&amp;'Ch3 EOT2 Results'!J41&amp;"/47 ("&amp;TEXT('Ch3 EOT2 Results'!K41,"0%")&amp;")   Overall: "&amp;'Ch3 EOT2 Results'!L41)</f>
        <v/>
      </c>
    </row>
    <row r="232">
      <c r="A232">
        <f>IF('Ch3 EOT2 Results'!L40="","",IF('Ch3 EOT2 Results'!L40="Green",Parameters!$C$212,IF('Ch3 EOT2 Results'!L40="Yellow",Parameters!$C$211,Parameters!$C$210)))</f>
        <v/>
      </c>
      <c r="K232">
        <f>IF('Ch3 EOT2 Results'!L41="","",IF('Ch3 EOT2 Results'!L41="Green",Parameters!$C$212,IF('Ch3 EOT2 Results'!L41="Yellow",Parameters!$C$211,Parameters!$C$210)))</f>
        <v/>
      </c>
    </row>
    <row r="234">
      <c r="A234">
        <f>IF('Ch3 EOT2 Results'!L40="","","Breakdown:")</f>
        <v/>
      </c>
      <c r="K234">
        <f>IF('Ch3 EOT2 Results'!L41="","","Breakdown:")</f>
        <v/>
      </c>
    </row>
    <row r="235">
      <c r="A235">
        <f>IF('Ch3 EOT2 Results'!L40="","","Q1 Fermi estimate: umbrellas: "&amp;'Ch3 EOT2 Results'!C40&amp;"/7")</f>
        <v/>
      </c>
      <c r="K235">
        <f>IF('Ch3 EOT2 Results'!L41="","","Q1 Fermi estimate: umbrellas: "&amp;'Ch3 EOT2 Results'!C41&amp;"/7")</f>
        <v/>
      </c>
    </row>
    <row r="236">
      <c r="A236">
        <f>IF('Ch3 EOT2 Results'!L40="","","Q2 Standard form &amp; scaling: "&amp;'Ch3 EOT2 Results'!D40&amp;"/5")</f>
        <v/>
      </c>
      <c r="K236">
        <f>IF('Ch3 EOT2 Results'!L41="","","Q2 Standard form &amp; scaling: "&amp;'Ch3 EOT2 Results'!D41&amp;"/5")</f>
        <v/>
      </c>
    </row>
    <row r="237">
      <c r="A237">
        <f>IF('Ch3 EOT2 Results'!L40="","","Q3 Subdividing: trees in a park: "&amp;'Ch3 EOT2 Results'!E40&amp;"/7")</f>
        <v/>
      </c>
      <c r="K237">
        <f>IF('Ch3 EOT2 Results'!L41="","","Q3 Subdividing: trees in a park: "&amp;'Ch3 EOT2 Results'!E41&amp;"/7")</f>
        <v/>
      </c>
    </row>
    <row r="238">
      <c r="A238">
        <f>IF('Ch3 EOT2 Results'!L40="","","Q4 Modelling cycle: paper usage: "&amp;'Ch3 EOT2 Results'!F40&amp;"/9")</f>
        <v/>
      </c>
      <c r="K238">
        <f>IF('Ch3 EOT2 Results'!L41="","","Q4 Modelling cycle: paper usage: "&amp;'Ch3 EOT2 Results'!F41&amp;"/9")</f>
        <v/>
      </c>
    </row>
    <row r="239">
      <c r="A239">
        <f>IF('Ch3 EOT2 Results'!L40="","","Q5 Volume estimate &amp; model limitations: "&amp;'Ch3 EOT2 Results'!G40&amp;"/5")</f>
        <v/>
      </c>
      <c r="K239">
        <f>IF('Ch3 EOT2 Results'!L41="","","Q5 Volume estimate &amp; model limitations: "&amp;'Ch3 EOT2 Results'!G41&amp;"/5")</f>
        <v/>
      </c>
    </row>
    <row r="240">
      <c r="A240">
        <f>IF('Ch3 EOT2 Results'!L40="","","Q6 Standard form: density: "&amp;'Ch3 EOT2 Results'!H40&amp;"/5")</f>
        <v/>
      </c>
      <c r="K240">
        <f>IF('Ch3 EOT2 Results'!L41="","","Q6 Standard form: density: "&amp;'Ch3 EOT2 Results'!H41&amp;"/5")</f>
        <v/>
      </c>
    </row>
    <row r="241">
      <c r="A241">
        <f>IF('Ch3 EOT2 Results'!L40="","","Q7 Fermi estimate: birds in a reserve: "&amp;'Ch3 EOT2 Results'!I40&amp;"/9")</f>
        <v/>
      </c>
      <c r="K241">
        <f>IF('Ch3 EOT2 Results'!L41="","","Q7 Fermi estimate: birds in a reserve: "&amp;'Ch3 EOT2 Results'!I41&amp;"/9")</f>
        <v/>
      </c>
    </row>
    <row r="242">
      <c r="A242">
        <f>IF(OR('Ch3 EOT2 Results'!L40="",'Ch3 EOT2 Results'!M40=""),"",'Ch3 EOT2 Results'!M40)</f>
        <v/>
      </c>
      <c r="K242">
        <f>IF(OR('Ch3 EOT2 Results'!L41="",'Ch3 EOT2 Results'!M41=""),"",'Ch3 EOT2 Results'!M41)</f>
        <v/>
      </c>
    </row>
    <row r="244">
      <c r="A244">
        <f>IF('Ch3 EOT2 Results'!L40="","","Comments:")</f>
        <v/>
      </c>
      <c r="K244">
        <f>IF('Ch3 EOT2 Results'!L41="","","Comments:")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0" customWidth="1" min="7" max="7"/>
    <col width="8" customWidth="1" min="8" max="8"/>
    <col width="10" customWidth="1" min="9" max="9"/>
    <col width="45" customWidth="1" min="10" max="10"/>
  </cols>
  <sheetData>
    <row r="1">
      <c r="A1" s="11" t="inlineStr">
        <is>
          <t>Mini Test 4.1 — Critical Analysis of Data &amp; Models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Misleading bar chart
(/6)</t>
        </is>
      </c>
      <c r="D9" s="12" t="inlineStr">
        <is>
          <t>Q2
Misleading time-series graph
(/6)</t>
        </is>
      </c>
      <c r="E9" s="12" t="inlineStr">
        <is>
          <t>Q3
Sampling bias
(/5)</t>
        </is>
      </c>
      <c r="F9" s="12" t="inlineStr">
        <is>
          <t>Q4
Mean vs median claim
(/5)</t>
        </is>
      </c>
      <c r="G9" s="12" t="inlineStr">
        <is>
          <t>Total
(/22)</t>
        </is>
      </c>
      <c r="H9" s="12" t="inlineStr">
        <is>
          <t>%</t>
        </is>
      </c>
      <c r="I9" s="12" t="inlineStr">
        <is>
          <t>Overall</t>
        </is>
      </c>
      <c r="J9" s="12" t="inlineStr">
        <is>
          <t>Focus for next steps</t>
        </is>
      </c>
      <c r="K9" s="12" t="inlineStr">
        <is>
          <t>Q1%</t>
        </is>
      </c>
      <c r="L9" s="12" t="inlineStr">
        <is>
          <t>Q2%</t>
        </is>
      </c>
      <c r="M9" s="12" t="inlineStr">
        <is>
          <t>Q3%</t>
        </is>
      </c>
      <c r="N9" s="12" t="inlineStr">
        <is>
          <t>Q4%</t>
        </is>
      </c>
    </row>
    <row r="10">
      <c r="A10" s="3" t="n"/>
      <c r="B10" s="3" t="inlineStr">
        <is>
          <t>Max marks</t>
        </is>
      </c>
      <c r="C10" s="3" t="n">
        <v>6</v>
      </c>
      <c r="D10" s="3" t="n">
        <v>6</v>
      </c>
      <c r="E10" s="3" t="n">
        <v>5</v>
      </c>
      <c r="F10" s="3" t="n">
        <v>5</v>
      </c>
      <c r="G10" s="3" t="n">
        <v>22</v>
      </c>
      <c r="H10" s="3" t="inlineStr">
        <is>
          <t>100%</t>
        </is>
      </c>
      <c r="I10" s="3" t="n"/>
      <c r="J10" s="3" t="n"/>
      <c r="K10" s="3" t="n"/>
      <c r="L10" s="3" t="n"/>
      <c r="M10" s="3" t="n"/>
      <c r="N10" s="3" t="n"/>
    </row>
    <row r="11">
      <c r="A11" s="13" t="n">
        <v>1</v>
      </c>
      <c r="B11" s="13" t="inlineStr">
        <is>
          <t>Example pupil (edit me)</t>
        </is>
      </c>
      <c r="C11" s="13" t="n">
        <v>5</v>
      </c>
      <c r="D11" s="13" t="n">
        <v>5</v>
      </c>
      <c r="E11" s="13" t="n">
        <v>4</v>
      </c>
      <c r="F11" s="13" t="n">
        <v>4</v>
      </c>
      <c r="G11" s="13">
        <f>IF(COUNT(C11:F11)&lt;4,"",SUM(C11:F11))</f>
        <v/>
      </c>
      <c r="H11" s="13">
        <f>IF(COUNT(C11:F11)&lt;4,"",G11/22)</f>
        <v/>
      </c>
      <c r="I11" s="13">
        <f>IF(COUNT(C11:F11)&lt;4,"",IF(H11&gt;=0.8,"Green",IF(H11&gt;=0.5,"Yellow","Red")))</f>
        <v/>
      </c>
      <c r="J11" s="13">
        <f>IF(COUNT(C11:F11)&lt;4,"",IF(I11="Green","Well done! "&amp;Parameters!$C$227,"Revise: "&amp;_xlfn.TEXTJOIN(", ",TRUE(),IF(K11&lt;1,Parameters!$A$218,""),IF(L11&lt;1,Parameters!$A$219,""),IF(M11&lt;1,Parameters!$A$220,""),IF(N11&lt;1,Parameters!$A$221,""))))</f>
        <v/>
      </c>
      <c r="K11" s="13">
        <f>IF(C11="","",C11/6)</f>
        <v/>
      </c>
      <c r="L11" s="13">
        <f>IF(D11="","",D11/6)</f>
        <v/>
      </c>
      <c r="M11" s="13">
        <f>IF(E11="","",E11/5)</f>
        <v/>
      </c>
      <c r="N11" s="13">
        <f>IF(F11="","",F11/5)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3">
        <f>IF(COUNT(C12:F12)&lt;4,"",SUM(C12:F12))</f>
        <v/>
      </c>
      <c r="H12" s="13">
        <f>IF(COUNT(C12:F12)&lt;4,"",G12/22)</f>
        <v/>
      </c>
      <c r="I12" s="13">
        <f>IF(COUNT(C12:F12)&lt;4,"",IF(H12&gt;=0.8,"Green",IF(H12&gt;=0.5,"Yellow","Red")))</f>
        <v/>
      </c>
      <c r="J12" s="13">
        <f>IF(COUNT(C12:F12)&lt;4,"",IF(I12="Green","Well done! "&amp;Parameters!$C$227,"Revise: "&amp;_xlfn.TEXTJOIN(", ",TRUE(),IF(K12&lt;1,Parameters!$A$218,""),IF(L12&lt;1,Parameters!$A$219,""),IF(M12&lt;1,Parameters!$A$220,""),IF(N12&lt;1,Parameters!$A$221,""))))</f>
        <v/>
      </c>
      <c r="K12" s="13">
        <f>IF(C12="","",C12/6)</f>
        <v/>
      </c>
      <c r="L12" s="13">
        <f>IF(D12="","",D12/6)</f>
        <v/>
      </c>
      <c r="M12" s="13">
        <f>IF(E12="","",E12/5)</f>
        <v/>
      </c>
      <c r="N12" s="13">
        <f>IF(F12="","",F12/5)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3">
        <f>IF(COUNT(C13:F13)&lt;4,"",SUM(C13:F13))</f>
        <v/>
      </c>
      <c r="H13" s="13">
        <f>IF(COUNT(C13:F13)&lt;4,"",G13/22)</f>
        <v/>
      </c>
      <c r="I13" s="13">
        <f>IF(COUNT(C13:F13)&lt;4,"",IF(H13&gt;=0.8,"Green",IF(H13&gt;=0.5,"Yellow","Red")))</f>
        <v/>
      </c>
      <c r="J13" s="13">
        <f>IF(COUNT(C13:F13)&lt;4,"",IF(I13="Green","Well done! "&amp;Parameters!$C$227,"Revise: "&amp;_xlfn.TEXTJOIN(", ",TRUE(),IF(K13&lt;1,Parameters!$A$218,""),IF(L13&lt;1,Parameters!$A$219,""),IF(M13&lt;1,Parameters!$A$220,""),IF(N13&lt;1,Parameters!$A$221,""))))</f>
        <v/>
      </c>
      <c r="K13" s="13">
        <f>IF(C13="","",C13/6)</f>
        <v/>
      </c>
      <c r="L13" s="13">
        <f>IF(D13="","",D13/6)</f>
        <v/>
      </c>
      <c r="M13" s="13">
        <f>IF(E13="","",E13/5)</f>
        <v/>
      </c>
      <c r="N13" s="13">
        <f>IF(F13="","",F13/5)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3">
        <f>IF(COUNT(C14:F14)&lt;4,"",SUM(C14:F14))</f>
        <v/>
      </c>
      <c r="H14" s="13">
        <f>IF(COUNT(C14:F14)&lt;4,"",G14/22)</f>
        <v/>
      </c>
      <c r="I14" s="13">
        <f>IF(COUNT(C14:F14)&lt;4,"",IF(H14&gt;=0.8,"Green",IF(H14&gt;=0.5,"Yellow","Red")))</f>
        <v/>
      </c>
      <c r="J14" s="13">
        <f>IF(COUNT(C14:F14)&lt;4,"",IF(I14="Green","Well done! "&amp;Parameters!$C$227,"Revise: "&amp;_xlfn.TEXTJOIN(", ",TRUE(),IF(K14&lt;1,Parameters!$A$218,""),IF(L14&lt;1,Parameters!$A$219,""),IF(M14&lt;1,Parameters!$A$220,""),IF(N14&lt;1,Parameters!$A$221,""))))</f>
        <v/>
      </c>
      <c r="K14" s="13">
        <f>IF(C14="","",C14/6)</f>
        <v/>
      </c>
      <c r="L14" s="13">
        <f>IF(D14="","",D14/6)</f>
        <v/>
      </c>
      <c r="M14" s="13">
        <f>IF(E14="","",E14/5)</f>
        <v/>
      </c>
      <c r="N14" s="13">
        <f>IF(F14="","",F14/5)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3">
        <f>IF(COUNT(C15:F15)&lt;4,"",SUM(C15:F15))</f>
        <v/>
      </c>
      <c r="H15" s="13">
        <f>IF(COUNT(C15:F15)&lt;4,"",G15/22)</f>
        <v/>
      </c>
      <c r="I15" s="13">
        <f>IF(COUNT(C15:F15)&lt;4,"",IF(H15&gt;=0.8,"Green",IF(H15&gt;=0.5,"Yellow","Red")))</f>
        <v/>
      </c>
      <c r="J15" s="13">
        <f>IF(COUNT(C15:F15)&lt;4,"",IF(I15="Green","Well done! "&amp;Parameters!$C$227,"Revise: "&amp;_xlfn.TEXTJOIN(", ",TRUE(),IF(K15&lt;1,Parameters!$A$218,""),IF(L15&lt;1,Parameters!$A$219,""),IF(M15&lt;1,Parameters!$A$220,""),IF(N15&lt;1,Parameters!$A$221,""))))</f>
        <v/>
      </c>
      <c r="K15" s="13">
        <f>IF(C15="","",C15/6)</f>
        <v/>
      </c>
      <c r="L15" s="13">
        <f>IF(D15="","",D15/6)</f>
        <v/>
      </c>
      <c r="M15" s="13">
        <f>IF(E15="","",E15/5)</f>
        <v/>
      </c>
      <c r="N15" s="13">
        <f>IF(F15="","",F15/5)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3">
        <f>IF(COUNT(C16:F16)&lt;4,"",SUM(C16:F16))</f>
        <v/>
      </c>
      <c r="H16" s="13">
        <f>IF(COUNT(C16:F16)&lt;4,"",G16/22)</f>
        <v/>
      </c>
      <c r="I16" s="13">
        <f>IF(COUNT(C16:F16)&lt;4,"",IF(H16&gt;=0.8,"Green",IF(H16&gt;=0.5,"Yellow","Red")))</f>
        <v/>
      </c>
      <c r="J16" s="13">
        <f>IF(COUNT(C16:F16)&lt;4,"",IF(I16="Green","Well done! "&amp;Parameters!$C$227,"Revise: "&amp;_xlfn.TEXTJOIN(", ",TRUE(),IF(K16&lt;1,Parameters!$A$218,""),IF(L16&lt;1,Parameters!$A$219,""),IF(M16&lt;1,Parameters!$A$220,""),IF(N16&lt;1,Parameters!$A$221,""))))</f>
        <v/>
      </c>
      <c r="K16" s="13">
        <f>IF(C16="","",C16/6)</f>
        <v/>
      </c>
      <c r="L16" s="13">
        <f>IF(D16="","",D16/6)</f>
        <v/>
      </c>
      <c r="M16" s="13">
        <f>IF(E16="","",E16/5)</f>
        <v/>
      </c>
      <c r="N16" s="13">
        <f>IF(F16="","",F16/5)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3">
        <f>IF(COUNT(C17:F17)&lt;4,"",SUM(C17:F17))</f>
        <v/>
      </c>
      <c r="H17" s="13">
        <f>IF(COUNT(C17:F17)&lt;4,"",G17/22)</f>
        <v/>
      </c>
      <c r="I17" s="13">
        <f>IF(COUNT(C17:F17)&lt;4,"",IF(H17&gt;=0.8,"Green",IF(H17&gt;=0.5,"Yellow","Red")))</f>
        <v/>
      </c>
      <c r="J17" s="13">
        <f>IF(COUNT(C17:F17)&lt;4,"",IF(I17="Green","Well done! "&amp;Parameters!$C$227,"Revise: "&amp;_xlfn.TEXTJOIN(", ",TRUE(),IF(K17&lt;1,Parameters!$A$218,""),IF(L17&lt;1,Parameters!$A$219,""),IF(M17&lt;1,Parameters!$A$220,""),IF(N17&lt;1,Parameters!$A$221,""))))</f>
        <v/>
      </c>
      <c r="K17" s="13">
        <f>IF(C17="","",C17/6)</f>
        <v/>
      </c>
      <c r="L17" s="13">
        <f>IF(D17="","",D17/6)</f>
        <v/>
      </c>
      <c r="M17" s="13">
        <f>IF(E17="","",E17/5)</f>
        <v/>
      </c>
      <c r="N17" s="13">
        <f>IF(F17="","",F17/5)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3">
        <f>IF(COUNT(C18:F18)&lt;4,"",SUM(C18:F18))</f>
        <v/>
      </c>
      <c r="H18" s="13">
        <f>IF(COUNT(C18:F18)&lt;4,"",G18/22)</f>
        <v/>
      </c>
      <c r="I18" s="13">
        <f>IF(COUNT(C18:F18)&lt;4,"",IF(H18&gt;=0.8,"Green",IF(H18&gt;=0.5,"Yellow","Red")))</f>
        <v/>
      </c>
      <c r="J18" s="13">
        <f>IF(COUNT(C18:F18)&lt;4,"",IF(I18="Green","Well done! "&amp;Parameters!$C$227,"Revise: "&amp;_xlfn.TEXTJOIN(", ",TRUE(),IF(K18&lt;1,Parameters!$A$218,""),IF(L18&lt;1,Parameters!$A$219,""),IF(M18&lt;1,Parameters!$A$220,""),IF(N18&lt;1,Parameters!$A$221,""))))</f>
        <v/>
      </c>
      <c r="K18" s="13">
        <f>IF(C18="","",C18/6)</f>
        <v/>
      </c>
      <c r="L18" s="13">
        <f>IF(D18="","",D18/6)</f>
        <v/>
      </c>
      <c r="M18" s="13">
        <f>IF(E18="","",E18/5)</f>
        <v/>
      </c>
      <c r="N18" s="13">
        <f>IF(F18="","",F18/5)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3">
        <f>IF(COUNT(C19:F19)&lt;4,"",SUM(C19:F19))</f>
        <v/>
      </c>
      <c r="H19" s="13">
        <f>IF(COUNT(C19:F19)&lt;4,"",G19/22)</f>
        <v/>
      </c>
      <c r="I19" s="13">
        <f>IF(COUNT(C19:F19)&lt;4,"",IF(H19&gt;=0.8,"Green",IF(H19&gt;=0.5,"Yellow","Red")))</f>
        <v/>
      </c>
      <c r="J19" s="13">
        <f>IF(COUNT(C19:F19)&lt;4,"",IF(I19="Green","Well done! "&amp;Parameters!$C$227,"Revise: "&amp;_xlfn.TEXTJOIN(", ",TRUE(),IF(K19&lt;1,Parameters!$A$218,""),IF(L19&lt;1,Parameters!$A$219,""),IF(M19&lt;1,Parameters!$A$220,""),IF(N19&lt;1,Parameters!$A$221,""))))</f>
        <v/>
      </c>
      <c r="K19" s="13">
        <f>IF(C19="","",C19/6)</f>
        <v/>
      </c>
      <c r="L19" s="13">
        <f>IF(D19="","",D19/6)</f>
        <v/>
      </c>
      <c r="M19" s="13">
        <f>IF(E19="","",E19/5)</f>
        <v/>
      </c>
      <c r="N19" s="13">
        <f>IF(F19="","",F19/5)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3">
        <f>IF(COUNT(C20:F20)&lt;4,"",SUM(C20:F20))</f>
        <v/>
      </c>
      <c r="H20" s="13">
        <f>IF(COUNT(C20:F20)&lt;4,"",G20/22)</f>
        <v/>
      </c>
      <c r="I20" s="13">
        <f>IF(COUNT(C20:F20)&lt;4,"",IF(H20&gt;=0.8,"Green",IF(H20&gt;=0.5,"Yellow","Red")))</f>
        <v/>
      </c>
      <c r="J20" s="13">
        <f>IF(COUNT(C20:F20)&lt;4,"",IF(I20="Green","Well done! "&amp;Parameters!$C$227,"Revise: "&amp;_xlfn.TEXTJOIN(", ",TRUE(),IF(K20&lt;1,Parameters!$A$218,""),IF(L20&lt;1,Parameters!$A$219,""),IF(M20&lt;1,Parameters!$A$220,""),IF(N20&lt;1,Parameters!$A$221,""))))</f>
        <v/>
      </c>
      <c r="K20" s="13">
        <f>IF(C20="","",C20/6)</f>
        <v/>
      </c>
      <c r="L20" s="13">
        <f>IF(D20="","",D20/6)</f>
        <v/>
      </c>
      <c r="M20" s="13">
        <f>IF(E20="","",E20/5)</f>
        <v/>
      </c>
      <c r="N20" s="13">
        <f>IF(F20="","",F20/5)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3">
        <f>IF(COUNT(C21:F21)&lt;4,"",SUM(C21:F21))</f>
        <v/>
      </c>
      <c r="H21" s="13">
        <f>IF(COUNT(C21:F21)&lt;4,"",G21/22)</f>
        <v/>
      </c>
      <c r="I21" s="13">
        <f>IF(COUNT(C21:F21)&lt;4,"",IF(H21&gt;=0.8,"Green",IF(H21&gt;=0.5,"Yellow","Red")))</f>
        <v/>
      </c>
      <c r="J21" s="13">
        <f>IF(COUNT(C21:F21)&lt;4,"",IF(I21="Green","Well done! "&amp;Parameters!$C$227,"Revise: "&amp;_xlfn.TEXTJOIN(", ",TRUE(),IF(K21&lt;1,Parameters!$A$218,""),IF(L21&lt;1,Parameters!$A$219,""),IF(M21&lt;1,Parameters!$A$220,""),IF(N21&lt;1,Parameters!$A$221,""))))</f>
        <v/>
      </c>
      <c r="K21" s="13">
        <f>IF(C21="","",C21/6)</f>
        <v/>
      </c>
      <c r="L21" s="13">
        <f>IF(D21="","",D21/6)</f>
        <v/>
      </c>
      <c r="M21" s="13">
        <f>IF(E21="","",E21/5)</f>
        <v/>
      </c>
      <c r="N21" s="13">
        <f>IF(F21="","",F21/5)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3">
        <f>IF(COUNT(C22:F22)&lt;4,"",SUM(C22:F22))</f>
        <v/>
      </c>
      <c r="H22" s="13">
        <f>IF(COUNT(C22:F22)&lt;4,"",G22/22)</f>
        <v/>
      </c>
      <c r="I22" s="13">
        <f>IF(COUNT(C22:F22)&lt;4,"",IF(H22&gt;=0.8,"Green",IF(H22&gt;=0.5,"Yellow","Red")))</f>
        <v/>
      </c>
      <c r="J22" s="13">
        <f>IF(COUNT(C22:F22)&lt;4,"",IF(I22="Green","Well done! "&amp;Parameters!$C$227,"Revise: "&amp;_xlfn.TEXTJOIN(", ",TRUE(),IF(K22&lt;1,Parameters!$A$218,""),IF(L22&lt;1,Parameters!$A$219,""),IF(M22&lt;1,Parameters!$A$220,""),IF(N22&lt;1,Parameters!$A$221,""))))</f>
        <v/>
      </c>
      <c r="K22" s="13">
        <f>IF(C22="","",C22/6)</f>
        <v/>
      </c>
      <c r="L22" s="13">
        <f>IF(D22="","",D22/6)</f>
        <v/>
      </c>
      <c r="M22" s="13">
        <f>IF(E22="","",E22/5)</f>
        <v/>
      </c>
      <c r="N22" s="13">
        <f>IF(F22="","",F22/5)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3">
        <f>IF(COUNT(C23:F23)&lt;4,"",SUM(C23:F23))</f>
        <v/>
      </c>
      <c r="H23" s="13">
        <f>IF(COUNT(C23:F23)&lt;4,"",G23/22)</f>
        <v/>
      </c>
      <c r="I23" s="13">
        <f>IF(COUNT(C23:F23)&lt;4,"",IF(H23&gt;=0.8,"Green",IF(H23&gt;=0.5,"Yellow","Red")))</f>
        <v/>
      </c>
      <c r="J23" s="13">
        <f>IF(COUNT(C23:F23)&lt;4,"",IF(I23="Green","Well done! "&amp;Parameters!$C$227,"Revise: "&amp;_xlfn.TEXTJOIN(", ",TRUE(),IF(K23&lt;1,Parameters!$A$218,""),IF(L23&lt;1,Parameters!$A$219,""),IF(M23&lt;1,Parameters!$A$220,""),IF(N23&lt;1,Parameters!$A$221,""))))</f>
        <v/>
      </c>
      <c r="K23" s="13">
        <f>IF(C23="","",C23/6)</f>
        <v/>
      </c>
      <c r="L23" s="13">
        <f>IF(D23="","",D23/6)</f>
        <v/>
      </c>
      <c r="M23" s="13">
        <f>IF(E23="","",E23/5)</f>
        <v/>
      </c>
      <c r="N23" s="13">
        <f>IF(F23="","",F23/5)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3">
        <f>IF(COUNT(C24:F24)&lt;4,"",SUM(C24:F24))</f>
        <v/>
      </c>
      <c r="H24" s="13">
        <f>IF(COUNT(C24:F24)&lt;4,"",G24/22)</f>
        <v/>
      </c>
      <c r="I24" s="13">
        <f>IF(COUNT(C24:F24)&lt;4,"",IF(H24&gt;=0.8,"Green",IF(H24&gt;=0.5,"Yellow","Red")))</f>
        <v/>
      </c>
      <c r="J24" s="13">
        <f>IF(COUNT(C24:F24)&lt;4,"",IF(I24="Green","Well done! "&amp;Parameters!$C$227,"Revise: "&amp;_xlfn.TEXTJOIN(", ",TRUE(),IF(K24&lt;1,Parameters!$A$218,""),IF(L24&lt;1,Parameters!$A$219,""),IF(M24&lt;1,Parameters!$A$220,""),IF(N24&lt;1,Parameters!$A$221,""))))</f>
        <v/>
      </c>
      <c r="K24" s="13">
        <f>IF(C24="","",C24/6)</f>
        <v/>
      </c>
      <c r="L24" s="13">
        <f>IF(D24="","",D24/6)</f>
        <v/>
      </c>
      <c r="M24" s="13">
        <f>IF(E24="","",E24/5)</f>
        <v/>
      </c>
      <c r="N24" s="13">
        <f>IF(F24="","",F24/5)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3">
        <f>IF(COUNT(C25:F25)&lt;4,"",SUM(C25:F25))</f>
        <v/>
      </c>
      <c r="H25" s="13">
        <f>IF(COUNT(C25:F25)&lt;4,"",G25/22)</f>
        <v/>
      </c>
      <c r="I25" s="13">
        <f>IF(COUNT(C25:F25)&lt;4,"",IF(H25&gt;=0.8,"Green",IF(H25&gt;=0.5,"Yellow","Red")))</f>
        <v/>
      </c>
      <c r="J25" s="13">
        <f>IF(COUNT(C25:F25)&lt;4,"",IF(I25="Green","Well done! "&amp;Parameters!$C$227,"Revise: "&amp;_xlfn.TEXTJOIN(", ",TRUE(),IF(K25&lt;1,Parameters!$A$218,""),IF(L25&lt;1,Parameters!$A$219,""),IF(M25&lt;1,Parameters!$A$220,""),IF(N25&lt;1,Parameters!$A$221,""))))</f>
        <v/>
      </c>
      <c r="K25" s="13">
        <f>IF(C25="","",C25/6)</f>
        <v/>
      </c>
      <c r="L25" s="13">
        <f>IF(D25="","",D25/6)</f>
        <v/>
      </c>
      <c r="M25" s="13">
        <f>IF(E25="","",E25/5)</f>
        <v/>
      </c>
      <c r="N25" s="13">
        <f>IF(F25="","",F25/5)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3">
        <f>IF(COUNT(C26:F26)&lt;4,"",SUM(C26:F26))</f>
        <v/>
      </c>
      <c r="H26" s="13">
        <f>IF(COUNT(C26:F26)&lt;4,"",G26/22)</f>
        <v/>
      </c>
      <c r="I26" s="13">
        <f>IF(COUNT(C26:F26)&lt;4,"",IF(H26&gt;=0.8,"Green",IF(H26&gt;=0.5,"Yellow","Red")))</f>
        <v/>
      </c>
      <c r="J26" s="13">
        <f>IF(COUNT(C26:F26)&lt;4,"",IF(I26="Green","Well done! "&amp;Parameters!$C$227,"Revise: "&amp;_xlfn.TEXTJOIN(", ",TRUE(),IF(K26&lt;1,Parameters!$A$218,""),IF(L26&lt;1,Parameters!$A$219,""),IF(M26&lt;1,Parameters!$A$220,""),IF(N26&lt;1,Parameters!$A$221,""))))</f>
        <v/>
      </c>
      <c r="K26" s="13">
        <f>IF(C26="","",C26/6)</f>
        <v/>
      </c>
      <c r="L26" s="13">
        <f>IF(D26="","",D26/6)</f>
        <v/>
      </c>
      <c r="M26" s="13">
        <f>IF(E26="","",E26/5)</f>
        <v/>
      </c>
      <c r="N26" s="13">
        <f>IF(F26="","",F26/5)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3">
        <f>IF(COUNT(C27:F27)&lt;4,"",SUM(C27:F27))</f>
        <v/>
      </c>
      <c r="H27" s="13">
        <f>IF(COUNT(C27:F27)&lt;4,"",G27/22)</f>
        <v/>
      </c>
      <c r="I27" s="13">
        <f>IF(COUNT(C27:F27)&lt;4,"",IF(H27&gt;=0.8,"Green",IF(H27&gt;=0.5,"Yellow","Red")))</f>
        <v/>
      </c>
      <c r="J27" s="13">
        <f>IF(COUNT(C27:F27)&lt;4,"",IF(I27="Green","Well done! "&amp;Parameters!$C$227,"Revise: "&amp;_xlfn.TEXTJOIN(", ",TRUE(),IF(K27&lt;1,Parameters!$A$218,""),IF(L27&lt;1,Parameters!$A$219,""),IF(M27&lt;1,Parameters!$A$220,""),IF(N27&lt;1,Parameters!$A$221,""))))</f>
        <v/>
      </c>
      <c r="K27" s="13">
        <f>IF(C27="","",C27/6)</f>
        <v/>
      </c>
      <c r="L27" s="13">
        <f>IF(D27="","",D27/6)</f>
        <v/>
      </c>
      <c r="M27" s="13">
        <f>IF(E27="","",E27/5)</f>
        <v/>
      </c>
      <c r="N27" s="13">
        <f>IF(F27="","",F27/5)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3">
        <f>IF(COUNT(C28:F28)&lt;4,"",SUM(C28:F28))</f>
        <v/>
      </c>
      <c r="H28" s="13">
        <f>IF(COUNT(C28:F28)&lt;4,"",G28/22)</f>
        <v/>
      </c>
      <c r="I28" s="13">
        <f>IF(COUNT(C28:F28)&lt;4,"",IF(H28&gt;=0.8,"Green",IF(H28&gt;=0.5,"Yellow","Red")))</f>
        <v/>
      </c>
      <c r="J28" s="13">
        <f>IF(COUNT(C28:F28)&lt;4,"",IF(I28="Green","Well done! "&amp;Parameters!$C$227,"Revise: "&amp;_xlfn.TEXTJOIN(", ",TRUE(),IF(K28&lt;1,Parameters!$A$218,""),IF(L28&lt;1,Parameters!$A$219,""),IF(M28&lt;1,Parameters!$A$220,""),IF(N28&lt;1,Parameters!$A$221,""))))</f>
        <v/>
      </c>
      <c r="K28" s="13">
        <f>IF(C28="","",C28/6)</f>
        <v/>
      </c>
      <c r="L28" s="13">
        <f>IF(D28="","",D28/6)</f>
        <v/>
      </c>
      <c r="M28" s="13">
        <f>IF(E28="","",E28/5)</f>
        <v/>
      </c>
      <c r="N28" s="13">
        <f>IF(F28="","",F28/5)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3">
        <f>IF(COUNT(C29:F29)&lt;4,"",SUM(C29:F29))</f>
        <v/>
      </c>
      <c r="H29" s="13">
        <f>IF(COUNT(C29:F29)&lt;4,"",G29/22)</f>
        <v/>
      </c>
      <c r="I29" s="13">
        <f>IF(COUNT(C29:F29)&lt;4,"",IF(H29&gt;=0.8,"Green",IF(H29&gt;=0.5,"Yellow","Red")))</f>
        <v/>
      </c>
      <c r="J29" s="13">
        <f>IF(COUNT(C29:F29)&lt;4,"",IF(I29="Green","Well done! "&amp;Parameters!$C$227,"Revise: "&amp;_xlfn.TEXTJOIN(", ",TRUE(),IF(K29&lt;1,Parameters!$A$218,""),IF(L29&lt;1,Parameters!$A$219,""),IF(M29&lt;1,Parameters!$A$220,""),IF(N29&lt;1,Parameters!$A$221,""))))</f>
        <v/>
      </c>
      <c r="K29" s="13">
        <f>IF(C29="","",C29/6)</f>
        <v/>
      </c>
      <c r="L29" s="13">
        <f>IF(D29="","",D29/6)</f>
        <v/>
      </c>
      <c r="M29" s="13">
        <f>IF(E29="","",E29/5)</f>
        <v/>
      </c>
      <c r="N29" s="13">
        <f>IF(F29="","",F29/5)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3">
        <f>IF(COUNT(C30:F30)&lt;4,"",SUM(C30:F30))</f>
        <v/>
      </c>
      <c r="H30" s="13">
        <f>IF(COUNT(C30:F30)&lt;4,"",G30/22)</f>
        <v/>
      </c>
      <c r="I30" s="13">
        <f>IF(COUNT(C30:F30)&lt;4,"",IF(H30&gt;=0.8,"Green",IF(H30&gt;=0.5,"Yellow","Red")))</f>
        <v/>
      </c>
      <c r="J30" s="13">
        <f>IF(COUNT(C30:F30)&lt;4,"",IF(I30="Green","Well done! "&amp;Parameters!$C$227,"Revise: "&amp;_xlfn.TEXTJOIN(", ",TRUE(),IF(K30&lt;1,Parameters!$A$218,""),IF(L30&lt;1,Parameters!$A$219,""),IF(M30&lt;1,Parameters!$A$220,""),IF(N30&lt;1,Parameters!$A$221,""))))</f>
        <v/>
      </c>
      <c r="K30" s="13">
        <f>IF(C30="","",C30/6)</f>
        <v/>
      </c>
      <c r="L30" s="13">
        <f>IF(D30="","",D30/6)</f>
        <v/>
      </c>
      <c r="M30" s="13">
        <f>IF(E30="","",E30/5)</f>
        <v/>
      </c>
      <c r="N30" s="13">
        <f>IF(F30="","",F30/5)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3">
        <f>IF(COUNT(C31:F31)&lt;4,"",SUM(C31:F31))</f>
        <v/>
      </c>
      <c r="H31" s="13">
        <f>IF(COUNT(C31:F31)&lt;4,"",G31/22)</f>
        <v/>
      </c>
      <c r="I31" s="13">
        <f>IF(COUNT(C31:F31)&lt;4,"",IF(H31&gt;=0.8,"Green",IF(H31&gt;=0.5,"Yellow","Red")))</f>
        <v/>
      </c>
      <c r="J31" s="13">
        <f>IF(COUNT(C31:F31)&lt;4,"",IF(I31="Green","Well done! "&amp;Parameters!$C$227,"Revise: "&amp;_xlfn.TEXTJOIN(", ",TRUE(),IF(K31&lt;1,Parameters!$A$218,""),IF(L31&lt;1,Parameters!$A$219,""),IF(M31&lt;1,Parameters!$A$220,""),IF(N31&lt;1,Parameters!$A$221,""))))</f>
        <v/>
      </c>
      <c r="K31" s="13">
        <f>IF(C31="","",C31/6)</f>
        <v/>
      </c>
      <c r="L31" s="13">
        <f>IF(D31="","",D31/6)</f>
        <v/>
      </c>
      <c r="M31" s="13">
        <f>IF(E31="","",E31/5)</f>
        <v/>
      </c>
      <c r="N31" s="13">
        <f>IF(F31="","",F31/5)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3">
        <f>IF(COUNT(C32:F32)&lt;4,"",SUM(C32:F32))</f>
        <v/>
      </c>
      <c r="H32" s="13">
        <f>IF(COUNT(C32:F32)&lt;4,"",G32/22)</f>
        <v/>
      </c>
      <c r="I32" s="13">
        <f>IF(COUNT(C32:F32)&lt;4,"",IF(H32&gt;=0.8,"Green",IF(H32&gt;=0.5,"Yellow","Red")))</f>
        <v/>
      </c>
      <c r="J32" s="13">
        <f>IF(COUNT(C32:F32)&lt;4,"",IF(I32="Green","Well done! "&amp;Parameters!$C$227,"Revise: "&amp;_xlfn.TEXTJOIN(", ",TRUE(),IF(K32&lt;1,Parameters!$A$218,""),IF(L32&lt;1,Parameters!$A$219,""),IF(M32&lt;1,Parameters!$A$220,""),IF(N32&lt;1,Parameters!$A$221,""))))</f>
        <v/>
      </c>
      <c r="K32" s="13">
        <f>IF(C32="","",C32/6)</f>
        <v/>
      </c>
      <c r="L32" s="13">
        <f>IF(D32="","",D32/6)</f>
        <v/>
      </c>
      <c r="M32" s="13">
        <f>IF(E32="","",E32/5)</f>
        <v/>
      </c>
      <c r="N32" s="13">
        <f>IF(F32="","",F32/5)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3">
        <f>IF(COUNT(C33:F33)&lt;4,"",SUM(C33:F33))</f>
        <v/>
      </c>
      <c r="H33" s="13">
        <f>IF(COUNT(C33:F33)&lt;4,"",G33/22)</f>
        <v/>
      </c>
      <c r="I33" s="13">
        <f>IF(COUNT(C33:F33)&lt;4,"",IF(H33&gt;=0.8,"Green",IF(H33&gt;=0.5,"Yellow","Red")))</f>
        <v/>
      </c>
      <c r="J33" s="13">
        <f>IF(COUNT(C33:F33)&lt;4,"",IF(I33="Green","Well done! "&amp;Parameters!$C$227,"Revise: "&amp;_xlfn.TEXTJOIN(", ",TRUE(),IF(K33&lt;1,Parameters!$A$218,""),IF(L33&lt;1,Parameters!$A$219,""),IF(M33&lt;1,Parameters!$A$220,""),IF(N33&lt;1,Parameters!$A$221,""))))</f>
        <v/>
      </c>
      <c r="K33" s="13">
        <f>IF(C33="","",C33/6)</f>
        <v/>
      </c>
      <c r="L33" s="13">
        <f>IF(D33="","",D33/6)</f>
        <v/>
      </c>
      <c r="M33" s="13">
        <f>IF(E33="","",E33/5)</f>
        <v/>
      </c>
      <c r="N33" s="13">
        <f>IF(F33="","",F33/5)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3">
        <f>IF(COUNT(C34:F34)&lt;4,"",SUM(C34:F34))</f>
        <v/>
      </c>
      <c r="H34" s="13">
        <f>IF(COUNT(C34:F34)&lt;4,"",G34/22)</f>
        <v/>
      </c>
      <c r="I34" s="13">
        <f>IF(COUNT(C34:F34)&lt;4,"",IF(H34&gt;=0.8,"Green",IF(H34&gt;=0.5,"Yellow","Red")))</f>
        <v/>
      </c>
      <c r="J34" s="13">
        <f>IF(COUNT(C34:F34)&lt;4,"",IF(I34="Green","Well done! "&amp;Parameters!$C$227,"Revise: "&amp;_xlfn.TEXTJOIN(", ",TRUE(),IF(K34&lt;1,Parameters!$A$218,""),IF(L34&lt;1,Parameters!$A$219,""),IF(M34&lt;1,Parameters!$A$220,""),IF(N34&lt;1,Parameters!$A$221,""))))</f>
        <v/>
      </c>
      <c r="K34" s="13">
        <f>IF(C34="","",C34/6)</f>
        <v/>
      </c>
      <c r="L34" s="13">
        <f>IF(D34="","",D34/6)</f>
        <v/>
      </c>
      <c r="M34" s="13">
        <f>IF(E34="","",E34/5)</f>
        <v/>
      </c>
      <c r="N34" s="13">
        <f>IF(F34="","",F34/5)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3">
        <f>IF(COUNT(C35:F35)&lt;4,"",SUM(C35:F35))</f>
        <v/>
      </c>
      <c r="H35" s="13">
        <f>IF(COUNT(C35:F35)&lt;4,"",G35/22)</f>
        <v/>
      </c>
      <c r="I35" s="13">
        <f>IF(COUNT(C35:F35)&lt;4,"",IF(H35&gt;=0.8,"Green",IF(H35&gt;=0.5,"Yellow","Red")))</f>
        <v/>
      </c>
      <c r="J35" s="13">
        <f>IF(COUNT(C35:F35)&lt;4,"",IF(I35="Green","Well done! "&amp;Parameters!$C$227,"Revise: "&amp;_xlfn.TEXTJOIN(", ",TRUE(),IF(K35&lt;1,Parameters!$A$218,""),IF(L35&lt;1,Parameters!$A$219,""),IF(M35&lt;1,Parameters!$A$220,""),IF(N35&lt;1,Parameters!$A$221,""))))</f>
        <v/>
      </c>
      <c r="K35" s="13">
        <f>IF(C35="","",C35/6)</f>
        <v/>
      </c>
      <c r="L35" s="13">
        <f>IF(D35="","",D35/6)</f>
        <v/>
      </c>
      <c r="M35" s="13">
        <f>IF(E35="","",E35/5)</f>
        <v/>
      </c>
      <c r="N35" s="13">
        <f>IF(F35="","",F35/5)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3">
        <f>IF(COUNT(C36:F36)&lt;4,"",SUM(C36:F36))</f>
        <v/>
      </c>
      <c r="H36" s="13">
        <f>IF(COUNT(C36:F36)&lt;4,"",G36/22)</f>
        <v/>
      </c>
      <c r="I36" s="13">
        <f>IF(COUNT(C36:F36)&lt;4,"",IF(H36&gt;=0.8,"Green",IF(H36&gt;=0.5,"Yellow","Red")))</f>
        <v/>
      </c>
      <c r="J36" s="13">
        <f>IF(COUNT(C36:F36)&lt;4,"",IF(I36="Green","Well done! "&amp;Parameters!$C$227,"Revise: "&amp;_xlfn.TEXTJOIN(", ",TRUE(),IF(K36&lt;1,Parameters!$A$218,""),IF(L36&lt;1,Parameters!$A$219,""),IF(M36&lt;1,Parameters!$A$220,""),IF(N36&lt;1,Parameters!$A$221,""))))</f>
        <v/>
      </c>
      <c r="K36" s="13">
        <f>IF(C36="","",C36/6)</f>
        <v/>
      </c>
      <c r="L36" s="13">
        <f>IF(D36="","",D36/6)</f>
        <v/>
      </c>
      <c r="M36" s="13">
        <f>IF(E36="","",E36/5)</f>
        <v/>
      </c>
      <c r="N36" s="13">
        <f>IF(F36="","",F36/5)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3">
        <f>IF(COUNT(C37:F37)&lt;4,"",SUM(C37:F37))</f>
        <v/>
      </c>
      <c r="H37" s="13">
        <f>IF(COUNT(C37:F37)&lt;4,"",G37/22)</f>
        <v/>
      </c>
      <c r="I37" s="13">
        <f>IF(COUNT(C37:F37)&lt;4,"",IF(H37&gt;=0.8,"Green",IF(H37&gt;=0.5,"Yellow","Red")))</f>
        <v/>
      </c>
      <c r="J37" s="13">
        <f>IF(COUNT(C37:F37)&lt;4,"",IF(I37="Green","Well done! "&amp;Parameters!$C$227,"Revise: "&amp;_xlfn.TEXTJOIN(", ",TRUE(),IF(K37&lt;1,Parameters!$A$218,""),IF(L37&lt;1,Parameters!$A$219,""),IF(M37&lt;1,Parameters!$A$220,""),IF(N37&lt;1,Parameters!$A$221,""))))</f>
        <v/>
      </c>
      <c r="K37" s="13">
        <f>IF(C37="","",C37/6)</f>
        <v/>
      </c>
      <c r="L37" s="13">
        <f>IF(D37="","",D37/6)</f>
        <v/>
      </c>
      <c r="M37" s="13">
        <f>IF(E37="","",E37/5)</f>
        <v/>
      </c>
      <c r="N37" s="13">
        <f>IF(F37="","",F37/5)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3">
        <f>IF(COUNT(C38:F38)&lt;4,"",SUM(C38:F38))</f>
        <v/>
      </c>
      <c r="H38" s="13">
        <f>IF(COUNT(C38:F38)&lt;4,"",G38/22)</f>
        <v/>
      </c>
      <c r="I38" s="13">
        <f>IF(COUNT(C38:F38)&lt;4,"",IF(H38&gt;=0.8,"Green",IF(H38&gt;=0.5,"Yellow","Red")))</f>
        <v/>
      </c>
      <c r="J38" s="13">
        <f>IF(COUNT(C38:F38)&lt;4,"",IF(I38="Green","Well done! "&amp;Parameters!$C$227,"Revise: "&amp;_xlfn.TEXTJOIN(", ",TRUE(),IF(K38&lt;1,Parameters!$A$218,""),IF(L38&lt;1,Parameters!$A$219,""),IF(M38&lt;1,Parameters!$A$220,""),IF(N38&lt;1,Parameters!$A$221,""))))</f>
        <v/>
      </c>
      <c r="K38" s="13">
        <f>IF(C38="","",C38/6)</f>
        <v/>
      </c>
      <c r="L38" s="13">
        <f>IF(D38="","",D38/6)</f>
        <v/>
      </c>
      <c r="M38" s="13">
        <f>IF(E38="","",E38/5)</f>
        <v/>
      </c>
      <c r="N38" s="13">
        <f>IF(F38="","",F38/5)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3">
        <f>IF(COUNT(C39:F39)&lt;4,"",SUM(C39:F39))</f>
        <v/>
      </c>
      <c r="H39" s="13">
        <f>IF(COUNT(C39:F39)&lt;4,"",G39/22)</f>
        <v/>
      </c>
      <c r="I39" s="13">
        <f>IF(COUNT(C39:F39)&lt;4,"",IF(H39&gt;=0.8,"Green",IF(H39&gt;=0.5,"Yellow","Red")))</f>
        <v/>
      </c>
      <c r="J39" s="13">
        <f>IF(COUNT(C39:F39)&lt;4,"",IF(I39="Green","Well done! "&amp;Parameters!$C$227,"Revise: "&amp;_xlfn.TEXTJOIN(", ",TRUE(),IF(K39&lt;1,Parameters!$A$218,""),IF(L39&lt;1,Parameters!$A$219,""),IF(M39&lt;1,Parameters!$A$220,""),IF(N39&lt;1,Parameters!$A$221,""))))</f>
        <v/>
      </c>
      <c r="K39" s="13">
        <f>IF(C39="","",C39/6)</f>
        <v/>
      </c>
      <c r="L39" s="13">
        <f>IF(D39="","",D39/6)</f>
        <v/>
      </c>
      <c r="M39" s="13">
        <f>IF(E39="","",E39/5)</f>
        <v/>
      </c>
      <c r="N39" s="13">
        <f>IF(F39="","",F39/5)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3">
        <f>IF(COUNT(C40:F40)&lt;4,"",SUM(C40:F40))</f>
        <v/>
      </c>
      <c r="H40" s="13">
        <f>IF(COUNT(C40:F40)&lt;4,"",G40/22)</f>
        <v/>
      </c>
      <c r="I40" s="13">
        <f>IF(COUNT(C40:F40)&lt;4,"",IF(H40&gt;=0.8,"Green",IF(H40&gt;=0.5,"Yellow","Red")))</f>
        <v/>
      </c>
      <c r="J40" s="13">
        <f>IF(COUNT(C40:F40)&lt;4,"",IF(I40="Green","Well done! "&amp;Parameters!$C$227,"Revise: "&amp;_xlfn.TEXTJOIN(", ",TRUE(),IF(K40&lt;1,Parameters!$A$218,""),IF(L40&lt;1,Parameters!$A$219,""),IF(M40&lt;1,Parameters!$A$220,""),IF(N40&lt;1,Parameters!$A$221,""))))</f>
        <v/>
      </c>
      <c r="K40" s="13">
        <f>IF(C40="","",C40/6)</f>
        <v/>
      </c>
      <c r="L40" s="13">
        <f>IF(D40="","",D40/6)</f>
        <v/>
      </c>
      <c r="M40" s="13">
        <f>IF(E40="","",E40/5)</f>
        <v/>
      </c>
      <c r="N40" s="13">
        <f>IF(F40="","",F40/5)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3">
        <f>IF(COUNT(C41:F41)&lt;4,"",SUM(C41:F41))</f>
        <v/>
      </c>
      <c r="H41" s="13">
        <f>IF(COUNT(C41:F41)&lt;4,"",G41/22)</f>
        <v/>
      </c>
      <c r="I41" s="13">
        <f>IF(COUNT(C41:F41)&lt;4,"",IF(H41&gt;=0.8,"Green",IF(H41&gt;=0.5,"Yellow","Red")))</f>
        <v/>
      </c>
      <c r="J41" s="13">
        <f>IF(COUNT(C41:F41)&lt;4,"",IF(I41="Green","Well done! "&amp;Parameters!$C$227,"Revise: "&amp;_xlfn.TEXTJOIN(", ",TRUE(),IF(K41&lt;1,Parameters!$A$218,""),IF(L41&lt;1,Parameters!$A$219,""),IF(M41&lt;1,Parameters!$A$220,""),IF(N41&lt;1,Parameters!$A$221,""))))</f>
        <v/>
      </c>
      <c r="K41" s="13">
        <f>IF(C41="","",C41/6)</f>
        <v/>
      </c>
      <c r="L41" s="13">
        <f>IF(D41="","",D41/6)</f>
        <v/>
      </c>
      <c r="M41" s="13">
        <f>IF(E41="","",E41/5)</f>
        <v/>
      </c>
      <c r="N41" s="13">
        <f>IF(F41="","",F41/5)</f>
        <v/>
      </c>
    </row>
  </sheetData>
  <conditionalFormatting sqref="C11">
    <cfRule type="expression" priority="1" dxfId="0">
      <formula>AND(COUNT(C11:F11)=4,C11=6)</formula>
    </cfRule>
    <cfRule type="expression" priority="2" dxfId="1">
      <formula>AND(COUNT(C11:F11)=4,C11&lt;6*0.4)</formula>
    </cfRule>
    <cfRule type="expression" priority="3" dxfId="2">
      <formula>AND(COUNT(C11:F11)=4,C11&gt;=6*0.4,C11&lt;6)</formula>
    </cfRule>
  </conditionalFormatting>
  <conditionalFormatting sqref="C12">
    <cfRule type="expression" priority="4" dxfId="0">
      <formula>AND(COUNT(C12:F12)=4,C12=6)</formula>
    </cfRule>
    <cfRule type="expression" priority="5" dxfId="1">
      <formula>AND(COUNT(C12:F12)=4,C12&lt;6*0.4)</formula>
    </cfRule>
    <cfRule type="expression" priority="6" dxfId="2">
      <formula>AND(COUNT(C12:F12)=4,C12&gt;=6*0.4,C12&lt;6)</formula>
    </cfRule>
  </conditionalFormatting>
  <conditionalFormatting sqref="C13">
    <cfRule type="expression" priority="7" dxfId="0">
      <formula>AND(COUNT(C13:F13)=4,C13=6)</formula>
    </cfRule>
    <cfRule type="expression" priority="8" dxfId="1">
      <formula>AND(COUNT(C13:F13)=4,C13&lt;6*0.4)</formula>
    </cfRule>
    <cfRule type="expression" priority="9" dxfId="2">
      <formula>AND(COUNT(C13:F13)=4,C13&gt;=6*0.4,C13&lt;6)</formula>
    </cfRule>
  </conditionalFormatting>
  <conditionalFormatting sqref="C14">
    <cfRule type="expression" priority="10" dxfId="0">
      <formula>AND(COUNT(C14:F14)=4,C14=6)</formula>
    </cfRule>
    <cfRule type="expression" priority="11" dxfId="1">
      <formula>AND(COUNT(C14:F14)=4,C14&lt;6*0.4)</formula>
    </cfRule>
    <cfRule type="expression" priority="12" dxfId="2">
      <formula>AND(COUNT(C14:F14)=4,C14&gt;=6*0.4,C14&lt;6)</formula>
    </cfRule>
  </conditionalFormatting>
  <conditionalFormatting sqref="C15">
    <cfRule type="expression" priority="13" dxfId="0">
      <formula>AND(COUNT(C15:F15)=4,C15=6)</formula>
    </cfRule>
    <cfRule type="expression" priority="14" dxfId="1">
      <formula>AND(COUNT(C15:F15)=4,C15&lt;6*0.4)</formula>
    </cfRule>
    <cfRule type="expression" priority="15" dxfId="2">
      <formula>AND(COUNT(C15:F15)=4,C15&gt;=6*0.4,C15&lt;6)</formula>
    </cfRule>
  </conditionalFormatting>
  <conditionalFormatting sqref="C16">
    <cfRule type="expression" priority="16" dxfId="0">
      <formula>AND(COUNT(C16:F16)=4,C16=6)</formula>
    </cfRule>
    <cfRule type="expression" priority="17" dxfId="1">
      <formula>AND(COUNT(C16:F16)=4,C16&lt;6*0.4)</formula>
    </cfRule>
    <cfRule type="expression" priority="18" dxfId="2">
      <formula>AND(COUNT(C16:F16)=4,C16&gt;=6*0.4,C16&lt;6)</formula>
    </cfRule>
  </conditionalFormatting>
  <conditionalFormatting sqref="C17">
    <cfRule type="expression" priority="19" dxfId="0">
      <formula>AND(COUNT(C17:F17)=4,C17=6)</formula>
    </cfRule>
    <cfRule type="expression" priority="20" dxfId="1">
      <formula>AND(COUNT(C17:F17)=4,C17&lt;6*0.4)</formula>
    </cfRule>
    <cfRule type="expression" priority="21" dxfId="2">
      <formula>AND(COUNT(C17:F17)=4,C17&gt;=6*0.4,C17&lt;6)</formula>
    </cfRule>
  </conditionalFormatting>
  <conditionalFormatting sqref="C18">
    <cfRule type="expression" priority="22" dxfId="0">
      <formula>AND(COUNT(C18:F18)=4,C18=6)</formula>
    </cfRule>
    <cfRule type="expression" priority="23" dxfId="1">
      <formula>AND(COUNT(C18:F18)=4,C18&lt;6*0.4)</formula>
    </cfRule>
    <cfRule type="expression" priority="24" dxfId="2">
      <formula>AND(COUNT(C18:F18)=4,C18&gt;=6*0.4,C18&lt;6)</formula>
    </cfRule>
  </conditionalFormatting>
  <conditionalFormatting sqref="C19">
    <cfRule type="expression" priority="25" dxfId="0">
      <formula>AND(COUNT(C19:F19)=4,C19=6)</formula>
    </cfRule>
    <cfRule type="expression" priority="26" dxfId="1">
      <formula>AND(COUNT(C19:F19)=4,C19&lt;6*0.4)</formula>
    </cfRule>
    <cfRule type="expression" priority="27" dxfId="2">
      <formula>AND(COUNT(C19:F19)=4,C19&gt;=6*0.4,C19&lt;6)</formula>
    </cfRule>
  </conditionalFormatting>
  <conditionalFormatting sqref="C20">
    <cfRule type="expression" priority="28" dxfId="0">
      <formula>AND(COUNT(C20:F20)=4,C20=6)</formula>
    </cfRule>
    <cfRule type="expression" priority="29" dxfId="1">
      <formula>AND(COUNT(C20:F20)=4,C20&lt;6*0.4)</formula>
    </cfRule>
    <cfRule type="expression" priority="30" dxfId="2">
      <formula>AND(COUNT(C20:F20)=4,C20&gt;=6*0.4,C20&lt;6)</formula>
    </cfRule>
  </conditionalFormatting>
  <conditionalFormatting sqref="C21">
    <cfRule type="expression" priority="31" dxfId="0">
      <formula>AND(COUNT(C21:F21)=4,C21=6)</formula>
    </cfRule>
    <cfRule type="expression" priority="32" dxfId="1">
      <formula>AND(COUNT(C21:F21)=4,C21&lt;6*0.4)</formula>
    </cfRule>
    <cfRule type="expression" priority="33" dxfId="2">
      <formula>AND(COUNT(C21:F21)=4,C21&gt;=6*0.4,C21&lt;6)</formula>
    </cfRule>
  </conditionalFormatting>
  <conditionalFormatting sqref="C22">
    <cfRule type="expression" priority="34" dxfId="0">
      <formula>AND(COUNT(C22:F22)=4,C22=6)</formula>
    </cfRule>
    <cfRule type="expression" priority="35" dxfId="1">
      <formula>AND(COUNT(C22:F22)=4,C22&lt;6*0.4)</formula>
    </cfRule>
    <cfRule type="expression" priority="36" dxfId="2">
      <formula>AND(COUNT(C22:F22)=4,C22&gt;=6*0.4,C22&lt;6)</formula>
    </cfRule>
  </conditionalFormatting>
  <conditionalFormatting sqref="C23">
    <cfRule type="expression" priority="37" dxfId="0">
      <formula>AND(COUNT(C23:F23)=4,C23=6)</formula>
    </cfRule>
    <cfRule type="expression" priority="38" dxfId="1">
      <formula>AND(COUNT(C23:F23)=4,C23&lt;6*0.4)</formula>
    </cfRule>
    <cfRule type="expression" priority="39" dxfId="2">
      <formula>AND(COUNT(C23:F23)=4,C23&gt;=6*0.4,C23&lt;6)</formula>
    </cfRule>
  </conditionalFormatting>
  <conditionalFormatting sqref="C24">
    <cfRule type="expression" priority="40" dxfId="0">
      <formula>AND(COUNT(C24:F24)=4,C24=6)</formula>
    </cfRule>
    <cfRule type="expression" priority="41" dxfId="1">
      <formula>AND(COUNT(C24:F24)=4,C24&lt;6*0.4)</formula>
    </cfRule>
    <cfRule type="expression" priority="42" dxfId="2">
      <formula>AND(COUNT(C24:F24)=4,C24&gt;=6*0.4,C24&lt;6)</formula>
    </cfRule>
  </conditionalFormatting>
  <conditionalFormatting sqref="C25">
    <cfRule type="expression" priority="43" dxfId="0">
      <formula>AND(COUNT(C25:F25)=4,C25=6)</formula>
    </cfRule>
    <cfRule type="expression" priority="44" dxfId="1">
      <formula>AND(COUNT(C25:F25)=4,C25&lt;6*0.4)</formula>
    </cfRule>
    <cfRule type="expression" priority="45" dxfId="2">
      <formula>AND(COUNT(C25:F25)=4,C25&gt;=6*0.4,C25&lt;6)</formula>
    </cfRule>
  </conditionalFormatting>
  <conditionalFormatting sqref="C26">
    <cfRule type="expression" priority="46" dxfId="0">
      <formula>AND(COUNT(C26:F26)=4,C26=6)</formula>
    </cfRule>
    <cfRule type="expression" priority="47" dxfId="1">
      <formula>AND(COUNT(C26:F26)=4,C26&lt;6*0.4)</formula>
    </cfRule>
    <cfRule type="expression" priority="48" dxfId="2">
      <formula>AND(COUNT(C26:F26)=4,C26&gt;=6*0.4,C26&lt;6)</formula>
    </cfRule>
  </conditionalFormatting>
  <conditionalFormatting sqref="C27">
    <cfRule type="expression" priority="49" dxfId="0">
      <formula>AND(COUNT(C27:F27)=4,C27=6)</formula>
    </cfRule>
    <cfRule type="expression" priority="50" dxfId="1">
      <formula>AND(COUNT(C27:F27)=4,C27&lt;6*0.4)</formula>
    </cfRule>
    <cfRule type="expression" priority="51" dxfId="2">
      <formula>AND(COUNT(C27:F27)=4,C27&gt;=6*0.4,C27&lt;6)</formula>
    </cfRule>
  </conditionalFormatting>
  <conditionalFormatting sqref="C28">
    <cfRule type="expression" priority="52" dxfId="0">
      <formula>AND(COUNT(C28:F28)=4,C28=6)</formula>
    </cfRule>
    <cfRule type="expression" priority="53" dxfId="1">
      <formula>AND(COUNT(C28:F28)=4,C28&lt;6*0.4)</formula>
    </cfRule>
    <cfRule type="expression" priority="54" dxfId="2">
      <formula>AND(COUNT(C28:F28)=4,C28&gt;=6*0.4,C28&lt;6)</formula>
    </cfRule>
  </conditionalFormatting>
  <conditionalFormatting sqref="C29">
    <cfRule type="expression" priority="55" dxfId="0">
      <formula>AND(COUNT(C29:F29)=4,C29=6)</formula>
    </cfRule>
    <cfRule type="expression" priority="56" dxfId="1">
      <formula>AND(COUNT(C29:F29)=4,C29&lt;6*0.4)</formula>
    </cfRule>
    <cfRule type="expression" priority="57" dxfId="2">
      <formula>AND(COUNT(C29:F29)=4,C29&gt;=6*0.4,C29&lt;6)</formula>
    </cfRule>
  </conditionalFormatting>
  <conditionalFormatting sqref="C30">
    <cfRule type="expression" priority="58" dxfId="0">
      <formula>AND(COUNT(C30:F30)=4,C30=6)</formula>
    </cfRule>
    <cfRule type="expression" priority="59" dxfId="1">
      <formula>AND(COUNT(C30:F30)=4,C30&lt;6*0.4)</formula>
    </cfRule>
    <cfRule type="expression" priority="60" dxfId="2">
      <formula>AND(COUNT(C30:F30)=4,C30&gt;=6*0.4,C30&lt;6)</formula>
    </cfRule>
  </conditionalFormatting>
  <conditionalFormatting sqref="C31">
    <cfRule type="expression" priority="61" dxfId="0">
      <formula>AND(COUNT(C31:F31)=4,C31=6)</formula>
    </cfRule>
    <cfRule type="expression" priority="62" dxfId="1">
      <formula>AND(COUNT(C31:F31)=4,C31&lt;6*0.4)</formula>
    </cfRule>
    <cfRule type="expression" priority="63" dxfId="2">
      <formula>AND(COUNT(C31:F31)=4,C31&gt;=6*0.4,C31&lt;6)</formula>
    </cfRule>
  </conditionalFormatting>
  <conditionalFormatting sqref="C32">
    <cfRule type="expression" priority="64" dxfId="0">
      <formula>AND(COUNT(C32:F32)=4,C32=6)</formula>
    </cfRule>
    <cfRule type="expression" priority="65" dxfId="1">
      <formula>AND(COUNT(C32:F32)=4,C32&lt;6*0.4)</formula>
    </cfRule>
    <cfRule type="expression" priority="66" dxfId="2">
      <formula>AND(COUNT(C32:F32)=4,C32&gt;=6*0.4,C32&lt;6)</formula>
    </cfRule>
  </conditionalFormatting>
  <conditionalFormatting sqref="C33">
    <cfRule type="expression" priority="67" dxfId="0">
      <formula>AND(COUNT(C33:F33)=4,C33=6)</formula>
    </cfRule>
    <cfRule type="expression" priority="68" dxfId="1">
      <formula>AND(COUNT(C33:F33)=4,C33&lt;6*0.4)</formula>
    </cfRule>
    <cfRule type="expression" priority="69" dxfId="2">
      <formula>AND(COUNT(C33:F33)=4,C33&gt;=6*0.4,C33&lt;6)</formula>
    </cfRule>
  </conditionalFormatting>
  <conditionalFormatting sqref="C34">
    <cfRule type="expression" priority="70" dxfId="0">
      <formula>AND(COUNT(C34:F34)=4,C34=6)</formula>
    </cfRule>
    <cfRule type="expression" priority="71" dxfId="1">
      <formula>AND(COUNT(C34:F34)=4,C34&lt;6*0.4)</formula>
    </cfRule>
    <cfRule type="expression" priority="72" dxfId="2">
      <formula>AND(COUNT(C34:F34)=4,C34&gt;=6*0.4,C34&lt;6)</formula>
    </cfRule>
  </conditionalFormatting>
  <conditionalFormatting sqref="C35">
    <cfRule type="expression" priority="73" dxfId="0">
      <formula>AND(COUNT(C35:F35)=4,C35=6)</formula>
    </cfRule>
    <cfRule type="expression" priority="74" dxfId="1">
      <formula>AND(COUNT(C35:F35)=4,C35&lt;6*0.4)</formula>
    </cfRule>
    <cfRule type="expression" priority="75" dxfId="2">
      <formula>AND(COUNT(C35:F35)=4,C35&gt;=6*0.4,C35&lt;6)</formula>
    </cfRule>
  </conditionalFormatting>
  <conditionalFormatting sqref="C36">
    <cfRule type="expression" priority="76" dxfId="0">
      <formula>AND(COUNT(C36:F36)=4,C36=6)</formula>
    </cfRule>
    <cfRule type="expression" priority="77" dxfId="1">
      <formula>AND(COUNT(C36:F36)=4,C36&lt;6*0.4)</formula>
    </cfRule>
    <cfRule type="expression" priority="78" dxfId="2">
      <formula>AND(COUNT(C36:F36)=4,C36&gt;=6*0.4,C36&lt;6)</formula>
    </cfRule>
  </conditionalFormatting>
  <conditionalFormatting sqref="C37">
    <cfRule type="expression" priority="79" dxfId="0">
      <formula>AND(COUNT(C37:F37)=4,C37=6)</formula>
    </cfRule>
    <cfRule type="expression" priority="80" dxfId="1">
      <formula>AND(COUNT(C37:F37)=4,C37&lt;6*0.4)</formula>
    </cfRule>
    <cfRule type="expression" priority="81" dxfId="2">
      <formula>AND(COUNT(C37:F37)=4,C37&gt;=6*0.4,C37&lt;6)</formula>
    </cfRule>
  </conditionalFormatting>
  <conditionalFormatting sqref="C38">
    <cfRule type="expression" priority="82" dxfId="0">
      <formula>AND(COUNT(C38:F38)=4,C38=6)</formula>
    </cfRule>
    <cfRule type="expression" priority="83" dxfId="1">
      <formula>AND(COUNT(C38:F38)=4,C38&lt;6*0.4)</formula>
    </cfRule>
    <cfRule type="expression" priority="84" dxfId="2">
      <formula>AND(COUNT(C38:F38)=4,C38&gt;=6*0.4,C38&lt;6)</formula>
    </cfRule>
  </conditionalFormatting>
  <conditionalFormatting sqref="C39">
    <cfRule type="expression" priority="85" dxfId="0">
      <formula>AND(COUNT(C39:F39)=4,C39=6)</formula>
    </cfRule>
    <cfRule type="expression" priority="86" dxfId="1">
      <formula>AND(COUNT(C39:F39)=4,C39&lt;6*0.4)</formula>
    </cfRule>
    <cfRule type="expression" priority="87" dxfId="2">
      <formula>AND(COUNT(C39:F39)=4,C39&gt;=6*0.4,C39&lt;6)</formula>
    </cfRule>
  </conditionalFormatting>
  <conditionalFormatting sqref="C40">
    <cfRule type="expression" priority="88" dxfId="0">
      <formula>AND(COUNT(C40:F40)=4,C40=6)</formula>
    </cfRule>
    <cfRule type="expression" priority="89" dxfId="1">
      <formula>AND(COUNT(C40:F40)=4,C40&lt;6*0.4)</formula>
    </cfRule>
    <cfRule type="expression" priority="90" dxfId="2">
      <formula>AND(COUNT(C40:F40)=4,C40&gt;=6*0.4,C40&lt;6)</formula>
    </cfRule>
  </conditionalFormatting>
  <conditionalFormatting sqref="C41">
    <cfRule type="expression" priority="91" dxfId="0">
      <formula>AND(COUNT(C41:F41)=4,C41=6)</formula>
    </cfRule>
    <cfRule type="expression" priority="92" dxfId="1">
      <formula>AND(COUNT(C41:F41)=4,C41&lt;6*0.4)</formula>
    </cfRule>
    <cfRule type="expression" priority="93" dxfId="2">
      <formula>AND(COUNT(C41:F41)=4,C41&gt;=6*0.4,C41&lt;6)</formula>
    </cfRule>
  </conditionalFormatting>
  <conditionalFormatting sqref="D11">
    <cfRule type="expression" priority="94" dxfId="0">
      <formula>AND(COUNT(C11:F11)=4,D11=6)</formula>
    </cfRule>
    <cfRule type="expression" priority="95" dxfId="1">
      <formula>AND(COUNT(C11:F11)=4,D11&lt;6*0.4)</formula>
    </cfRule>
    <cfRule type="expression" priority="96" dxfId="2">
      <formula>AND(COUNT(C11:F11)=4,D11&gt;=6*0.4,D11&lt;6)</formula>
    </cfRule>
  </conditionalFormatting>
  <conditionalFormatting sqref="D12">
    <cfRule type="expression" priority="97" dxfId="0">
      <formula>AND(COUNT(C12:F12)=4,D12=6)</formula>
    </cfRule>
    <cfRule type="expression" priority="98" dxfId="1">
      <formula>AND(COUNT(C12:F12)=4,D12&lt;6*0.4)</formula>
    </cfRule>
    <cfRule type="expression" priority="99" dxfId="2">
      <formula>AND(COUNT(C12:F12)=4,D12&gt;=6*0.4,D12&lt;6)</formula>
    </cfRule>
  </conditionalFormatting>
  <conditionalFormatting sqref="D13">
    <cfRule type="expression" priority="100" dxfId="0">
      <formula>AND(COUNT(C13:F13)=4,D13=6)</formula>
    </cfRule>
    <cfRule type="expression" priority="101" dxfId="1">
      <formula>AND(COUNT(C13:F13)=4,D13&lt;6*0.4)</formula>
    </cfRule>
    <cfRule type="expression" priority="102" dxfId="2">
      <formula>AND(COUNT(C13:F13)=4,D13&gt;=6*0.4,D13&lt;6)</formula>
    </cfRule>
  </conditionalFormatting>
  <conditionalFormatting sqref="D14">
    <cfRule type="expression" priority="103" dxfId="0">
      <formula>AND(COUNT(C14:F14)=4,D14=6)</formula>
    </cfRule>
    <cfRule type="expression" priority="104" dxfId="1">
      <formula>AND(COUNT(C14:F14)=4,D14&lt;6*0.4)</formula>
    </cfRule>
    <cfRule type="expression" priority="105" dxfId="2">
      <formula>AND(COUNT(C14:F14)=4,D14&gt;=6*0.4,D14&lt;6)</formula>
    </cfRule>
  </conditionalFormatting>
  <conditionalFormatting sqref="D15">
    <cfRule type="expression" priority="106" dxfId="0">
      <formula>AND(COUNT(C15:F15)=4,D15=6)</formula>
    </cfRule>
    <cfRule type="expression" priority="107" dxfId="1">
      <formula>AND(COUNT(C15:F15)=4,D15&lt;6*0.4)</formula>
    </cfRule>
    <cfRule type="expression" priority="108" dxfId="2">
      <formula>AND(COUNT(C15:F15)=4,D15&gt;=6*0.4,D15&lt;6)</formula>
    </cfRule>
  </conditionalFormatting>
  <conditionalFormatting sqref="D16">
    <cfRule type="expression" priority="109" dxfId="0">
      <formula>AND(COUNT(C16:F16)=4,D16=6)</formula>
    </cfRule>
    <cfRule type="expression" priority="110" dxfId="1">
      <formula>AND(COUNT(C16:F16)=4,D16&lt;6*0.4)</formula>
    </cfRule>
    <cfRule type="expression" priority="111" dxfId="2">
      <formula>AND(COUNT(C16:F16)=4,D16&gt;=6*0.4,D16&lt;6)</formula>
    </cfRule>
  </conditionalFormatting>
  <conditionalFormatting sqref="D17">
    <cfRule type="expression" priority="112" dxfId="0">
      <formula>AND(COUNT(C17:F17)=4,D17=6)</formula>
    </cfRule>
    <cfRule type="expression" priority="113" dxfId="1">
      <formula>AND(COUNT(C17:F17)=4,D17&lt;6*0.4)</formula>
    </cfRule>
    <cfRule type="expression" priority="114" dxfId="2">
      <formula>AND(COUNT(C17:F17)=4,D17&gt;=6*0.4,D17&lt;6)</formula>
    </cfRule>
  </conditionalFormatting>
  <conditionalFormatting sqref="D18">
    <cfRule type="expression" priority="115" dxfId="0">
      <formula>AND(COUNT(C18:F18)=4,D18=6)</formula>
    </cfRule>
    <cfRule type="expression" priority="116" dxfId="1">
      <formula>AND(COUNT(C18:F18)=4,D18&lt;6*0.4)</formula>
    </cfRule>
    <cfRule type="expression" priority="117" dxfId="2">
      <formula>AND(COUNT(C18:F18)=4,D18&gt;=6*0.4,D18&lt;6)</formula>
    </cfRule>
  </conditionalFormatting>
  <conditionalFormatting sqref="D19">
    <cfRule type="expression" priority="118" dxfId="0">
      <formula>AND(COUNT(C19:F19)=4,D19=6)</formula>
    </cfRule>
    <cfRule type="expression" priority="119" dxfId="1">
      <formula>AND(COUNT(C19:F19)=4,D19&lt;6*0.4)</formula>
    </cfRule>
    <cfRule type="expression" priority="120" dxfId="2">
      <formula>AND(COUNT(C19:F19)=4,D19&gt;=6*0.4,D19&lt;6)</formula>
    </cfRule>
  </conditionalFormatting>
  <conditionalFormatting sqref="D20">
    <cfRule type="expression" priority="121" dxfId="0">
      <formula>AND(COUNT(C20:F20)=4,D20=6)</formula>
    </cfRule>
    <cfRule type="expression" priority="122" dxfId="1">
      <formula>AND(COUNT(C20:F20)=4,D20&lt;6*0.4)</formula>
    </cfRule>
    <cfRule type="expression" priority="123" dxfId="2">
      <formula>AND(COUNT(C20:F20)=4,D20&gt;=6*0.4,D20&lt;6)</formula>
    </cfRule>
  </conditionalFormatting>
  <conditionalFormatting sqref="D21">
    <cfRule type="expression" priority="124" dxfId="0">
      <formula>AND(COUNT(C21:F21)=4,D21=6)</formula>
    </cfRule>
    <cfRule type="expression" priority="125" dxfId="1">
      <formula>AND(COUNT(C21:F21)=4,D21&lt;6*0.4)</formula>
    </cfRule>
    <cfRule type="expression" priority="126" dxfId="2">
      <formula>AND(COUNT(C21:F21)=4,D21&gt;=6*0.4,D21&lt;6)</formula>
    </cfRule>
  </conditionalFormatting>
  <conditionalFormatting sqref="D22">
    <cfRule type="expression" priority="127" dxfId="0">
      <formula>AND(COUNT(C22:F22)=4,D22=6)</formula>
    </cfRule>
    <cfRule type="expression" priority="128" dxfId="1">
      <formula>AND(COUNT(C22:F22)=4,D22&lt;6*0.4)</formula>
    </cfRule>
    <cfRule type="expression" priority="129" dxfId="2">
      <formula>AND(COUNT(C22:F22)=4,D22&gt;=6*0.4,D22&lt;6)</formula>
    </cfRule>
  </conditionalFormatting>
  <conditionalFormatting sqref="D23">
    <cfRule type="expression" priority="130" dxfId="0">
      <formula>AND(COUNT(C23:F23)=4,D23=6)</formula>
    </cfRule>
    <cfRule type="expression" priority="131" dxfId="1">
      <formula>AND(COUNT(C23:F23)=4,D23&lt;6*0.4)</formula>
    </cfRule>
    <cfRule type="expression" priority="132" dxfId="2">
      <formula>AND(COUNT(C23:F23)=4,D23&gt;=6*0.4,D23&lt;6)</formula>
    </cfRule>
  </conditionalFormatting>
  <conditionalFormatting sqref="D24">
    <cfRule type="expression" priority="133" dxfId="0">
      <formula>AND(COUNT(C24:F24)=4,D24=6)</formula>
    </cfRule>
    <cfRule type="expression" priority="134" dxfId="1">
      <formula>AND(COUNT(C24:F24)=4,D24&lt;6*0.4)</formula>
    </cfRule>
    <cfRule type="expression" priority="135" dxfId="2">
      <formula>AND(COUNT(C24:F24)=4,D24&gt;=6*0.4,D24&lt;6)</formula>
    </cfRule>
  </conditionalFormatting>
  <conditionalFormatting sqref="D25">
    <cfRule type="expression" priority="136" dxfId="0">
      <formula>AND(COUNT(C25:F25)=4,D25=6)</formula>
    </cfRule>
    <cfRule type="expression" priority="137" dxfId="1">
      <formula>AND(COUNT(C25:F25)=4,D25&lt;6*0.4)</formula>
    </cfRule>
    <cfRule type="expression" priority="138" dxfId="2">
      <formula>AND(COUNT(C25:F25)=4,D25&gt;=6*0.4,D25&lt;6)</formula>
    </cfRule>
  </conditionalFormatting>
  <conditionalFormatting sqref="D26">
    <cfRule type="expression" priority="139" dxfId="0">
      <formula>AND(COUNT(C26:F26)=4,D26=6)</formula>
    </cfRule>
    <cfRule type="expression" priority="140" dxfId="1">
      <formula>AND(COUNT(C26:F26)=4,D26&lt;6*0.4)</formula>
    </cfRule>
    <cfRule type="expression" priority="141" dxfId="2">
      <formula>AND(COUNT(C26:F26)=4,D26&gt;=6*0.4,D26&lt;6)</formula>
    </cfRule>
  </conditionalFormatting>
  <conditionalFormatting sqref="D27">
    <cfRule type="expression" priority="142" dxfId="0">
      <formula>AND(COUNT(C27:F27)=4,D27=6)</formula>
    </cfRule>
    <cfRule type="expression" priority="143" dxfId="1">
      <formula>AND(COUNT(C27:F27)=4,D27&lt;6*0.4)</formula>
    </cfRule>
    <cfRule type="expression" priority="144" dxfId="2">
      <formula>AND(COUNT(C27:F27)=4,D27&gt;=6*0.4,D27&lt;6)</formula>
    </cfRule>
  </conditionalFormatting>
  <conditionalFormatting sqref="D28">
    <cfRule type="expression" priority="145" dxfId="0">
      <formula>AND(COUNT(C28:F28)=4,D28=6)</formula>
    </cfRule>
    <cfRule type="expression" priority="146" dxfId="1">
      <formula>AND(COUNT(C28:F28)=4,D28&lt;6*0.4)</formula>
    </cfRule>
    <cfRule type="expression" priority="147" dxfId="2">
      <formula>AND(COUNT(C28:F28)=4,D28&gt;=6*0.4,D28&lt;6)</formula>
    </cfRule>
  </conditionalFormatting>
  <conditionalFormatting sqref="D29">
    <cfRule type="expression" priority="148" dxfId="0">
      <formula>AND(COUNT(C29:F29)=4,D29=6)</formula>
    </cfRule>
    <cfRule type="expression" priority="149" dxfId="1">
      <formula>AND(COUNT(C29:F29)=4,D29&lt;6*0.4)</formula>
    </cfRule>
    <cfRule type="expression" priority="150" dxfId="2">
      <formula>AND(COUNT(C29:F29)=4,D29&gt;=6*0.4,D29&lt;6)</formula>
    </cfRule>
  </conditionalFormatting>
  <conditionalFormatting sqref="D30">
    <cfRule type="expression" priority="151" dxfId="0">
      <formula>AND(COUNT(C30:F30)=4,D30=6)</formula>
    </cfRule>
    <cfRule type="expression" priority="152" dxfId="1">
      <formula>AND(COUNT(C30:F30)=4,D30&lt;6*0.4)</formula>
    </cfRule>
    <cfRule type="expression" priority="153" dxfId="2">
      <formula>AND(COUNT(C30:F30)=4,D30&gt;=6*0.4,D30&lt;6)</formula>
    </cfRule>
  </conditionalFormatting>
  <conditionalFormatting sqref="D31">
    <cfRule type="expression" priority="154" dxfId="0">
      <formula>AND(COUNT(C31:F31)=4,D31=6)</formula>
    </cfRule>
    <cfRule type="expression" priority="155" dxfId="1">
      <formula>AND(COUNT(C31:F31)=4,D31&lt;6*0.4)</formula>
    </cfRule>
    <cfRule type="expression" priority="156" dxfId="2">
      <formula>AND(COUNT(C31:F31)=4,D31&gt;=6*0.4,D31&lt;6)</formula>
    </cfRule>
  </conditionalFormatting>
  <conditionalFormatting sqref="D32">
    <cfRule type="expression" priority="157" dxfId="0">
      <formula>AND(COUNT(C32:F32)=4,D32=6)</formula>
    </cfRule>
    <cfRule type="expression" priority="158" dxfId="1">
      <formula>AND(COUNT(C32:F32)=4,D32&lt;6*0.4)</formula>
    </cfRule>
    <cfRule type="expression" priority="159" dxfId="2">
      <formula>AND(COUNT(C32:F32)=4,D32&gt;=6*0.4,D32&lt;6)</formula>
    </cfRule>
  </conditionalFormatting>
  <conditionalFormatting sqref="D33">
    <cfRule type="expression" priority="160" dxfId="0">
      <formula>AND(COUNT(C33:F33)=4,D33=6)</formula>
    </cfRule>
    <cfRule type="expression" priority="161" dxfId="1">
      <formula>AND(COUNT(C33:F33)=4,D33&lt;6*0.4)</formula>
    </cfRule>
    <cfRule type="expression" priority="162" dxfId="2">
      <formula>AND(COUNT(C33:F33)=4,D33&gt;=6*0.4,D33&lt;6)</formula>
    </cfRule>
  </conditionalFormatting>
  <conditionalFormatting sqref="D34">
    <cfRule type="expression" priority="163" dxfId="0">
      <formula>AND(COUNT(C34:F34)=4,D34=6)</formula>
    </cfRule>
    <cfRule type="expression" priority="164" dxfId="1">
      <formula>AND(COUNT(C34:F34)=4,D34&lt;6*0.4)</formula>
    </cfRule>
    <cfRule type="expression" priority="165" dxfId="2">
      <formula>AND(COUNT(C34:F34)=4,D34&gt;=6*0.4,D34&lt;6)</formula>
    </cfRule>
  </conditionalFormatting>
  <conditionalFormatting sqref="D35">
    <cfRule type="expression" priority="166" dxfId="0">
      <formula>AND(COUNT(C35:F35)=4,D35=6)</formula>
    </cfRule>
    <cfRule type="expression" priority="167" dxfId="1">
      <formula>AND(COUNT(C35:F35)=4,D35&lt;6*0.4)</formula>
    </cfRule>
    <cfRule type="expression" priority="168" dxfId="2">
      <formula>AND(COUNT(C35:F35)=4,D35&gt;=6*0.4,D35&lt;6)</formula>
    </cfRule>
  </conditionalFormatting>
  <conditionalFormatting sqref="D36">
    <cfRule type="expression" priority="169" dxfId="0">
      <formula>AND(COUNT(C36:F36)=4,D36=6)</formula>
    </cfRule>
    <cfRule type="expression" priority="170" dxfId="1">
      <formula>AND(COUNT(C36:F36)=4,D36&lt;6*0.4)</formula>
    </cfRule>
    <cfRule type="expression" priority="171" dxfId="2">
      <formula>AND(COUNT(C36:F36)=4,D36&gt;=6*0.4,D36&lt;6)</formula>
    </cfRule>
  </conditionalFormatting>
  <conditionalFormatting sqref="D37">
    <cfRule type="expression" priority="172" dxfId="0">
      <formula>AND(COUNT(C37:F37)=4,D37=6)</formula>
    </cfRule>
    <cfRule type="expression" priority="173" dxfId="1">
      <formula>AND(COUNT(C37:F37)=4,D37&lt;6*0.4)</formula>
    </cfRule>
    <cfRule type="expression" priority="174" dxfId="2">
      <formula>AND(COUNT(C37:F37)=4,D37&gt;=6*0.4,D37&lt;6)</formula>
    </cfRule>
  </conditionalFormatting>
  <conditionalFormatting sqref="D38">
    <cfRule type="expression" priority="175" dxfId="0">
      <formula>AND(COUNT(C38:F38)=4,D38=6)</formula>
    </cfRule>
    <cfRule type="expression" priority="176" dxfId="1">
      <formula>AND(COUNT(C38:F38)=4,D38&lt;6*0.4)</formula>
    </cfRule>
    <cfRule type="expression" priority="177" dxfId="2">
      <formula>AND(COUNT(C38:F38)=4,D38&gt;=6*0.4,D38&lt;6)</formula>
    </cfRule>
  </conditionalFormatting>
  <conditionalFormatting sqref="D39">
    <cfRule type="expression" priority="178" dxfId="0">
      <formula>AND(COUNT(C39:F39)=4,D39=6)</formula>
    </cfRule>
    <cfRule type="expression" priority="179" dxfId="1">
      <formula>AND(COUNT(C39:F39)=4,D39&lt;6*0.4)</formula>
    </cfRule>
    <cfRule type="expression" priority="180" dxfId="2">
      <formula>AND(COUNT(C39:F39)=4,D39&gt;=6*0.4,D39&lt;6)</formula>
    </cfRule>
  </conditionalFormatting>
  <conditionalFormatting sqref="D40">
    <cfRule type="expression" priority="181" dxfId="0">
      <formula>AND(COUNT(C40:F40)=4,D40=6)</formula>
    </cfRule>
    <cfRule type="expression" priority="182" dxfId="1">
      <formula>AND(COUNT(C40:F40)=4,D40&lt;6*0.4)</formula>
    </cfRule>
    <cfRule type="expression" priority="183" dxfId="2">
      <formula>AND(COUNT(C40:F40)=4,D40&gt;=6*0.4,D40&lt;6)</formula>
    </cfRule>
  </conditionalFormatting>
  <conditionalFormatting sqref="D41">
    <cfRule type="expression" priority="184" dxfId="0">
      <formula>AND(COUNT(C41:F41)=4,D41=6)</formula>
    </cfRule>
    <cfRule type="expression" priority="185" dxfId="1">
      <formula>AND(COUNT(C41:F41)=4,D41&lt;6*0.4)</formula>
    </cfRule>
    <cfRule type="expression" priority="186" dxfId="2">
      <formula>AND(COUNT(C41:F41)=4,D41&gt;=6*0.4,D41&lt;6)</formula>
    </cfRule>
  </conditionalFormatting>
  <conditionalFormatting sqref="E11">
    <cfRule type="expression" priority="187" dxfId="0">
      <formula>AND(COUNT(C11:F11)=4,E11=5)</formula>
    </cfRule>
    <cfRule type="expression" priority="188" dxfId="1">
      <formula>AND(COUNT(C11:F11)=4,E11&lt;5*0.4)</formula>
    </cfRule>
    <cfRule type="expression" priority="189" dxfId="2">
      <formula>AND(COUNT(C11:F11)=4,E11&gt;=5*0.4,E11&lt;5)</formula>
    </cfRule>
  </conditionalFormatting>
  <conditionalFormatting sqref="E12">
    <cfRule type="expression" priority="190" dxfId="0">
      <formula>AND(COUNT(C12:F12)=4,E12=5)</formula>
    </cfRule>
    <cfRule type="expression" priority="191" dxfId="1">
      <formula>AND(COUNT(C12:F12)=4,E12&lt;5*0.4)</formula>
    </cfRule>
    <cfRule type="expression" priority="192" dxfId="2">
      <formula>AND(COUNT(C12:F12)=4,E12&gt;=5*0.4,E12&lt;5)</formula>
    </cfRule>
  </conditionalFormatting>
  <conditionalFormatting sqref="E13">
    <cfRule type="expression" priority="193" dxfId="0">
      <formula>AND(COUNT(C13:F13)=4,E13=5)</formula>
    </cfRule>
    <cfRule type="expression" priority="194" dxfId="1">
      <formula>AND(COUNT(C13:F13)=4,E13&lt;5*0.4)</formula>
    </cfRule>
    <cfRule type="expression" priority="195" dxfId="2">
      <formula>AND(COUNT(C13:F13)=4,E13&gt;=5*0.4,E13&lt;5)</formula>
    </cfRule>
  </conditionalFormatting>
  <conditionalFormatting sqref="E14">
    <cfRule type="expression" priority="196" dxfId="0">
      <formula>AND(COUNT(C14:F14)=4,E14=5)</formula>
    </cfRule>
    <cfRule type="expression" priority="197" dxfId="1">
      <formula>AND(COUNT(C14:F14)=4,E14&lt;5*0.4)</formula>
    </cfRule>
    <cfRule type="expression" priority="198" dxfId="2">
      <formula>AND(COUNT(C14:F14)=4,E14&gt;=5*0.4,E14&lt;5)</formula>
    </cfRule>
  </conditionalFormatting>
  <conditionalFormatting sqref="E15">
    <cfRule type="expression" priority="199" dxfId="0">
      <formula>AND(COUNT(C15:F15)=4,E15=5)</formula>
    </cfRule>
    <cfRule type="expression" priority="200" dxfId="1">
      <formula>AND(COUNT(C15:F15)=4,E15&lt;5*0.4)</formula>
    </cfRule>
    <cfRule type="expression" priority="201" dxfId="2">
      <formula>AND(COUNT(C15:F15)=4,E15&gt;=5*0.4,E15&lt;5)</formula>
    </cfRule>
  </conditionalFormatting>
  <conditionalFormatting sqref="E16">
    <cfRule type="expression" priority="202" dxfId="0">
      <formula>AND(COUNT(C16:F16)=4,E16=5)</formula>
    </cfRule>
    <cfRule type="expression" priority="203" dxfId="1">
      <formula>AND(COUNT(C16:F16)=4,E16&lt;5*0.4)</formula>
    </cfRule>
    <cfRule type="expression" priority="204" dxfId="2">
      <formula>AND(COUNT(C16:F16)=4,E16&gt;=5*0.4,E16&lt;5)</formula>
    </cfRule>
  </conditionalFormatting>
  <conditionalFormatting sqref="E17">
    <cfRule type="expression" priority="205" dxfId="0">
      <formula>AND(COUNT(C17:F17)=4,E17=5)</formula>
    </cfRule>
    <cfRule type="expression" priority="206" dxfId="1">
      <formula>AND(COUNT(C17:F17)=4,E17&lt;5*0.4)</formula>
    </cfRule>
    <cfRule type="expression" priority="207" dxfId="2">
      <formula>AND(COUNT(C17:F17)=4,E17&gt;=5*0.4,E17&lt;5)</formula>
    </cfRule>
  </conditionalFormatting>
  <conditionalFormatting sqref="E18">
    <cfRule type="expression" priority="208" dxfId="0">
      <formula>AND(COUNT(C18:F18)=4,E18=5)</formula>
    </cfRule>
    <cfRule type="expression" priority="209" dxfId="1">
      <formula>AND(COUNT(C18:F18)=4,E18&lt;5*0.4)</formula>
    </cfRule>
    <cfRule type="expression" priority="210" dxfId="2">
      <formula>AND(COUNT(C18:F18)=4,E18&gt;=5*0.4,E18&lt;5)</formula>
    </cfRule>
  </conditionalFormatting>
  <conditionalFormatting sqref="E19">
    <cfRule type="expression" priority="211" dxfId="0">
      <formula>AND(COUNT(C19:F19)=4,E19=5)</formula>
    </cfRule>
    <cfRule type="expression" priority="212" dxfId="1">
      <formula>AND(COUNT(C19:F19)=4,E19&lt;5*0.4)</formula>
    </cfRule>
    <cfRule type="expression" priority="213" dxfId="2">
      <formula>AND(COUNT(C19:F19)=4,E19&gt;=5*0.4,E19&lt;5)</formula>
    </cfRule>
  </conditionalFormatting>
  <conditionalFormatting sqref="E20">
    <cfRule type="expression" priority="214" dxfId="0">
      <formula>AND(COUNT(C20:F20)=4,E20=5)</formula>
    </cfRule>
    <cfRule type="expression" priority="215" dxfId="1">
      <formula>AND(COUNT(C20:F20)=4,E20&lt;5*0.4)</formula>
    </cfRule>
    <cfRule type="expression" priority="216" dxfId="2">
      <formula>AND(COUNT(C20:F20)=4,E20&gt;=5*0.4,E20&lt;5)</formula>
    </cfRule>
  </conditionalFormatting>
  <conditionalFormatting sqref="E21">
    <cfRule type="expression" priority="217" dxfId="0">
      <formula>AND(COUNT(C21:F21)=4,E21=5)</formula>
    </cfRule>
    <cfRule type="expression" priority="218" dxfId="1">
      <formula>AND(COUNT(C21:F21)=4,E21&lt;5*0.4)</formula>
    </cfRule>
    <cfRule type="expression" priority="219" dxfId="2">
      <formula>AND(COUNT(C21:F21)=4,E21&gt;=5*0.4,E21&lt;5)</formula>
    </cfRule>
  </conditionalFormatting>
  <conditionalFormatting sqref="E22">
    <cfRule type="expression" priority="220" dxfId="0">
      <formula>AND(COUNT(C22:F22)=4,E22=5)</formula>
    </cfRule>
    <cfRule type="expression" priority="221" dxfId="1">
      <formula>AND(COUNT(C22:F22)=4,E22&lt;5*0.4)</formula>
    </cfRule>
    <cfRule type="expression" priority="222" dxfId="2">
      <formula>AND(COUNT(C22:F22)=4,E22&gt;=5*0.4,E22&lt;5)</formula>
    </cfRule>
  </conditionalFormatting>
  <conditionalFormatting sqref="E23">
    <cfRule type="expression" priority="223" dxfId="0">
      <formula>AND(COUNT(C23:F23)=4,E23=5)</formula>
    </cfRule>
    <cfRule type="expression" priority="224" dxfId="1">
      <formula>AND(COUNT(C23:F23)=4,E23&lt;5*0.4)</formula>
    </cfRule>
    <cfRule type="expression" priority="225" dxfId="2">
      <formula>AND(COUNT(C23:F23)=4,E23&gt;=5*0.4,E23&lt;5)</formula>
    </cfRule>
  </conditionalFormatting>
  <conditionalFormatting sqref="E24">
    <cfRule type="expression" priority="226" dxfId="0">
      <formula>AND(COUNT(C24:F24)=4,E24=5)</formula>
    </cfRule>
    <cfRule type="expression" priority="227" dxfId="1">
      <formula>AND(COUNT(C24:F24)=4,E24&lt;5*0.4)</formula>
    </cfRule>
    <cfRule type="expression" priority="228" dxfId="2">
      <formula>AND(COUNT(C24:F24)=4,E24&gt;=5*0.4,E24&lt;5)</formula>
    </cfRule>
  </conditionalFormatting>
  <conditionalFormatting sqref="E25">
    <cfRule type="expression" priority="229" dxfId="0">
      <formula>AND(COUNT(C25:F25)=4,E25=5)</formula>
    </cfRule>
    <cfRule type="expression" priority="230" dxfId="1">
      <formula>AND(COUNT(C25:F25)=4,E25&lt;5*0.4)</formula>
    </cfRule>
    <cfRule type="expression" priority="231" dxfId="2">
      <formula>AND(COUNT(C25:F25)=4,E25&gt;=5*0.4,E25&lt;5)</formula>
    </cfRule>
  </conditionalFormatting>
  <conditionalFormatting sqref="E26">
    <cfRule type="expression" priority="232" dxfId="0">
      <formula>AND(COUNT(C26:F26)=4,E26=5)</formula>
    </cfRule>
    <cfRule type="expression" priority="233" dxfId="1">
      <formula>AND(COUNT(C26:F26)=4,E26&lt;5*0.4)</formula>
    </cfRule>
    <cfRule type="expression" priority="234" dxfId="2">
      <formula>AND(COUNT(C26:F26)=4,E26&gt;=5*0.4,E26&lt;5)</formula>
    </cfRule>
  </conditionalFormatting>
  <conditionalFormatting sqref="E27">
    <cfRule type="expression" priority="235" dxfId="0">
      <formula>AND(COUNT(C27:F27)=4,E27=5)</formula>
    </cfRule>
    <cfRule type="expression" priority="236" dxfId="1">
      <formula>AND(COUNT(C27:F27)=4,E27&lt;5*0.4)</formula>
    </cfRule>
    <cfRule type="expression" priority="237" dxfId="2">
      <formula>AND(COUNT(C27:F27)=4,E27&gt;=5*0.4,E27&lt;5)</formula>
    </cfRule>
  </conditionalFormatting>
  <conditionalFormatting sqref="E28">
    <cfRule type="expression" priority="238" dxfId="0">
      <formula>AND(COUNT(C28:F28)=4,E28=5)</formula>
    </cfRule>
    <cfRule type="expression" priority="239" dxfId="1">
      <formula>AND(COUNT(C28:F28)=4,E28&lt;5*0.4)</formula>
    </cfRule>
    <cfRule type="expression" priority="240" dxfId="2">
      <formula>AND(COUNT(C28:F28)=4,E28&gt;=5*0.4,E28&lt;5)</formula>
    </cfRule>
  </conditionalFormatting>
  <conditionalFormatting sqref="E29">
    <cfRule type="expression" priority="241" dxfId="0">
      <formula>AND(COUNT(C29:F29)=4,E29=5)</formula>
    </cfRule>
    <cfRule type="expression" priority="242" dxfId="1">
      <formula>AND(COUNT(C29:F29)=4,E29&lt;5*0.4)</formula>
    </cfRule>
    <cfRule type="expression" priority="243" dxfId="2">
      <formula>AND(COUNT(C29:F29)=4,E29&gt;=5*0.4,E29&lt;5)</formula>
    </cfRule>
  </conditionalFormatting>
  <conditionalFormatting sqref="E30">
    <cfRule type="expression" priority="244" dxfId="0">
      <formula>AND(COUNT(C30:F30)=4,E30=5)</formula>
    </cfRule>
    <cfRule type="expression" priority="245" dxfId="1">
      <formula>AND(COUNT(C30:F30)=4,E30&lt;5*0.4)</formula>
    </cfRule>
    <cfRule type="expression" priority="246" dxfId="2">
      <formula>AND(COUNT(C30:F30)=4,E30&gt;=5*0.4,E30&lt;5)</formula>
    </cfRule>
  </conditionalFormatting>
  <conditionalFormatting sqref="E31">
    <cfRule type="expression" priority="247" dxfId="0">
      <formula>AND(COUNT(C31:F31)=4,E31=5)</formula>
    </cfRule>
    <cfRule type="expression" priority="248" dxfId="1">
      <formula>AND(COUNT(C31:F31)=4,E31&lt;5*0.4)</formula>
    </cfRule>
    <cfRule type="expression" priority="249" dxfId="2">
      <formula>AND(COUNT(C31:F31)=4,E31&gt;=5*0.4,E31&lt;5)</formula>
    </cfRule>
  </conditionalFormatting>
  <conditionalFormatting sqref="E32">
    <cfRule type="expression" priority="250" dxfId="0">
      <formula>AND(COUNT(C32:F32)=4,E32=5)</formula>
    </cfRule>
    <cfRule type="expression" priority="251" dxfId="1">
      <formula>AND(COUNT(C32:F32)=4,E32&lt;5*0.4)</formula>
    </cfRule>
    <cfRule type="expression" priority="252" dxfId="2">
      <formula>AND(COUNT(C32:F32)=4,E32&gt;=5*0.4,E32&lt;5)</formula>
    </cfRule>
  </conditionalFormatting>
  <conditionalFormatting sqref="E33">
    <cfRule type="expression" priority="253" dxfId="0">
      <formula>AND(COUNT(C33:F33)=4,E33=5)</formula>
    </cfRule>
    <cfRule type="expression" priority="254" dxfId="1">
      <formula>AND(COUNT(C33:F33)=4,E33&lt;5*0.4)</formula>
    </cfRule>
    <cfRule type="expression" priority="255" dxfId="2">
      <formula>AND(COUNT(C33:F33)=4,E33&gt;=5*0.4,E33&lt;5)</formula>
    </cfRule>
  </conditionalFormatting>
  <conditionalFormatting sqref="E34">
    <cfRule type="expression" priority="256" dxfId="0">
      <formula>AND(COUNT(C34:F34)=4,E34=5)</formula>
    </cfRule>
    <cfRule type="expression" priority="257" dxfId="1">
      <formula>AND(COUNT(C34:F34)=4,E34&lt;5*0.4)</formula>
    </cfRule>
    <cfRule type="expression" priority="258" dxfId="2">
      <formula>AND(COUNT(C34:F34)=4,E34&gt;=5*0.4,E34&lt;5)</formula>
    </cfRule>
  </conditionalFormatting>
  <conditionalFormatting sqref="E35">
    <cfRule type="expression" priority="259" dxfId="0">
      <formula>AND(COUNT(C35:F35)=4,E35=5)</formula>
    </cfRule>
    <cfRule type="expression" priority="260" dxfId="1">
      <formula>AND(COUNT(C35:F35)=4,E35&lt;5*0.4)</formula>
    </cfRule>
    <cfRule type="expression" priority="261" dxfId="2">
      <formula>AND(COUNT(C35:F35)=4,E35&gt;=5*0.4,E35&lt;5)</formula>
    </cfRule>
  </conditionalFormatting>
  <conditionalFormatting sqref="E36">
    <cfRule type="expression" priority="262" dxfId="0">
      <formula>AND(COUNT(C36:F36)=4,E36=5)</formula>
    </cfRule>
    <cfRule type="expression" priority="263" dxfId="1">
      <formula>AND(COUNT(C36:F36)=4,E36&lt;5*0.4)</formula>
    </cfRule>
    <cfRule type="expression" priority="264" dxfId="2">
      <formula>AND(COUNT(C36:F36)=4,E36&gt;=5*0.4,E36&lt;5)</formula>
    </cfRule>
  </conditionalFormatting>
  <conditionalFormatting sqref="E37">
    <cfRule type="expression" priority="265" dxfId="0">
      <formula>AND(COUNT(C37:F37)=4,E37=5)</formula>
    </cfRule>
    <cfRule type="expression" priority="266" dxfId="1">
      <formula>AND(COUNT(C37:F37)=4,E37&lt;5*0.4)</formula>
    </cfRule>
    <cfRule type="expression" priority="267" dxfId="2">
      <formula>AND(COUNT(C37:F37)=4,E37&gt;=5*0.4,E37&lt;5)</formula>
    </cfRule>
  </conditionalFormatting>
  <conditionalFormatting sqref="E38">
    <cfRule type="expression" priority="268" dxfId="0">
      <formula>AND(COUNT(C38:F38)=4,E38=5)</formula>
    </cfRule>
    <cfRule type="expression" priority="269" dxfId="1">
      <formula>AND(COUNT(C38:F38)=4,E38&lt;5*0.4)</formula>
    </cfRule>
    <cfRule type="expression" priority="270" dxfId="2">
      <formula>AND(COUNT(C38:F38)=4,E38&gt;=5*0.4,E38&lt;5)</formula>
    </cfRule>
  </conditionalFormatting>
  <conditionalFormatting sqref="E39">
    <cfRule type="expression" priority="271" dxfId="0">
      <formula>AND(COUNT(C39:F39)=4,E39=5)</formula>
    </cfRule>
    <cfRule type="expression" priority="272" dxfId="1">
      <formula>AND(COUNT(C39:F39)=4,E39&lt;5*0.4)</formula>
    </cfRule>
    <cfRule type="expression" priority="273" dxfId="2">
      <formula>AND(COUNT(C39:F39)=4,E39&gt;=5*0.4,E39&lt;5)</formula>
    </cfRule>
  </conditionalFormatting>
  <conditionalFormatting sqref="E40">
    <cfRule type="expression" priority="274" dxfId="0">
      <formula>AND(COUNT(C40:F40)=4,E40=5)</formula>
    </cfRule>
    <cfRule type="expression" priority="275" dxfId="1">
      <formula>AND(COUNT(C40:F40)=4,E40&lt;5*0.4)</formula>
    </cfRule>
    <cfRule type="expression" priority="276" dxfId="2">
      <formula>AND(COUNT(C40:F40)=4,E40&gt;=5*0.4,E40&lt;5)</formula>
    </cfRule>
  </conditionalFormatting>
  <conditionalFormatting sqref="E41">
    <cfRule type="expression" priority="277" dxfId="0">
      <formula>AND(COUNT(C41:F41)=4,E41=5)</formula>
    </cfRule>
    <cfRule type="expression" priority="278" dxfId="1">
      <formula>AND(COUNT(C41:F41)=4,E41&lt;5*0.4)</formula>
    </cfRule>
    <cfRule type="expression" priority="279" dxfId="2">
      <formula>AND(COUNT(C41:F41)=4,E41&gt;=5*0.4,E41&lt;5)</formula>
    </cfRule>
  </conditionalFormatting>
  <conditionalFormatting sqref="F11">
    <cfRule type="expression" priority="280" dxfId="0">
      <formula>AND(COUNT(C11:F11)=4,F11=5)</formula>
    </cfRule>
    <cfRule type="expression" priority="281" dxfId="1">
      <formula>AND(COUNT(C11:F11)=4,F11&lt;5*0.4)</formula>
    </cfRule>
    <cfRule type="expression" priority="282" dxfId="2">
      <formula>AND(COUNT(C11:F11)=4,F11&gt;=5*0.4,F11&lt;5)</formula>
    </cfRule>
  </conditionalFormatting>
  <conditionalFormatting sqref="F12">
    <cfRule type="expression" priority="283" dxfId="0">
      <formula>AND(COUNT(C12:F12)=4,F12=5)</formula>
    </cfRule>
    <cfRule type="expression" priority="284" dxfId="1">
      <formula>AND(COUNT(C12:F12)=4,F12&lt;5*0.4)</formula>
    </cfRule>
    <cfRule type="expression" priority="285" dxfId="2">
      <formula>AND(COUNT(C12:F12)=4,F12&gt;=5*0.4,F12&lt;5)</formula>
    </cfRule>
  </conditionalFormatting>
  <conditionalFormatting sqref="F13">
    <cfRule type="expression" priority="286" dxfId="0">
      <formula>AND(COUNT(C13:F13)=4,F13=5)</formula>
    </cfRule>
    <cfRule type="expression" priority="287" dxfId="1">
      <formula>AND(COUNT(C13:F13)=4,F13&lt;5*0.4)</formula>
    </cfRule>
    <cfRule type="expression" priority="288" dxfId="2">
      <formula>AND(COUNT(C13:F13)=4,F13&gt;=5*0.4,F13&lt;5)</formula>
    </cfRule>
  </conditionalFormatting>
  <conditionalFormatting sqref="F14">
    <cfRule type="expression" priority="289" dxfId="0">
      <formula>AND(COUNT(C14:F14)=4,F14=5)</formula>
    </cfRule>
    <cfRule type="expression" priority="290" dxfId="1">
      <formula>AND(COUNT(C14:F14)=4,F14&lt;5*0.4)</formula>
    </cfRule>
    <cfRule type="expression" priority="291" dxfId="2">
      <formula>AND(COUNT(C14:F14)=4,F14&gt;=5*0.4,F14&lt;5)</formula>
    </cfRule>
  </conditionalFormatting>
  <conditionalFormatting sqref="F15">
    <cfRule type="expression" priority="292" dxfId="0">
      <formula>AND(COUNT(C15:F15)=4,F15=5)</formula>
    </cfRule>
    <cfRule type="expression" priority="293" dxfId="1">
      <formula>AND(COUNT(C15:F15)=4,F15&lt;5*0.4)</formula>
    </cfRule>
    <cfRule type="expression" priority="294" dxfId="2">
      <formula>AND(COUNT(C15:F15)=4,F15&gt;=5*0.4,F15&lt;5)</formula>
    </cfRule>
  </conditionalFormatting>
  <conditionalFormatting sqref="F16">
    <cfRule type="expression" priority="295" dxfId="0">
      <formula>AND(COUNT(C16:F16)=4,F16=5)</formula>
    </cfRule>
    <cfRule type="expression" priority="296" dxfId="1">
      <formula>AND(COUNT(C16:F16)=4,F16&lt;5*0.4)</formula>
    </cfRule>
    <cfRule type="expression" priority="297" dxfId="2">
      <formula>AND(COUNT(C16:F16)=4,F16&gt;=5*0.4,F16&lt;5)</formula>
    </cfRule>
  </conditionalFormatting>
  <conditionalFormatting sqref="F17">
    <cfRule type="expression" priority="298" dxfId="0">
      <formula>AND(COUNT(C17:F17)=4,F17=5)</formula>
    </cfRule>
    <cfRule type="expression" priority="299" dxfId="1">
      <formula>AND(COUNT(C17:F17)=4,F17&lt;5*0.4)</formula>
    </cfRule>
    <cfRule type="expression" priority="300" dxfId="2">
      <formula>AND(COUNT(C17:F17)=4,F17&gt;=5*0.4,F17&lt;5)</formula>
    </cfRule>
  </conditionalFormatting>
  <conditionalFormatting sqref="F18">
    <cfRule type="expression" priority="301" dxfId="0">
      <formula>AND(COUNT(C18:F18)=4,F18=5)</formula>
    </cfRule>
    <cfRule type="expression" priority="302" dxfId="1">
      <formula>AND(COUNT(C18:F18)=4,F18&lt;5*0.4)</formula>
    </cfRule>
    <cfRule type="expression" priority="303" dxfId="2">
      <formula>AND(COUNT(C18:F18)=4,F18&gt;=5*0.4,F18&lt;5)</formula>
    </cfRule>
  </conditionalFormatting>
  <conditionalFormatting sqref="F19">
    <cfRule type="expression" priority="304" dxfId="0">
      <formula>AND(COUNT(C19:F19)=4,F19=5)</formula>
    </cfRule>
    <cfRule type="expression" priority="305" dxfId="1">
      <formula>AND(COUNT(C19:F19)=4,F19&lt;5*0.4)</formula>
    </cfRule>
    <cfRule type="expression" priority="306" dxfId="2">
      <formula>AND(COUNT(C19:F19)=4,F19&gt;=5*0.4,F19&lt;5)</formula>
    </cfRule>
  </conditionalFormatting>
  <conditionalFormatting sqref="F20">
    <cfRule type="expression" priority="307" dxfId="0">
      <formula>AND(COUNT(C20:F20)=4,F20=5)</formula>
    </cfRule>
    <cfRule type="expression" priority="308" dxfId="1">
      <formula>AND(COUNT(C20:F20)=4,F20&lt;5*0.4)</formula>
    </cfRule>
    <cfRule type="expression" priority="309" dxfId="2">
      <formula>AND(COUNT(C20:F20)=4,F20&gt;=5*0.4,F20&lt;5)</formula>
    </cfRule>
  </conditionalFormatting>
  <conditionalFormatting sqref="F21">
    <cfRule type="expression" priority="310" dxfId="0">
      <formula>AND(COUNT(C21:F21)=4,F21=5)</formula>
    </cfRule>
    <cfRule type="expression" priority="311" dxfId="1">
      <formula>AND(COUNT(C21:F21)=4,F21&lt;5*0.4)</formula>
    </cfRule>
    <cfRule type="expression" priority="312" dxfId="2">
      <formula>AND(COUNT(C21:F21)=4,F21&gt;=5*0.4,F21&lt;5)</formula>
    </cfRule>
  </conditionalFormatting>
  <conditionalFormatting sqref="F22">
    <cfRule type="expression" priority="313" dxfId="0">
      <formula>AND(COUNT(C22:F22)=4,F22=5)</formula>
    </cfRule>
    <cfRule type="expression" priority="314" dxfId="1">
      <formula>AND(COUNT(C22:F22)=4,F22&lt;5*0.4)</formula>
    </cfRule>
    <cfRule type="expression" priority="315" dxfId="2">
      <formula>AND(COUNT(C22:F22)=4,F22&gt;=5*0.4,F22&lt;5)</formula>
    </cfRule>
  </conditionalFormatting>
  <conditionalFormatting sqref="F23">
    <cfRule type="expression" priority="316" dxfId="0">
      <formula>AND(COUNT(C23:F23)=4,F23=5)</formula>
    </cfRule>
    <cfRule type="expression" priority="317" dxfId="1">
      <formula>AND(COUNT(C23:F23)=4,F23&lt;5*0.4)</formula>
    </cfRule>
    <cfRule type="expression" priority="318" dxfId="2">
      <formula>AND(COUNT(C23:F23)=4,F23&gt;=5*0.4,F23&lt;5)</formula>
    </cfRule>
  </conditionalFormatting>
  <conditionalFormatting sqref="F24">
    <cfRule type="expression" priority="319" dxfId="0">
      <formula>AND(COUNT(C24:F24)=4,F24=5)</formula>
    </cfRule>
    <cfRule type="expression" priority="320" dxfId="1">
      <formula>AND(COUNT(C24:F24)=4,F24&lt;5*0.4)</formula>
    </cfRule>
    <cfRule type="expression" priority="321" dxfId="2">
      <formula>AND(COUNT(C24:F24)=4,F24&gt;=5*0.4,F24&lt;5)</formula>
    </cfRule>
  </conditionalFormatting>
  <conditionalFormatting sqref="F25">
    <cfRule type="expression" priority="322" dxfId="0">
      <formula>AND(COUNT(C25:F25)=4,F25=5)</formula>
    </cfRule>
    <cfRule type="expression" priority="323" dxfId="1">
      <formula>AND(COUNT(C25:F25)=4,F25&lt;5*0.4)</formula>
    </cfRule>
    <cfRule type="expression" priority="324" dxfId="2">
      <formula>AND(COUNT(C25:F25)=4,F25&gt;=5*0.4,F25&lt;5)</formula>
    </cfRule>
  </conditionalFormatting>
  <conditionalFormatting sqref="F26">
    <cfRule type="expression" priority="325" dxfId="0">
      <formula>AND(COUNT(C26:F26)=4,F26=5)</formula>
    </cfRule>
    <cfRule type="expression" priority="326" dxfId="1">
      <formula>AND(COUNT(C26:F26)=4,F26&lt;5*0.4)</formula>
    </cfRule>
    <cfRule type="expression" priority="327" dxfId="2">
      <formula>AND(COUNT(C26:F26)=4,F26&gt;=5*0.4,F26&lt;5)</formula>
    </cfRule>
  </conditionalFormatting>
  <conditionalFormatting sqref="F27">
    <cfRule type="expression" priority="328" dxfId="0">
      <formula>AND(COUNT(C27:F27)=4,F27=5)</formula>
    </cfRule>
    <cfRule type="expression" priority="329" dxfId="1">
      <formula>AND(COUNT(C27:F27)=4,F27&lt;5*0.4)</formula>
    </cfRule>
    <cfRule type="expression" priority="330" dxfId="2">
      <formula>AND(COUNT(C27:F27)=4,F27&gt;=5*0.4,F27&lt;5)</formula>
    </cfRule>
  </conditionalFormatting>
  <conditionalFormatting sqref="F28">
    <cfRule type="expression" priority="331" dxfId="0">
      <formula>AND(COUNT(C28:F28)=4,F28=5)</formula>
    </cfRule>
    <cfRule type="expression" priority="332" dxfId="1">
      <formula>AND(COUNT(C28:F28)=4,F28&lt;5*0.4)</formula>
    </cfRule>
    <cfRule type="expression" priority="333" dxfId="2">
      <formula>AND(COUNT(C28:F28)=4,F28&gt;=5*0.4,F28&lt;5)</formula>
    </cfRule>
  </conditionalFormatting>
  <conditionalFormatting sqref="F29">
    <cfRule type="expression" priority="334" dxfId="0">
      <formula>AND(COUNT(C29:F29)=4,F29=5)</formula>
    </cfRule>
    <cfRule type="expression" priority="335" dxfId="1">
      <formula>AND(COUNT(C29:F29)=4,F29&lt;5*0.4)</formula>
    </cfRule>
    <cfRule type="expression" priority="336" dxfId="2">
      <formula>AND(COUNT(C29:F29)=4,F29&gt;=5*0.4,F29&lt;5)</formula>
    </cfRule>
  </conditionalFormatting>
  <conditionalFormatting sqref="F30">
    <cfRule type="expression" priority="337" dxfId="0">
      <formula>AND(COUNT(C30:F30)=4,F30=5)</formula>
    </cfRule>
    <cfRule type="expression" priority="338" dxfId="1">
      <formula>AND(COUNT(C30:F30)=4,F30&lt;5*0.4)</formula>
    </cfRule>
    <cfRule type="expression" priority="339" dxfId="2">
      <formula>AND(COUNT(C30:F30)=4,F30&gt;=5*0.4,F30&lt;5)</formula>
    </cfRule>
  </conditionalFormatting>
  <conditionalFormatting sqref="F31">
    <cfRule type="expression" priority="340" dxfId="0">
      <formula>AND(COUNT(C31:F31)=4,F31=5)</formula>
    </cfRule>
    <cfRule type="expression" priority="341" dxfId="1">
      <formula>AND(COUNT(C31:F31)=4,F31&lt;5*0.4)</formula>
    </cfRule>
    <cfRule type="expression" priority="342" dxfId="2">
      <formula>AND(COUNT(C31:F31)=4,F31&gt;=5*0.4,F31&lt;5)</formula>
    </cfRule>
  </conditionalFormatting>
  <conditionalFormatting sqref="F32">
    <cfRule type="expression" priority="343" dxfId="0">
      <formula>AND(COUNT(C32:F32)=4,F32=5)</formula>
    </cfRule>
    <cfRule type="expression" priority="344" dxfId="1">
      <formula>AND(COUNT(C32:F32)=4,F32&lt;5*0.4)</formula>
    </cfRule>
    <cfRule type="expression" priority="345" dxfId="2">
      <formula>AND(COUNT(C32:F32)=4,F32&gt;=5*0.4,F32&lt;5)</formula>
    </cfRule>
  </conditionalFormatting>
  <conditionalFormatting sqref="F33">
    <cfRule type="expression" priority="346" dxfId="0">
      <formula>AND(COUNT(C33:F33)=4,F33=5)</formula>
    </cfRule>
    <cfRule type="expression" priority="347" dxfId="1">
      <formula>AND(COUNT(C33:F33)=4,F33&lt;5*0.4)</formula>
    </cfRule>
    <cfRule type="expression" priority="348" dxfId="2">
      <formula>AND(COUNT(C33:F33)=4,F33&gt;=5*0.4,F33&lt;5)</formula>
    </cfRule>
  </conditionalFormatting>
  <conditionalFormatting sqref="F34">
    <cfRule type="expression" priority="349" dxfId="0">
      <formula>AND(COUNT(C34:F34)=4,F34=5)</formula>
    </cfRule>
    <cfRule type="expression" priority="350" dxfId="1">
      <formula>AND(COUNT(C34:F34)=4,F34&lt;5*0.4)</formula>
    </cfRule>
    <cfRule type="expression" priority="351" dxfId="2">
      <formula>AND(COUNT(C34:F34)=4,F34&gt;=5*0.4,F34&lt;5)</formula>
    </cfRule>
  </conditionalFormatting>
  <conditionalFormatting sqref="F35">
    <cfRule type="expression" priority="352" dxfId="0">
      <formula>AND(COUNT(C35:F35)=4,F35=5)</formula>
    </cfRule>
    <cfRule type="expression" priority="353" dxfId="1">
      <formula>AND(COUNT(C35:F35)=4,F35&lt;5*0.4)</formula>
    </cfRule>
    <cfRule type="expression" priority="354" dxfId="2">
      <formula>AND(COUNT(C35:F35)=4,F35&gt;=5*0.4,F35&lt;5)</formula>
    </cfRule>
  </conditionalFormatting>
  <conditionalFormatting sqref="F36">
    <cfRule type="expression" priority="355" dxfId="0">
      <formula>AND(COUNT(C36:F36)=4,F36=5)</formula>
    </cfRule>
    <cfRule type="expression" priority="356" dxfId="1">
      <formula>AND(COUNT(C36:F36)=4,F36&lt;5*0.4)</formula>
    </cfRule>
    <cfRule type="expression" priority="357" dxfId="2">
      <formula>AND(COUNT(C36:F36)=4,F36&gt;=5*0.4,F36&lt;5)</formula>
    </cfRule>
  </conditionalFormatting>
  <conditionalFormatting sqref="F37">
    <cfRule type="expression" priority="358" dxfId="0">
      <formula>AND(COUNT(C37:F37)=4,F37=5)</formula>
    </cfRule>
    <cfRule type="expression" priority="359" dxfId="1">
      <formula>AND(COUNT(C37:F37)=4,F37&lt;5*0.4)</formula>
    </cfRule>
    <cfRule type="expression" priority="360" dxfId="2">
      <formula>AND(COUNT(C37:F37)=4,F37&gt;=5*0.4,F37&lt;5)</formula>
    </cfRule>
  </conditionalFormatting>
  <conditionalFormatting sqref="F38">
    <cfRule type="expression" priority="361" dxfId="0">
      <formula>AND(COUNT(C38:F38)=4,F38=5)</formula>
    </cfRule>
    <cfRule type="expression" priority="362" dxfId="1">
      <formula>AND(COUNT(C38:F38)=4,F38&lt;5*0.4)</formula>
    </cfRule>
    <cfRule type="expression" priority="363" dxfId="2">
      <formula>AND(COUNT(C38:F38)=4,F38&gt;=5*0.4,F38&lt;5)</formula>
    </cfRule>
  </conditionalFormatting>
  <conditionalFormatting sqref="F39">
    <cfRule type="expression" priority="364" dxfId="0">
      <formula>AND(COUNT(C39:F39)=4,F39=5)</formula>
    </cfRule>
    <cfRule type="expression" priority="365" dxfId="1">
      <formula>AND(COUNT(C39:F39)=4,F39&lt;5*0.4)</formula>
    </cfRule>
    <cfRule type="expression" priority="366" dxfId="2">
      <formula>AND(COUNT(C39:F39)=4,F39&gt;=5*0.4,F39&lt;5)</formula>
    </cfRule>
  </conditionalFormatting>
  <conditionalFormatting sqref="F40">
    <cfRule type="expression" priority="367" dxfId="0">
      <formula>AND(COUNT(C40:F40)=4,F40=5)</formula>
    </cfRule>
    <cfRule type="expression" priority="368" dxfId="1">
      <formula>AND(COUNT(C40:F40)=4,F40&lt;5*0.4)</formula>
    </cfRule>
    <cfRule type="expression" priority="369" dxfId="2">
      <formula>AND(COUNT(C40:F40)=4,F40&gt;=5*0.4,F40&lt;5)</formula>
    </cfRule>
  </conditionalFormatting>
  <conditionalFormatting sqref="F41">
    <cfRule type="expression" priority="370" dxfId="0">
      <formula>AND(COUNT(C41:F41)=4,F41=5)</formula>
    </cfRule>
    <cfRule type="expression" priority="371" dxfId="1">
      <formula>AND(COUNT(C41:F41)=4,F41&lt;5*0.4)</formula>
    </cfRule>
    <cfRule type="expression" priority="372" dxfId="2">
      <formula>AND(COUNT(C41:F41)=4,F41&gt;=5*0.4,F41&lt;5)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Mini Test 4.1 — Critical Analysis of Data &amp; Models</t>
        </is>
      </c>
    </row>
    <row r="2">
      <c r="A2" s="2" t="inlineStr">
        <is>
          <t>Every block below pulls live from 'MT 4.1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SUMPRODUCT(--ISNUMBER('MT 4.1 Results'!I12:I41))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IF('MT 4.1 Results'!I12="","","Mini Test 4.1 — Critical Analysis of Data &amp; Models")</f>
        <v/>
      </c>
      <c r="K5">
        <f>IF('MT 4.1 Results'!I13="","","Mini Test 4.1 — Critical Analysis of Data &amp; Models")</f>
        <v/>
      </c>
    </row>
    <row r="6">
      <c r="A6">
        <f>IF('MT 4.1 Results'!I12="","","Name: "&amp;'MT 4.1 Results'!B12&amp;"   Class: "&amp;'MT 4.1 Results'!$B$3&amp;"   Date: "&amp;TEXT('MT 4.1 Results'!$B$5,"DD/MM/YY"))</f>
        <v/>
      </c>
      <c r="K6">
        <f>IF('MT 4.1 Results'!I13="","","Name: "&amp;'MT 4.1 Results'!B13&amp;"   Class: "&amp;'MT 4.1 Results'!$B$3&amp;"   Date: "&amp;TEXT('MT 4.1 Results'!$B$5,"DD/MM/YY"))</f>
        <v/>
      </c>
    </row>
    <row r="7">
      <c r="A7">
        <f>IF('MT 4.1 Results'!I12="","","Total: "&amp;'MT 4.1 Results'!G12&amp;"/22 ("&amp;TEXT('MT 4.1 Results'!H12,"0%")&amp;")   Overall: "&amp;'MT 4.1 Results'!I12)</f>
        <v/>
      </c>
      <c r="K7">
        <f>IF('MT 4.1 Results'!I13="","","Total: "&amp;'MT 4.1 Results'!G13&amp;"/22 ("&amp;TEXT('MT 4.1 Results'!H13,"0%")&amp;")   Overall: "&amp;'MT 4.1 Results'!I13)</f>
        <v/>
      </c>
    </row>
    <row r="8">
      <c r="A8">
        <f>IF('MT 4.1 Results'!I12="","",IF('MT 4.1 Results'!I12="Green",Parameters!$C$227,IF('MT 4.1 Results'!I12="Yellow",Parameters!$C$226,Parameters!$C$225)))</f>
        <v/>
      </c>
      <c r="K8">
        <f>IF('MT 4.1 Results'!I13="","",IF('MT 4.1 Results'!I13="Green",Parameters!$C$227,IF('MT 4.1 Results'!I13="Yellow",Parameters!$C$226,Parameters!$C$225)))</f>
        <v/>
      </c>
    </row>
    <row r="10">
      <c r="A10">
        <f>IF('MT 4.1 Results'!I12="","","Breakdown:")</f>
        <v/>
      </c>
      <c r="K10">
        <f>IF('MT 4.1 Results'!I13="","","Breakdown:")</f>
        <v/>
      </c>
    </row>
    <row r="11">
      <c r="A11">
        <f>IF('MT 4.1 Results'!I12="","","Q1 Misleading bar chart (truncated axis): "&amp;'MT 4.1 Results'!C12&amp;"/6")</f>
        <v/>
      </c>
      <c r="K11">
        <f>IF('MT 4.1 Results'!I13="","","Q1 Misleading bar chart (truncated axis): "&amp;'MT 4.1 Results'!C13&amp;"/6")</f>
        <v/>
      </c>
    </row>
    <row r="12">
      <c r="A12">
        <f>IF('MT 4.1 Results'!I12="","","Q2 Cherry-picked time window (house prices): "&amp;'MT 4.1 Results'!D12&amp;"/6")</f>
        <v/>
      </c>
      <c r="K12">
        <f>IF('MT 4.1 Results'!I13="","","Q2 Cherry-picked time window (house prices): "&amp;'MT 4.1 Results'!D13&amp;"/6")</f>
        <v/>
      </c>
    </row>
    <row r="13">
      <c r="A13">
        <f>IF('MT 4.1 Results'!I12="","","Q3 Convenience sampling &amp; a better alternative: "&amp;'MT 4.1 Results'!E12&amp;"/5")</f>
        <v/>
      </c>
      <c r="K13">
        <f>IF('MT 4.1 Results'!I13="","","Q3 Convenience sampling &amp; a better alternative: "&amp;'MT 4.1 Results'!E13&amp;"/5")</f>
        <v/>
      </c>
    </row>
    <row r="14">
      <c r="A14">
        <f>IF('MT 4.1 Results'!I12="","","Q4 Mean vs median in an advertising claim: "&amp;'MT 4.1 Results'!F12&amp;"/5")</f>
        <v/>
      </c>
      <c r="K14">
        <f>IF('MT 4.1 Results'!I13="","","Q4 Mean vs median in an advertising claim: "&amp;'MT 4.1 Results'!F13&amp;"/5")</f>
        <v/>
      </c>
    </row>
    <row r="15">
      <c r="A15">
        <f>IF(OR('MT 4.1 Results'!I12="",'MT 4.1 Results'!J12=""),"",'MT 4.1 Results'!J12)</f>
        <v/>
      </c>
      <c r="K15">
        <f>IF(OR('MT 4.1 Results'!I13="",'MT 4.1 Results'!J13=""),"",'MT 4.1 Results'!J13)</f>
        <v/>
      </c>
    </row>
    <row r="17">
      <c r="A17">
        <f>IF('MT 4.1 Results'!I12="","","Comments:")</f>
        <v/>
      </c>
      <c r="K17">
        <f>IF('MT 4.1 Results'!I13="","","Comments:")</f>
        <v/>
      </c>
    </row>
    <row r="21">
      <c r="A21">
        <f>IF('MT 4.1 Results'!I14="","","Mini Test 4.1 — Critical Analysis of Data &amp; Models")</f>
        <v/>
      </c>
      <c r="K21">
        <f>IF('MT 4.1 Results'!I15="","","Mini Test 4.1 — Critical Analysis of Data &amp; Models")</f>
        <v/>
      </c>
    </row>
    <row r="22">
      <c r="A22">
        <f>IF('MT 4.1 Results'!I14="","","Name: "&amp;'MT 4.1 Results'!B14&amp;"   Class: "&amp;'MT 4.1 Results'!$B$3&amp;"   Date: "&amp;TEXT('MT 4.1 Results'!$B$5,"DD/MM/YY"))</f>
        <v/>
      </c>
      <c r="K22">
        <f>IF('MT 4.1 Results'!I15="","","Name: "&amp;'MT 4.1 Results'!B15&amp;"   Class: "&amp;'MT 4.1 Results'!$B$3&amp;"   Date: "&amp;TEXT('MT 4.1 Results'!$B$5,"DD/MM/YY"))</f>
        <v/>
      </c>
    </row>
    <row r="23">
      <c r="A23">
        <f>IF('MT 4.1 Results'!I14="","","Total: "&amp;'MT 4.1 Results'!G14&amp;"/22 ("&amp;TEXT('MT 4.1 Results'!H14,"0%")&amp;")   Overall: "&amp;'MT 4.1 Results'!I14)</f>
        <v/>
      </c>
      <c r="K23">
        <f>IF('MT 4.1 Results'!I15="","","Total: "&amp;'MT 4.1 Results'!G15&amp;"/22 ("&amp;TEXT('MT 4.1 Results'!H15,"0%")&amp;")   Overall: "&amp;'MT 4.1 Results'!I15)</f>
        <v/>
      </c>
    </row>
    <row r="24">
      <c r="A24">
        <f>IF('MT 4.1 Results'!I14="","",IF('MT 4.1 Results'!I14="Green",Parameters!$C$227,IF('MT 4.1 Results'!I14="Yellow",Parameters!$C$226,Parameters!$C$225)))</f>
        <v/>
      </c>
      <c r="K24">
        <f>IF('MT 4.1 Results'!I15="","",IF('MT 4.1 Results'!I15="Green",Parameters!$C$227,IF('MT 4.1 Results'!I15="Yellow",Parameters!$C$226,Parameters!$C$225)))</f>
        <v/>
      </c>
    </row>
    <row r="26">
      <c r="A26">
        <f>IF('MT 4.1 Results'!I14="","","Breakdown:")</f>
        <v/>
      </c>
      <c r="K26">
        <f>IF('MT 4.1 Results'!I15="","","Breakdown:")</f>
        <v/>
      </c>
    </row>
    <row r="27">
      <c r="A27">
        <f>IF('MT 4.1 Results'!I14="","","Q1 Misleading bar chart (truncated axis): "&amp;'MT 4.1 Results'!C14&amp;"/6")</f>
        <v/>
      </c>
      <c r="K27">
        <f>IF('MT 4.1 Results'!I15="","","Q1 Misleading bar chart (truncated axis): "&amp;'MT 4.1 Results'!C15&amp;"/6")</f>
        <v/>
      </c>
    </row>
    <row r="28">
      <c r="A28">
        <f>IF('MT 4.1 Results'!I14="","","Q2 Cherry-picked time window (house prices): "&amp;'MT 4.1 Results'!D14&amp;"/6")</f>
        <v/>
      </c>
      <c r="K28">
        <f>IF('MT 4.1 Results'!I15="","","Q2 Cherry-picked time window (house prices): "&amp;'MT 4.1 Results'!D15&amp;"/6")</f>
        <v/>
      </c>
    </row>
    <row r="29">
      <c r="A29">
        <f>IF('MT 4.1 Results'!I14="","","Q3 Convenience sampling &amp; a better alternative: "&amp;'MT 4.1 Results'!E14&amp;"/5")</f>
        <v/>
      </c>
      <c r="K29">
        <f>IF('MT 4.1 Results'!I15="","","Q3 Convenience sampling &amp; a better alternative: "&amp;'MT 4.1 Results'!E15&amp;"/5")</f>
        <v/>
      </c>
    </row>
    <row r="30">
      <c r="A30">
        <f>IF('MT 4.1 Results'!I14="","","Q4 Mean vs median in an advertising claim: "&amp;'MT 4.1 Results'!F14&amp;"/5")</f>
        <v/>
      </c>
      <c r="K30">
        <f>IF('MT 4.1 Results'!I15="","","Q4 Mean vs median in an advertising claim: "&amp;'MT 4.1 Results'!F15&amp;"/5")</f>
        <v/>
      </c>
    </row>
    <row r="31">
      <c r="A31">
        <f>IF(OR('MT 4.1 Results'!I14="",'MT 4.1 Results'!J14=""),"",'MT 4.1 Results'!J14)</f>
        <v/>
      </c>
      <c r="K31">
        <f>IF(OR('MT 4.1 Results'!I15="",'MT 4.1 Results'!J15=""),"",'MT 4.1 Results'!J15)</f>
        <v/>
      </c>
    </row>
    <row r="33">
      <c r="A33">
        <f>IF('MT 4.1 Results'!I14="","","Comments:")</f>
        <v/>
      </c>
      <c r="K33">
        <f>IF('MT 4.1 Results'!I15="","","Comments:")</f>
        <v/>
      </c>
    </row>
    <row r="37">
      <c r="A37">
        <f>IF('MT 4.1 Results'!I16="","","Mini Test 4.1 — Critical Analysis of Data &amp; Models")</f>
        <v/>
      </c>
      <c r="K37">
        <f>IF('MT 4.1 Results'!I17="","","Mini Test 4.1 — Critical Analysis of Data &amp; Models")</f>
        <v/>
      </c>
    </row>
    <row r="38">
      <c r="A38">
        <f>IF('MT 4.1 Results'!I16="","","Name: "&amp;'MT 4.1 Results'!B16&amp;"   Class: "&amp;'MT 4.1 Results'!$B$3&amp;"   Date: "&amp;TEXT('MT 4.1 Results'!$B$5,"DD/MM/YY"))</f>
        <v/>
      </c>
      <c r="K38">
        <f>IF('MT 4.1 Results'!I17="","","Name: "&amp;'MT 4.1 Results'!B17&amp;"   Class: "&amp;'MT 4.1 Results'!$B$3&amp;"   Date: "&amp;TEXT('MT 4.1 Results'!$B$5,"DD/MM/YY"))</f>
        <v/>
      </c>
    </row>
    <row r="39">
      <c r="A39">
        <f>IF('MT 4.1 Results'!I16="","","Total: "&amp;'MT 4.1 Results'!G16&amp;"/22 ("&amp;TEXT('MT 4.1 Results'!H16,"0%")&amp;")   Overall: "&amp;'MT 4.1 Results'!I16)</f>
        <v/>
      </c>
      <c r="K39">
        <f>IF('MT 4.1 Results'!I17="","","Total: "&amp;'MT 4.1 Results'!G17&amp;"/22 ("&amp;TEXT('MT 4.1 Results'!H17,"0%")&amp;")   Overall: "&amp;'MT 4.1 Results'!I17)</f>
        <v/>
      </c>
    </row>
    <row r="40">
      <c r="A40">
        <f>IF('MT 4.1 Results'!I16="","",IF('MT 4.1 Results'!I16="Green",Parameters!$C$227,IF('MT 4.1 Results'!I16="Yellow",Parameters!$C$226,Parameters!$C$225)))</f>
        <v/>
      </c>
      <c r="K40">
        <f>IF('MT 4.1 Results'!I17="","",IF('MT 4.1 Results'!I17="Green",Parameters!$C$227,IF('MT 4.1 Results'!I17="Yellow",Parameters!$C$226,Parameters!$C$225)))</f>
        <v/>
      </c>
    </row>
    <row r="42">
      <c r="A42">
        <f>IF('MT 4.1 Results'!I16="","","Breakdown:")</f>
        <v/>
      </c>
      <c r="K42">
        <f>IF('MT 4.1 Results'!I17="","","Breakdown:")</f>
        <v/>
      </c>
    </row>
    <row r="43">
      <c r="A43">
        <f>IF('MT 4.1 Results'!I16="","","Q1 Misleading bar chart (truncated axis): "&amp;'MT 4.1 Results'!C16&amp;"/6")</f>
        <v/>
      </c>
      <c r="K43">
        <f>IF('MT 4.1 Results'!I17="","","Q1 Misleading bar chart (truncated axis): "&amp;'MT 4.1 Results'!C17&amp;"/6")</f>
        <v/>
      </c>
    </row>
    <row r="44">
      <c r="A44">
        <f>IF('MT 4.1 Results'!I16="","","Q2 Cherry-picked time window (house prices): "&amp;'MT 4.1 Results'!D16&amp;"/6")</f>
        <v/>
      </c>
      <c r="K44">
        <f>IF('MT 4.1 Results'!I17="","","Q2 Cherry-picked time window (house prices): "&amp;'MT 4.1 Results'!D17&amp;"/6")</f>
        <v/>
      </c>
    </row>
    <row r="45">
      <c r="A45">
        <f>IF('MT 4.1 Results'!I16="","","Q3 Convenience sampling &amp; a better alternative: "&amp;'MT 4.1 Results'!E16&amp;"/5")</f>
        <v/>
      </c>
      <c r="K45">
        <f>IF('MT 4.1 Results'!I17="","","Q3 Convenience sampling &amp; a better alternative: "&amp;'MT 4.1 Results'!E17&amp;"/5")</f>
        <v/>
      </c>
    </row>
    <row r="46">
      <c r="A46">
        <f>IF('MT 4.1 Results'!I16="","","Q4 Mean vs median in an advertising claim: "&amp;'MT 4.1 Results'!F16&amp;"/5")</f>
        <v/>
      </c>
      <c r="K46">
        <f>IF('MT 4.1 Results'!I17="","","Q4 Mean vs median in an advertising claim: "&amp;'MT 4.1 Results'!F17&amp;"/5")</f>
        <v/>
      </c>
    </row>
    <row r="47">
      <c r="A47">
        <f>IF(OR('MT 4.1 Results'!I16="",'MT 4.1 Results'!J16=""),"",'MT 4.1 Results'!J16)</f>
        <v/>
      </c>
      <c r="K47">
        <f>IF(OR('MT 4.1 Results'!I17="",'MT 4.1 Results'!J17=""),"",'MT 4.1 Results'!J17)</f>
        <v/>
      </c>
    </row>
    <row r="49">
      <c r="A49">
        <f>IF('MT 4.1 Results'!I16="","","Comments:")</f>
        <v/>
      </c>
      <c r="K49">
        <f>IF('MT 4.1 Results'!I17="","","Comments:")</f>
        <v/>
      </c>
    </row>
    <row r="53">
      <c r="A53">
        <f>IF('MT 4.1 Results'!I18="","","Mini Test 4.1 — Critical Analysis of Data &amp; Models")</f>
        <v/>
      </c>
      <c r="K53">
        <f>IF('MT 4.1 Results'!I19="","","Mini Test 4.1 — Critical Analysis of Data &amp; Models")</f>
        <v/>
      </c>
    </row>
    <row r="54">
      <c r="A54">
        <f>IF('MT 4.1 Results'!I18="","","Name: "&amp;'MT 4.1 Results'!B18&amp;"   Class: "&amp;'MT 4.1 Results'!$B$3&amp;"   Date: "&amp;TEXT('MT 4.1 Results'!$B$5,"DD/MM/YY"))</f>
        <v/>
      </c>
      <c r="K54">
        <f>IF('MT 4.1 Results'!I19="","","Name: "&amp;'MT 4.1 Results'!B19&amp;"   Class: "&amp;'MT 4.1 Results'!$B$3&amp;"   Date: "&amp;TEXT('MT 4.1 Results'!$B$5,"DD/MM/YY"))</f>
        <v/>
      </c>
    </row>
    <row r="55">
      <c r="A55">
        <f>IF('MT 4.1 Results'!I18="","","Total: "&amp;'MT 4.1 Results'!G18&amp;"/22 ("&amp;TEXT('MT 4.1 Results'!H18,"0%")&amp;")   Overall: "&amp;'MT 4.1 Results'!I18)</f>
        <v/>
      </c>
      <c r="K55">
        <f>IF('MT 4.1 Results'!I19="","","Total: "&amp;'MT 4.1 Results'!G19&amp;"/22 ("&amp;TEXT('MT 4.1 Results'!H19,"0%")&amp;")   Overall: "&amp;'MT 4.1 Results'!I19)</f>
        <v/>
      </c>
    </row>
    <row r="56">
      <c r="A56">
        <f>IF('MT 4.1 Results'!I18="","",IF('MT 4.1 Results'!I18="Green",Parameters!$C$227,IF('MT 4.1 Results'!I18="Yellow",Parameters!$C$226,Parameters!$C$225)))</f>
        <v/>
      </c>
      <c r="K56">
        <f>IF('MT 4.1 Results'!I19="","",IF('MT 4.1 Results'!I19="Green",Parameters!$C$227,IF('MT 4.1 Results'!I19="Yellow",Parameters!$C$226,Parameters!$C$225)))</f>
        <v/>
      </c>
    </row>
    <row r="58">
      <c r="A58">
        <f>IF('MT 4.1 Results'!I18="","","Breakdown:")</f>
        <v/>
      </c>
      <c r="K58">
        <f>IF('MT 4.1 Results'!I19="","","Breakdown:")</f>
        <v/>
      </c>
    </row>
    <row r="59">
      <c r="A59">
        <f>IF('MT 4.1 Results'!I18="","","Q1 Misleading bar chart (truncated axis): "&amp;'MT 4.1 Results'!C18&amp;"/6")</f>
        <v/>
      </c>
      <c r="K59">
        <f>IF('MT 4.1 Results'!I19="","","Q1 Misleading bar chart (truncated axis): "&amp;'MT 4.1 Results'!C19&amp;"/6")</f>
        <v/>
      </c>
    </row>
    <row r="60">
      <c r="A60">
        <f>IF('MT 4.1 Results'!I18="","","Q2 Cherry-picked time window (house prices): "&amp;'MT 4.1 Results'!D18&amp;"/6")</f>
        <v/>
      </c>
      <c r="K60">
        <f>IF('MT 4.1 Results'!I19="","","Q2 Cherry-picked time window (house prices): "&amp;'MT 4.1 Results'!D19&amp;"/6")</f>
        <v/>
      </c>
    </row>
    <row r="61">
      <c r="A61">
        <f>IF('MT 4.1 Results'!I18="","","Q3 Convenience sampling &amp; a better alternative: "&amp;'MT 4.1 Results'!E18&amp;"/5")</f>
        <v/>
      </c>
      <c r="K61">
        <f>IF('MT 4.1 Results'!I19="","","Q3 Convenience sampling &amp; a better alternative: "&amp;'MT 4.1 Results'!E19&amp;"/5")</f>
        <v/>
      </c>
    </row>
    <row r="62">
      <c r="A62">
        <f>IF('MT 4.1 Results'!I18="","","Q4 Mean vs median in an advertising claim: "&amp;'MT 4.1 Results'!F18&amp;"/5")</f>
        <v/>
      </c>
      <c r="K62">
        <f>IF('MT 4.1 Results'!I19="","","Q4 Mean vs median in an advertising claim: "&amp;'MT 4.1 Results'!F19&amp;"/5")</f>
        <v/>
      </c>
    </row>
    <row r="63">
      <c r="A63">
        <f>IF(OR('MT 4.1 Results'!I18="",'MT 4.1 Results'!J18=""),"",'MT 4.1 Results'!J18)</f>
        <v/>
      </c>
      <c r="K63">
        <f>IF(OR('MT 4.1 Results'!I19="",'MT 4.1 Results'!J19=""),"",'MT 4.1 Results'!J19)</f>
        <v/>
      </c>
    </row>
    <row r="65">
      <c r="A65">
        <f>IF('MT 4.1 Results'!I18="","","Comments:")</f>
        <v/>
      </c>
      <c r="K65">
        <f>IF('MT 4.1 Results'!I19="","","Comments:")</f>
        <v/>
      </c>
    </row>
    <row r="69">
      <c r="A69">
        <f>IF('MT 4.1 Results'!I20="","","Mini Test 4.1 — Critical Analysis of Data &amp; Models")</f>
        <v/>
      </c>
      <c r="K69">
        <f>IF('MT 4.1 Results'!I21="","","Mini Test 4.1 — Critical Analysis of Data &amp; Models")</f>
        <v/>
      </c>
    </row>
    <row r="70">
      <c r="A70">
        <f>IF('MT 4.1 Results'!I20="","","Name: "&amp;'MT 4.1 Results'!B20&amp;"   Class: "&amp;'MT 4.1 Results'!$B$3&amp;"   Date: "&amp;TEXT('MT 4.1 Results'!$B$5,"DD/MM/YY"))</f>
        <v/>
      </c>
      <c r="K70">
        <f>IF('MT 4.1 Results'!I21="","","Name: "&amp;'MT 4.1 Results'!B21&amp;"   Class: "&amp;'MT 4.1 Results'!$B$3&amp;"   Date: "&amp;TEXT('MT 4.1 Results'!$B$5,"DD/MM/YY"))</f>
        <v/>
      </c>
    </row>
    <row r="71">
      <c r="A71">
        <f>IF('MT 4.1 Results'!I20="","","Total: "&amp;'MT 4.1 Results'!G20&amp;"/22 ("&amp;TEXT('MT 4.1 Results'!H20,"0%")&amp;")   Overall: "&amp;'MT 4.1 Results'!I20)</f>
        <v/>
      </c>
      <c r="K71">
        <f>IF('MT 4.1 Results'!I21="","","Total: "&amp;'MT 4.1 Results'!G21&amp;"/22 ("&amp;TEXT('MT 4.1 Results'!H21,"0%")&amp;")   Overall: "&amp;'MT 4.1 Results'!I21)</f>
        <v/>
      </c>
    </row>
    <row r="72">
      <c r="A72">
        <f>IF('MT 4.1 Results'!I20="","",IF('MT 4.1 Results'!I20="Green",Parameters!$C$227,IF('MT 4.1 Results'!I20="Yellow",Parameters!$C$226,Parameters!$C$225)))</f>
        <v/>
      </c>
      <c r="K72">
        <f>IF('MT 4.1 Results'!I21="","",IF('MT 4.1 Results'!I21="Green",Parameters!$C$227,IF('MT 4.1 Results'!I21="Yellow",Parameters!$C$226,Parameters!$C$225)))</f>
        <v/>
      </c>
    </row>
    <row r="74">
      <c r="A74">
        <f>IF('MT 4.1 Results'!I20="","","Breakdown:")</f>
        <v/>
      </c>
      <c r="K74">
        <f>IF('MT 4.1 Results'!I21="","","Breakdown:")</f>
        <v/>
      </c>
    </row>
    <row r="75">
      <c r="A75">
        <f>IF('MT 4.1 Results'!I20="","","Q1 Misleading bar chart (truncated axis): "&amp;'MT 4.1 Results'!C20&amp;"/6")</f>
        <v/>
      </c>
      <c r="K75">
        <f>IF('MT 4.1 Results'!I21="","","Q1 Misleading bar chart (truncated axis): "&amp;'MT 4.1 Results'!C21&amp;"/6")</f>
        <v/>
      </c>
    </row>
    <row r="76">
      <c r="A76">
        <f>IF('MT 4.1 Results'!I20="","","Q2 Cherry-picked time window (house prices): "&amp;'MT 4.1 Results'!D20&amp;"/6")</f>
        <v/>
      </c>
      <c r="K76">
        <f>IF('MT 4.1 Results'!I21="","","Q2 Cherry-picked time window (house prices): "&amp;'MT 4.1 Results'!D21&amp;"/6")</f>
        <v/>
      </c>
    </row>
    <row r="77">
      <c r="A77">
        <f>IF('MT 4.1 Results'!I20="","","Q3 Convenience sampling &amp; a better alternative: "&amp;'MT 4.1 Results'!E20&amp;"/5")</f>
        <v/>
      </c>
      <c r="K77">
        <f>IF('MT 4.1 Results'!I21="","","Q3 Convenience sampling &amp; a better alternative: "&amp;'MT 4.1 Results'!E21&amp;"/5")</f>
        <v/>
      </c>
    </row>
    <row r="78">
      <c r="A78">
        <f>IF('MT 4.1 Results'!I20="","","Q4 Mean vs median in an advertising claim: "&amp;'MT 4.1 Results'!F20&amp;"/5")</f>
        <v/>
      </c>
      <c r="K78">
        <f>IF('MT 4.1 Results'!I21="","","Q4 Mean vs median in an advertising claim: "&amp;'MT 4.1 Results'!F21&amp;"/5")</f>
        <v/>
      </c>
    </row>
    <row r="79">
      <c r="A79">
        <f>IF(OR('MT 4.1 Results'!I20="",'MT 4.1 Results'!J20=""),"",'MT 4.1 Results'!J20)</f>
        <v/>
      </c>
      <c r="K79">
        <f>IF(OR('MT 4.1 Results'!I21="",'MT 4.1 Results'!J21=""),"",'MT 4.1 Results'!J21)</f>
        <v/>
      </c>
    </row>
    <row r="81">
      <c r="A81">
        <f>IF('MT 4.1 Results'!I20="","","Comments:")</f>
        <v/>
      </c>
      <c r="K81">
        <f>IF('MT 4.1 Results'!I21="","","Comments:")</f>
        <v/>
      </c>
    </row>
    <row r="85">
      <c r="A85">
        <f>IF('MT 4.1 Results'!I22="","","Mini Test 4.1 — Critical Analysis of Data &amp; Models")</f>
        <v/>
      </c>
      <c r="K85">
        <f>IF('MT 4.1 Results'!I23="","","Mini Test 4.1 — Critical Analysis of Data &amp; Models")</f>
        <v/>
      </c>
    </row>
    <row r="86">
      <c r="A86">
        <f>IF('MT 4.1 Results'!I22="","","Name: "&amp;'MT 4.1 Results'!B22&amp;"   Class: "&amp;'MT 4.1 Results'!$B$3&amp;"   Date: "&amp;TEXT('MT 4.1 Results'!$B$5,"DD/MM/YY"))</f>
        <v/>
      </c>
      <c r="K86">
        <f>IF('MT 4.1 Results'!I23="","","Name: "&amp;'MT 4.1 Results'!B23&amp;"   Class: "&amp;'MT 4.1 Results'!$B$3&amp;"   Date: "&amp;TEXT('MT 4.1 Results'!$B$5,"DD/MM/YY"))</f>
        <v/>
      </c>
    </row>
    <row r="87">
      <c r="A87">
        <f>IF('MT 4.1 Results'!I22="","","Total: "&amp;'MT 4.1 Results'!G22&amp;"/22 ("&amp;TEXT('MT 4.1 Results'!H22,"0%")&amp;")   Overall: "&amp;'MT 4.1 Results'!I22)</f>
        <v/>
      </c>
      <c r="K87">
        <f>IF('MT 4.1 Results'!I23="","","Total: "&amp;'MT 4.1 Results'!G23&amp;"/22 ("&amp;TEXT('MT 4.1 Results'!H23,"0%")&amp;")   Overall: "&amp;'MT 4.1 Results'!I23)</f>
        <v/>
      </c>
    </row>
    <row r="88">
      <c r="A88">
        <f>IF('MT 4.1 Results'!I22="","",IF('MT 4.1 Results'!I22="Green",Parameters!$C$227,IF('MT 4.1 Results'!I22="Yellow",Parameters!$C$226,Parameters!$C$225)))</f>
        <v/>
      </c>
      <c r="K88">
        <f>IF('MT 4.1 Results'!I23="","",IF('MT 4.1 Results'!I23="Green",Parameters!$C$227,IF('MT 4.1 Results'!I23="Yellow",Parameters!$C$226,Parameters!$C$225)))</f>
        <v/>
      </c>
    </row>
    <row r="90">
      <c r="A90">
        <f>IF('MT 4.1 Results'!I22="","","Breakdown:")</f>
        <v/>
      </c>
      <c r="K90">
        <f>IF('MT 4.1 Results'!I23="","","Breakdown:")</f>
        <v/>
      </c>
    </row>
    <row r="91">
      <c r="A91">
        <f>IF('MT 4.1 Results'!I22="","","Q1 Misleading bar chart (truncated axis): "&amp;'MT 4.1 Results'!C22&amp;"/6")</f>
        <v/>
      </c>
      <c r="K91">
        <f>IF('MT 4.1 Results'!I23="","","Q1 Misleading bar chart (truncated axis): "&amp;'MT 4.1 Results'!C23&amp;"/6")</f>
        <v/>
      </c>
    </row>
    <row r="92">
      <c r="A92">
        <f>IF('MT 4.1 Results'!I22="","","Q2 Cherry-picked time window (house prices): "&amp;'MT 4.1 Results'!D22&amp;"/6")</f>
        <v/>
      </c>
      <c r="K92">
        <f>IF('MT 4.1 Results'!I23="","","Q2 Cherry-picked time window (house prices): "&amp;'MT 4.1 Results'!D23&amp;"/6")</f>
        <v/>
      </c>
    </row>
    <row r="93">
      <c r="A93">
        <f>IF('MT 4.1 Results'!I22="","","Q3 Convenience sampling &amp; a better alternative: "&amp;'MT 4.1 Results'!E22&amp;"/5")</f>
        <v/>
      </c>
      <c r="K93">
        <f>IF('MT 4.1 Results'!I23="","","Q3 Convenience sampling &amp; a better alternative: "&amp;'MT 4.1 Results'!E23&amp;"/5")</f>
        <v/>
      </c>
    </row>
    <row r="94">
      <c r="A94">
        <f>IF('MT 4.1 Results'!I22="","","Q4 Mean vs median in an advertising claim: "&amp;'MT 4.1 Results'!F22&amp;"/5")</f>
        <v/>
      </c>
      <c r="K94">
        <f>IF('MT 4.1 Results'!I23="","","Q4 Mean vs median in an advertising claim: "&amp;'MT 4.1 Results'!F23&amp;"/5")</f>
        <v/>
      </c>
    </row>
    <row r="95">
      <c r="A95">
        <f>IF(OR('MT 4.1 Results'!I22="",'MT 4.1 Results'!J22=""),"",'MT 4.1 Results'!J22)</f>
        <v/>
      </c>
      <c r="K95">
        <f>IF(OR('MT 4.1 Results'!I23="",'MT 4.1 Results'!J23=""),"",'MT 4.1 Results'!J23)</f>
        <v/>
      </c>
    </row>
    <row r="97">
      <c r="A97">
        <f>IF('MT 4.1 Results'!I22="","","Comments:")</f>
        <v/>
      </c>
      <c r="K97">
        <f>IF('MT 4.1 Results'!I23="","","Comments:")</f>
        <v/>
      </c>
    </row>
    <row r="101">
      <c r="A101">
        <f>IF('MT 4.1 Results'!I24="","","Mini Test 4.1 — Critical Analysis of Data &amp; Models")</f>
        <v/>
      </c>
      <c r="K101">
        <f>IF('MT 4.1 Results'!I25="","","Mini Test 4.1 — Critical Analysis of Data &amp; Models")</f>
        <v/>
      </c>
    </row>
    <row r="102">
      <c r="A102">
        <f>IF('MT 4.1 Results'!I24="","","Name: "&amp;'MT 4.1 Results'!B24&amp;"   Class: "&amp;'MT 4.1 Results'!$B$3&amp;"   Date: "&amp;TEXT('MT 4.1 Results'!$B$5,"DD/MM/YY"))</f>
        <v/>
      </c>
      <c r="K102">
        <f>IF('MT 4.1 Results'!I25="","","Name: "&amp;'MT 4.1 Results'!B25&amp;"   Class: "&amp;'MT 4.1 Results'!$B$3&amp;"   Date: "&amp;TEXT('MT 4.1 Results'!$B$5,"DD/MM/YY"))</f>
        <v/>
      </c>
    </row>
    <row r="103">
      <c r="A103">
        <f>IF('MT 4.1 Results'!I24="","","Total: "&amp;'MT 4.1 Results'!G24&amp;"/22 ("&amp;TEXT('MT 4.1 Results'!H24,"0%")&amp;")   Overall: "&amp;'MT 4.1 Results'!I24)</f>
        <v/>
      </c>
      <c r="K103">
        <f>IF('MT 4.1 Results'!I25="","","Total: "&amp;'MT 4.1 Results'!G25&amp;"/22 ("&amp;TEXT('MT 4.1 Results'!H25,"0%")&amp;")   Overall: "&amp;'MT 4.1 Results'!I25)</f>
        <v/>
      </c>
    </row>
    <row r="104">
      <c r="A104">
        <f>IF('MT 4.1 Results'!I24="","",IF('MT 4.1 Results'!I24="Green",Parameters!$C$227,IF('MT 4.1 Results'!I24="Yellow",Parameters!$C$226,Parameters!$C$225)))</f>
        <v/>
      </c>
      <c r="K104">
        <f>IF('MT 4.1 Results'!I25="","",IF('MT 4.1 Results'!I25="Green",Parameters!$C$227,IF('MT 4.1 Results'!I25="Yellow",Parameters!$C$226,Parameters!$C$225)))</f>
        <v/>
      </c>
    </row>
    <row r="106">
      <c r="A106">
        <f>IF('MT 4.1 Results'!I24="","","Breakdown:")</f>
        <v/>
      </c>
      <c r="K106">
        <f>IF('MT 4.1 Results'!I25="","","Breakdown:")</f>
        <v/>
      </c>
    </row>
    <row r="107">
      <c r="A107">
        <f>IF('MT 4.1 Results'!I24="","","Q1 Misleading bar chart (truncated axis): "&amp;'MT 4.1 Results'!C24&amp;"/6")</f>
        <v/>
      </c>
      <c r="K107">
        <f>IF('MT 4.1 Results'!I25="","","Q1 Misleading bar chart (truncated axis): "&amp;'MT 4.1 Results'!C25&amp;"/6")</f>
        <v/>
      </c>
    </row>
    <row r="108">
      <c r="A108">
        <f>IF('MT 4.1 Results'!I24="","","Q2 Cherry-picked time window (house prices): "&amp;'MT 4.1 Results'!D24&amp;"/6")</f>
        <v/>
      </c>
      <c r="K108">
        <f>IF('MT 4.1 Results'!I25="","","Q2 Cherry-picked time window (house prices): "&amp;'MT 4.1 Results'!D25&amp;"/6")</f>
        <v/>
      </c>
    </row>
    <row r="109">
      <c r="A109">
        <f>IF('MT 4.1 Results'!I24="","","Q3 Convenience sampling &amp; a better alternative: "&amp;'MT 4.1 Results'!E24&amp;"/5")</f>
        <v/>
      </c>
      <c r="K109">
        <f>IF('MT 4.1 Results'!I25="","","Q3 Convenience sampling &amp; a better alternative: "&amp;'MT 4.1 Results'!E25&amp;"/5")</f>
        <v/>
      </c>
    </row>
    <row r="110">
      <c r="A110">
        <f>IF('MT 4.1 Results'!I24="","","Q4 Mean vs median in an advertising claim: "&amp;'MT 4.1 Results'!F24&amp;"/5")</f>
        <v/>
      </c>
      <c r="K110">
        <f>IF('MT 4.1 Results'!I25="","","Q4 Mean vs median in an advertising claim: "&amp;'MT 4.1 Results'!F25&amp;"/5")</f>
        <v/>
      </c>
    </row>
    <row r="111">
      <c r="A111">
        <f>IF(OR('MT 4.1 Results'!I24="",'MT 4.1 Results'!J24=""),"",'MT 4.1 Results'!J24)</f>
        <v/>
      </c>
      <c r="K111">
        <f>IF(OR('MT 4.1 Results'!I25="",'MT 4.1 Results'!J25=""),"",'MT 4.1 Results'!J25)</f>
        <v/>
      </c>
    </row>
    <row r="113">
      <c r="A113">
        <f>IF('MT 4.1 Results'!I24="","","Comments:")</f>
        <v/>
      </c>
      <c r="K113">
        <f>IF('MT 4.1 Results'!I25="","","Comments:")</f>
        <v/>
      </c>
    </row>
    <row r="117">
      <c r="A117">
        <f>IF('MT 4.1 Results'!I26="","","Mini Test 4.1 — Critical Analysis of Data &amp; Models")</f>
        <v/>
      </c>
      <c r="K117">
        <f>IF('MT 4.1 Results'!I27="","","Mini Test 4.1 — Critical Analysis of Data &amp; Models")</f>
        <v/>
      </c>
    </row>
    <row r="118">
      <c r="A118">
        <f>IF('MT 4.1 Results'!I26="","","Name: "&amp;'MT 4.1 Results'!B26&amp;"   Class: "&amp;'MT 4.1 Results'!$B$3&amp;"   Date: "&amp;TEXT('MT 4.1 Results'!$B$5,"DD/MM/YY"))</f>
        <v/>
      </c>
      <c r="K118">
        <f>IF('MT 4.1 Results'!I27="","","Name: "&amp;'MT 4.1 Results'!B27&amp;"   Class: "&amp;'MT 4.1 Results'!$B$3&amp;"   Date: "&amp;TEXT('MT 4.1 Results'!$B$5,"DD/MM/YY"))</f>
        <v/>
      </c>
    </row>
    <row r="119">
      <c r="A119">
        <f>IF('MT 4.1 Results'!I26="","","Total: "&amp;'MT 4.1 Results'!G26&amp;"/22 ("&amp;TEXT('MT 4.1 Results'!H26,"0%")&amp;")   Overall: "&amp;'MT 4.1 Results'!I26)</f>
        <v/>
      </c>
      <c r="K119">
        <f>IF('MT 4.1 Results'!I27="","","Total: "&amp;'MT 4.1 Results'!G27&amp;"/22 ("&amp;TEXT('MT 4.1 Results'!H27,"0%")&amp;")   Overall: "&amp;'MT 4.1 Results'!I27)</f>
        <v/>
      </c>
    </row>
    <row r="120">
      <c r="A120">
        <f>IF('MT 4.1 Results'!I26="","",IF('MT 4.1 Results'!I26="Green",Parameters!$C$227,IF('MT 4.1 Results'!I26="Yellow",Parameters!$C$226,Parameters!$C$225)))</f>
        <v/>
      </c>
      <c r="K120">
        <f>IF('MT 4.1 Results'!I27="","",IF('MT 4.1 Results'!I27="Green",Parameters!$C$227,IF('MT 4.1 Results'!I27="Yellow",Parameters!$C$226,Parameters!$C$225)))</f>
        <v/>
      </c>
    </row>
    <row r="122">
      <c r="A122">
        <f>IF('MT 4.1 Results'!I26="","","Breakdown:")</f>
        <v/>
      </c>
      <c r="K122">
        <f>IF('MT 4.1 Results'!I27="","","Breakdown:")</f>
        <v/>
      </c>
    </row>
    <row r="123">
      <c r="A123">
        <f>IF('MT 4.1 Results'!I26="","","Q1 Misleading bar chart (truncated axis): "&amp;'MT 4.1 Results'!C26&amp;"/6")</f>
        <v/>
      </c>
      <c r="K123">
        <f>IF('MT 4.1 Results'!I27="","","Q1 Misleading bar chart (truncated axis): "&amp;'MT 4.1 Results'!C27&amp;"/6")</f>
        <v/>
      </c>
    </row>
    <row r="124">
      <c r="A124">
        <f>IF('MT 4.1 Results'!I26="","","Q2 Cherry-picked time window (house prices): "&amp;'MT 4.1 Results'!D26&amp;"/6")</f>
        <v/>
      </c>
      <c r="K124">
        <f>IF('MT 4.1 Results'!I27="","","Q2 Cherry-picked time window (house prices): "&amp;'MT 4.1 Results'!D27&amp;"/6")</f>
        <v/>
      </c>
    </row>
    <row r="125">
      <c r="A125">
        <f>IF('MT 4.1 Results'!I26="","","Q3 Convenience sampling &amp; a better alternative: "&amp;'MT 4.1 Results'!E26&amp;"/5")</f>
        <v/>
      </c>
      <c r="K125">
        <f>IF('MT 4.1 Results'!I27="","","Q3 Convenience sampling &amp; a better alternative: "&amp;'MT 4.1 Results'!E27&amp;"/5")</f>
        <v/>
      </c>
    </row>
    <row r="126">
      <c r="A126">
        <f>IF('MT 4.1 Results'!I26="","","Q4 Mean vs median in an advertising claim: "&amp;'MT 4.1 Results'!F26&amp;"/5")</f>
        <v/>
      </c>
      <c r="K126">
        <f>IF('MT 4.1 Results'!I27="","","Q4 Mean vs median in an advertising claim: "&amp;'MT 4.1 Results'!F27&amp;"/5")</f>
        <v/>
      </c>
    </row>
    <row r="127">
      <c r="A127">
        <f>IF(OR('MT 4.1 Results'!I26="",'MT 4.1 Results'!J26=""),"",'MT 4.1 Results'!J26)</f>
        <v/>
      </c>
      <c r="K127">
        <f>IF(OR('MT 4.1 Results'!I27="",'MT 4.1 Results'!J27=""),"",'MT 4.1 Results'!J27)</f>
        <v/>
      </c>
    </row>
    <row r="129">
      <c r="A129">
        <f>IF('MT 4.1 Results'!I26="","","Comments:")</f>
        <v/>
      </c>
      <c r="K129">
        <f>IF('MT 4.1 Results'!I27="","","Comments:")</f>
        <v/>
      </c>
    </row>
    <row r="133">
      <c r="A133">
        <f>IF('MT 4.1 Results'!I28="","","Mini Test 4.1 — Critical Analysis of Data &amp; Models")</f>
        <v/>
      </c>
      <c r="K133">
        <f>IF('MT 4.1 Results'!I29="","","Mini Test 4.1 — Critical Analysis of Data &amp; Models")</f>
        <v/>
      </c>
    </row>
    <row r="134">
      <c r="A134">
        <f>IF('MT 4.1 Results'!I28="","","Name: "&amp;'MT 4.1 Results'!B28&amp;"   Class: "&amp;'MT 4.1 Results'!$B$3&amp;"   Date: "&amp;TEXT('MT 4.1 Results'!$B$5,"DD/MM/YY"))</f>
        <v/>
      </c>
      <c r="K134">
        <f>IF('MT 4.1 Results'!I29="","","Name: "&amp;'MT 4.1 Results'!B29&amp;"   Class: "&amp;'MT 4.1 Results'!$B$3&amp;"   Date: "&amp;TEXT('MT 4.1 Results'!$B$5,"DD/MM/YY"))</f>
        <v/>
      </c>
    </row>
    <row r="135">
      <c r="A135">
        <f>IF('MT 4.1 Results'!I28="","","Total: "&amp;'MT 4.1 Results'!G28&amp;"/22 ("&amp;TEXT('MT 4.1 Results'!H28,"0%")&amp;")   Overall: "&amp;'MT 4.1 Results'!I28)</f>
        <v/>
      </c>
      <c r="K135">
        <f>IF('MT 4.1 Results'!I29="","","Total: "&amp;'MT 4.1 Results'!G29&amp;"/22 ("&amp;TEXT('MT 4.1 Results'!H29,"0%")&amp;")   Overall: "&amp;'MT 4.1 Results'!I29)</f>
        <v/>
      </c>
    </row>
    <row r="136">
      <c r="A136">
        <f>IF('MT 4.1 Results'!I28="","",IF('MT 4.1 Results'!I28="Green",Parameters!$C$227,IF('MT 4.1 Results'!I28="Yellow",Parameters!$C$226,Parameters!$C$225)))</f>
        <v/>
      </c>
      <c r="K136">
        <f>IF('MT 4.1 Results'!I29="","",IF('MT 4.1 Results'!I29="Green",Parameters!$C$227,IF('MT 4.1 Results'!I29="Yellow",Parameters!$C$226,Parameters!$C$225)))</f>
        <v/>
      </c>
    </row>
    <row r="138">
      <c r="A138">
        <f>IF('MT 4.1 Results'!I28="","","Breakdown:")</f>
        <v/>
      </c>
      <c r="K138">
        <f>IF('MT 4.1 Results'!I29="","","Breakdown:")</f>
        <v/>
      </c>
    </row>
    <row r="139">
      <c r="A139">
        <f>IF('MT 4.1 Results'!I28="","","Q1 Misleading bar chart (truncated axis): "&amp;'MT 4.1 Results'!C28&amp;"/6")</f>
        <v/>
      </c>
      <c r="K139">
        <f>IF('MT 4.1 Results'!I29="","","Q1 Misleading bar chart (truncated axis): "&amp;'MT 4.1 Results'!C29&amp;"/6")</f>
        <v/>
      </c>
    </row>
    <row r="140">
      <c r="A140">
        <f>IF('MT 4.1 Results'!I28="","","Q2 Cherry-picked time window (house prices): "&amp;'MT 4.1 Results'!D28&amp;"/6")</f>
        <v/>
      </c>
      <c r="K140">
        <f>IF('MT 4.1 Results'!I29="","","Q2 Cherry-picked time window (house prices): "&amp;'MT 4.1 Results'!D29&amp;"/6")</f>
        <v/>
      </c>
    </row>
    <row r="141">
      <c r="A141">
        <f>IF('MT 4.1 Results'!I28="","","Q3 Convenience sampling &amp; a better alternative: "&amp;'MT 4.1 Results'!E28&amp;"/5")</f>
        <v/>
      </c>
      <c r="K141">
        <f>IF('MT 4.1 Results'!I29="","","Q3 Convenience sampling &amp; a better alternative: "&amp;'MT 4.1 Results'!E29&amp;"/5")</f>
        <v/>
      </c>
    </row>
    <row r="142">
      <c r="A142">
        <f>IF('MT 4.1 Results'!I28="","","Q4 Mean vs median in an advertising claim: "&amp;'MT 4.1 Results'!F28&amp;"/5")</f>
        <v/>
      </c>
      <c r="K142">
        <f>IF('MT 4.1 Results'!I29="","","Q4 Mean vs median in an advertising claim: "&amp;'MT 4.1 Results'!F29&amp;"/5")</f>
        <v/>
      </c>
    </row>
    <row r="143">
      <c r="A143">
        <f>IF(OR('MT 4.1 Results'!I28="",'MT 4.1 Results'!J28=""),"",'MT 4.1 Results'!J28)</f>
        <v/>
      </c>
      <c r="K143">
        <f>IF(OR('MT 4.1 Results'!I29="",'MT 4.1 Results'!J29=""),"",'MT 4.1 Results'!J29)</f>
        <v/>
      </c>
    </row>
    <row r="145">
      <c r="A145">
        <f>IF('MT 4.1 Results'!I28="","","Comments:")</f>
        <v/>
      </c>
      <c r="K145">
        <f>IF('MT 4.1 Results'!I29="","","Comments:")</f>
        <v/>
      </c>
    </row>
    <row r="149">
      <c r="A149">
        <f>IF('MT 4.1 Results'!I30="","","Mini Test 4.1 — Critical Analysis of Data &amp; Models")</f>
        <v/>
      </c>
      <c r="K149">
        <f>IF('MT 4.1 Results'!I31="","","Mini Test 4.1 — Critical Analysis of Data &amp; Models")</f>
        <v/>
      </c>
    </row>
    <row r="150">
      <c r="A150">
        <f>IF('MT 4.1 Results'!I30="","","Name: "&amp;'MT 4.1 Results'!B30&amp;"   Class: "&amp;'MT 4.1 Results'!$B$3&amp;"   Date: "&amp;TEXT('MT 4.1 Results'!$B$5,"DD/MM/YY"))</f>
        <v/>
      </c>
      <c r="K150">
        <f>IF('MT 4.1 Results'!I31="","","Name: "&amp;'MT 4.1 Results'!B31&amp;"   Class: "&amp;'MT 4.1 Results'!$B$3&amp;"   Date: "&amp;TEXT('MT 4.1 Results'!$B$5,"DD/MM/YY"))</f>
        <v/>
      </c>
    </row>
    <row r="151">
      <c r="A151">
        <f>IF('MT 4.1 Results'!I30="","","Total: "&amp;'MT 4.1 Results'!G30&amp;"/22 ("&amp;TEXT('MT 4.1 Results'!H30,"0%")&amp;")   Overall: "&amp;'MT 4.1 Results'!I30)</f>
        <v/>
      </c>
      <c r="K151">
        <f>IF('MT 4.1 Results'!I31="","","Total: "&amp;'MT 4.1 Results'!G31&amp;"/22 ("&amp;TEXT('MT 4.1 Results'!H31,"0%")&amp;")   Overall: "&amp;'MT 4.1 Results'!I31)</f>
        <v/>
      </c>
    </row>
    <row r="152">
      <c r="A152">
        <f>IF('MT 4.1 Results'!I30="","",IF('MT 4.1 Results'!I30="Green",Parameters!$C$227,IF('MT 4.1 Results'!I30="Yellow",Parameters!$C$226,Parameters!$C$225)))</f>
        <v/>
      </c>
      <c r="K152">
        <f>IF('MT 4.1 Results'!I31="","",IF('MT 4.1 Results'!I31="Green",Parameters!$C$227,IF('MT 4.1 Results'!I31="Yellow",Parameters!$C$226,Parameters!$C$225)))</f>
        <v/>
      </c>
    </row>
    <row r="154">
      <c r="A154">
        <f>IF('MT 4.1 Results'!I30="","","Breakdown:")</f>
        <v/>
      </c>
      <c r="K154">
        <f>IF('MT 4.1 Results'!I31="","","Breakdown:")</f>
        <v/>
      </c>
    </row>
    <row r="155">
      <c r="A155">
        <f>IF('MT 4.1 Results'!I30="","","Q1 Misleading bar chart (truncated axis): "&amp;'MT 4.1 Results'!C30&amp;"/6")</f>
        <v/>
      </c>
      <c r="K155">
        <f>IF('MT 4.1 Results'!I31="","","Q1 Misleading bar chart (truncated axis): "&amp;'MT 4.1 Results'!C31&amp;"/6")</f>
        <v/>
      </c>
    </row>
    <row r="156">
      <c r="A156">
        <f>IF('MT 4.1 Results'!I30="","","Q2 Cherry-picked time window (house prices): "&amp;'MT 4.1 Results'!D30&amp;"/6")</f>
        <v/>
      </c>
      <c r="K156">
        <f>IF('MT 4.1 Results'!I31="","","Q2 Cherry-picked time window (house prices): "&amp;'MT 4.1 Results'!D31&amp;"/6")</f>
        <v/>
      </c>
    </row>
    <row r="157">
      <c r="A157">
        <f>IF('MT 4.1 Results'!I30="","","Q3 Convenience sampling &amp; a better alternative: "&amp;'MT 4.1 Results'!E30&amp;"/5")</f>
        <v/>
      </c>
      <c r="K157">
        <f>IF('MT 4.1 Results'!I31="","","Q3 Convenience sampling &amp; a better alternative: "&amp;'MT 4.1 Results'!E31&amp;"/5")</f>
        <v/>
      </c>
    </row>
    <row r="158">
      <c r="A158">
        <f>IF('MT 4.1 Results'!I30="","","Q4 Mean vs median in an advertising claim: "&amp;'MT 4.1 Results'!F30&amp;"/5")</f>
        <v/>
      </c>
      <c r="K158">
        <f>IF('MT 4.1 Results'!I31="","","Q4 Mean vs median in an advertising claim: "&amp;'MT 4.1 Results'!F31&amp;"/5")</f>
        <v/>
      </c>
    </row>
    <row r="159">
      <c r="A159">
        <f>IF(OR('MT 4.1 Results'!I30="",'MT 4.1 Results'!J30=""),"",'MT 4.1 Results'!J30)</f>
        <v/>
      </c>
      <c r="K159">
        <f>IF(OR('MT 4.1 Results'!I31="",'MT 4.1 Results'!J31=""),"",'MT 4.1 Results'!J31)</f>
        <v/>
      </c>
    </row>
    <row r="161">
      <c r="A161">
        <f>IF('MT 4.1 Results'!I30="","","Comments:")</f>
        <v/>
      </c>
      <c r="K161">
        <f>IF('MT 4.1 Results'!I31="","","Comments:")</f>
        <v/>
      </c>
    </row>
    <row r="165">
      <c r="A165">
        <f>IF('MT 4.1 Results'!I32="","","Mini Test 4.1 — Critical Analysis of Data &amp; Models")</f>
        <v/>
      </c>
      <c r="K165">
        <f>IF('MT 4.1 Results'!I33="","","Mini Test 4.1 — Critical Analysis of Data &amp; Models")</f>
        <v/>
      </c>
    </row>
    <row r="166">
      <c r="A166">
        <f>IF('MT 4.1 Results'!I32="","","Name: "&amp;'MT 4.1 Results'!B32&amp;"   Class: "&amp;'MT 4.1 Results'!$B$3&amp;"   Date: "&amp;TEXT('MT 4.1 Results'!$B$5,"DD/MM/YY"))</f>
        <v/>
      </c>
      <c r="K166">
        <f>IF('MT 4.1 Results'!I33="","","Name: "&amp;'MT 4.1 Results'!B33&amp;"   Class: "&amp;'MT 4.1 Results'!$B$3&amp;"   Date: "&amp;TEXT('MT 4.1 Results'!$B$5,"DD/MM/YY"))</f>
        <v/>
      </c>
    </row>
    <row r="167">
      <c r="A167">
        <f>IF('MT 4.1 Results'!I32="","","Total: "&amp;'MT 4.1 Results'!G32&amp;"/22 ("&amp;TEXT('MT 4.1 Results'!H32,"0%")&amp;")   Overall: "&amp;'MT 4.1 Results'!I32)</f>
        <v/>
      </c>
      <c r="K167">
        <f>IF('MT 4.1 Results'!I33="","","Total: "&amp;'MT 4.1 Results'!G33&amp;"/22 ("&amp;TEXT('MT 4.1 Results'!H33,"0%")&amp;")   Overall: "&amp;'MT 4.1 Results'!I33)</f>
        <v/>
      </c>
    </row>
    <row r="168">
      <c r="A168">
        <f>IF('MT 4.1 Results'!I32="","",IF('MT 4.1 Results'!I32="Green",Parameters!$C$227,IF('MT 4.1 Results'!I32="Yellow",Parameters!$C$226,Parameters!$C$225)))</f>
        <v/>
      </c>
      <c r="K168">
        <f>IF('MT 4.1 Results'!I33="","",IF('MT 4.1 Results'!I33="Green",Parameters!$C$227,IF('MT 4.1 Results'!I33="Yellow",Parameters!$C$226,Parameters!$C$225)))</f>
        <v/>
      </c>
    </row>
    <row r="170">
      <c r="A170">
        <f>IF('MT 4.1 Results'!I32="","","Breakdown:")</f>
        <v/>
      </c>
      <c r="K170">
        <f>IF('MT 4.1 Results'!I33="","","Breakdown:")</f>
        <v/>
      </c>
    </row>
    <row r="171">
      <c r="A171">
        <f>IF('MT 4.1 Results'!I32="","","Q1 Misleading bar chart (truncated axis): "&amp;'MT 4.1 Results'!C32&amp;"/6")</f>
        <v/>
      </c>
      <c r="K171">
        <f>IF('MT 4.1 Results'!I33="","","Q1 Misleading bar chart (truncated axis): "&amp;'MT 4.1 Results'!C33&amp;"/6")</f>
        <v/>
      </c>
    </row>
    <row r="172">
      <c r="A172">
        <f>IF('MT 4.1 Results'!I32="","","Q2 Cherry-picked time window (house prices): "&amp;'MT 4.1 Results'!D32&amp;"/6")</f>
        <v/>
      </c>
      <c r="K172">
        <f>IF('MT 4.1 Results'!I33="","","Q2 Cherry-picked time window (house prices): "&amp;'MT 4.1 Results'!D33&amp;"/6")</f>
        <v/>
      </c>
    </row>
    <row r="173">
      <c r="A173">
        <f>IF('MT 4.1 Results'!I32="","","Q3 Convenience sampling &amp; a better alternative: "&amp;'MT 4.1 Results'!E32&amp;"/5")</f>
        <v/>
      </c>
      <c r="K173">
        <f>IF('MT 4.1 Results'!I33="","","Q3 Convenience sampling &amp; a better alternative: "&amp;'MT 4.1 Results'!E33&amp;"/5")</f>
        <v/>
      </c>
    </row>
    <row r="174">
      <c r="A174">
        <f>IF('MT 4.1 Results'!I32="","","Q4 Mean vs median in an advertising claim: "&amp;'MT 4.1 Results'!F32&amp;"/5")</f>
        <v/>
      </c>
      <c r="K174">
        <f>IF('MT 4.1 Results'!I33="","","Q4 Mean vs median in an advertising claim: "&amp;'MT 4.1 Results'!F33&amp;"/5")</f>
        <v/>
      </c>
    </row>
    <row r="175">
      <c r="A175">
        <f>IF(OR('MT 4.1 Results'!I32="",'MT 4.1 Results'!J32=""),"",'MT 4.1 Results'!J32)</f>
        <v/>
      </c>
      <c r="K175">
        <f>IF(OR('MT 4.1 Results'!I33="",'MT 4.1 Results'!J33=""),"",'MT 4.1 Results'!J33)</f>
        <v/>
      </c>
    </row>
    <row r="177">
      <c r="A177">
        <f>IF('MT 4.1 Results'!I32="","","Comments:")</f>
        <v/>
      </c>
      <c r="K177">
        <f>IF('MT 4.1 Results'!I33="","","Comments:")</f>
        <v/>
      </c>
    </row>
    <row r="181">
      <c r="A181">
        <f>IF('MT 4.1 Results'!I34="","","Mini Test 4.1 — Critical Analysis of Data &amp; Models")</f>
        <v/>
      </c>
      <c r="K181">
        <f>IF('MT 4.1 Results'!I35="","","Mini Test 4.1 — Critical Analysis of Data &amp; Models")</f>
        <v/>
      </c>
    </row>
    <row r="182">
      <c r="A182">
        <f>IF('MT 4.1 Results'!I34="","","Name: "&amp;'MT 4.1 Results'!B34&amp;"   Class: "&amp;'MT 4.1 Results'!$B$3&amp;"   Date: "&amp;TEXT('MT 4.1 Results'!$B$5,"DD/MM/YY"))</f>
        <v/>
      </c>
      <c r="K182">
        <f>IF('MT 4.1 Results'!I35="","","Name: "&amp;'MT 4.1 Results'!B35&amp;"   Class: "&amp;'MT 4.1 Results'!$B$3&amp;"   Date: "&amp;TEXT('MT 4.1 Results'!$B$5,"DD/MM/YY"))</f>
        <v/>
      </c>
    </row>
    <row r="183">
      <c r="A183">
        <f>IF('MT 4.1 Results'!I34="","","Total: "&amp;'MT 4.1 Results'!G34&amp;"/22 ("&amp;TEXT('MT 4.1 Results'!H34,"0%")&amp;")   Overall: "&amp;'MT 4.1 Results'!I34)</f>
        <v/>
      </c>
      <c r="K183">
        <f>IF('MT 4.1 Results'!I35="","","Total: "&amp;'MT 4.1 Results'!G35&amp;"/22 ("&amp;TEXT('MT 4.1 Results'!H35,"0%")&amp;")   Overall: "&amp;'MT 4.1 Results'!I35)</f>
        <v/>
      </c>
    </row>
    <row r="184">
      <c r="A184">
        <f>IF('MT 4.1 Results'!I34="","",IF('MT 4.1 Results'!I34="Green",Parameters!$C$227,IF('MT 4.1 Results'!I34="Yellow",Parameters!$C$226,Parameters!$C$225)))</f>
        <v/>
      </c>
      <c r="K184">
        <f>IF('MT 4.1 Results'!I35="","",IF('MT 4.1 Results'!I35="Green",Parameters!$C$227,IF('MT 4.1 Results'!I35="Yellow",Parameters!$C$226,Parameters!$C$225)))</f>
        <v/>
      </c>
    </row>
    <row r="186">
      <c r="A186">
        <f>IF('MT 4.1 Results'!I34="","","Breakdown:")</f>
        <v/>
      </c>
      <c r="K186">
        <f>IF('MT 4.1 Results'!I35="","","Breakdown:")</f>
        <v/>
      </c>
    </row>
    <row r="187">
      <c r="A187">
        <f>IF('MT 4.1 Results'!I34="","","Q1 Misleading bar chart (truncated axis): "&amp;'MT 4.1 Results'!C34&amp;"/6")</f>
        <v/>
      </c>
      <c r="K187">
        <f>IF('MT 4.1 Results'!I35="","","Q1 Misleading bar chart (truncated axis): "&amp;'MT 4.1 Results'!C35&amp;"/6")</f>
        <v/>
      </c>
    </row>
    <row r="188">
      <c r="A188">
        <f>IF('MT 4.1 Results'!I34="","","Q2 Cherry-picked time window (house prices): "&amp;'MT 4.1 Results'!D34&amp;"/6")</f>
        <v/>
      </c>
      <c r="K188">
        <f>IF('MT 4.1 Results'!I35="","","Q2 Cherry-picked time window (house prices): "&amp;'MT 4.1 Results'!D35&amp;"/6")</f>
        <v/>
      </c>
    </row>
    <row r="189">
      <c r="A189">
        <f>IF('MT 4.1 Results'!I34="","","Q3 Convenience sampling &amp; a better alternative: "&amp;'MT 4.1 Results'!E34&amp;"/5")</f>
        <v/>
      </c>
      <c r="K189">
        <f>IF('MT 4.1 Results'!I35="","","Q3 Convenience sampling &amp; a better alternative: "&amp;'MT 4.1 Results'!E35&amp;"/5")</f>
        <v/>
      </c>
    </row>
    <row r="190">
      <c r="A190">
        <f>IF('MT 4.1 Results'!I34="","","Q4 Mean vs median in an advertising claim: "&amp;'MT 4.1 Results'!F34&amp;"/5")</f>
        <v/>
      </c>
      <c r="K190">
        <f>IF('MT 4.1 Results'!I35="","","Q4 Mean vs median in an advertising claim: "&amp;'MT 4.1 Results'!F35&amp;"/5")</f>
        <v/>
      </c>
    </row>
    <row r="191">
      <c r="A191">
        <f>IF(OR('MT 4.1 Results'!I34="",'MT 4.1 Results'!J34=""),"",'MT 4.1 Results'!J34)</f>
        <v/>
      </c>
      <c r="K191">
        <f>IF(OR('MT 4.1 Results'!I35="",'MT 4.1 Results'!J35=""),"",'MT 4.1 Results'!J35)</f>
        <v/>
      </c>
    </row>
    <row r="193">
      <c r="A193">
        <f>IF('MT 4.1 Results'!I34="","","Comments:")</f>
        <v/>
      </c>
      <c r="K193">
        <f>IF('MT 4.1 Results'!I35="","","Comments:")</f>
        <v/>
      </c>
    </row>
    <row r="197">
      <c r="A197">
        <f>IF('MT 4.1 Results'!I36="","","Mini Test 4.1 — Critical Analysis of Data &amp; Models")</f>
        <v/>
      </c>
      <c r="K197">
        <f>IF('MT 4.1 Results'!I37="","","Mini Test 4.1 — Critical Analysis of Data &amp; Models")</f>
        <v/>
      </c>
    </row>
    <row r="198">
      <c r="A198">
        <f>IF('MT 4.1 Results'!I36="","","Name: "&amp;'MT 4.1 Results'!B36&amp;"   Class: "&amp;'MT 4.1 Results'!$B$3&amp;"   Date: "&amp;TEXT('MT 4.1 Results'!$B$5,"DD/MM/YY"))</f>
        <v/>
      </c>
      <c r="K198">
        <f>IF('MT 4.1 Results'!I37="","","Name: "&amp;'MT 4.1 Results'!B37&amp;"   Class: "&amp;'MT 4.1 Results'!$B$3&amp;"   Date: "&amp;TEXT('MT 4.1 Results'!$B$5,"DD/MM/YY"))</f>
        <v/>
      </c>
    </row>
    <row r="199">
      <c r="A199">
        <f>IF('MT 4.1 Results'!I36="","","Total: "&amp;'MT 4.1 Results'!G36&amp;"/22 ("&amp;TEXT('MT 4.1 Results'!H36,"0%")&amp;")   Overall: "&amp;'MT 4.1 Results'!I36)</f>
        <v/>
      </c>
      <c r="K199">
        <f>IF('MT 4.1 Results'!I37="","","Total: "&amp;'MT 4.1 Results'!G37&amp;"/22 ("&amp;TEXT('MT 4.1 Results'!H37,"0%")&amp;")   Overall: "&amp;'MT 4.1 Results'!I37)</f>
        <v/>
      </c>
    </row>
    <row r="200">
      <c r="A200">
        <f>IF('MT 4.1 Results'!I36="","",IF('MT 4.1 Results'!I36="Green",Parameters!$C$227,IF('MT 4.1 Results'!I36="Yellow",Parameters!$C$226,Parameters!$C$225)))</f>
        <v/>
      </c>
      <c r="K200">
        <f>IF('MT 4.1 Results'!I37="","",IF('MT 4.1 Results'!I37="Green",Parameters!$C$227,IF('MT 4.1 Results'!I37="Yellow",Parameters!$C$226,Parameters!$C$225)))</f>
        <v/>
      </c>
    </row>
    <row r="202">
      <c r="A202">
        <f>IF('MT 4.1 Results'!I36="","","Breakdown:")</f>
        <v/>
      </c>
      <c r="K202">
        <f>IF('MT 4.1 Results'!I37="","","Breakdown:")</f>
        <v/>
      </c>
    </row>
    <row r="203">
      <c r="A203">
        <f>IF('MT 4.1 Results'!I36="","","Q1 Misleading bar chart (truncated axis): "&amp;'MT 4.1 Results'!C36&amp;"/6")</f>
        <v/>
      </c>
      <c r="K203">
        <f>IF('MT 4.1 Results'!I37="","","Q1 Misleading bar chart (truncated axis): "&amp;'MT 4.1 Results'!C37&amp;"/6")</f>
        <v/>
      </c>
    </row>
    <row r="204">
      <c r="A204">
        <f>IF('MT 4.1 Results'!I36="","","Q2 Cherry-picked time window (house prices): "&amp;'MT 4.1 Results'!D36&amp;"/6")</f>
        <v/>
      </c>
      <c r="K204">
        <f>IF('MT 4.1 Results'!I37="","","Q2 Cherry-picked time window (house prices): "&amp;'MT 4.1 Results'!D37&amp;"/6")</f>
        <v/>
      </c>
    </row>
    <row r="205">
      <c r="A205">
        <f>IF('MT 4.1 Results'!I36="","","Q3 Convenience sampling &amp; a better alternative: "&amp;'MT 4.1 Results'!E36&amp;"/5")</f>
        <v/>
      </c>
      <c r="K205">
        <f>IF('MT 4.1 Results'!I37="","","Q3 Convenience sampling &amp; a better alternative: "&amp;'MT 4.1 Results'!E37&amp;"/5")</f>
        <v/>
      </c>
    </row>
    <row r="206">
      <c r="A206">
        <f>IF('MT 4.1 Results'!I36="","","Q4 Mean vs median in an advertising claim: "&amp;'MT 4.1 Results'!F36&amp;"/5")</f>
        <v/>
      </c>
      <c r="K206">
        <f>IF('MT 4.1 Results'!I37="","","Q4 Mean vs median in an advertising claim: "&amp;'MT 4.1 Results'!F37&amp;"/5")</f>
        <v/>
      </c>
    </row>
    <row r="207">
      <c r="A207">
        <f>IF(OR('MT 4.1 Results'!I36="",'MT 4.1 Results'!J36=""),"",'MT 4.1 Results'!J36)</f>
        <v/>
      </c>
      <c r="K207">
        <f>IF(OR('MT 4.1 Results'!I37="",'MT 4.1 Results'!J37=""),"",'MT 4.1 Results'!J37)</f>
        <v/>
      </c>
    </row>
    <row r="209">
      <c r="A209">
        <f>IF('MT 4.1 Results'!I36="","","Comments:")</f>
        <v/>
      </c>
      <c r="K209">
        <f>IF('MT 4.1 Results'!I37="","","Comments:")</f>
        <v/>
      </c>
    </row>
    <row r="213">
      <c r="A213">
        <f>IF('MT 4.1 Results'!I38="","","Mini Test 4.1 — Critical Analysis of Data &amp; Models")</f>
        <v/>
      </c>
      <c r="K213">
        <f>IF('MT 4.1 Results'!I39="","","Mini Test 4.1 — Critical Analysis of Data &amp; Models")</f>
        <v/>
      </c>
    </row>
    <row r="214">
      <c r="A214">
        <f>IF('MT 4.1 Results'!I38="","","Name: "&amp;'MT 4.1 Results'!B38&amp;"   Class: "&amp;'MT 4.1 Results'!$B$3&amp;"   Date: "&amp;TEXT('MT 4.1 Results'!$B$5,"DD/MM/YY"))</f>
        <v/>
      </c>
      <c r="K214">
        <f>IF('MT 4.1 Results'!I39="","","Name: "&amp;'MT 4.1 Results'!B39&amp;"   Class: "&amp;'MT 4.1 Results'!$B$3&amp;"   Date: "&amp;TEXT('MT 4.1 Results'!$B$5,"DD/MM/YY"))</f>
        <v/>
      </c>
    </row>
    <row r="215">
      <c r="A215">
        <f>IF('MT 4.1 Results'!I38="","","Total: "&amp;'MT 4.1 Results'!G38&amp;"/22 ("&amp;TEXT('MT 4.1 Results'!H38,"0%")&amp;")   Overall: "&amp;'MT 4.1 Results'!I38)</f>
        <v/>
      </c>
      <c r="K215">
        <f>IF('MT 4.1 Results'!I39="","","Total: "&amp;'MT 4.1 Results'!G39&amp;"/22 ("&amp;TEXT('MT 4.1 Results'!H39,"0%")&amp;")   Overall: "&amp;'MT 4.1 Results'!I39)</f>
        <v/>
      </c>
    </row>
    <row r="216">
      <c r="A216">
        <f>IF('MT 4.1 Results'!I38="","",IF('MT 4.1 Results'!I38="Green",Parameters!$C$227,IF('MT 4.1 Results'!I38="Yellow",Parameters!$C$226,Parameters!$C$225)))</f>
        <v/>
      </c>
      <c r="K216">
        <f>IF('MT 4.1 Results'!I39="","",IF('MT 4.1 Results'!I39="Green",Parameters!$C$227,IF('MT 4.1 Results'!I39="Yellow",Parameters!$C$226,Parameters!$C$225)))</f>
        <v/>
      </c>
    </row>
    <row r="218">
      <c r="A218">
        <f>IF('MT 4.1 Results'!I38="","","Breakdown:")</f>
        <v/>
      </c>
      <c r="K218">
        <f>IF('MT 4.1 Results'!I39="","","Breakdown:")</f>
        <v/>
      </c>
    </row>
    <row r="219">
      <c r="A219">
        <f>IF('MT 4.1 Results'!I38="","","Q1 Misleading bar chart (truncated axis): "&amp;'MT 4.1 Results'!C38&amp;"/6")</f>
        <v/>
      </c>
      <c r="K219">
        <f>IF('MT 4.1 Results'!I39="","","Q1 Misleading bar chart (truncated axis): "&amp;'MT 4.1 Results'!C39&amp;"/6")</f>
        <v/>
      </c>
    </row>
    <row r="220">
      <c r="A220">
        <f>IF('MT 4.1 Results'!I38="","","Q2 Cherry-picked time window (house prices): "&amp;'MT 4.1 Results'!D38&amp;"/6")</f>
        <v/>
      </c>
      <c r="K220">
        <f>IF('MT 4.1 Results'!I39="","","Q2 Cherry-picked time window (house prices): "&amp;'MT 4.1 Results'!D39&amp;"/6")</f>
        <v/>
      </c>
    </row>
    <row r="221">
      <c r="A221">
        <f>IF('MT 4.1 Results'!I38="","","Q3 Convenience sampling &amp; a better alternative: "&amp;'MT 4.1 Results'!E38&amp;"/5")</f>
        <v/>
      </c>
      <c r="K221">
        <f>IF('MT 4.1 Results'!I39="","","Q3 Convenience sampling &amp; a better alternative: "&amp;'MT 4.1 Results'!E39&amp;"/5")</f>
        <v/>
      </c>
    </row>
    <row r="222">
      <c r="A222">
        <f>IF('MT 4.1 Results'!I38="","","Q4 Mean vs median in an advertising claim: "&amp;'MT 4.1 Results'!F38&amp;"/5")</f>
        <v/>
      </c>
      <c r="K222">
        <f>IF('MT 4.1 Results'!I39="","","Q4 Mean vs median in an advertising claim: "&amp;'MT 4.1 Results'!F39&amp;"/5")</f>
        <v/>
      </c>
    </row>
    <row r="223">
      <c r="A223">
        <f>IF(OR('MT 4.1 Results'!I38="",'MT 4.1 Results'!J38=""),"",'MT 4.1 Results'!J38)</f>
        <v/>
      </c>
      <c r="K223">
        <f>IF(OR('MT 4.1 Results'!I39="",'MT 4.1 Results'!J39=""),"",'MT 4.1 Results'!J39)</f>
        <v/>
      </c>
    </row>
    <row r="225">
      <c r="A225">
        <f>IF('MT 4.1 Results'!I38="","","Comments:")</f>
        <v/>
      </c>
      <c r="K225">
        <f>IF('MT 4.1 Results'!I39="","","Comments:")</f>
        <v/>
      </c>
    </row>
    <row r="229">
      <c r="A229">
        <f>IF('MT 4.1 Results'!I40="","","Mini Test 4.1 — Critical Analysis of Data &amp; Models")</f>
        <v/>
      </c>
      <c r="K229">
        <f>IF('MT 4.1 Results'!I41="","","Mini Test 4.1 — Critical Analysis of Data &amp; Models")</f>
        <v/>
      </c>
    </row>
    <row r="230">
      <c r="A230">
        <f>IF('MT 4.1 Results'!I40="","","Name: "&amp;'MT 4.1 Results'!B40&amp;"   Class: "&amp;'MT 4.1 Results'!$B$3&amp;"   Date: "&amp;TEXT('MT 4.1 Results'!$B$5,"DD/MM/YY"))</f>
        <v/>
      </c>
      <c r="K230">
        <f>IF('MT 4.1 Results'!I41="","","Name: "&amp;'MT 4.1 Results'!B41&amp;"   Class: "&amp;'MT 4.1 Results'!$B$3&amp;"   Date: "&amp;TEXT('MT 4.1 Results'!$B$5,"DD/MM/YY"))</f>
        <v/>
      </c>
    </row>
    <row r="231">
      <c r="A231">
        <f>IF('MT 4.1 Results'!I40="","","Total: "&amp;'MT 4.1 Results'!G40&amp;"/22 ("&amp;TEXT('MT 4.1 Results'!H40,"0%")&amp;")   Overall: "&amp;'MT 4.1 Results'!I40)</f>
        <v/>
      </c>
      <c r="K231">
        <f>IF('MT 4.1 Results'!I41="","","Total: "&amp;'MT 4.1 Results'!G41&amp;"/22 ("&amp;TEXT('MT 4.1 Results'!H41,"0%")&amp;")   Overall: "&amp;'MT 4.1 Results'!I41)</f>
        <v/>
      </c>
    </row>
    <row r="232">
      <c r="A232">
        <f>IF('MT 4.1 Results'!I40="","",IF('MT 4.1 Results'!I40="Green",Parameters!$C$227,IF('MT 4.1 Results'!I40="Yellow",Parameters!$C$226,Parameters!$C$225)))</f>
        <v/>
      </c>
      <c r="K232">
        <f>IF('MT 4.1 Results'!I41="","",IF('MT 4.1 Results'!I41="Green",Parameters!$C$227,IF('MT 4.1 Results'!I41="Yellow",Parameters!$C$226,Parameters!$C$225)))</f>
        <v/>
      </c>
    </row>
    <row r="234">
      <c r="A234">
        <f>IF('MT 4.1 Results'!I40="","","Breakdown:")</f>
        <v/>
      </c>
      <c r="K234">
        <f>IF('MT 4.1 Results'!I41="","","Breakdown:")</f>
        <v/>
      </c>
    </row>
    <row r="235">
      <c r="A235">
        <f>IF('MT 4.1 Results'!I40="","","Q1 Misleading bar chart (truncated axis): "&amp;'MT 4.1 Results'!C40&amp;"/6")</f>
        <v/>
      </c>
      <c r="K235">
        <f>IF('MT 4.1 Results'!I41="","","Q1 Misleading bar chart (truncated axis): "&amp;'MT 4.1 Results'!C41&amp;"/6")</f>
        <v/>
      </c>
    </row>
    <row r="236">
      <c r="A236">
        <f>IF('MT 4.1 Results'!I40="","","Q2 Cherry-picked time window (house prices): "&amp;'MT 4.1 Results'!D40&amp;"/6")</f>
        <v/>
      </c>
      <c r="K236">
        <f>IF('MT 4.1 Results'!I41="","","Q2 Cherry-picked time window (house prices): "&amp;'MT 4.1 Results'!D41&amp;"/6")</f>
        <v/>
      </c>
    </row>
    <row r="237">
      <c r="A237">
        <f>IF('MT 4.1 Results'!I40="","","Q3 Convenience sampling &amp; a better alternative: "&amp;'MT 4.1 Results'!E40&amp;"/5")</f>
        <v/>
      </c>
      <c r="K237">
        <f>IF('MT 4.1 Results'!I41="","","Q3 Convenience sampling &amp; a better alternative: "&amp;'MT 4.1 Results'!E41&amp;"/5")</f>
        <v/>
      </c>
    </row>
    <row r="238">
      <c r="A238">
        <f>IF('MT 4.1 Results'!I40="","","Q4 Mean vs median in an advertising claim: "&amp;'MT 4.1 Results'!F40&amp;"/5")</f>
        <v/>
      </c>
      <c r="K238">
        <f>IF('MT 4.1 Results'!I41="","","Q4 Mean vs median in an advertising claim: "&amp;'MT 4.1 Results'!F41&amp;"/5")</f>
        <v/>
      </c>
    </row>
    <row r="239">
      <c r="A239">
        <f>IF(OR('MT 4.1 Results'!I40="",'MT 4.1 Results'!J40=""),"",'MT 4.1 Results'!J40)</f>
        <v/>
      </c>
      <c r="K239">
        <f>IF(OR('MT 4.1 Results'!I41="",'MT 4.1 Results'!J41=""),"",'MT 4.1 Results'!J41)</f>
        <v/>
      </c>
    </row>
    <row r="241">
      <c r="A241">
        <f>IF('MT 4.1 Results'!I40="","","Comments:")</f>
        <v/>
      </c>
      <c r="K241">
        <f>IF('MT 4.1 Results'!I41="","","Comments:")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0" customWidth="1" min="7" max="7"/>
    <col width="8" customWidth="1" min="8" max="8"/>
    <col width="10" customWidth="1" min="9" max="9"/>
    <col width="45" customWidth="1" min="10" max="10"/>
  </cols>
  <sheetData>
    <row r="1">
      <c r="A1" s="11" t="inlineStr">
        <is>
          <t>Mini Test 4.2 — Critical Analysis of Data &amp; Models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Correlation vs causation
(/6)</t>
        </is>
      </c>
      <c r="D9" s="12" t="inlineStr">
        <is>
          <t>Q2
Evaluating survey evidence
(/6)</t>
        </is>
      </c>
      <c r="E9" s="12" t="inlineStr">
        <is>
          <t>Q3
Linear model vs data
(/6)</t>
        </is>
      </c>
      <c r="F9" s="12" t="inlineStr">
        <is>
          <t>Q4
Model assumptions
(/5)</t>
        </is>
      </c>
      <c r="G9" s="12" t="inlineStr">
        <is>
          <t>Total
(/23)</t>
        </is>
      </c>
      <c r="H9" s="12" t="inlineStr">
        <is>
          <t>%</t>
        </is>
      </c>
      <c r="I9" s="12" t="inlineStr">
        <is>
          <t>Overall</t>
        </is>
      </c>
      <c r="J9" s="12" t="inlineStr">
        <is>
          <t>Focus for next steps</t>
        </is>
      </c>
      <c r="K9" s="12" t="inlineStr">
        <is>
          <t>Q1%</t>
        </is>
      </c>
      <c r="L9" s="12" t="inlineStr">
        <is>
          <t>Q2%</t>
        </is>
      </c>
      <c r="M9" s="12" t="inlineStr">
        <is>
          <t>Q3%</t>
        </is>
      </c>
      <c r="N9" s="12" t="inlineStr">
        <is>
          <t>Q4%</t>
        </is>
      </c>
    </row>
    <row r="10">
      <c r="A10" s="3" t="n"/>
      <c r="B10" s="3" t="inlineStr">
        <is>
          <t>Max marks</t>
        </is>
      </c>
      <c r="C10" s="3" t="n">
        <v>6</v>
      </c>
      <c r="D10" s="3" t="n">
        <v>6</v>
      </c>
      <c r="E10" s="3" t="n">
        <v>6</v>
      </c>
      <c r="F10" s="3" t="n">
        <v>5</v>
      </c>
      <c r="G10" s="3" t="n">
        <v>23</v>
      </c>
      <c r="H10" s="3" t="inlineStr">
        <is>
          <t>100%</t>
        </is>
      </c>
      <c r="I10" s="3" t="n"/>
      <c r="J10" s="3" t="n"/>
      <c r="K10" s="3" t="n"/>
      <c r="L10" s="3" t="n"/>
      <c r="M10" s="3" t="n"/>
      <c r="N10" s="3" t="n"/>
    </row>
    <row r="11">
      <c r="A11" s="13" t="n">
        <v>1</v>
      </c>
      <c r="B11" s="13" t="inlineStr">
        <is>
          <t>Example pupil (edit me)</t>
        </is>
      </c>
      <c r="C11" s="13" t="n">
        <v>5</v>
      </c>
      <c r="D11" s="13" t="n">
        <v>5</v>
      </c>
      <c r="E11" s="13" t="n">
        <v>5</v>
      </c>
      <c r="F11" s="13" t="n">
        <v>4</v>
      </c>
      <c r="G11" s="13">
        <f>IF(COUNT(C11:F11)&lt;4,"",SUM(C11:F11))</f>
        <v/>
      </c>
      <c r="H11" s="13">
        <f>IF(COUNT(C11:F11)&lt;4,"",G11/23)</f>
        <v/>
      </c>
      <c r="I11" s="13">
        <f>IF(COUNT(C11:F11)&lt;4,"",IF(H11&gt;=0.8,"Green",IF(H11&gt;=0.5,"Yellow","Red")))</f>
        <v/>
      </c>
      <c r="J11" s="13">
        <f>IF(COUNT(C11:F11)&lt;4,"",IF(I11="Green","Well done! "&amp;Parameters!$C$242,"Revise: "&amp;_xlfn.TEXTJOIN(", ",TRUE(),IF(K11&lt;1,Parameters!$A$233,""),IF(L11&lt;1,Parameters!$A$234,""),IF(M11&lt;1,Parameters!$A$235,""),IF(N11&lt;1,Parameters!$A$236,""))))</f>
        <v/>
      </c>
      <c r="K11" s="13">
        <f>IF(C11="","",C11/6)</f>
        <v/>
      </c>
      <c r="L11" s="13">
        <f>IF(D11="","",D11/6)</f>
        <v/>
      </c>
      <c r="M11" s="13">
        <f>IF(E11="","",E11/6)</f>
        <v/>
      </c>
      <c r="N11" s="13">
        <f>IF(F11="","",F11/5)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3">
        <f>IF(COUNT(C12:F12)&lt;4,"",SUM(C12:F12))</f>
        <v/>
      </c>
      <c r="H12" s="13">
        <f>IF(COUNT(C12:F12)&lt;4,"",G12/23)</f>
        <v/>
      </c>
      <c r="I12" s="13">
        <f>IF(COUNT(C12:F12)&lt;4,"",IF(H12&gt;=0.8,"Green",IF(H12&gt;=0.5,"Yellow","Red")))</f>
        <v/>
      </c>
      <c r="J12" s="13">
        <f>IF(COUNT(C12:F12)&lt;4,"",IF(I12="Green","Well done! "&amp;Parameters!$C$242,"Revise: "&amp;_xlfn.TEXTJOIN(", ",TRUE(),IF(K12&lt;1,Parameters!$A$233,""),IF(L12&lt;1,Parameters!$A$234,""),IF(M12&lt;1,Parameters!$A$235,""),IF(N12&lt;1,Parameters!$A$236,""))))</f>
        <v/>
      </c>
      <c r="K12" s="13">
        <f>IF(C12="","",C12/6)</f>
        <v/>
      </c>
      <c r="L12" s="13">
        <f>IF(D12="","",D12/6)</f>
        <v/>
      </c>
      <c r="M12" s="13">
        <f>IF(E12="","",E12/6)</f>
        <v/>
      </c>
      <c r="N12" s="13">
        <f>IF(F12="","",F12/5)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3">
        <f>IF(COUNT(C13:F13)&lt;4,"",SUM(C13:F13))</f>
        <v/>
      </c>
      <c r="H13" s="13">
        <f>IF(COUNT(C13:F13)&lt;4,"",G13/23)</f>
        <v/>
      </c>
      <c r="I13" s="13">
        <f>IF(COUNT(C13:F13)&lt;4,"",IF(H13&gt;=0.8,"Green",IF(H13&gt;=0.5,"Yellow","Red")))</f>
        <v/>
      </c>
      <c r="J13" s="13">
        <f>IF(COUNT(C13:F13)&lt;4,"",IF(I13="Green","Well done! "&amp;Parameters!$C$242,"Revise: "&amp;_xlfn.TEXTJOIN(", ",TRUE(),IF(K13&lt;1,Parameters!$A$233,""),IF(L13&lt;1,Parameters!$A$234,""),IF(M13&lt;1,Parameters!$A$235,""),IF(N13&lt;1,Parameters!$A$236,""))))</f>
        <v/>
      </c>
      <c r="K13" s="13">
        <f>IF(C13="","",C13/6)</f>
        <v/>
      </c>
      <c r="L13" s="13">
        <f>IF(D13="","",D13/6)</f>
        <v/>
      </c>
      <c r="M13" s="13">
        <f>IF(E13="","",E13/6)</f>
        <v/>
      </c>
      <c r="N13" s="13">
        <f>IF(F13="","",F13/5)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3">
        <f>IF(COUNT(C14:F14)&lt;4,"",SUM(C14:F14))</f>
        <v/>
      </c>
      <c r="H14" s="13">
        <f>IF(COUNT(C14:F14)&lt;4,"",G14/23)</f>
        <v/>
      </c>
      <c r="I14" s="13">
        <f>IF(COUNT(C14:F14)&lt;4,"",IF(H14&gt;=0.8,"Green",IF(H14&gt;=0.5,"Yellow","Red")))</f>
        <v/>
      </c>
      <c r="J14" s="13">
        <f>IF(COUNT(C14:F14)&lt;4,"",IF(I14="Green","Well done! "&amp;Parameters!$C$242,"Revise: "&amp;_xlfn.TEXTJOIN(", ",TRUE(),IF(K14&lt;1,Parameters!$A$233,""),IF(L14&lt;1,Parameters!$A$234,""),IF(M14&lt;1,Parameters!$A$235,""),IF(N14&lt;1,Parameters!$A$236,""))))</f>
        <v/>
      </c>
      <c r="K14" s="13">
        <f>IF(C14="","",C14/6)</f>
        <v/>
      </c>
      <c r="L14" s="13">
        <f>IF(D14="","",D14/6)</f>
        <v/>
      </c>
      <c r="M14" s="13">
        <f>IF(E14="","",E14/6)</f>
        <v/>
      </c>
      <c r="N14" s="13">
        <f>IF(F14="","",F14/5)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3">
        <f>IF(COUNT(C15:F15)&lt;4,"",SUM(C15:F15))</f>
        <v/>
      </c>
      <c r="H15" s="13">
        <f>IF(COUNT(C15:F15)&lt;4,"",G15/23)</f>
        <v/>
      </c>
      <c r="I15" s="13">
        <f>IF(COUNT(C15:F15)&lt;4,"",IF(H15&gt;=0.8,"Green",IF(H15&gt;=0.5,"Yellow","Red")))</f>
        <v/>
      </c>
      <c r="J15" s="13">
        <f>IF(COUNT(C15:F15)&lt;4,"",IF(I15="Green","Well done! "&amp;Parameters!$C$242,"Revise: "&amp;_xlfn.TEXTJOIN(", ",TRUE(),IF(K15&lt;1,Parameters!$A$233,""),IF(L15&lt;1,Parameters!$A$234,""),IF(M15&lt;1,Parameters!$A$235,""),IF(N15&lt;1,Parameters!$A$236,""))))</f>
        <v/>
      </c>
      <c r="K15" s="13">
        <f>IF(C15="","",C15/6)</f>
        <v/>
      </c>
      <c r="L15" s="13">
        <f>IF(D15="","",D15/6)</f>
        <v/>
      </c>
      <c r="M15" s="13">
        <f>IF(E15="","",E15/6)</f>
        <v/>
      </c>
      <c r="N15" s="13">
        <f>IF(F15="","",F15/5)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3">
        <f>IF(COUNT(C16:F16)&lt;4,"",SUM(C16:F16))</f>
        <v/>
      </c>
      <c r="H16" s="13">
        <f>IF(COUNT(C16:F16)&lt;4,"",G16/23)</f>
        <v/>
      </c>
      <c r="I16" s="13">
        <f>IF(COUNT(C16:F16)&lt;4,"",IF(H16&gt;=0.8,"Green",IF(H16&gt;=0.5,"Yellow","Red")))</f>
        <v/>
      </c>
      <c r="J16" s="13">
        <f>IF(COUNT(C16:F16)&lt;4,"",IF(I16="Green","Well done! "&amp;Parameters!$C$242,"Revise: "&amp;_xlfn.TEXTJOIN(", ",TRUE(),IF(K16&lt;1,Parameters!$A$233,""),IF(L16&lt;1,Parameters!$A$234,""),IF(M16&lt;1,Parameters!$A$235,""),IF(N16&lt;1,Parameters!$A$236,""))))</f>
        <v/>
      </c>
      <c r="K16" s="13">
        <f>IF(C16="","",C16/6)</f>
        <v/>
      </c>
      <c r="L16" s="13">
        <f>IF(D16="","",D16/6)</f>
        <v/>
      </c>
      <c r="M16" s="13">
        <f>IF(E16="","",E16/6)</f>
        <v/>
      </c>
      <c r="N16" s="13">
        <f>IF(F16="","",F16/5)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3">
        <f>IF(COUNT(C17:F17)&lt;4,"",SUM(C17:F17))</f>
        <v/>
      </c>
      <c r="H17" s="13">
        <f>IF(COUNT(C17:F17)&lt;4,"",G17/23)</f>
        <v/>
      </c>
      <c r="I17" s="13">
        <f>IF(COUNT(C17:F17)&lt;4,"",IF(H17&gt;=0.8,"Green",IF(H17&gt;=0.5,"Yellow","Red")))</f>
        <v/>
      </c>
      <c r="J17" s="13">
        <f>IF(COUNT(C17:F17)&lt;4,"",IF(I17="Green","Well done! "&amp;Parameters!$C$242,"Revise: "&amp;_xlfn.TEXTJOIN(", ",TRUE(),IF(K17&lt;1,Parameters!$A$233,""),IF(L17&lt;1,Parameters!$A$234,""),IF(M17&lt;1,Parameters!$A$235,""),IF(N17&lt;1,Parameters!$A$236,""))))</f>
        <v/>
      </c>
      <c r="K17" s="13">
        <f>IF(C17="","",C17/6)</f>
        <v/>
      </c>
      <c r="L17" s="13">
        <f>IF(D17="","",D17/6)</f>
        <v/>
      </c>
      <c r="M17" s="13">
        <f>IF(E17="","",E17/6)</f>
        <v/>
      </c>
      <c r="N17" s="13">
        <f>IF(F17="","",F17/5)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3">
        <f>IF(COUNT(C18:F18)&lt;4,"",SUM(C18:F18))</f>
        <v/>
      </c>
      <c r="H18" s="13">
        <f>IF(COUNT(C18:F18)&lt;4,"",G18/23)</f>
        <v/>
      </c>
      <c r="I18" s="13">
        <f>IF(COUNT(C18:F18)&lt;4,"",IF(H18&gt;=0.8,"Green",IF(H18&gt;=0.5,"Yellow","Red")))</f>
        <v/>
      </c>
      <c r="J18" s="13">
        <f>IF(COUNT(C18:F18)&lt;4,"",IF(I18="Green","Well done! "&amp;Parameters!$C$242,"Revise: "&amp;_xlfn.TEXTJOIN(", ",TRUE(),IF(K18&lt;1,Parameters!$A$233,""),IF(L18&lt;1,Parameters!$A$234,""),IF(M18&lt;1,Parameters!$A$235,""),IF(N18&lt;1,Parameters!$A$236,""))))</f>
        <v/>
      </c>
      <c r="K18" s="13">
        <f>IF(C18="","",C18/6)</f>
        <v/>
      </c>
      <c r="L18" s="13">
        <f>IF(D18="","",D18/6)</f>
        <v/>
      </c>
      <c r="M18" s="13">
        <f>IF(E18="","",E18/6)</f>
        <v/>
      </c>
      <c r="N18" s="13">
        <f>IF(F18="","",F18/5)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3">
        <f>IF(COUNT(C19:F19)&lt;4,"",SUM(C19:F19))</f>
        <v/>
      </c>
      <c r="H19" s="13">
        <f>IF(COUNT(C19:F19)&lt;4,"",G19/23)</f>
        <v/>
      </c>
      <c r="I19" s="13">
        <f>IF(COUNT(C19:F19)&lt;4,"",IF(H19&gt;=0.8,"Green",IF(H19&gt;=0.5,"Yellow","Red")))</f>
        <v/>
      </c>
      <c r="J19" s="13">
        <f>IF(COUNT(C19:F19)&lt;4,"",IF(I19="Green","Well done! "&amp;Parameters!$C$242,"Revise: "&amp;_xlfn.TEXTJOIN(", ",TRUE(),IF(K19&lt;1,Parameters!$A$233,""),IF(L19&lt;1,Parameters!$A$234,""),IF(M19&lt;1,Parameters!$A$235,""),IF(N19&lt;1,Parameters!$A$236,""))))</f>
        <v/>
      </c>
      <c r="K19" s="13">
        <f>IF(C19="","",C19/6)</f>
        <v/>
      </c>
      <c r="L19" s="13">
        <f>IF(D19="","",D19/6)</f>
        <v/>
      </c>
      <c r="M19" s="13">
        <f>IF(E19="","",E19/6)</f>
        <v/>
      </c>
      <c r="N19" s="13">
        <f>IF(F19="","",F19/5)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3">
        <f>IF(COUNT(C20:F20)&lt;4,"",SUM(C20:F20))</f>
        <v/>
      </c>
      <c r="H20" s="13">
        <f>IF(COUNT(C20:F20)&lt;4,"",G20/23)</f>
        <v/>
      </c>
      <c r="I20" s="13">
        <f>IF(COUNT(C20:F20)&lt;4,"",IF(H20&gt;=0.8,"Green",IF(H20&gt;=0.5,"Yellow","Red")))</f>
        <v/>
      </c>
      <c r="J20" s="13">
        <f>IF(COUNT(C20:F20)&lt;4,"",IF(I20="Green","Well done! "&amp;Parameters!$C$242,"Revise: "&amp;_xlfn.TEXTJOIN(", ",TRUE(),IF(K20&lt;1,Parameters!$A$233,""),IF(L20&lt;1,Parameters!$A$234,""),IF(M20&lt;1,Parameters!$A$235,""),IF(N20&lt;1,Parameters!$A$236,""))))</f>
        <v/>
      </c>
      <c r="K20" s="13">
        <f>IF(C20="","",C20/6)</f>
        <v/>
      </c>
      <c r="L20" s="13">
        <f>IF(D20="","",D20/6)</f>
        <v/>
      </c>
      <c r="M20" s="13">
        <f>IF(E20="","",E20/6)</f>
        <v/>
      </c>
      <c r="N20" s="13">
        <f>IF(F20="","",F20/5)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3">
        <f>IF(COUNT(C21:F21)&lt;4,"",SUM(C21:F21))</f>
        <v/>
      </c>
      <c r="H21" s="13">
        <f>IF(COUNT(C21:F21)&lt;4,"",G21/23)</f>
        <v/>
      </c>
      <c r="I21" s="13">
        <f>IF(COUNT(C21:F21)&lt;4,"",IF(H21&gt;=0.8,"Green",IF(H21&gt;=0.5,"Yellow","Red")))</f>
        <v/>
      </c>
      <c r="J21" s="13">
        <f>IF(COUNT(C21:F21)&lt;4,"",IF(I21="Green","Well done! "&amp;Parameters!$C$242,"Revise: "&amp;_xlfn.TEXTJOIN(", ",TRUE(),IF(K21&lt;1,Parameters!$A$233,""),IF(L21&lt;1,Parameters!$A$234,""),IF(M21&lt;1,Parameters!$A$235,""),IF(N21&lt;1,Parameters!$A$236,""))))</f>
        <v/>
      </c>
      <c r="K21" s="13">
        <f>IF(C21="","",C21/6)</f>
        <v/>
      </c>
      <c r="L21" s="13">
        <f>IF(D21="","",D21/6)</f>
        <v/>
      </c>
      <c r="M21" s="13">
        <f>IF(E21="","",E21/6)</f>
        <v/>
      </c>
      <c r="N21" s="13">
        <f>IF(F21="","",F21/5)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3">
        <f>IF(COUNT(C22:F22)&lt;4,"",SUM(C22:F22))</f>
        <v/>
      </c>
      <c r="H22" s="13">
        <f>IF(COUNT(C22:F22)&lt;4,"",G22/23)</f>
        <v/>
      </c>
      <c r="I22" s="13">
        <f>IF(COUNT(C22:F22)&lt;4,"",IF(H22&gt;=0.8,"Green",IF(H22&gt;=0.5,"Yellow","Red")))</f>
        <v/>
      </c>
      <c r="J22" s="13">
        <f>IF(COUNT(C22:F22)&lt;4,"",IF(I22="Green","Well done! "&amp;Parameters!$C$242,"Revise: "&amp;_xlfn.TEXTJOIN(", ",TRUE(),IF(K22&lt;1,Parameters!$A$233,""),IF(L22&lt;1,Parameters!$A$234,""),IF(M22&lt;1,Parameters!$A$235,""),IF(N22&lt;1,Parameters!$A$236,""))))</f>
        <v/>
      </c>
      <c r="K22" s="13">
        <f>IF(C22="","",C22/6)</f>
        <v/>
      </c>
      <c r="L22" s="13">
        <f>IF(D22="","",D22/6)</f>
        <v/>
      </c>
      <c r="M22" s="13">
        <f>IF(E22="","",E22/6)</f>
        <v/>
      </c>
      <c r="N22" s="13">
        <f>IF(F22="","",F22/5)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3">
        <f>IF(COUNT(C23:F23)&lt;4,"",SUM(C23:F23))</f>
        <v/>
      </c>
      <c r="H23" s="13">
        <f>IF(COUNT(C23:F23)&lt;4,"",G23/23)</f>
        <v/>
      </c>
      <c r="I23" s="13">
        <f>IF(COUNT(C23:F23)&lt;4,"",IF(H23&gt;=0.8,"Green",IF(H23&gt;=0.5,"Yellow","Red")))</f>
        <v/>
      </c>
      <c r="J23" s="13">
        <f>IF(COUNT(C23:F23)&lt;4,"",IF(I23="Green","Well done! "&amp;Parameters!$C$242,"Revise: "&amp;_xlfn.TEXTJOIN(", ",TRUE(),IF(K23&lt;1,Parameters!$A$233,""),IF(L23&lt;1,Parameters!$A$234,""),IF(M23&lt;1,Parameters!$A$235,""),IF(N23&lt;1,Parameters!$A$236,""))))</f>
        <v/>
      </c>
      <c r="K23" s="13">
        <f>IF(C23="","",C23/6)</f>
        <v/>
      </c>
      <c r="L23" s="13">
        <f>IF(D23="","",D23/6)</f>
        <v/>
      </c>
      <c r="M23" s="13">
        <f>IF(E23="","",E23/6)</f>
        <v/>
      </c>
      <c r="N23" s="13">
        <f>IF(F23="","",F23/5)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3">
        <f>IF(COUNT(C24:F24)&lt;4,"",SUM(C24:F24))</f>
        <v/>
      </c>
      <c r="H24" s="13">
        <f>IF(COUNT(C24:F24)&lt;4,"",G24/23)</f>
        <v/>
      </c>
      <c r="I24" s="13">
        <f>IF(COUNT(C24:F24)&lt;4,"",IF(H24&gt;=0.8,"Green",IF(H24&gt;=0.5,"Yellow","Red")))</f>
        <v/>
      </c>
      <c r="J24" s="13">
        <f>IF(COUNT(C24:F24)&lt;4,"",IF(I24="Green","Well done! "&amp;Parameters!$C$242,"Revise: "&amp;_xlfn.TEXTJOIN(", ",TRUE(),IF(K24&lt;1,Parameters!$A$233,""),IF(L24&lt;1,Parameters!$A$234,""),IF(M24&lt;1,Parameters!$A$235,""),IF(N24&lt;1,Parameters!$A$236,""))))</f>
        <v/>
      </c>
      <c r="K24" s="13">
        <f>IF(C24="","",C24/6)</f>
        <v/>
      </c>
      <c r="L24" s="13">
        <f>IF(D24="","",D24/6)</f>
        <v/>
      </c>
      <c r="M24" s="13">
        <f>IF(E24="","",E24/6)</f>
        <v/>
      </c>
      <c r="N24" s="13">
        <f>IF(F24="","",F24/5)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3">
        <f>IF(COUNT(C25:F25)&lt;4,"",SUM(C25:F25))</f>
        <v/>
      </c>
      <c r="H25" s="13">
        <f>IF(COUNT(C25:F25)&lt;4,"",G25/23)</f>
        <v/>
      </c>
      <c r="I25" s="13">
        <f>IF(COUNT(C25:F25)&lt;4,"",IF(H25&gt;=0.8,"Green",IF(H25&gt;=0.5,"Yellow","Red")))</f>
        <v/>
      </c>
      <c r="J25" s="13">
        <f>IF(COUNT(C25:F25)&lt;4,"",IF(I25="Green","Well done! "&amp;Parameters!$C$242,"Revise: "&amp;_xlfn.TEXTJOIN(", ",TRUE(),IF(K25&lt;1,Parameters!$A$233,""),IF(L25&lt;1,Parameters!$A$234,""),IF(M25&lt;1,Parameters!$A$235,""),IF(N25&lt;1,Parameters!$A$236,""))))</f>
        <v/>
      </c>
      <c r="K25" s="13">
        <f>IF(C25="","",C25/6)</f>
        <v/>
      </c>
      <c r="L25" s="13">
        <f>IF(D25="","",D25/6)</f>
        <v/>
      </c>
      <c r="M25" s="13">
        <f>IF(E25="","",E25/6)</f>
        <v/>
      </c>
      <c r="N25" s="13">
        <f>IF(F25="","",F25/5)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3">
        <f>IF(COUNT(C26:F26)&lt;4,"",SUM(C26:F26))</f>
        <v/>
      </c>
      <c r="H26" s="13">
        <f>IF(COUNT(C26:F26)&lt;4,"",G26/23)</f>
        <v/>
      </c>
      <c r="I26" s="13">
        <f>IF(COUNT(C26:F26)&lt;4,"",IF(H26&gt;=0.8,"Green",IF(H26&gt;=0.5,"Yellow","Red")))</f>
        <v/>
      </c>
      <c r="J26" s="13">
        <f>IF(COUNT(C26:F26)&lt;4,"",IF(I26="Green","Well done! "&amp;Parameters!$C$242,"Revise: "&amp;_xlfn.TEXTJOIN(", ",TRUE(),IF(K26&lt;1,Parameters!$A$233,""),IF(L26&lt;1,Parameters!$A$234,""),IF(M26&lt;1,Parameters!$A$235,""),IF(N26&lt;1,Parameters!$A$236,""))))</f>
        <v/>
      </c>
      <c r="K26" s="13">
        <f>IF(C26="","",C26/6)</f>
        <v/>
      </c>
      <c r="L26" s="13">
        <f>IF(D26="","",D26/6)</f>
        <v/>
      </c>
      <c r="M26" s="13">
        <f>IF(E26="","",E26/6)</f>
        <v/>
      </c>
      <c r="N26" s="13">
        <f>IF(F26="","",F26/5)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3">
        <f>IF(COUNT(C27:F27)&lt;4,"",SUM(C27:F27))</f>
        <v/>
      </c>
      <c r="H27" s="13">
        <f>IF(COUNT(C27:F27)&lt;4,"",G27/23)</f>
        <v/>
      </c>
      <c r="I27" s="13">
        <f>IF(COUNT(C27:F27)&lt;4,"",IF(H27&gt;=0.8,"Green",IF(H27&gt;=0.5,"Yellow","Red")))</f>
        <v/>
      </c>
      <c r="J27" s="13">
        <f>IF(COUNT(C27:F27)&lt;4,"",IF(I27="Green","Well done! "&amp;Parameters!$C$242,"Revise: "&amp;_xlfn.TEXTJOIN(", ",TRUE(),IF(K27&lt;1,Parameters!$A$233,""),IF(L27&lt;1,Parameters!$A$234,""),IF(M27&lt;1,Parameters!$A$235,""),IF(N27&lt;1,Parameters!$A$236,""))))</f>
        <v/>
      </c>
      <c r="K27" s="13">
        <f>IF(C27="","",C27/6)</f>
        <v/>
      </c>
      <c r="L27" s="13">
        <f>IF(D27="","",D27/6)</f>
        <v/>
      </c>
      <c r="M27" s="13">
        <f>IF(E27="","",E27/6)</f>
        <v/>
      </c>
      <c r="N27" s="13">
        <f>IF(F27="","",F27/5)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3">
        <f>IF(COUNT(C28:F28)&lt;4,"",SUM(C28:F28))</f>
        <v/>
      </c>
      <c r="H28" s="13">
        <f>IF(COUNT(C28:F28)&lt;4,"",G28/23)</f>
        <v/>
      </c>
      <c r="I28" s="13">
        <f>IF(COUNT(C28:F28)&lt;4,"",IF(H28&gt;=0.8,"Green",IF(H28&gt;=0.5,"Yellow","Red")))</f>
        <v/>
      </c>
      <c r="J28" s="13">
        <f>IF(COUNT(C28:F28)&lt;4,"",IF(I28="Green","Well done! "&amp;Parameters!$C$242,"Revise: "&amp;_xlfn.TEXTJOIN(", ",TRUE(),IF(K28&lt;1,Parameters!$A$233,""),IF(L28&lt;1,Parameters!$A$234,""),IF(M28&lt;1,Parameters!$A$235,""),IF(N28&lt;1,Parameters!$A$236,""))))</f>
        <v/>
      </c>
      <c r="K28" s="13">
        <f>IF(C28="","",C28/6)</f>
        <v/>
      </c>
      <c r="L28" s="13">
        <f>IF(D28="","",D28/6)</f>
        <v/>
      </c>
      <c r="M28" s="13">
        <f>IF(E28="","",E28/6)</f>
        <v/>
      </c>
      <c r="N28" s="13">
        <f>IF(F28="","",F28/5)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3">
        <f>IF(COUNT(C29:F29)&lt;4,"",SUM(C29:F29))</f>
        <v/>
      </c>
      <c r="H29" s="13">
        <f>IF(COUNT(C29:F29)&lt;4,"",G29/23)</f>
        <v/>
      </c>
      <c r="I29" s="13">
        <f>IF(COUNT(C29:F29)&lt;4,"",IF(H29&gt;=0.8,"Green",IF(H29&gt;=0.5,"Yellow","Red")))</f>
        <v/>
      </c>
      <c r="J29" s="13">
        <f>IF(COUNT(C29:F29)&lt;4,"",IF(I29="Green","Well done! "&amp;Parameters!$C$242,"Revise: "&amp;_xlfn.TEXTJOIN(", ",TRUE(),IF(K29&lt;1,Parameters!$A$233,""),IF(L29&lt;1,Parameters!$A$234,""),IF(M29&lt;1,Parameters!$A$235,""),IF(N29&lt;1,Parameters!$A$236,""))))</f>
        <v/>
      </c>
      <c r="K29" s="13">
        <f>IF(C29="","",C29/6)</f>
        <v/>
      </c>
      <c r="L29" s="13">
        <f>IF(D29="","",D29/6)</f>
        <v/>
      </c>
      <c r="M29" s="13">
        <f>IF(E29="","",E29/6)</f>
        <v/>
      </c>
      <c r="N29" s="13">
        <f>IF(F29="","",F29/5)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3">
        <f>IF(COUNT(C30:F30)&lt;4,"",SUM(C30:F30))</f>
        <v/>
      </c>
      <c r="H30" s="13">
        <f>IF(COUNT(C30:F30)&lt;4,"",G30/23)</f>
        <v/>
      </c>
      <c r="I30" s="13">
        <f>IF(COUNT(C30:F30)&lt;4,"",IF(H30&gt;=0.8,"Green",IF(H30&gt;=0.5,"Yellow","Red")))</f>
        <v/>
      </c>
      <c r="J30" s="13">
        <f>IF(COUNT(C30:F30)&lt;4,"",IF(I30="Green","Well done! "&amp;Parameters!$C$242,"Revise: "&amp;_xlfn.TEXTJOIN(", ",TRUE(),IF(K30&lt;1,Parameters!$A$233,""),IF(L30&lt;1,Parameters!$A$234,""),IF(M30&lt;1,Parameters!$A$235,""),IF(N30&lt;1,Parameters!$A$236,""))))</f>
        <v/>
      </c>
      <c r="K30" s="13">
        <f>IF(C30="","",C30/6)</f>
        <v/>
      </c>
      <c r="L30" s="13">
        <f>IF(D30="","",D30/6)</f>
        <v/>
      </c>
      <c r="M30" s="13">
        <f>IF(E30="","",E30/6)</f>
        <v/>
      </c>
      <c r="N30" s="13">
        <f>IF(F30="","",F30/5)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3">
        <f>IF(COUNT(C31:F31)&lt;4,"",SUM(C31:F31))</f>
        <v/>
      </c>
      <c r="H31" s="13">
        <f>IF(COUNT(C31:F31)&lt;4,"",G31/23)</f>
        <v/>
      </c>
      <c r="I31" s="13">
        <f>IF(COUNT(C31:F31)&lt;4,"",IF(H31&gt;=0.8,"Green",IF(H31&gt;=0.5,"Yellow","Red")))</f>
        <v/>
      </c>
      <c r="J31" s="13">
        <f>IF(COUNT(C31:F31)&lt;4,"",IF(I31="Green","Well done! "&amp;Parameters!$C$242,"Revise: "&amp;_xlfn.TEXTJOIN(", ",TRUE(),IF(K31&lt;1,Parameters!$A$233,""),IF(L31&lt;1,Parameters!$A$234,""),IF(M31&lt;1,Parameters!$A$235,""),IF(N31&lt;1,Parameters!$A$236,""))))</f>
        <v/>
      </c>
      <c r="K31" s="13">
        <f>IF(C31="","",C31/6)</f>
        <v/>
      </c>
      <c r="L31" s="13">
        <f>IF(D31="","",D31/6)</f>
        <v/>
      </c>
      <c r="M31" s="13">
        <f>IF(E31="","",E31/6)</f>
        <v/>
      </c>
      <c r="N31" s="13">
        <f>IF(F31="","",F31/5)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3">
        <f>IF(COUNT(C32:F32)&lt;4,"",SUM(C32:F32))</f>
        <v/>
      </c>
      <c r="H32" s="13">
        <f>IF(COUNT(C32:F32)&lt;4,"",G32/23)</f>
        <v/>
      </c>
      <c r="I32" s="13">
        <f>IF(COUNT(C32:F32)&lt;4,"",IF(H32&gt;=0.8,"Green",IF(H32&gt;=0.5,"Yellow","Red")))</f>
        <v/>
      </c>
      <c r="J32" s="13">
        <f>IF(COUNT(C32:F32)&lt;4,"",IF(I32="Green","Well done! "&amp;Parameters!$C$242,"Revise: "&amp;_xlfn.TEXTJOIN(", ",TRUE(),IF(K32&lt;1,Parameters!$A$233,""),IF(L32&lt;1,Parameters!$A$234,""),IF(M32&lt;1,Parameters!$A$235,""),IF(N32&lt;1,Parameters!$A$236,""))))</f>
        <v/>
      </c>
      <c r="K32" s="13">
        <f>IF(C32="","",C32/6)</f>
        <v/>
      </c>
      <c r="L32" s="13">
        <f>IF(D32="","",D32/6)</f>
        <v/>
      </c>
      <c r="M32" s="13">
        <f>IF(E32="","",E32/6)</f>
        <v/>
      </c>
      <c r="N32" s="13">
        <f>IF(F32="","",F32/5)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3">
        <f>IF(COUNT(C33:F33)&lt;4,"",SUM(C33:F33))</f>
        <v/>
      </c>
      <c r="H33" s="13">
        <f>IF(COUNT(C33:F33)&lt;4,"",G33/23)</f>
        <v/>
      </c>
      <c r="I33" s="13">
        <f>IF(COUNT(C33:F33)&lt;4,"",IF(H33&gt;=0.8,"Green",IF(H33&gt;=0.5,"Yellow","Red")))</f>
        <v/>
      </c>
      <c r="J33" s="13">
        <f>IF(COUNT(C33:F33)&lt;4,"",IF(I33="Green","Well done! "&amp;Parameters!$C$242,"Revise: "&amp;_xlfn.TEXTJOIN(", ",TRUE(),IF(K33&lt;1,Parameters!$A$233,""),IF(L33&lt;1,Parameters!$A$234,""),IF(M33&lt;1,Parameters!$A$235,""),IF(N33&lt;1,Parameters!$A$236,""))))</f>
        <v/>
      </c>
      <c r="K33" s="13">
        <f>IF(C33="","",C33/6)</f>
        <v/>
      </c>
      <c r="L33" s="13">
        <f>IF(D33="","",D33/6)</f>
        <v/>
      </c>
      <c r="M33" s="13">
        <f>IF(E33="","",E33/6)</f>
        <v/>
      </c>
      <c r="N33" s="13">
        <f>IF(F33="","",F33/5)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3">
        <f>IF(COUNT(C34:F34)&lt;4,"",SUM(C34:F34))</f>
        <v/>
      </c>
      <c r="H34" s="13">
        <f>IF(COUNT(C34:F34)&lt;4,"",G34/23)</f>
        <v/>
      </c>
      <c r="I34" s="13">
        <f>IF(COUNT(C34:F34)&lt;4,"",IF(H34&gt;=0.8,"Green",IF(H34&gt;=0.5,"Yellow","Red")))</f>
        <v/>
      </c>
      <c r="J34" s="13">
        <f>IF(COUNT(C34:F34)&lt;4,"",IF(I34="Green","Well done! "&amp;Parameters!$C$242,"Revise: "&amp;_xlfn.TEXTJOIN(", ",TRUE(),IF(K34&lt;1,Parameters!$A$233,""),IF(L34&lt;1,Parameters!$A$234,""),IF(M34&lt;1,Parameters!$A$235,""),IF(N34&lt;1,Parameters!$A$236,""))))</f>
        <v/>
      </c>
      <c r="K34" s="13">
        <f>IF(C34="","",C34/6)</f>
        <v/>
      </c>
      <c r="L34" s="13">
        <f>IF(D34="","",D34/6)</f>
        <v/>
      </c>
      <c r="M34" s="13">
        <f>IF(E34="","",E34/6)</f>
        <v/>
      </c>
      <c r="N34" s="13">
        <f>IF(F34="","",F34/5)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3">
        <f>IF(COUNT(C35:F35)&lt;4,"",SUM(C35:F35))</f>
        <v/>
      </c>
      <c r="H35" s="13">
        <f>IF(COUNT(C35:F35)&lt;4,"",G35/23)</f>
        <v/>
      </c>
      <c r="I35" s="13">
        <f>IF(COUNT(C35:F35)&lt;4,"",IF(H35&gt;=0.8,"Green",IF(H35&gt;=0.5,"Yellow","Red")))</f>
        <v/>
      </c>
      <c r="J35" s="13">
        <f>IF(COUNT(C35:F35)&lt;4,"",IF(I35="Green","Well done! "&amp;Parameters!$C$242,"Revise: "&amp;_xlfn.TEXTJOIN(", ",TRUE(),IF(K35&lt;1,Parameters!$A$233,""),IF(L35&lt;1,Parameters!$A$234,""),IF(M35&lt;1,Parameters!$A$235,""),IF(N35&lt;1,Parameters!$A$236,""))))</f>
        <v/>
      </c>
      <c r="K35" s="13">
        <f>IF(C35="","",C35/6)</f>
        <v/>
      </c>
      <c r="L35" s="13">
        <f>IF(D35="","",D35/6)</f>
        <v/>
      </c>
      <c r="M35" s="13">
        <f>IF(E35="","",E35/6)</f>
        <v/>
      </c>
      <c r="N35" s="13">
        <f>IF(F35="","",F35/5)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3">
        <f>IF(COUNT(C36:F36)&lt;4,"",SUM(C36:F36))</f>
        <v/>
      </c>
      <c r="H36" s="13">
        <f>IF(COUNT(C36:F36)&lt;4,"",G36/23)</f>
        <v/>
      </c>
      <c r="I36" s="13">
        <f>IF(COUNT(C36:F36)&lt;4,"",IF(H36&gt;=0.8,"Green",IF(H36&gt;=0.5,"Yellow","Red")))</f>
        <v/>
      </c>
      <c r="J36" s="13">
        <f>IF(COUNT(C36:F36)&lt;4,"",IF(I36="Green","Well done! "&amp;Parameters!$C$242,"Revise: "&amp;_xlfn.TEXTJOIN(", ",TRUE(),IF(K36&lt;1,Parameters!$A$233,""),IF(L36&lt;1,Parameters!$A$234,""),IF(M36&lt;1,Parameters!$A$235,""),IF(N36&lt;1,Parameters!$A$236,""))))</f>
        <v/>
      </c>
      <c r="K36" s="13">
        <f>IF(C36="","",C36/6)</f>
        <v/>
      </c>
      <c r="L36" s="13">
        <f>IF(D36="","",D36/6)</f>
        <v/>
      </c>
      <c r="M36" s="13">
        <f>IF(E36="","",E36/6)</f>
        <v/>
      </c>
      <c r="N36" s="13">
        <f>IF(F36="","",F36/5)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3">
        <f>IF(COUNT(C37:F37)&lt;4,"",SUM(C37:F37))</f>
        <v/>
      </c>
      <c r="H37" s="13">
        <f>IF(COUNT(C37:F37)&lt;4,"",G37/23)</f>
        <v/>
      </c>
      <c r="I37" s="13">
        <f>IF(COUNT(C37:F37)&lt;4,"",IF(H37&gt;=0.8,"Green",IF(H37&gt;=0.5,"Yellow","Red")))</f>
        <v/>
      </c>
      <c r="J37" s="13">
        <f>IF(COUNT(C37:F37)&lt;4,"",IF(I37="Green","Well done! "&amp;Parameters!$C$242,"Revise: "&amp;_xlfn.TEXTJOIN(", ",TRUE(),IF(K37&lt;1,Parameters!$A$233,""),IF(L37&lt;1,Parameters!$A$234,""),IF(M37&lt;1,Parameters!$A$235,""),IF(N37&lt;1,Parameters!$A$236,""))))</f>
        <v/>
      </c>
      <c r="K37" s="13">
        <f>IF(C37="","",C37/6)</f>
        <v/>
      </c>
      <c r="L37" s="13">
        <f>IF(D37="","",D37/6)</f>
        <v/>
      </c>
      <c r="M37" s="13">
        <f>IF(E37="","",E37/6)</f>
        <v/>
      </c>
      <c r="N37" s="13">
        <f>IF(F37="","",F37/5)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3">
        <f>IF(COUNT(C38:F38)&lt;4,"",SUM(C38:F38))</f>
        <v/>
      </c>
      <c r="H38" s="13">
        <f>IF(COUNT(C38:F38)&lt;4,"",G38/23)</f>
        <v/>
      </c>
      <c r="I38" s="13">
        <f>IF(COUNT(C38:F38)&lt;4,"",IF(H38&gt;=0.8,"Green",IF(H38&gt;=0.5,"Yellow","Red")))</f>
        <v/>
      </c>
      <c r="J38" s="13">
        <f>IF(COUNT(C38:F38)&lt;4,"",IF(I38="Green","Well done! "&amp;Parameters!$C$242,"Revise: "&amp;_xlfn.TEXTJOIN(", ",TRUE(),IF(K38&lt;1,Parameters!$A$233,""),IF(L38&lt;1,Parameters!$A$234,""),IF(M38&lt;1,Parameters!$A$235,""),IF(N38&lt;1,Parameters!$A$236,""))))</f>
        <v/>
      </c>
      <c r="K38" s="13">
        <f>IF(C38="","",C38/6)</f>
        <v/>
      </c>
      <c r="L38" s="13">
        <f>IF(D38="","",D38/6)</f>
        <v/>
      </c>
      <c r="M38" s="13">
        <f>IF(E38="","",E38/6)</f>
        <v/>
      </c>
      <c r="N38" s="13">
        <f>IF(F38="","",F38/5)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3">
        <f>IF(COUNT(C39:F39)&lt;4,"",SUM(C39:F39))</f>
        <v/>
      </c>
      <c r="H39" s="13">
        <f>IF(COUNT(C39:F39)&lt;4,"",G39/23)</f>
        <v/>
      </c>
      <c r="I39" s="13">
        <f>IF(COUNT(C39:F39)&lt;4,"",IF(H39&gt;=0.8,"Green",IF(H39&gt;=0.5,"Yellow","Red")))</f>
        <v/>
      </c>
      <c r="J39" s="13">
        <f>IF(COUNT(C39:F39)&lt;4,"",IF(I39="Green","Well done! "&amp;Parameters!$C$242,"Revise: "&amp;_xlfn.TEXTJOIN(", ",TRUE(),IF(K39&lt;1,Parameters!$A$233,""),IF(L39&lt;1,Parameters!$A$234,""),IF(M39&lt;1,Parameters!$A$235,""),IF(N39&lt;1,Parameters!$A$236,""))))</f>
        <v/>
      </c>
      <c r="K39" s="13">
        <f>IF(C39="","",C39/6)</f>
        <v/>
      </c>
      <c r="L39" s="13">
        <f>IF(D39="","",D39/6)</f>
        <v/>
      </c>
      <c r="M39" s="13">
        <f>IF(E39="","",E39/6)</f>
        <v/>
      </c>
      <c r="N39" s="13">
        <f>IF(F39="","",F39/5)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3">
        <f>IF(COUNT(C40:F40)&lt;4,"",SUM(C40:F40))</f>
        <v/>
      </c>
      <c r="H40" s="13">
        <f>IF(COUNT(C40:F40)&lt;4,"",G40/23)</f>
        <v/>
      </c>
      <c r="I40" s="13">
        <f>IF(COUNT(C40:F40)&lt;4,"",IF(H40&gt;=0.8,"Green",IF(H40&gt;=0.5,"Yellow","Red")))</f>
        <v/>
      </c>
      <c r="J40" s="13">
        <f>IF(COUNT(C40:F40)&lt;4,"",IF(I40="Green","Well done! "&amp;Parameters!$C$242,"Revise: "&amp;_xlfn.TEXTJOIN(", ",TRUE(),IF(K40&lt;1,Parameters!$A$233,""),IF(L40&lt;1,Parameters!$A$234,""),IF(M40&lt;1,Parameters!$A$235,""),IF(N40&lt;1,Parameters!$A$236,""))))</f>
        <v/>
      </c>
      <c r="K40" s="13">
        <f>IF(C40="","",C40/6)</f>
        <v/>
      </c>
      <c r="L40" s="13">
        <f>IF(D40="","",D40/6)</f>
        <v/>
      </c>
      <c r="M40" s="13">
        <f>IF(E40="","",E40/6)</f>
        <v/>
      </c>
      <c r="N40" s="13">
        <f>IF(F40="","",F40/5)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3">
        <f>IF(COUNT(C41:F41)&lt;4,"",SUM(C41:F41))</f>
        <v/>
      </c>
      <c r="H41" s="13">
        <f>IF(COUNT(C41:F41)&lt;4,"",G41/23)</f>
        <v/>
      </c>
      <c r="I41" s="13">
        <f>IF(COUNT(C41:F41)&lt;4,"",IF(H41&gt;=0.8,"Green",IF(H41&gt;=0.5,"Yellow","Red")))</f>
        <v/>
      </c>
      <c r="J41" s="13">
        <f>IF(COUNT(C41:F41)&lt;4,"",IF(I41="Green","Well done! "&amp;Parameters!$C$242,"Revise: "&amp;_xlfn.TEXTJOIN(", ",TRUE(),IF(K41&lt;1,Parameters!$A$233,""),IF(L41&lt;1,Parameters!$A$234,""),IF(M41&lt;1,Parameters!$A$235,""),IF(N41&lt;1,Parameters!$A$236,""))))</f>
        <v/>
      </c>
      <c r="K41" s="13">
        <f>IF(C41="","",C41/6)</f>
        <v/>
      </c>
      <c r="L41" s="13">
        <f>IF(D41="","",D41/6)</f>
        <v/>
      </c>
      <c r="M41" s="13">
        <f>IF(E41="","",E41/6)</f>
        <v/>
      </c>
      <c r="N41" s="13">
        <f>IF(F41="","",F41/5)</f>
        <v/>
      </c>
    </row>
  </sheetData>
  <conditionalFormatting sqref="C11">
    <cfRule type="expression" priority="1" dxfId="0">
      <formula>AND(COUNT(C11:F11)=4,C11=6)</formula>
    </cfRule>
    <cfRule type="expression" priority="2" dxfId="1">
      <formula>AND(COUNT(C11:F11)=4,C11&lt;6*0.4)</formula>
    </cfRule>
    <cfRule type="expression" priority="3" dxfId="2">
      <formula>AND(COUNT(C11:F11)=4,C11&gt;=6*0.4,C11&lt;6)</formula>
    </cfRule>
  </conditionalFormatting>
  <conditionalFormatting sqref="C12">
    <cfRule type="expression" priority="4" dxfId="0">
      <formula>AND(COUNT(C12:F12)=4,C12=6)</formula>
    </cfRule>
    <cfRule type="expression" priority="5" dxfId="1">
      <formula>AND(COUNT(C12:F12)=4,C12&lt;6*0.4)</formula>
    </cfRule>
    <cfRule type="expression" priority="6" dxfId="2">
      <formula>AND(COUNT(C12:F12)=4,C12&gt;=6*0.4,C12&lt;6)</formula>
    </cfRule>
  </conditionalFormatting>
  <conditionalFormatting sqref="C13">
    <cfRule type="expression" priority="7" dxfId="0">
      <formula>AND(COUNT(C13:F13)=4,C13=6)</formula>
    </cfRule>
    <cfRule type="expression" priority="8" dxfId="1">
      <formula>AND(COUNT(C13:F13)=4,C13&lt;6*0.4)</formula>
    </cfRule>
    <cfRule type="expression" priority="9" dxfId="2">
      <formula>AND(COUNT(C13:F13)=4,C13&gt;=6*0.4,C13&lt;6)</formula>
    </cfRule>
  </conditionalFormatting>
  <conditionalFormatting sqref="C14">
    <cfRule type="expression" priority="10" dxfId="0">
      <formula>AND(COUNT(C14:F14)=4,C14=6)</formula>
    </cfRule>
    <cfRule type="expression" priority="11" dxfId="1">
      <formula>AND(COUNT(C14:F14)=4,C14&lt;6*0.4)</formula>
    </cfRule>
    <cfRule type="expression" priority="12" dxfId="2">
      <formula>AND(COUNT(C14:F14)=4,C14&gt;=6*0.4,C14&lt;6)</formula>
    </cfRule>
  </conditionalFormatting>
  <conditionalFormatting sqref="C15">
    <cfRule type="expression" priority="13" dxfId="0">
      <formula>AND(COUNT(C15:F15)=4,C15=6)</formula>
    </cfRule>
    <cfRule type="expression" priority="14" dxfId="1">
      <formula>AND(COUNT(C15:F15)=4,C15&lt;6*0.4)</formula>
    </cfRule>
    <cfRule type="expression" priority="15" dxfId="2">
      <formula>AND(COUNT(C15:F15)=4,C15&gt;=6*0.4,C15&lt;6)</formula>
    </cfRule>
  </conditionalFormatting>
  <conditionalFormatting sqref="C16">
    <cfRule type="expression" priority="16" dxfId="0">
      <formula>AND(COUNT(C16:F16)=4,C16=6)</formula>
    </cfRule>
    <cfRule type="expression" priority="17" dxfId="1">
      <formula>AND(COUNT(C16:F16)=4,C16&lt;6*0.4)</formula>
    </cfRule>
    <cfRule type="expression" priority="18" dxfId="2">
      <formula>AND(COUNT(C16:F16)=4,C16&gt;=6*0.4,C16&lt;6)</formula>
    </cfRule>
  </conditionalFormatting>
  <conditionalFormatting sqref="C17">
    <cfRule type="expression" priority="19" dxfId="0">
      <formula>AND(COUNT(C17:F17)=4,C17=6)</formula>
    </cfRule>
    <cfRule type="expression" priority="20" dxfId="1">
      <formula>AND(COUNT(C17:F17)=4,C17&lt;6*0.4)</formula>
    </cfRule>
    <cfRule type="expression" priority="21" dxfId="2">
      <formula>AND(COUNT(C17:F17)=4,C17&gt;=6*0.4,C17&lt;6)</formula>
    </cfRule>
  </conditionalFormatting>
  <conditionalFormatting sqref="C18">
    <cfRule type="expression" priority="22" dxfId="0">
      <formula>AND(COUNT(C18:F18)=4,C18=6)</formula>
    </cfRule>
    <cfRule type="expression" priority="23" dxfId="1">
      <formula>AND(COUNT(C18:F18)=4,C18&lt;6*0.4)</formula>
    </cfRule>
    <cfRule type="expression" priority="24" dxfId="2">
      <formula>AND(COUNT(C18:F18)=4,C18&gt;=6*0.4,C18&lt;6)</formula>
    </cfRule>
  </conditionalFormatting>
  <conditionalFormatting sqref="C19">
    <cfRule type="expression" priority="25" dxfId="0">
      <formula>AND(COUNT(C19:F19)=4,C19=6)</formula>
    </cfRule>
    <cfRule type="expression" priority="26" dxfId="1">
      <formula>AND(COUNT(C19:F19)=4,C19&lt;6*0.4)</formula>
    </cfRule>
    <cfRule type="expression" priority="27" dxfId="2">
      <formula>AND(COUNT(C19:F19)=4,C19&gt;=6*0.4,C19&lt;6)</formula>
    </cfRule>
  </conditionalFormatting>
  <conditionalFormatting sqref="C20">
    <cfRule type="expression" priority="28" dxfId="0">
      <formula>AND(COUNT(C20:F20)=4,C20=6)</formula>
    </cfRule>
    <cfRule type="expression" priority="29" dxfId="1">
      <formula>AND(COUNT(C20:F20)=4,C20&lt;6*0.4)</formula>
    </cfRule>
    <cfRule type="expression" priority="30" dxfId="2">
      <formula>AND(COUNT(C20:F20)=4,C20&gt;=6*0.4,C20&lt;6)</formula>
    </cfRule>
  </conditionalFormatting>
  <conditionalFormatting sqref="C21">
    <cfRule type="expression" priority="31" dxfId="0">
      <formula>AND(COUNT(C21:F21)=4,C21=6)</formula>
    </cfRule>
    <cfRule type="expression" priority="32" dxfId="1">
      <formula>AND(COUNT(C21:F21)=4,C21&lt;6*0.4)</formula>
    </cfRule>
    <cfRule type="expression" priority="33" dxfId="2">
      <formula>AND(COUNT(C21:F21)=4,C21&gt;=6*0.4,C21&lt;6)</formula>
    </cfRule>
  </conditionalFormatting>
  <conditionalFormatting sqref="C22">
    <cfRule type="expression" priority="34" dxfId="0">
      <formula>AND(COUNT(C22:F22)=4,C22=6)</formula>
    </cfRule>
    <cfRule type="expression" priority="35" dxfId="1">
      <formula>AND(COUNT(C22:F22)=4,C22&lt;6*0.4)</formula>
    </cfRule>
    <cfRule type="expression" priority="36" dxfId="2">
      <formula>AND(COUNT(C22:F22)=4,C22&gt;=6*0.4,C22&lt;6)</formula>
    </cfRule>
  </conditionalFormatting>
  <conditionalFormatting sqref="C23">
    <cfRule type="expression" priority="37" dxfId="0">
      <formula>AND(COUNT(C23:F23)=4,C23=6)</formula>
    </cfRule>
    <cfRule type="expression" priority="38" dxfId="1">
      <formula>AND(COUNT(C23:F23)=4,C23&lt;6*0.4)</formula>
    </cfRule>
    <cfRule type="expression" priority="39" dxfId="2">
      <formula>AND(COUNT(C23:F23)=4,C23&gt;=6*0.4,C23&lt;6)</formula>
    </cfRule>
  </conditionalFormatting>
  <conditionalFormatting sqref="C24">
    <cfRule type="expression" priority="40" dxfId="0">
      <formula>AND(COUNT(C24:F24)=4,C24=6)</formula>
    </cfRule>
    <cfRule type="expression" priority="41" dxfId="1">
      <formula>AND(COUNT(C24:F24)=4,C24&lt;6*0.4)</formula>
    </cfRule>
    <cfRule type="expression" priority="42" dxfId="2">
      <formula>AND(COUNT(C24:F24)=4,C24&gt;=6*0.4,C24&lt;6)</formula>
    </cfRule>
  </conditionalFormatting>
  <conditionalFormatting sqref="C25">
    <cfRule type="expression" priority="43" dxfId="0">
      <formula>AND(COUNT(C25:F25)=4,C25=6)</formula>
    </cfRule>
    <cfRule type="expression" priority="44" dxfId="1">
      <formula>AND(COUNT(C25:F25)=4,C25&lt;6*0.4)</formula>
    </cfRule>
    <cfRule type="expression" priority="45" dxfId="2">
      <formula>AND(COUNT(C25:F25)=4,C25&gt;=6*0.4,C25&lt;6)</formula>
    </cfRule>
  </conditionalFormatting>
  <conditionalFormatting sqref="C26">
    <cfRule type="expression" priority="46" dxfId="0">
      <formula>AND(COUNT(C26:F26)=4,C26=6)</formula>
    </cfRule>
    <cfRule type="expression" priority="47" dxfId="1">
      <formula>AND(COUNT(C26:F26)=4,C26&lt;6*0.4)</formula>
    </cfRule>
    <cfRule type="expression" priority="48" dxfId="2">
      <formula>AND(COUNT(C26:F26)=4,C26&gt;=6*0.4,C26&lt;6)</formula>
    </cfRule>
  </conditionalFormatting>
  <conditionalFormatting sqref="C27">
    <cfRule type="expression" priority="49" dxfId="0">
      <formula>AND(COUNT(C27:F27)=4,C27=6)</formula>
    </cfRule>
    <cfRule type="expression" priority="50" dxfId="1">
      <formula>AND(COUNT(C27:F27)=4,C27&lt;6*0.4)</formula>
    </cfRule>
    <cfRule type="expression" priority="51" dxfId="2">
      <formula>AND(COUNT(C27:F27)=4,C27&gt;=6*0.4,C27&lt;6)</formula>
    </cfRule>
  </conditionalFormatting>
  <conditionalFormatting sqref="C28">
    <cfRule type="expression" priority="52" dxfId="0">
      <formula>AND(COUNT(C28:F28)=4,C28=6)</formula>
    </cfRule>
    <cfRule type="expression" priority="53" dxfId="1">
      <formula>AND(COUNT(C28:F28)=4,C28&lt;6*0.4)</formula>
    </cfRule>
    <cfRule type="expression" priority="54" dxfId="2">
      <formula>AND(COUNT(C28:F28)=4,C28&gt;=6*0.4,C28&lt;6)</formula>
    </cfRule>
  </conditionalFormatting>
  <conditionalFormatting sqref="C29">
    <cfRule type="expression" priority="55" dxfId="0">
      <formula>AND(COUNT(C29:F29)=4,C29=6)</formula>
    </cfRule>
    <cfRule type="expression" priority="56" dxfId="1">
      <formula>AND(COUNT(C29:F29)=4,C29&lt;6*0.4)</formula>
    </cfRule>
    <cfRule type="expression" priority="57" dxfId="2">
      <formula>AND(COUNT(C29:F29)=4,C29&gt;=6*0.4,C29&lt;6)</formula>
    </cfRule>
  </conditionalFormatting>
  <conditionalFormatting sqref="C30">
    <cfRule type="expression" priority="58" dxfId="0">
      <formula>AND(COUNT(C30:F30)=4,C30=6)</formula>
    </cfRule>
    <cfRule type="expression" priority="59" dxfId="1">
      <formula>AND(COUNT(C30:F30)=4,C30&lt;6*0.4)</formula>
    </cfRule>
    <cfRule type="expression" priority="60" dxfId="2">
      <formula>AND(COUNT(C30:F30)=4,C30&gt;=6*0.4,C30&lt;6)</formula>
    </cfRule>
  </conditionalFormatting>
  <conditionalFormatting sqref="C31">
    <cfRule type="expression" priority="61" dxfId="0">
      <formula>AND(COUNT(C31:F31)=4,C31=6)</formula>
    </cfRule>
    <cfRule type="expression" priority="62" dxfId="1">
      <formula>AND(COUNT(C31:F31)=4,C31&lt;6*0.4)</formula>
    </cfRule>
    <cfRule type="expression" priority="63" dxfId="2">
      <formula>AND(COUNT(C31:F31)=4,C31&gt;=6*0.4,C31&lt;6)</formula>
    </cfRule>
  </conditionalFormatting>
  <conditionalFormatting sqref="C32">
    <cfRule type="expression" priority="64" dxfId="0">
      <formula>AND(COUNT(C32:F32)=4,C32=6)</formula>
    </cfRule>
    <cfRule type="expression" priority="65" dxfId="1">
      <formula>AND(COUNT(C32:F32)=4,C32&lt;6*0.4)</formula>
    </cfRule>
    <cfRule type="expression" priority="66" dxfId="2">
      <formula>AND(COUNT(C32:F32)=4,C32&gt;=6*0.4,C32&lt;6)</formula>
    </cfRule>
  </conditionalFormatting>
  <conditionalFormatting sqref="C33">
    <cfRule type="expression" priority="67" dxfId="0">
      <formula>AND(COUNT(C33:F33)=4,C33=6)</formula>
    </cfRule>
    <cfRule type="expression" priority="68" dxfId="1">
      <formula>AND(COUNT(C33:F33)=4,C33&lt;6*0.4)</formula>
    </cfRule>
    <cfRule type="expression" priority="69" dxfId="2">
      <formula>AND(COUNT(C33:F33)=4,C33&gt;=6*0.4,C33&lt;6)</formula>
    </cfRule>
  </conditionalFormatting>
  <conditionalFormatting sqref="C34">
    <cfRule type="expression" priority="70" dxfId="0">
      <formula>AND(COUNT(C34:F34)=4,C34=6)</formula>
    </cfRule>
    <cfRule type="expression" priority="71" dxfId="1">
      <formula>AND(COUNT(C34:F34)=4,C34&lt;6*0.4)</formula>
    </cfRule>
    <cfRule type="expression" priority="72" dxfId="2">
      <formula>AND(COUNT(C34:F34)=4,C34&gt;=6*0.4,C34&lt;6)</formula>
    </cfRule>
  </conditionalFormatting>
  <conditionalFormatting sqref="C35">
    <cfRule type="expression" priority="73" dxfId="0">
      <formula>AND(COUNT(C35:F35)=4,C35=6)</formula>
    </cfRule>
    <cfRule type="expression" priority="74" dxfId="1">
      <formula>AND(COUNT(C35:F35)=4,C35&lt;6*0.4)</formula>
    </cfRule>
    <cfRule type="expression" priority="75" dxfId="2">
      <formula>AND(COUNT(C35:F35)=4,C35&gt;=6*0.4,C35&lt;6)</formula>
    </cfRule>
  </conditionalFormatting>
  <conditionalFormatting sqref="C36">
    <cfRule type="expression" priority="76" dxfId="0">
      <formula>AND(COUNT(C36:F36)=4,C36=6)</formula>
    </cfRule>
    <cfRule type="expression" priority="77" dxfId="1">
      <formula>AND(COUNT(C36:F36)=4,C36&lt;6*0.4)</formula>
    </cfRule>
    <cfRule type="expression" priority="78" dxfId="2">
      <formula>AND(COUNT(C36:F36)=4,C36&gt;=6*0.4,C36&lt;6)</formula>
    </cfRule>
  </conditionalFormatting>
  <conditionalFormatting sqref="C37">
    <cfRule type="expression" priority="79" dxfId="0">
      <formula>AND(COUNT(C37:F37)=4,C37=6)</formula>
    </cfRule>
    <cfRule type="expression" priority="80" dxfId="1">
      <formula>AND(COUNT(C37:F37)=4,C37&lt;6*0.4)</formula>
    </cfRule>
    <cfRule type="expression" priority="81" dxfId="2">
      <formula>AND(COUNT(C37:F37)=4,C37&gt;=6*0.4,C37&lt;6)</formula>
    </cfRule>
  </conditionalFormatting>
  <conditionalFormatting sqref="C38">
    <cfRule type="expression" priority="82" dxfId="0">
      <formula>AND(COUNT(C38:F38)=4,C38=6)</formula>
    </cfRule>
    <cfRule type="expression" priority="83" dxfId="1">
      <formula>AND(COUNT(C38:F38)=4,C38&lt;6*0.4)</formula>
    </cfRule>
    <cfRule type="expression" priority="84" dxfId="2">
      <formula>AND(COUNT(C38:F38)=4,C38&gt;=6*0.4,C38&lt;6)</formula>
    </cfRule>
  </conditionalFormatting>
  <conditionalFormatting sqref="C39">
    <cfRule type="expression" priority="85" dxfId="0">
      <formula>AND(COUNT(C39:F39)=4,C39=6)</formula>
    </cfRule>
    <cfRule type="expression" priority="86" dxfId="1">
      <formula>AND(COUNT(C39:F39)=4,C39&lt;6*0.4)</formula>
    </cfRule>
    <cfRule type="expression" priority="87" dxfId="2">
      <formula>AND(COUNT(C39:F39)=4,C39&gt;=6*0.4,C39&lt;6)</formula>
    </cfRule>
  </conditionalFormatting>
  <conditionalFormatting sqref="C40">
    <cfRule type="expression" priority="88" dxfId="0">
      <formula>AND(COUNT(C40:F40)=4,C40=6)</formula>
    </cfRule>
    <cfRule type="expression" priority="89" dxfId="1">
      <formula>AND(COUNT(C40:F40)=4,C40&lt;6*0.4)</formula>
    </cfRule>
    <cfRule type="expression" priority="90" dxfId="2">
      <formula>AND(COUNT(C40:F40)=4,C40&gt;=6*0.4,C40&lt;6)</formula>
    </cfRule>
  </conditionalFormatting>
  <conditionalFormatting sqref="C41">
    <cfRule type="expression" priority="91" dxfId="0">
      <formula>AND(COUNT(C41:F41)=4,C41=6)</formula>
    </cfRule>
    <cfRule type="expression" priority="92" dxfId="1">
      <formula>AND(COUNT(C41:F41)=4,C41&lt;6*0.4)</formula>
    </cfRule>
    <cfRule type="expression" priority="93" dxfId="2">
      <formula>AND(COUNT(C41:F41)=4,C41&gt;=6*0.4,C41&lt;6)</formula>
    </cfRule>
  </conditionalFormatting>
  <conditionalFormatting sqref="D11">
    <cfRule type="expression" priority="94" dxfId="0">
      <formula>AND(COUNT(C11:F11)=4,D11=6)</formula>
    </cfRule>
    <cfRule type="expression" priority="95" dxfId="1">
      <formula>AND(COUNT(C11:F11)=4,D11&lt;6*0.4)</formula>
    </cfRule>
    <cfRule type="expression" priority="96" dxfId="2">
      <formula>AND(COUNT(C11:F11)=4,D11&gt;=6*0.4,D11&lt;6)</formula>
    </cfRule>
  </conditionalFormatting>
  <conditionalFormatting sqref="D12">
    <cfRule type="expression" priority="97" dxfId="0">
      <formula>AND(COUNT(C12:F12)=4,D12=6)</formula>
    </cfRule>
    <cfRule type="expression" priority="98" dxfId="1">
      <formula>AND(COUNT(C12:F12)=4,D12&lt;6*0.4)</formula>
    </cfRule>
    <cfRule type="expression" priority="99" dxfId="2">
      <formula>AND(COUNT(C12:F12)=4,D12&gt;=6*0.4,D12&lt;6)</formula>
    </cfRule>
  </conditionalFormatting>
  <conditionalFormatting sqref="D13">
    <cfRule type="expression" priority="100" dxfId="0">
      <formula>AND(COUNT(C13:F13)=4,D13=6)</formula>
    </cfRule>
    <cfRule type="expression" priority="101" dxfId="1">
      <formula>AND(COUNT(C13:F13)=4,D13&lt;6*0.4)</formula>
    </cfRule>
    <cfRule type="expression" priority="102" dxfId="2">
      <formula>AND(COUNT(C13:F13)=4,D13&gt;=6*0.4,D13&lt;6)</formula>
    </cfRule>
  </conditionalFormatting>
  <conditionalFormatting sqref="D14">
    <cfRule type="expression" priority="103" dxfId="0">
      <formula>AND(COUNT(C14:F14)=4,D14=6)</formula>
    </cfRule>
    <cfRule type="expression" priority="104" dxfId="1">
      <formula>AND(COUNT(C14:F14)=4,D14&lt;6*0.4)</formula>
    </cfRule>
    <cfRule type="expression" priority="105" dxfId="2">
      <formula>AND(COUNT(C14:F14)=4,D14&gt;=6*0.4,D14&lt;6)</formula>
    </cfRule>
  </conditionalFormatting>
  <conditionalFormatting sqref="D15">
    <cfRule type="expression" priority="106" dxfId="0">
      <formula>AND(COUNT(C15:F15)=4,D15=6)</formula>
    </cfRule>
    <cfRule type="expression" priority="107" dxfId="1">
      <formula>AND(COUNT(C15:F15)=4,D15&lt;6*0.4)</formula>
    </cfRule>
    <cfRule type="expression" priority="108" dxfId="2">
      <formula>AND(COUNT(C15:F15)=4,D15&gt;=6*0.4,D15&lt;6)</formula>
    </cfRule>
  </conditionalFormatting>
  <conditionalFormatting sqref="D16">
    <cfRule type="expression" priority="109" dxfId="0">
      <formula>AND(COUNT(C16:F16)=4,D16=6)</formula>
    </cfRule>
    <cfRule type="expression" priority="110" dxfId="1">
      <formula>AND(COUNT(C16:F16)=4,D16&lt;6*0.4)</formula>
    </cfRule>
    <cfRule type="expression" priority="111" dxfId="2">
      <formula>AND(COUNT(C16:F16)=4,D16&gt;=6*0.4,D16&lt;6)</formula>
    </cfRule>
  </conditionalFormatting>
  <conditionalFormatting sqref="D17">
    <cfRule type="expression" priority="112" dxfId="0">
      <formula>AND(COUNT(C17:F17)=4,D17=6)</formula>
    </cfRule>
    <cfRule type="expression" priority="113" dxfId="1">
      <formula>AND(COUNT(C17:F17)=4,D17&lt;6*0.4)</formula>
    </cfRule>
    <cfRule type="expression" priority="114" dxfId="2">
      <formula>AND(COUNT(C17:F17)=4,D17&gt;=6*0.4,D17&lt;6)</formula>
    </cfRule>
  </conditionalFormatting>
  <conditionalFormatting sqref="D18">
    <cfRule type="expression" priority="115" dxfId="0">
      <formula>AND(COUNT(C18:F18)=4,D18=6)</formula>
    </cfRule>
    <cfRule type="expression" priority="116" dxfId="1">
      <formula>AND(COUNT(C18:F18)=4,D18&lt;6*0.4)</formula>
    </cfRule>
    <cfRule type="expression" priority="117" dxfId="2">
      <formula>AND(COUNT(C18:F18)=4,D18&gt;=6*0.4,D18&lt;6)</formula>
    </cfRule>
  </conditionalFormatting>
  <conditionalFormatting sqref="D19">
    <cfRule type="expression" priority="118" dxfId="0">
      <formula>AND(COUNT(C19:F19)=4,D19=6)</formula>
    </cfRule>
    <cfRule type="expression" priority="119" dxfId="1">
      <formula>AND(COUNT(C19:F19)=4,D19&lt;6*0.4)</formula>
    </cfRule>
    <cfRule type="expression" priority="120" dxfId="2">
      <formula>AND(COUNT(C19:F19)=4,D19&gt;=6*0.4,D19&lt;6)</formula>
    </cfRule>
  </conditionalFormatting>
  <conditionalFormatting sqref="D20">
    <cfRule type="expression" priority="121" dxfId="0">
      <formula>AND(COUNT(C20:F20)=4,D20=6)</formula>
    </cfRule>
    <cfRule type="expression" priority="122" dxfId="1">
      <formula>AND(COUNT(C20:F20)=4,D20&lt;6*0.4)</formula>
    </cfRule>
    <cfRule type="expression" priority="123" dxfId="2">
      <formula>AND(COUNT(C20:F20)=4,D20&gt;=6*0.4,D20&lt;6)</formula>
    </cfRule>
  </conditionalFormatting>
  <conditionalFormatting sqref="D21">
    <cfRule type="expression" priority="124" dxfId="0">
      <formula>AND(COUNT(C21:F21)=4,D21=6)</formula>
    </cfRule>
    <cfRule type="expression" priority="125" dxfId="1">
      <formula>AND(COUNT(C21:F21)=4,D21&lt;6*0.4)</formula>
    </cfRule>
    <cfRule type="expression" priority="126" dxfId="2">
      <formula>AND(COUNT(C21:F21)=4,D21&gt;=6*0.4,D21&lt;6)</formula>
    </cfRule>
  </conditionalFormatting>
  <conditionalFormatting sqref="D22">
    <cfRule type="expression" priority="127" dxfId="0">
      <formula>AND(COUNT(C22:F22)=4,D22=6)</formula>
    </cfRule>
    <cfRule type="expression" priority="128" dxfId="1">
      <formula>AND(COUNT(C22:F22)=4,D22&lt;6*0.4)</formula>
    </cfRule>
    <cfRule type="expression" priority="129" dxfId="2">
      <formula>AND(COUNT(C22:F22)=4,D22&gt;=6*0.4,D22&lt;6)</formula>
    </cfRule>
  </conditionalFormatting>
  <conditionalFormatting sqref="D23">
    <cfRule type="expression" priority="130" dxfId="0">
      <formula>AND(COUNT(C23:F23)=4,D23=6)</formula>
    </cfRule>
    <cfRule type="expression" priority="131" dxfId="1">
      <formula>AND(COUNT(C23:F23)=4,D23&lt;6*0.4)</formula>
    </cfRule>
    <cfRule type="expression" priority="132" dxfId="2">
      <formula>AND(COUNT(C23:F23)=4,D23&gt;=6*0.4,D23&lt;6)</formula>
    </cfRule>
  </conditionalFormatting>
  <conditionalFormatting sqref="D24">
    <cfRule type="expression" priority="133" dxfId="0">
      <formula>AND(COUNT(C24:F24)=4,D24=6)</formula>
    </cfRule>
    <cfRule type="expression" priority="134" dxfId="1">
      <formula>AND(COUNT(C24:F24)=4,D24&lt;6*0.4)</formula>
    </cfRule>
    <cfRule type="expression" priority="135" dxfId="2">
      <formula>AND(COUNT(C24:F24)=4,D24&gt;=6*0.4,D24&lt;6)</formula>
    </cfRule>
  </conditionalFormatting>
  <conditionalFormatting sqref="D25">
    <cfRule type="expression" priority="136" dxfId="0">
      <formula>AND(COUNT(C25:F25)=4,D25=6)</formula>
    </cfRule>
    <cfRule type="expression" priority="137" dxfId="1">
      <formula>AND(COUNT(C25:F25)=4,D25&lt;6*0.4)</formula>
    </cfRule>
    <cfRule type="expression" priority="138" dxfId="2">
      <formula>AND(COUNT(C25:F25)=4,D25&gt;=6*0.4,D25&lt;6)</formula>
    </cfRule>
  </conditionalFormatting>
  <conditionalFormatting sqref="D26">
    <cfRule type="expression" priority="139" dxfId="0">
      <formula>AND(COUNT(C26:F26)=4,D26=6)</formula>
    </cfRule>
    <cfRule type="expression" priority="140" dxfId="1">
      <formula>AND(COUNT(C26:F26)=4,D26&lt;6*0.4)</formula>
    </cfRule>
    <cfRule type="expression" priority="141" dxfId="2">
      <formula>AND(COUNT(C26:F26)=4,D26&gt;=6*0.4,D26&lt;6)</formula>
    </cfRule>
  </conditionalFormatting>
  <conditionalFormatting sqref="D27">
    <cfRule type="expression" priority="142" dxfId="0">
      <formula>AND(COUNT(C27:F27)=4,D27=6)</formula>
    </cfRule>
    <cfRule type="expression" priority="143" dxfId="1">
      <formula>AND(COUNT(C27:F27)=4,D27&lt;6*0.4)</formula>
    </cfRule>
    <cfRule type="expression" priority="144" dxfId="2">
      <formula>AND(COUNT(C27:F27)=4,D27&gt;=6*0.4,D27&lt;6)</formula>
    </cfRule>
  </conditionalFormatting>
  <conditionalFormatting sqref="D28">
    <cfRule type="expression" priority="145" dxfId="0">
      <formula>AND(COUNT(C28:F28)=4,D28=6)</formula>
    </cfRule>
    <cfRule type="expression" priority="146" dxfId="1">
      <formula>AND(COUNT(C28:F28)=4,D28&lt;6*0.4)</formula>
    </cfRule>
    <cfRule type="expression" priority="147" dxfId="2">
      <formula>AND(COUNT(C28:F28)=4,D28&gt;=6*0.4,D28&lt;6)</formula>
    </cfRule>
  </conditionalFormatting>
  <conditionalFormatting sqref="D29">
    <cfRule type="expression" priority="148" dxfId="0">
      <formula>AND(COUNT(C29:F29)=4,D29=6)</formula>
    </cfRule>
    <cfRule type="expression" priority="149" dxfId="1">
      <formula>AND(COUNT(C29:F29)=4,D29&lt;6*0.4)</formula>
    </cfRule>
    <cfRule type="expression" priority="150" dxfId="2">
      <formula>AND(COUNT(C29:F29)=4,D29&gt;=6*0.4,D29&lt;6)</formula>
    </cfRule>
  </conditionalFormatting>
  <conditionalFormatting sqref="D30">
    <cfRule type="expression" priority="151" dxfId="0">
      <formula>AND(COUNT(C30:F30)=4,D30=6)</formula>
    </cfRule>
    <cfRule type="expression" priority="152" dxfId="1">
      <formula>AND(COUNT(C30:F30)=4,D30&lt;6*0.4)</formula>
    </cfRule>
    <cfRule type="expression" priority="153" dxfId="2">
      <formula>AND(COUNT(C30:F30)=4,D30&gt;=6*0.4,D30&lt;6)</formula>
    </cfRule>
  </conditionalFormatting>
  <conditionalFormatting sqref="D31">
    <cfRule type="expression" priority="154" dxfId="0">
      <formula>AND(COUNT(C31:F31)=4,D31=6)</formula>
    </cfRule>
    <cfRule type="expression" priority="155" dxfId="1">
      <formula>AND(COUNT(C31:F31)=4,D31&lt;6*0.4)</formula>
    </cfRule>
    <cfRule type="expression" priority="156" dxfId="2">
      <formula>AND(COUNT(C31:F31)=4,D31&gt;=6*0.4,D31&lt;6)</formula>
    </cfRule>
  </conditionalFormatting>
  <conditionalFormatting sqref="D32">
    <cfRule type="expression" priority="157" dxfId="0">
      <formula>AND(COUNT(C32:F32)=4,D32=6)</formula>
    </cfRule>
    <cfRule type="expression" priority="158" dxfId="1">
      <formula>AND(COUNT(C32:F32)=4,D32&lt;6*0.4)</formula>
    </cfRule>
    <cfRule type="expression" priority="159" dxfId="2">
      <formula>AND(COUNT(C32:F32)=4,D32&gt;=6*0.4,D32&lt;6)</formula>
    </cfRule>
  </conditionalFormatting>
  <conditionalFormatting sqref="D33">
    <cfRule type="expression" priority="160" dxfId="0">
      <formula>AND(COUNT(C33:F33)=4,D33=6)</formula>
    </cfRule>
    <cfRule type="expression" priority="161" dxfId="1">
      <formula>AND(COUNT(C33:F33)=4,D33&lt;6*0.4)</formula>
    </cfRule>
    <cfRule type="expression" priority="162" dxfId="2">
      <formula>AND(COUNT(C33:F33)=4,D33&gt;=6*0.4,D33&lt;6)</formula>
    </cfRule>
  </conditionalFormatting>
  <conditionalFormatting sqref="D34">
    <cfRule type="expression" priority="163" dxfId="0">
      <formula>AND(COUNT(C34:F34)=4,D34=6)</formula>
    </cfRule>
    <cfRule type="expression" priority="164" dxfId="1">
      <formula>AND(COUNT(C34:F34)=4,D34&lt;6*0.4)</formula>
    </cfRule>
    <cfRule type="expression" priority="165" dxfId="2">
      <formula>AND(COUNT(C34:F34)=4,D34&gt;=6*0.4,D34&lt;6)</formula>
    </cfRule>
  </conditionalFormatting>
  <conditionalFormatting sqref="D35">
    <cfRule type="expression" priority="166" dxfId="0">
      <formula>AND(COUNT(C35:F35)=4,D35=6)</formula>
    </cfRule>
    <cfRule type="expression" priority="167" dxfId="1">
      <formula>AND(COUNT(C35:F35)=4,D35&lt;6*0.4)</formula>
    </cfRule>
    <cfRule type="expression" priority="168" dxfId="2">
      <formula>AND(COUNT(C35:F35)=4,D35&gt;=6*0.4,D35&lt;6)</formula>
    </cfRule>
  </conditionalFormatting>
  <conditionalFormatting sqref="D36">
    <cfRule type="expression" priority="169" dxfId="0">
      <formula>AND(COUNT(C36:F36)=4,D36=6)</formula>
    </cfRule>
    <cfRule type="expression" priority="170" dxfId="1">
      <formula>AND(COUNT(C36:F36)=4,D36&lt;6*0.4)</formula>
    </cfRule>
    <cfRule type="expression" priority="171" dxfId="2">
      <formula>AND(COUNT(C36:F36)=4,D36&gt;=6*0.4,D36&lt;6)</formula>
    </cfRule>
  </conditionalFormatting>
  <conditionalFormatting sqref="D37">
    <cfRule type="expression" priority="172" dxfId="0">
      <formula>AND(COUNT(C37:F37)=4,D37=6)</formula>
    </cfRule>
    <cfRule type="expression" priority="173" dxfId="1">
      <formula>AND(COUNT(C37:F37)=4,D37&lt;6*0.4)</formula>
    </cfRule>
    <cfRule type="expression" priority="174" dxfId="2">
      <formula>AND(COUNT(C37:F37)=4,D37&gt;=6*0.4,D37&lt;6)</formula>
    </cfRule>
  </conditionalFormatting>
  <conditionalFormatting sqref="D38">
    <cfRule type="expression" priority="175" dxfId="0">
      <formula>AND(COUNT(C38:F38)=4,D38=6)</formula>
    </cfRule>
    <cfRule type="expression" priority="176" dxfId="1">
      <formula>AND(COUNT(C38:F38)=4,D38&lt;6*0.4)</formula>
    </cfRule>
    <cfRule type="expression" priority="177" dxfId="2">
      <formula>AND(COUNT(C38:F38)=4,D38&gt;=6*0.4,D38&lt;6)</formula>
    </cfRule>
  </conditionalFormatting>
  <conditionalFormatting sqref="D39">
    <cfRule type="expression" priority="178" dxfId="0">
      <formula>AND(COUNT(C39:F39)=4,D39=6)</formula>
    </cfRule>
    <cfRule type="expression" priority="179" dxfId="1">
      <formula>AND(COUNT(C39:F39)=4,D39&lt;6*0.4)</formula>
    </cfRule>
    <cfRule type="expression" priority="180" dxfId="2">
      <formula>AND(COUNT(C39:F39)=4,D39&gt;=6*0.4,D39&lt;6)</formula>
    </cfRule>
  </conditionalFormatting>
  <conditionalFormatting sqref="D40">
    <cfRule type="expression" priority="181" dxfId="0">
      <formula>AND(COUNT(C40:F40)=4,D40=6)</formula>
    </cfRule>
    <cfRule type="expression" priority="182" dxfId="1">
      <formula>AND(COUNT(C40:F40)=4,D40&lt;6*0.4)</formula>
    </cfRule>
    <cfRule type="expression" priority="183" dxfId="2">
      <formula>AND(COUNT(C40:F40)=4,D40&gt;=6*0.4,D40&lt;6)</formula>
    </cfRule>
  </conditionalFormatting>
  <conditionalFormatting sqref="D41">
    <cfRule type="expression" priority="184" dxfId="0">
      <formula>AND(COUNT(C41:F41)=4,D41=6)</formula>
    </cfRule>
    <cfRule type="expression" priority="185" dxfId="1">
      <formula>AND(COUNT(C41:F41)=4,D41&lt;6*0.4)</formula>
    </cfRule>
    <cfRule type="expression" priority="186" dxfId="2">
      <formula>AND(COUNT(C41:F41)=4,D41&gt;=6*0.4,D41&lt;6)</formula>
    </cfRule>
  </conditionalFormatting>
  <conditionalFormatting sqref="E11">
    <cfRule type="expression" priority="187" dxfId="0">
      <formula>AND(COUNT(C11:F11)=4,E11=6)</formula>
    </cfRule>
    <cfRule type="expression" priority="188" dxfId="1">
      <formula>AND(COUNT(C11:F11)=4,E11&lt;6*0.4)</formula>
    </cfRule>
    <cfRule type="expression" priority="189" dxfId="2">
      <formula>AND(COUNT(C11:F11)=4,E11&gt;=6*0.4,E11&lt;6)</formula>
    </cfRule>
  </conditionalFormatting>
  <conditionalFormatting sqref="E12">
    <cfRule type="expression" priority="190" dxfId="0">
      <formula>AND(COUNT(C12:F12)=4,E12=6)</formula>
    </cfRule>
    <cfRule type="expression" priority="191" dxfId="1">
      <formula>AND(COUNT(C12:F12)=4,E12&lt;6*0.4)</formula>
    </cfRule>
    <cfRule type="expression" priority="192" dxfId="2">
      <formula>AND(COUNT(C12:F12)=4,E12&gt;=6*0.4,E12&lt;6)</formula>
    </cfRule>
  </conditionalFormatting>
  <conditionalFormatting sqref="E13">
    <cfRule type="expression" priority="193" dxfId="0">
      <formula>AND(COUNT(C13:F13)=4,E13=6)</formula>
    </cfRule>
    <cfRule type="expression" priority="194" dxfId="1">
      <formula>AND(COUNT(C13:F13)=4,E13&lt;6*0.4)</formula>
    </cfRule>
    <cfRule type="expression" priority="195" dxfId="2">
      <formula>AND(COUNT(C13:F13)=4,E13&gt;=6*0.4,E13&lt;6)</formula>
    </cfRule>
  </conditionalFormatting>
  <conditionalFormatting sqref="E14">
    <cfRule type="expression" priority="196" dxfId="0">
      <formula>AND(COUNT(C14:F14)=4,E14=6)</formula>
    </cfRule>
    <cfRule type="expression" priority="197" dxfId="1">
      <formula>AND(COUNT(C14:F14)=4,E14&lt;6*0.4)</formula>
    </cfRule>
    <cfRule type="expression" priority="198" dxfId="2">
      <formula>AND(COUNT(C14:F14)=4,E14&gt;=6*0.4,E14&lt;6)</formula>
    </cfRule>
  </conditionalFormatting>
  <conditionalFormatting sqref="E15">
    <cfRule type="expression" priority="199" dxfId="0">
      <formula>AND(COUNT(C15:F15)=4,E15=6)</formula>
    </cfRule>
    <cfRule type="expression" priority="200" dxfId="1">
      <formula>AND(COUNT(C15:F15)=4,E15&lt;6*0.4)</formula>
    </cfRule>
    <cfRule type="expression" priority="201" dxfId="2">
      <formula>AND(COUNT(C15:F15)=4,E15&gt;=6*0.4,E15&lt;6)</formula>
    </cfRule>
  </conditionalFormatting>
  <conditionalFormatting sqref="E16">
    <cfRule type="expression" priority="202" dxfId="0">
      <formula>AND(COUNT(C16:F16)=4,E16=6)</formula>
    </cfRule>
    <cfRule type="expression" priority="203" dxfId="1">
      <formula>AND(COUNT(C16:F16)=4,E16&lt;6*0.4)</formula>
    </cfRule>
    <cfRule type="expression" priority="204" dxfId="2">
      <formula>AND(COUNT(C16:F16)=4,E16&gt;=6*0.4,E16&lt;6)</formula>
    </cfRule>
  </conditionalFormatting>
  <conditionalFormatting sqref="E17">
    <cfRule type="expression" priority="205" dxfId="0">
      <formula>AND(COUNT(C17:F17)=4,E17=6)</formula>
    </cfRule>
    <cfRule type="expression" priority="206" dxfId="1">
      <formula>AND(COUNT(C17:F17)=4,E17&lt;6*0.4)</formula>
    </cfRule>
    <cfRule type="expression" priority="207" dxfId="2">
      <formula>AND(COUNT(C17:F17)=4,E17&gt;=6*0.4,E17&lt;6)</formula>
    </cfRule>
  </conditionalFormatting>
  <conditionalFormatting sqref="E18">
    <cfRule type="expression" priority="208" dxfId="0">
      <formula>AND(COUNT(C18:F18)=4,E18=6)</formula>
    </cfRule>
    <cfRule type="expression" priority="209" dxfId="1">
      <formula>AND(COUNT(C18:F18)=4,E18&lt;6*0.4)</formula>
    </cfRule>
    <cfRule type="expression" priority="210" dxfId="2">
      <formula>AND(COUNT(C18:F18)=4,E18&gt;=6*0.4,E18&lt;6)</formula>
    </cfRule>
  </conditionalFormatting>
  <conditionalFormatting sqref="E19">
    <cfRule type="expression" priority="211" dxfId="0">
      <formula>AND(COUNT(C19:F19)=4,E19=6)</formula>
    </cfRule>
    <cfRule type="expression" priority="212" dxfId="1">
      <formula>AND(COUNT(C19:F19)=4,E19&lt;6*0.4)</formula>
    </cfRule>
    <cfRule type="expression" priority="213" dxfId="2">
      <formula>AND(COUNT(C19:F19)=4,E19&gt;=6*0.4,E19&lt;6)</formula>
    </cfRule>
  </conditionalFormatting>
  <conditionalFormatting sqref="E20">
    <cfRule type="expression" priority="214" dxfId="0">
      <formula>AND(COUNT(C20:F20)=4,E20=6)</formula>
    </cfRule>
    <cfRule type="expression" priority="215" dxfId="1">
      <formula>AND(COUNT(C20:F20)=4,E20&lt;6*0.4)</formula>
    </cfRule>
    <cfRule type="expression" priority="216" dxfId="2">
      <formula>AND(COUNT(C20:F20)=4,E20&gt;=6*0.4,E20&lt;6)</formula>
    </cfRule>
  </conditionalFormatting>
  <conditionalFormatting sqref="E21">
    <cfRule type="expression" priority="217" dxfId="0">
      <formula>AND(COUNT(C21:F21)=4,E21=6)</formula>
    </cfRule>
    <cfRule type="expression" priority="218" dxfId="1">
      <formula>AND(COUNT(C21:F21)=4,E21&lt;6*0.4)</formula>
    </cfRule>
    <cfRule type="expression" priority="219" dxfId="2">
      <formula>AND(COUNT(C21:F21)=4,E21&gt;=6*0.4,E21&lt;6)</formula>
    </cfRule>
  </conditionalFormatting>
  <conditionalFormatting sqref="E22">
    <cfRule type="expression" priority="220" dxfId="0">
      <formula>AND(COUNT(C22:F22)=4,E22=6)</formula>
    </cfRule>
    <cfRule type="expression" priority="221" dxfId="1">
      <formula>AND(COUNT(C22:F22)=4,E22&lt;6*0.4)</formula>
    </cfRule>
    <cfRule type="expression" priority="222" dxfId="2">
      <formula>AND(COUNT(C22:F22)=4,E22&gt;=6*0.4,E22&lt;6)</formula>
    </cfRule>
  </conditionalFormatting>
  <conditionalFormatting sqref="E23">
    <cfRule type="expression" priority="223" dxfId="0">
      <formula>AND(COUNT(C23:F23)=4,E23=6)</formula>
    </cfRule>
    <cfRule type="expression" priority="224" dxfId="1">
      <formula>AND(COUNT(C23:F23)=4,E23&lt;6*0.4)</formula>
    </cfRule>
    <cfRule type="expression" priority="225" dxfId="2">
      <formula>AND(COUNT(C23:F23)=4,E23&gt;=6*0.4,E23&lt;6)</formula>
    </cfRule>
  </conditionalFormatting>
  <conditionalFormatting sqref="E24">
    <cfRule type="expression" priority="226" dxfId="0">
      <formula>AND(COUNT(C24:F24)=4,E24=6)</formula>
    </cfRule>
    <cfRule type="expression" priority="227" dxfId="1">
      <formula>AND(COUNT(C24:F24)=4,E24&lt;6*0.4)</formula>
    </cfRule>
    <cfRule type="expression" priority="228" dxfId="2">
      <formula>AND(COUNT(C24:F24)=4,E24&gt;=6*0.4,E24&lt;6)</formula>
    </cfRule>
  </conditionalFormatting>
  <conditionalFormatting sqref="E25">
    <cfRule type="expression" priority="229" dxfId="0">
      <formula>AND(COUNT(C25:F25)=4,E25=6)</formula>
    </cfRule>
    <cfRule type="expression" priority="230" dxfId="1">
      <formula>AND(COUNT(C25:F25)=4,E25&lt;6*0.4)</formula>
    </cfRule>
    <cfRule type="expression" priority="231" dxfId="2">
      <formula>AND(COUNT(C25:F25)=4,E25&gt;=6*0.4,E25&lt;6)</formula>
    </cfRule>
  </conditionalFormatting>
  <conditionalFormatting sqref="E26">
    <cfRule type="expression" priority="232" dxfId="0">
      <formula>AND(COUNT(C26:F26)=4,E26=6)</formula>
    </cfRule>
    <cfRule type="expression" priority="233" dxfId="1">
      <formula>AND(COUNT(C26:F26)=4,E26&lt;6*0.4)</formula>
    </cfRule>
    <cfRule type="expression" priority="234" dxfId="2">
      <formula>AND(COUNT(C26:F26)=4,E26&gt;=6*0.4,E26&lt;6)</formula>
    </cfRule>
  </conditionalFormatting>
  <conditionalFormatting sqref="E27">
    <cfRule type="expression" priority="235" dxfId="0">
      <formula>AND(COUNT(C27:F27)=4,E27=6)</formula>
    </cfRule>
    <cfRule type="expression" priority="236" dxfId="1">
      <formula>AND(COUNT(C27:F27)=4,E27&lt;6*0.4)</formula>
    </cfRule>
    <cfRule type="expression" priority="237" dxfId="2">
      <formula>AND(COUNT(C27:F27)=4,E27&gt;=6*0.4,E27&lt;6)</formula>
    </cfRule>
  </conditionalFormatting>
  <conditionalFormatting sqref="E28">
    <cfRule type="expression" priority="238" dxfId="0">
      <formula>AND(COUNT(C28:F28)=4,E28=6)</formula>
    </cfRule>
    <cfRule type="expression" priority="239" dxfId="1">
      <formula>AND(COUNT(C28:F28)=4,E28&lt;6*0.4)</formula>
    </cfRule>
    <cfRule type="expression" priority="240" dxfId="2">
      <formula>AND(COUNT(C28:F28)=4,E28&gt;=6*0.4,E28&lt;6)</formula>
    </cfRule>
  </conditionalFormatting>
  <conditionalFormatting sqref="E29">
    <cfRule type="expression" priority="241" dxfId="0">
      <formula>AND(COUNT(C29:F29)=4,E29=6)</formula>
    </cfRule>
    <cfRule type="expression" priority="242" dxfId="1">
      <formula>AND(COUNT(C29:F29)=4,E29&lt;6*0.4)</formula>
    </cfRule>
    <cfRule type="expression" priority="243" dxfId="2">
      <formula>AND(COUNT(C29:F29)=4,E29&gt;=6*0.4,E29&lt;6)</formula>
    </cfRule>
  </conditionalFormatting>
  <conditionalFormatting sqref="E30">
    <cfRule type="expression" priority="244" dxfId="0">
      <formula>AND(COUNT(C30:F30)=4,E30=6)</formula>
    </cfRule>
    <cfRule type="expression" priority="245" dxfId="1">
      <formula>AND(COUNT(C30:F30)=4,E30&lt;6*0.4)</formula>
    </cfRule>
    <cfRule type="expression" priority="246" dxfId="2">
      <formula>AND(COUNT(C30:F30)=4,E30&gt;=6*0.4,E30&lt;6)</formula>
    </cfRule>
  </conditionalFormatting>
  <conditionalFormatting sqref="E31">
    <cfRule type="expression" priority="247" dxfId="0">
      <formula>AND(COUNT(C31:F31)=4,E31=6)</formula>
    </cfRule>
    <cfRule type="expression" priority="248" dxfId="1">
      <formula>AND(COUNT(C31:F31)=4,E31&lt;6*0.4)</formula>
    </cfRule>
    <cfRule type="expression" priority="249" dxfId="2">
      <formula>AND(COUNT(C31:F31)=4,E31&gt;=6*0.4,E31&lt;6)</formula>
    </cfRule>
  </conditionalFormatting>
  <conditionalFormatting sqref="E32">
    <cfRule type="expression" priority="250" dxfId="0">
      <formula>AND(COUNT(C32:F32)=4,E32=6)</formula>
    </cfRule>
    <cfRule type="expression" priority="251" dxfId="1">
      <formula>AND(COUNT(C32:F32)=4,E32&lt;6*0.4)</formula>
    </cfRule>
    <cfRule type="expression" priority="252" dxfId="2">
      <formula>AND(COUNT(C32:F32)=4,E32&gt;=6*0.4,E32&lt;6)</formula>
    </cfRule>
  </conditionalFormatting>
  <conditionalFormatting sqref="E33">
    <cfRule type="expression" priority="253" dxfId="0">
      <formula>AND(COUNT(C33:F33)=4,E33=6)</formula>
    </cfRule>
    <cfRule type="expression" priority="254" dxfId="1">
      <formula>AND(COUNT(C33:F33)=4,E33&lt;6*0.4)</formula>
    </cfRule>
    <cfRule type="expression" priority="255" dxfId="2">
      <formula>AND(COUNT(C33:F33)=4,E33&gt;=6*0.4,E33&lt;6)</formula>
    </cfRule>
  </conditionalFormatting>
  <conditionalFormatting sqref="E34">
    <cfRule type="expression" priority="256" dxfId="0">
      <formula>AND(COUNT(C34:F34)=4,E34=6)</formula>
    </cfRule>
    <cfRule type="expression" priority="257" dxfId="1">
      <formula>AND(COUNT(C34:F34)=4,E34&lt;6*0.4)</formula>
    </cfRule>
    <cfRule type="expression" priority="258" dxfId="2">
      <formula>AND(COUNT(C34:F34)=4,E34&gt;=6*0.4,E34&lt;6)</formula>
    </cfRule>
  </conditionalFormatting>
  <conditionalFormatting sqref="E35">
    <cfRule type="expression" priority="259" dxfId="0">
      <formula>AND(COUNT(C35:F35)=4,E35=6)</formula>
    </cfRule>
    <cfRule type="expression" priority="260" dxfId="1">
      <formula>AND(COUNT(C35:F35)=4,E35&lt;6*0.4)</formula>
    </cfRule>
    <cfRule type="expression" priority="261" dxfId="2">
      <formula>AND(COUNT(C35:F35)=4,E35&gt;=6*0.4,E35&lt;6)</formula>
    </cfRule>
  </conditionalFormatting>
  <conditionalFormatting sqref="E36">
    <cfRule type="expression" priority="262" dxfId="0">
      <formula>AND(COUNT(C36:F36)=4,E36=6)</formula>
    </cfRule>
    <cfRule type="expression" priority="263" dxfId="1">
      <formula>AND(COUNT(C36:F36)=4,E36&lt;6*0.4)</formula>
    </cfRule>
    <cfRule type="expression" priority="264" dxfId="2">
      <formula>AND(COUNT(C36:F36)=4,E36&gt;=6*0.4,E36&lt;6)</formula>
    </cfRule>
  </conditionalFormatting>
  <conditionalFormatting sqref="E37">
    <cfRule type="expression" priority="265" dxfId="0">
      <formula>AND(COUNT(C37:F37)=4,E37=6)</formula>
    </cfRule>
    <cfRule type="expression" priority="266" dxfId="1">
      <formula>AND(COUNT(C37:F37)=4,E37&lt;6*0.4)</formula>
    </cfRule>
    <cfRule type="expression" priority="267" dxfId="2">
      <formula>AND(COUNT(C37:F37)=4,E37&gt;=6*0.4,E37&lt;6)</formula>
    </cfRule>
  </conditionalFormatting>
  <conditionalFormatting sqref="E38">
    <cfRule type="expression" priority="268" dxfId="0">
      <formula>AND(COUNT(C38:F38)=4,E38=6)</formula>
    </cfRule>
    <cfRule type="expression" priority="269" dxfId="1">
      <formula>AND(COUNT(C38:F38)=4,E38&lt;6*0.4)</formula>
    </cfRule>
    <cfRule type="expression" priority="270" dxfId="2">
      <formula>AND(COUNT(C38:F38)=4,E38&gt;=6*0.4,E38&lt;6)</formula>
    </cfRule>
  </conditionalFormatting>
  <conditionalFormatting sqref="E39">
    <cfRule type="expression" priority="271" dxfId="0">
      <formula>AND(COUNT(C39:F39)=4,E39=6)</formula>
    </cfRule>
    <cfRule type="expression" priority="272" dxfId="1">
      <formula>AND(COUNT(C39:F39)=4,E39&lt;6*0.4)</formula>
    </cfRule>
    <cfRule type="expression" priority="273" dxfId="2">
      <formula>AND(COUNT(C39:F39)=4,E39&gt;=6*0.4,E39&lt;6)</formula>
    </cfRule>
  </conditionalFormatting>
  <conditionalFormatting sqref="E40">
    <cfRule type="expression" priority="274" dxfId="0">
      <formula>AND(COUNT(C40:F40)=4,E40=6)</formula>
    </cfRule>
    <cfRule type="expression" priority="275" dxfId="1">
      <formula>AND(COUNT(C40:F40)=4,E40&lt;6*0.4)</formula>
    </cfRule>
    <cfRule type="expression" priority="276" dxfId="2">
      <formula>AND(COUNT(C40:F40)=4,E40&gt;=6*0.4,E40&lt;6)</formula>
    </cfRule>
  </conditionalFormatting>
  <conditionalFormatting sqref="E41">
    <cfRule type="expression" priority="277" dxfId="0">
      <formula>AND(COUNT(C41:F41)=4,E41=6)</formula>
    </cfRule>
    <cfRule type="expression" priority="278" dxfId="1">
      <formula>AND(COUNT(C41:F41)=4,E41&lt;6*0.4)</formula>
    </cfRule>
    <cfRule type="expression" priority="279" dxfId="2">
      <formula>AND(COUNT(C41:F41)=4,E41&gt;=6*0.4,E41&lt;6)</formula>
    </cfRule>
  </conditionalFormatting>
  <conditionalFormatting sqref="F11">
    <cfRule type="expression" priority="280" dxfId="0">
      <formula>AND(COUNT(C11:F11)=4,F11=5)</formula>
    </cfRule>
    <cfRule type="expression" priority="281" dxfId="1">
      <formula>AND(COUNT(C11:F11)=4,F11&lt;5*0.4)</formula>
    </cfRule>
    <cfRule type="expression" priority="282" dxfId="2">
      <formula>AND(COUNT(C11:F11)=4,F11&gt;=5*0.4,F11&lt;5)</formula>
    </cfRule>
  </conditionalFormatting>
  <conditionalFormatting sqref="F12">
    <cfRule type="expression" priority="283" dxfId="0">
      <formula>AND(COUNT(C12:F12)=4,F12=5)</formula>
    </cfRule>
    <cfRule type="expression" priority="284" dxfId="1">
      <formula>AND(COUNT(C12:F12)=4,F12&lt;5*0.4)</formula>
    </cfRule>
    <cfRule type="expression" priority="285" dxfId="2">
      <formula>AND(COUNT(C12:F12)=4,F12&gt;=5*0.4,F12&lt;5)</formula>
    </cfRule>
  </conditionalFormatting>
  <conditionalFormatting sqref="F13">
    <cfRule type="expression" priority="286" dxfId="0">
      <formula>AND(COUNT(C13:F13)=4,F13=5)</formula>
    </cfRule>
    <cfRule type="expression" priority="287" dxfId="1">
      <formula>AND(COUNT(C13:F13)=4,F13&lt;5*0.4)</formula>
    </cfRule>
    <cfRule type="expression" priority="288" dxfId="2">
      <formula>AND(COUNT(C13:F13)=4,F13&gt;=5*0.4,F13&lt;5)</formula>
    </cfRule>
  </conditionalFormatting>
  <conditionalFormatting sqref="F14">
    <cfRule type="expression" priority="289" dxfId="0">
      <formula>AND(COUNT(C14:F14)=4,F14=5)</formula>
    </cfRule>
    <cfRule type="expression" priority="290" dxfId="1">
      <formula>AND(COUNT(C14:F14)=4,F14&lt;5*0.4)</formula>
    </cfRule>
    <cfRule type="expression" priority="291" dxfId="2">
      <formula>AND(COUNT(C14:F14)=4,F14&gt;=5*0.4,F14&lt;5)</formula>
    </cfRule>
  </conditionalFormatting>
  <conditionalFormatting sqref="F15">
    <cfRule type="expression" priority="292" dxfId="0">
      <formula>AND(COUNT(C15:F15)=4,F15=5)</formula>
    </cfRule>
    <cfRule type="expression" priority="293" dxfId="1">
      <formula>AND(COUNT(C15:F15)=4,F15&lt;5*0.4)</formula>
    </cfRule>
    <cfRule type="expression" priority="294" dxfId="2">
      <formula>AND(COUNT(C15:F15)=4,F15&gt;=5*0.4,F15&lt;5)</formula>
    </cfRule>
  </conditionalFormatting>
  <conditionalFormatting sqref="F16">
    <cfRule type="expression" priority="295" dxfId="0">
      <formula>AND(COUNT(C16:F16)=4,F16=5)</formula>
    </cfRule>
    <cfRule type="expression" priority="296" dxfId="1">
      <formula>AND(COUNT(C16:F16)=4,F16&lt;5*0.4)</formula>
    </cfRule>
    <cfRule type="expression" priority="297" dxfId="2">
      <formula>AND(COUNT(C16:F16)=4,F16&gt;=5*0.4,F16&lt;5)</formula>
    </cfRule>
  </conditionalFormatting>
  <conditionalFormatting sqref="F17">
    <cfRule type="expression" priority="298" dxfId="0">
      <formula>AND(COUNT(C17:F17)=4,F17=5)</formula>
    </cfRule>
    <cfRule type="expression" priority="299" dxfId="1">
      <formula>AND(COUNT(C17:F17)=4,F17&lt;5*0.4)</formula>
    </cfRule>
    <cfRule type="expression" priority="300" dxfId="2">
      <formula>AND(COUNT(C17:F17)=4,F17&gt;=5*0.4,F17&lt;5)</formula>
    </cfRule>
  </conditionalFormatting>
  <conditionalFormatting sqref="F18">
    <cfRule type="expression" priority="301" dxfId="0">
      <formula>AND(COUNT(C18:F18)=4,F18=5)</formula>
    </cfRule>
    <cfRule type="expression" priority="302" dxfId="1">
      <formula>AND(COUNT(C18:F18)=4,F18&lt;5*0.4)</formula>
    </cfRule>
    <cfRule type="expression" priority="303" dxfId="2">
      <formula>AND(COUNT(C18:F18)=4,F18&gt;=5*0.4,F18&lt;5)</formula>
    </cfRule>
  </conditionalFormatting>
  <conditionalFormatting sqref="F19">
    <cfRule type="expression" priority="304" dxfId="0">
      <formula>AND(COUNT(C19:F19)=4,F19=5)</formula>
    </cfRule>
    <cfRule type="expression" priority="305" dxfId="1">
      <formula>AND(COUNT(C19:F19)=4,F19&lt;5*0.4)</formula>
    </cfRule>
    <cfRule type="expression" priority="306" dxfId="2">
      <formula>AND(COUNT(C19:F19)=4,F19&gt;=5*0.4,F19&lt;5)</formula>
    </cfRule>
  </conditionalFormatting>
  <conditionalFormatting sqref="F20">
    <cfRule type="expression" priority="307" dxfId="0">
      <formula>AND(COUNT(C20:F20)=4,F20=5)</formula>
    </cfRule>
    <cfRule type="expression" priority="308" dxfId="1">
      <formula>AND(COUNT(C20:F20)=4,F20&lt;5*0.4)</formula>
    </cfRule>
    <cfRule type="expression" priority="309" dxfId="2">
      <formula>AND(COUNT(C20:F20)=4,F20&gt;=5*0.4,F20&lt;5)</formula>
    </cfRule>
  </conditionalFormatting>
  <conditionalFormatting sqref="F21">
    <cfRule type="expression" priority="310" dxfId="0">
      <formula>AND(COUNT(C21:F21)=4,F21=5)</formula>
    </cfRule>
    <cfRule type="expression" priority="311" dxfId="1">
      <formula>AND(COUNT(C21:F21)=4,F21&lt;5*0.4)</formula>
    </cfRule>
    <cfRule type="expression" priority="312" dxfId="2">
      <formula>AND(COUNT(C21:F21)=4,F21&gt;=5*0.4,F21&lt;5)</formula>
    </cfRule>
  </conditionalFormatting>
  <conditionalFormatting sqref="F22">
    <cfRule type="expression" priority="313" dxfId="0">
      <formula>AND(COUNT(C22:F22)=4,F22=5)</formula>
    </cfRule>
    <cfRule type="expression" priority="314" dxfId="1">
      <formula>AND(COUNT(C22:F22)=4,F22&lt;5*0.4)</formula>
    </cfRule>
    <cfRule type="expression" priority="315" dxfId="2">
      <formula>AND(COUNT(C22:F22)=4,F22&gt;=5*0.4,F22&lt;5)</formula>
    </cfRule>
  </conditionalFormatting>
  <conditionalFormatting sqref="F23">
    <cfRule type="expression" priority="316" dxfId="0">
      <formula>AND(COUNT(C23:F23)=4,F23=5)</formula>
    </cfRule>
    <cfRule type="expression" priority="317" dxfId="1">
      <formula>AND(COUNT(C23:F23)=4,F23&lt;5*0.4)</formula>
    </cfRule>
    <cfRule type="expression" priority="318" dxfId="2">
      <formula>AND(COUNT(C23:F23)=4,F23&gt;=5*0.4,F23&lt;5)</formula>
    </cfRule>
  </conditionalFormatting>
  <conditionalFormatting sqref="F24">
    <cfRule type="expression" priority="319" dxfId="0">
      <formula>AND(COUNT(C24:F24)=4,F24=5)</formula>
    </cfRule>
    <cfRule type="expression" priority="320" dxfId="1">
      <formula>AND(COUNT(C24:F24)=4,F24&lt;5*0.4)</formula>
    </cfRule>
    <cfRule type="expression" priority="321" dxfId="2">
      <formula>AND(COUNT(C24:F24)=4,F24&gt;=5*0.4,F24&lt;5)</formula>
    </cfRule>
  </conditionalFormatting>
  <conditionalFormatting sqref="F25">
    <cfRule type="expression" priority="322" dxfId="0">
      <formula>AND(COUNT(C25:F25)=4,F25=5)</formula>
    </cfRule>
    <cfRule type="expression" priority="323" dxfId="1">
      <formula>AND(COUNT(C25:F25)=4,F25&lt;5*0.4)</formula>
    </cfRule>
    <cfRule type="expression" priority="324" dxfId="2">
      <formula>AND(COUNT(C25:F25)=4,F25&gt;=5*0.4,F25&lt;5)</formula>
    </cfRule>
  </conditionalFormatting>
  <conditionalFormatting sqref="F26">
    <cfRule type="expression" priority="325" dxfId="0">
      <formula>AND(COUNT(C26:F26)=4,F26=5)</formula>
    </cfRule>
    <cfRule type="expression" priority="326" dxfId="1">
      <formula>AND(COUNT(C26:F26)=4,F26&lt;5*0.4)</formula>
    </cfRule>
    <cfRule type="expression" priority="327" dxfId="2">
      <formula>AND(COUNT(C26:F26)=4,F26&gt;=5*0.4,F26&lt;5)</formula>
    </cfRule>
  </conditionalFormatting>
  <conditionalFormatting sqref="F27">
    <cfRule type="expression" priority="328" dxfId="0">
      <formula>AND(COUNT(C27:F27)=4,F27=5)</formula>
    </cfRule>
    <cfRule type="expression" priority="329" dxfId="1">
      <formula>AND(COUNT(C27:F27)=4,F27&lt;5*0.4)</formula>
    </cfRule>
    <cfRule type="expression" priority="330" dxfId="2">
      <formula>AND(COUNT(C27:F27)=4,F27&gt;=5*0.4,F27&lt;5)</formula>
    </cfRule>
  </conditionalFormatting>
  <conditionalFormatting sqref="F28">
    <cfRule type="expression" priority="331" dxfId="0">
      <formula>AND(COUNT(C28:F28)=4,F28=5)</formula>
    </cfRule>
    <cfRule type="expression" priority="332" dxfId="1">
      <formula>AND(COUNT(C28:F28)=4,F28&lt;5*0.4)</formula>
    </cfRule>
    <cfRule type="expression" priority="333" dxfId="2">
      <formula>AND(COUNT(C28:F28)=4,F28&gt;=5*0.4,F28&lt;5)</formula>
    </cfRule>
  </conditionalFormatting>
  <conditionalFormatting sqref="F29">
    <cfRule type="expression" priority="334" dxfId="0">
      <formula>AND(COUNT(C29:F29)=4,F29=5)</formula>
    </cfRule>
    <cfRule type="expression" priority="335" dxfId="1">
      <formula>AND(COUNT(C29:F29)=4,F29&lt;5*0.4)</formula>
    </cfRule>
    <cfRule type="expression" priority="336" dxfId="2">
      <formula>AND(COUNT(C29:F29)=4,F29&gt;=5*0.4,F29&lt;5)</formula>
    </cfRule>
  </conditionalFormatting>
  <conditionalFormatting sqref="F30">
    <cfRule type="expression" priority="337" dxfId="0">
      <formula>AND(COUNT(C30:F30)=4,F30=5)</formula>
    </cfRule>
    <cfRule type="expression" priority="338" dxfId="1">
      <formula>AND(COUNT(C30:F30)=4,F30&lt;5*0.4)</formula>
    </cfRule>
    <cfRule type="expression" priority="339" dxfId="2">
      <formula>AND(COUNT(C30:F30)=4,F30&gt;=5*0.4,F30&lt;5)</formula>
    </cfRule>
  </conditionalFormatting>
  <conditionalFormatting sqref="F31">
    <cfRule type="expression" priority="340" dxfId="0">
      <formula>AND(COUNT(C31:F31)=4,F31=5)</formula>
    </cfRule>
    <cfRule type="expression" priority="341" dxfId="1">
      <formula>AND(COUNT(C31:F31)=4,F31&lt;5*0.4)</formula>
    </cfRule>
    <cfRule type="expression" priority="342" dxfId="2">
      <formula>AND(COUNT(C31:F31)=4,F31&gt;=5*0.4,F31&lt;5)</formula>
    </cfRule>
  </conditionalFormatting>
  <conditionalFormatting sqref="F32">
    <cfRule type="expression" priority="343" dxfId="0">
      <formula>AND(COUNT(C32:F32)=4,F32=5)</formula>
    </cfRule>
    <cfRule type="expression" priority="344" dxfId="1">
      <formula>AND(COUNT(C32:F32)=4,F32&lt;5*0.4)</formula>
    </cfRule>
    <cfRule type="expression" priority="345" dxfId="2">
      <formula>AND(COUNT(C32:F32)=4,F32&gt;=5*0.4,F32&lt;5)</formula>
    </cfRule>
  </conditionalFormatting>
  <conditionalFormatting sqref="F33">
    <cfRule type="expression" priority="346" dxfId="0">
      <formula>AND(COUNT(C33:F33)=4,F33=5)</formula>
    </cfRule>
    <cfRule type="expression" priority="347" dxfId="1">
      <formula>AND(COUNT(C33:F33)=4,F33&lt;5*0.4)</formula>
    </cfRule>
    <cfRule type="expression" priority="348" dxfId="2">
      <formula>AND(COUNT(C33:F33)=4,F33&gt;=5*0.4,F33&lt;5)</formula>
    </cfRule>
  </conditionalFormatting>
  <conditionalFormatting sqref="F34">
    <cfRule type="expression" priority="349" dxfId="0">
      <formula>AND(COUNT(C34:F34)=4,F34=5)</formula>
    </cfRule>
    <cfRule type="expression" priority="350" dxfId="1">
      <formula>AND(COUNT(C34:F34)=4,F34&lt;5*0.4)</formula>
    </cfRule>
    <cfRule type="expression" priority="351" dxfId="2">
      <formula>AND(COUNT(C34:F34)=4,F34&gt;=5*0.4,F34&lt;5)</formula>
    </cfRule>
  </conditionalFormatting>
  <conditionalFormatting sqref="F35">
    <cfRule type="expression" priority="352" dxfId="0">
      <formula>AND(COUNT(C35:F35)=4,F35=5)</formula>
    </cfRule>
    <cfRule type="expression" priority="353" dxfId="1">
      <formula>AND(COUNT(C35:F35)=4,F35&lt;5*0.4)</formula>
    </cfRule>
    <cfRule type="expression" priority="354" dxfId="2">
      <formula>AND(COUNT(C35:F35)=4,F35&gt;=5*0.4,F35&lt;5)</formula>
    </cfRule>
  </conditionalFormatting>
  <conditionalFormatting sqref="F36">
    <cfRule type="expression" priority="355" dxfId="0">
      <formula>AND(COUNT(C36:F36)=4,F36=5)</formula>
    </cfRule>
    <cfRule type="expression" priority="356" dxfId="1">
      <formula>AND(COUNT(C36:F36)=4,F36&lt;5*0.4)</formula>
    </cfRule>
    <cfRule type="expression" priority="357" dxfId="2">
      <formula>AND(COUNT(C36:F36)=4,F36&gt;=5*0.4,F36&lt;5)</formula>
    </cfRule>
  </conditionalFormatting>
  <conditionalFormatting sqref="F37">
    <cfRule type="expression" priority="358" dxfId="0">
      <formula>AND(COUNT(C37:F37)=4,F37=5)</formula>
    </cfRule>
    <cfRule type="expression" priority="359" dxfId="1">
      <formula>AND(COUNT(C37:F37)=4,F37&lt;5*0.4)</formula>
    </cfRule>
    <cfRule type="expression" priority="360" dxfId="2">
      <formula>AND(COUNT(C37:F37)=4,F37&gt;=5*0.4,F37&lt;5)</formula>
    </cfRule>
  </conditionalFormatting>
  <conditionalFormatting sqref="F38">
    <cfRule type="expression" priority="361" dxfId="0">
      <formula>AND(COUNT(C38:F38)=4,F38=5)</formula>
    </cfRule>
    <cfRule type="expression" priority="362" dxfId="1">
      <formula>AND(COUNT(C38:F38)=4,F38&lt;5*0.4)</formula>
    </cfRule>
    <cfRule type="expression" priority="363" dxfId="2">
      <formula>AND(COUNT(C38:F38)=4,F38&gt;=5*0.4,F38&lt;5)</formula>
    </cfRule>
  </conditionalFormatting>
  <conditionalFormatting sqref="F39">
    <cfRule type="expression" priority="364" dxfId="0">
      <formula>AND(COUNT(C39:F39)=4,F39=5)</formula>
    </cfRule>
    <cfRule type="expression" priority="365" dxfId="1">
      <formula>AND(COUNT(C39:F39)=4,F39&lt;5*0.4)</formula>
    </cfRule>
    <cfRule type="expression" priority="366" dxfId="2">
      <formula>AND(COUNT(C39:F39)=4,F39&gt;=5*0.4,F39&lt;5)</formula>
    </cfRule>
  </conditionalFormatting>
  <conditionalFormatting sqref="F40">
    <cfRule type="expression" priority="367" dxfId="0">
      <formula>AND(COUNT(C40:F40)=4,F40=5)</formula>
    </cfRule>
    <cfRule type="expression" priority="368" dxfId="1">
      <formula>AND(COUNT(C40:F40)=4,F40&lt;5*0.4)</formula>
    </cfRule>
    <cfRule type="expression" priority="369" dxfId="2">
      <formula>AND(COUNT(C40:F40)=4,F40&gt;=5*0.4,F40&lt;5)</formula>
    </cfRule>
  </conditionalFormatting>
  <conditionalFormatting sqref="F41">
    <cfRule type="expression" priority="370" dxfId="0">
      <formula>AND(COUNT(C41:F41)=4,F41=5)</formula>
    </cfRule>
    <cfRule type="expression" priority="371" dxfId="1">
      <formula>AND(COUNT(C41:F41)=4,F41&lt;5*0.4)</formula>
    </cfRule>
    <cfRule type="expression" priority="372" dxfId="2">
      <formula>AND(COUNT(C41:F41)=4,F41&gt;=5*0.4,F41&lt;5)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Mini Test 4.2 — Critical Analysis of Data &amp; Models</t>
        </is>
      </c>
    </row>
    <row r="2">
      <c r="A2" s="2" t="inlineStr">
        <is>
          <t>Every block below pulls live from 'MT 4.2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SUMPRODUCT(--ISNUMBER('MT 4.2 Results'!I12:I41))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IF('MT 4.2 Results'!I12="","","Mini Test 4.2 — Critical Analysis of Data &amp; Models")</f>
        <v/>
      </c>
      <c r="K5">
        <f>IF('MT 4.2 Results'!I13="","","Mini Test 4.2 — Critical Analysis of Data &amp; Models")</f>
        <v/>
      </c>
    </row>
    <row r="6">
      <c r="A6">
        <f>IF('MT 4.2 Results'!I12="","","Name: "&amp;'MT 4.2 Results'!B12&amp;"   Class: "&amp;'MT 4.2 Results'!$B$3&amp;"   Date: "&amp;TEXT('MT 4.2 Results'!$B$5,"DD/MM/YY"))</f>
        <v/>
      </c>
      <c r="K6">
        <f>IF('MT 4.2 Results'!I13="","","Name: "&amp;'MT 4.2 Results'!B13&amp;"   Class: "&amp;'MT 4.2 Results'!$B$3&amp;"   Date: "&amp;TEXT('MT 4.2 Results'!$B$5,"DD/MM/YY"))</f>
        <v/>
      </c>
    </row>
    <row r="7">
      <c r="A7">
        <f>IF('MT 4.2 Results'!I12="","","Total: "&amp;'MT 4.2 Results'!G12&amp;"/23 ("&amp;TEXT('MT 4.2 Results'!H12,"0%")&amp;")   Overall: "&amp;'MT 4.2 Results'!I12)</f>
        <v/>
      </c>
      <c r="K7">
        <f>IF('MT 4.2 Results'!I13="","","Total: "&amp;'MT 4.2 Results'!G13&amp;"/23 ("&amp;TEXT('MT 4.2 Results'!H13,"0%")&amp;")   Overall: "&amp;'MT 4.2 Results'!I13)</f>
        <v/>
      </c>
    </row>
    <row r="8">
      <c r="A8">
        <f>IF('MT 4.2 Results'!I12="","",IF('MT 4.2 Results'!I12="Green",Parameters!$C$242,IF('MT 4.2 Results'!I12="Yellow",Parameters!$C$241,Parameters!$C$240)))</f>
        <v/>
      </c>
      <c r="K8">
        <f>IF('MT 4.2 Results'!I13="","",IF('MT 4.2 Results'!I13="Green",Parameters!$C$242,IF('MT 4.2 Results'!I13="Yellow",Parameters!$C$241,Parameters!$C$240)))</f>
        <v/>
      </c>
    </row>
    <row r="10">
      <c r="A10">
        <f>IF('MT 4.2 Results'!I12="","","Breakdown:")</f>
        <v/>
      </c>
      <c r="K10">
        <f>IF('MT 4.2 Results'!I13="","","Breakdown:")</f>
        <v/>
      </c>
    </row>
    <row r="11">
      <c r="A11">
        <f>IF('MT 4.2 Results'!I12="","","Q1 Correlation vs causation (scatter graph): "&amp;'MT 4.2 Results'!C12&amp;"/6")</f>
        <v/>
      </c>
      <c r="K11">
        <f>IF('MT 4.2 Results'!I13="","","Q1 Correlation vs causation (scatter graph): "&amp;'MT 4.2 Results'!C13&amp;"/6")</f>
        <v/>
      </c>
    </row>
    <row r="12">
      <c r="A12">
        <f>IF('MT 4.2 Results'!I12="","","Q2 Evaluating evidence for a health claim: "&amp;'MT 4.2 Results'!D12&amp;"/6")</f>
        <v/>
      </c>
      <c r="K12">
        <f>IF('MT 4.2 Results'!I13="","","Q2 Evaluating evidence for a health claim: "&amp;'MT 4.2 Results'!D13&amp;"/6")</f>
        <v/>
      </c>
    </row>
    <row r="13">
      <c r="A13">
        <f>IF('MT 4.2 Results'!I12="","","Q3 Linear model predictions vs real data: "&amp;'MT 4.2 Results'!E12&amp;"/6")</f>
        <v/>
      </c>
      <c r="K13">
        <f>IF('MT 4.2 Results'!I13="","","Q3 Linear model predictions vs real data: "&amp;'MT 4.2 Results'!E13&amp;"/6")</f>
        <v/>
      </c>
    </row>
    <row r="14">
      <c r="A14">
        <f>IF('MT 4.2 Results'!I12="","","Q4 Assumptions of a linear growth model: "&amp;'MT 4.2 Results'!F12&amp;"/5")</f>
        <v/>
      </c>
      <c r="K14">
        <f>IF('MT 4.2 Results'!I13="","","Q4 Assumptions of a linear growth model: "&amp;'MT 4.2 Results'!F13&amp;"/5")</f>
        <v/>
      </c>
    </row>
    <row r="15">
      <c r="A15">
        <f>IF(OR('MT 4.2 Results'!I12="",'MT 4.2 Results'!J12=""),"",'MT 4.2 Results'!J12)</f>
        <v/>
      </c>
      <c r="K15">
        <f>IF(OR('MT 4.2 Results'!I13="",'MT 4.2 Results'!J13=""),"",'MT 4.2 Results'!J13)</f>
        <v/>
      </c>
    </row>
    <row r="17">
      <c r="A17">
        <f>IF('MT 4.2 Results'!I12="","","Comments:")</f>
        <v/>
      </c>
      <c r="K17">
        <f>IF('MT 4.2 Results'!I13="","","Comments:")</f>
        <v/>
      </c>
    </row>
    <row r="21">
      <c r="A21">
        <f>IF('MT 4.2 Results'!I14="","","Mini Test 4.2 — Critical Analysis of Data &amp; Models")</f>
        <v/>
      </c>
      <c r="K21">
        <f>IF('MT 4.2 Results'!I15="","","Mini Test 4.2 — Critical Analysis of Data &amp; Models")</f>
        <v/>
      </c>
    </row>
    <row r="22">
      <c r="A22">
        <f>IF('MT 4.2 Results'!I14="","","Name: "&amp;'MT 4.2 Results'!B14&amp;"   Class: "&amp;'MT 4.2 Results'!$B$3&amp;"   Date: "&amp;TEXT('MT 4.2 Results'!$B$5,"DD/MM/YY"))</f>
        <v/>
      </c>
      <c r="K22">
        <f>IF('MT 4.2 Results'!I15="","","Name: "&amp;'MT 4.2 Results'!B15&amp;"   Class: "&amp;'MT 4.2 Results'!$B$3&amp;"   Date: "&amp;TEXT('MT 4.2 Results'!$B$5,"DD/MM/YY"))</f>
        <v/>
      </c>
    </row>
    <row r="23">
      <c r="A23">
        <f>IF('MT 4.2 Results'!I14="","","Total: "&amp;'MT 4.2 Results'!G14&amp;"/23 ("&amp;TEXT('MT 4.2 Results'!H14,"0%")&amp;")   Overall: "&amp;'MT 4.2 Results'!I14)</f>
        <v/>
      </c>
      <c r="K23">
        <f>IF('MT 4.2 Results'!I15="","","Total: "&amp;'MT 4.2 Results'!G15&amp;"/23 ("&amp;TEXT('MT 4.2 Results'!H15,"0%")&amp;")   Overall: "&amp;'MT 4.2 Results'!I15)</f>
        <v/>
      </c>
    </row>
    <row r="24">
      <c r="A24">
        <f>IF('MT 4.2 Results'!I14="","",IF('MT 4.2 Results'!I14="Green",Parameters!$C$242,IF('MT 4.2 Results'!I14="Yellow",Parameters!$C$241,Parameters!$C$240)))</f>
        <v/>
      </c>
      <c r="K24">
        <f>IF('MT 4.2 Results'!I15="","",IF('MT 4.2 Results'!I15="Green",Parameters!$C$242,IF('MT 4.2 Results'!I15="Yellow",Parameters!$C$241,Parameters!$C$240)))</f>
        <v/>
      </c>
    </row>
    <row r="26">
      <c r="A26">
        <f>IF('MT 4.2 Results'!I14="","","Breakdown:")</f>
        <v/>
      </c>
      <c r="K26">
        <f>IF('MT 4.2 Results'!I15="","","Breakdown:")</f>
        <v/>
      </c>
    </row>
    <row r="27">
      <c r="A27">
        <f>IF('MT 4.2 Results'!I14="","","Q1 Correlation vs causation (scatter graph): "&amp;'MT 4.2 Results'!C14&amp;"/6")</f>
        <v/>
      </c>
      <c r="K27">
        <f>IF('MT 4.2 Results'!I15="","","Q1 Correlation vs causation (scatter graph): "&amp;'MT 4.2 Results'!C15&amp;"/6")</f>
        <v/>
      </c>
    </row>
    <row r="28">
      <c r="A28">
        <f>IF('MT 4.2 Results'!I14="","","Q2 Evaluating evidence for a health claim: "&amp;'MT 4.2 Results'!D14&amp;"/6")</f>
        <v/>
      </c>
      <c r="K28">
        <f>IF('MT 4.2 Results'!I15="","","Q2 Evaluating evidence for a health claim: "&amp;'MT 4.2 Results'!D15&amp;"/6")</f>
        <v/>
      </c>
    </row>
    <row r="29">
      <c r="A29">
        <f>IF('MT 4.2 Results'!I14="","","Q3 Linear model predictions vs real data: "&amp;'MT 4.2 Results'!E14&amp;"/6")</f>
        <v/>
      </c>
      <c r="K29">
        <f>IF('MT 4.2 Results'!I15="","","Q3 Linear model predictions vs real data: "&amp;'MT 4.2 Results'!E15&amp;"/6")</f>
        <v/>
      </c>
    </row>
    <row r="30">
      <c r="A30">
        <f>IF('MT 4.2 Results'!I14="","","Q4 Assumptions of a linear growth model: "&amp;'MT 4.2 Results'!F14&amp;"/5")</f>
        <v/>
      </c>
      <c r="K30">
        <f>IF('MT 4.2 Results'!I15="","","Q4 Assumptions of a linear growth model: "&amp;'MT 4.2 Results'!F15&amp;"/5")</f>
        <v/>
      </c>
    </row>
    <row r="31">
      <c r="A31">
        <f>IF(OR('MT 4.2 Results'!I14="",'MT 4.2 Results'!J14=""),"",'MT 4.2 Results'!J14)</f>
        <v/>
      </c>
      <c r="K31">
        <f>IF(OR('MT 4.2 Results'!I15="",'MT 4.2 Results'!J15=""),"",'MT 4.2 Results'!J15)</f>
        <v/>
      </c>
    </row>
    <row r="33">
      <c r="A33">
        <f>IF('MT 4.2 Results'!I14="","","Comments:")</f>
        <v/>
      </c>
      <c r="K33">
        <f>IF('MT 4.2 Results'!I15="","","Comments:")</f>
        <v/>
      </c>
    </row>
    <row r="37">
      <c r="A37">
        <f>IF('MT 4.2 Results'!I16="","","Mini Test 4.2 — Critical Analysis of Data &amp; Models")</f>
        <v/>
      </c>
      <c r="K37">
        <f>IF('MT 4.2 Results'!I17="","","Mini Test 4.2 — Critical Analysis of Data &amp; Models")</f>
        <v/>
      </c>
    </row>
    <row r="38">
      <c r="A38">
        <f>IF('MT 4.2 Results'!I16="","","Name: "&amp;'MT 4.2 Results'!B16&amp;"   Class: "&amp;'MT 4.2 Results'!$B$3&amp;"   Date: "&amp;TEXT('MT 4.2 Results'!$B$5,"DD/MM/YY"))</f>
        <v/>
      </c>
      <c r="K38">
        <f>IF('MT 4.2 Results'!I17="","","Name: "&amp;'MT 4.2 Results'!B17&amp;"   Class: "&amp;'MT 4.2 Results'!$B$3&amp;"   Date: "&amp;TEXT('MT 4.2 Results'!$B$5,"DD/MM/YY"))</f>
        <v/>
      </c>
    </row>
    <row r="39">
      <c r="A39">
        <f>IF('MT 4.2 Results'!I16="","","Total: "&amp;'MT 4.2 Results'!G16&amp;"/23 ("&amp;TEXT('MT 4.2 Results'!H16,"0%")&amp;")   Overall: "&amp;'MT 4.2 Results'!I16)</f>
        <v/>
      </c>
      <c r="K39">
        <f>IF('MT 4.2 Results'!I17="","","Total: "&amp;'MT 4.2 Results'!G17&amp;"/23 ("&amp;TEXT('MT 4.2 Results'!H17,"0%")&amp;")   Overall: "&amp;'MT 4.2 Results'!I17)</f>
        <v/>
      </c>
    </row>
    <row r="40">
      <c r="A40">
        <f>IF('MT 4.2 Results'!I16="","",IF('MT 4.2 Results'!I16="Green",Parameters!$C$242,IF('MT 4.2 Results'!I16="Yellow",Parameters!$C$241,Parameters!$C$240)))</f>
        <v/>
      </c>
      <c r="K40">
        <f>IF('MT 4.2 Results'!I17="","",IF('MT 4.2 Results'!I17="Green",Parameters!$C$242,IF('MT 4.2 Results'!I17="Yellow",Parameters!$C$241,Parameters!$C$240)))</f>
        <v/>
      </c>
    </row>
    <row r="42">
      <c r="A42">
        <f>IF('MT 4.2 Results'!I16="","","Breakdown:")</f>
        <v/>
      </c>
      <c r="K42">
        <f>IF('MT 4.2 Results'!I17="","","Breakdown:")</f>
        <v/>
      </c>
    </row>
    <row r="43">
      <c r="A43">
        <f>IF('MT 4.2 Results'!I16="","","Q1 Correlation vs causation (scatter graph): "&amp;'MT 4.2 Results'!C16&amp;"/6")</f>
        <v/>
      </c>
      <c r="K43">
        <f>IF('MT 4.2 Results'!I17="","","Q1 Correlation vs causation (scatter graph): "&amp;'MT 4.2 Results'!C17&amp;"/6")</f>
        <v/>
      </c>
    </row>
    <row r="44">
      <c r="A44">
        <f>IF('MT 4.2 Results'!I16="","","Q2 Evaluating evidence for a health claim: "&amp;'MT 4.2 Results'!D16&amp;"/6")</f>
        <v/>
      </c>
      <c r="K44">
        <f>IF('MT 4.2 Results'!I17="","","Q2 Evaluating evidence for a health claim: "&amp;'MT 4.2 Results'!D17&amp;"/6")</f>
        <v/>
      </c>
    </row>
    <row r="45">
      <c r="A45">
        <f>IF('MT 4.2 Results'!I16="","","Q3 Linear model predictions vs real data: "&amp;'MT 4.2 Results'!E16&amp;"/6")</f>
        <v/>
      </c>
      <c r="K45">
        <f>IF('MT 4.2 Results'!I17="","","Q3 Linear model predictions vs real data: "&amp;'MT 4.2 Results'!E17&amp;"/6")</f>
        <v/>
      </c>
    </row>
    <row r="46">
      <c r="A46">
        <f>IF('MT 4.2 Results'!I16="","","Q4 Assumptions of a linear growth model: "&amp;'MT 4.2 Results'!F16&amp;"/5")</f>
        <v/>
      </c>
      <c r="K46">
        <f>IF('MT 4.2 Results'!I17="","","Q4 Assumptions of a linear growth model: "&amp;'MT 4.2 Results'!F17&amp;"/5")</f>
        <v/>
      </c>
    </row>
    <row r="47">
      <c r="A47">
        <f>IF(OR('MT 4.2 Results'!I16="",'MT 4.2 Results'!J16=""),"",'MT 4.2 Results'!J16)</f>
        <v/>
      </c>
      <c r="K47">
        <f>IF(OR('MT 4.2 Results'!I17="",'MT 4.2 Results'!J17=""),"",'MT 4.2 Results'!J17)</f>
        <v/>
      </c>
    </row>
    <row r="49">
      <c r="A49">
        <f>IF('MT 4.2 Results'!I16="","","Comments:")</f>
        <v/>
      </c>
      <c r="K49">
        <f>IF('MT 4.2 Results'!I17="","","Comments:")</f>
        <v/>
      </c>
    </row>
    <row r="53">
      <c r="A53">
        <f>IF('MT 4.2 Results'!I18="","","Mini Test 4.2 — Critical Analysis of Data &amp; Models")</f>
        <v/>
      </c>
      <c r="K53">
        <f>IF('MT 4.2 Results'!I19="","","Mini Test 4.2 — Critical Analysis of Data &amp; Models")</f>
        <v/>
      </c>
    </row>
    <row r="54">
      <c r="A54">
        <f>IF('MT 4.2 Results'!I18="","","Name: "&amp;'MT 4.2 Results'!B18&amp;"   Class: "&amp;'MT 4.2 Results'!$B$3&amp;"   Date: "&amp;TEXT('MT 4.2 Results'!$B$5,"DD/MM/YY"))</f>
        <v/>
      </c>
      <c r="K54">
        <f>IF('MT 4.2 Results'!I19="","","Name: "&amp;'MT 4.2 Results'!B19&amp;"   Class: "&amp;'MT 4.2 Results'!$B$3&amp;"   Date: "&amp;TEXT('MT 4.2 Results'!$B$5,"DD/MM/YY"))</f>
        <v/>
      </c>
    </row>
    <row r="55">
      <c r="A55">
        <f>IF('MT 4.2 Results'!I18="","","Total: "&amp;'MT 4.2 Results'!G18&amp;"/23 ("&amp;TEXT('MT 4.2 Results'!H18,"0%")&amp;")   Overall: "&amp;'MT 4.2 Results'!I18)</f>
        <v/>
      </c>
      <c r="K55">
        <f>IF('MT 4.2 Results'!I19="","","Total: "&amp;'MT 4.2 Results'!G19&amp;"/23 ("&amp;TEXT('MT 4.2 Results'!H19,"0%")&amp;")   Overall: "&amp;'MT 4.2 Results'!I19)</f>
        <v/>
      </c>
    </row>
    <row r="56">
      <c r="A56">
        <f>IF('MT 4.2 Results'!I18="","",IF('MT 4.2 Results'!I18="Green",Parameters!$C$242,IF('MT 4.2 Results'!I18="Yellow",Parameters!$C$241,Parameters!$C$240)))</f>
        <v/>
      </c>
      <c r="K56">
        <f>IF('MT 4.2 Results'!I19="","",IF('MT 4.2 Results'!I19="Green",Parameters!$C$242,IF('MT 4.2 Results'!I19="Yellow",Parameters!$C$241,Parameters!$C$240)))</f>
        <v/>
      </c>
    </row>
    <row r="58">
      <c r="A58">
        <f>IF('MT 4.2 Results'!I18="","","Breakdown:")</f>
        <v/>
      </c>
      <c r="K58">
        <f>IF('MT 4.2 Results'!I19="","","Breakdown:")</f>
        <v/>
      </c>
    </row>
    <row r="59">
      <c r="A59">
        <f>IF('MT 4.2 Results'!I18="","","Q1 Correlation vs causation (scatter graph): "&amp;'MT 4.2 Results'!C18&amp;"/6")</f>
        <v/>
      </c>
      <c r="K59">
        <f>IF('MT 4.2 Results'!I19="","","Q1 Correlation vs causation (scatter graph): "&amp;'MT 4.2 Results'!C19&amp;"/6")</f>
        <v/>
      </c>
    </row>
    <row r="60">
      <c r="A60">
        <f>IF('MT 4.2 Results'!I18="","","Q2 Evaluating evidence for a health claim: "&amp;'MT 4.2 Results'!D18&amp;"/6")</f>
        <v/>
      </c>
      <c r="K60">
        <f>IF('MT 4.2 Results'!I19="","","Q2 Evaluating evidence for a health claim: "&amp;'MT 4.2 Results'!D19&amp;"/6")</f>
        <v/>
      </c>
    </row>
    <row r="61">
      <c r="A61">
        <f>IF('MT 4.2 Results'!I18="","","Q3 Linear model predictions vs real data: "&amp;'MT 4.2 Results'!E18&amp;"/6")</f>
        <v/>
      </c>
      <c r="K61">
        <f>IF('MT 4.2 Results'!I19="","","Q3 Linear model predictions vs real data: "&amp;'MT 4.2 Results'!E19&amp;"/6")</f>
        <v/>
      </c>
    </row>
    <row r="62">
      <c r="A62">
        <f>IF('MT 4.2 Results'!I18="","","Q4 Assumptions of a linear growth model: "&amp;'MT 4.2 Results'!F18&amp;"/5")</f>
        <v/>
      </c>
      <c r="K62">
        <f>IF('MT 4.2 Results'!I19="","","Q4 Assumptions of a linear growth model: "&amp;'MT 4.2 Results'!F19&amp;"/5")</f>
        <v/>
      </c>
    </row>
    <row r="63">
      <c r="A63">
        <f>IF(OR('MT 4.2 Results'!I18="",'MT 4.2 Results'!J18=""),"",'MT 4.2 Results'!J18)</f>
        <v/>
      </c>
      <c r="K63">
        <f>IF(OR('MT 4.2 Results'!I19="",'MT 4.2 Results'!J19=""),"",'MT 4.2 Results'!J19)</f>
        <v/>
      </c>
    </row>
    <row r="65">
      <c r="A65">
        <f>IF('MT 4.2 Results'!I18="","","Comments:")</f>
        <v/>
      </c>
      <c r="K65">
        <f>IF('MT 4.2 Results'!I19="","","Comments:")</f>
        <v/>
      </c>
    </row>
    <row r="69">
      <c r="A69">
        <f>IF('MT 4.2 Results'!I20="","","Mini Test 4.2 — Critical Analysis of Data &amp; Models")</f>
        <v/>
      </c>
      <c r="K69">
        <f>IF('MT 4.2 Results'!I21="","","Mini Test 4.2 — Critical Analysis of Data &amp; Models")</f>
        <v/>
      </c>
    </row>
    <row r="70">
      <c r="A70">
        <f>IF('MT 4.2 Results'!I20="","","Name: "&amp;'MT 4.2 Results'!B20&amp;"   Class: "&amp;'MT 4.2 Results'!$B$3&amp;"   Date: "&amp;TEXT('MT 4.2 Results'!$B$5,"DD/MM/YY"))</f>
        <v/>
      </c>
      <c r="K70">
        <f>IF('MT 4.2 Results'!I21="","","Name: "&amp;'MT 4.2 Results'!B21&amp;"   Class: "&amp;'MT 4.2 Results'!$B$3&amp;"   Date: "&amp;TEXT('MT 4.2 Results'!$B$5,"DD/MM/YY"))</f>
        <v/>
      </c>
    </row>
    <row r="71">
      <c r="A71">
        <f>IF('MT 4.2 Results'!I20="","","Total: "&amp;'MT 4.2 Results'!G20&amp;"/23 ("&amp;TEXT('MT 4.2 Results'!H20,"0%")&amp;")   Overall: "&amp;'MT 4.2 Results'!I20)</f>
        <v/>
      </c>
      <c r="K71">
        <f>IF('MT 4.2 Results'!I21="","","Total: "&amp;'MT 4.2 Results'!G21&amp;"/23 ("&amp;TEXT('MT 4.2 Results'!H21,"0%")&amp;")   Overall: "&amp;'MT 4.2 Results'!I21)</f>
        <v/>
      </c>
    </row>
    <row r="72">
      <c r="A72">
        <f>IF('MT 4.2 Results'!I20="","",IF('MT 4.2 Results'!I20="Green",Parameters!$C$242,IF('MT 4.2 Results'!I20="Yellow",Parameters!$C$241,Parameters!$C$240)))</f>
        <v/>
      </c>
      <c r="K72">
        <f>IF('MT 4.2 Results'!I21="","",IF('MT 4.2 Results'!I21="Green",Parameters!$C$242,IF('MT 4.2 Results'!I21="Yellow",Parameters!$C$241,Parameters!$C$240)))</f>
        <v/>
      </c>
    </row>
    <row r="74">
      <c r="A74">
        <f>IF('MT 4.2 Results'!I20="","","Breakdown:")</f>
        <v/>
      </c>
      <c r="K74">
        <f>IF('MT 4.2 Results'!I21="","","Breakdown:")</f>
        <v/>
      </c>
    </row>
    <row r="75">
      <c r="A75">
        <f>IF('MT 4.2 Results'!I20="","","Q1 Correlation vs causation (scatter graph): "&amp;'MT 4.2 Results'!C20&amp;"/6")</f>
        <v/>
      </c>
      <c r="K75">
        <f>IF('MT 4.2 Results'!I21="","","Q1 Correlation vs causation (scatter graph): "&amp;'MT 4.2 Results'!C21&amp;"/6")</f>
        <v/>
      </c>
    </row>
    <row r="76">
      <c r="A76">
        <f>IF('MT 4.2 Results'!I20="","","Q2 Evaluating evidence for a health claim: "&amp;'MT 4.2 Results'!D20&amp;"/6")</f>
        <v/>
      </c>
      <c r="K76">
        <f>IF('MT 4.2 Results'!I21="","","Q2 Evaluating evidence for a health claim: "&amp;'MT 4.2 Results'!D21&amp;"/6")</f>
        <v/>
      </c>
    </row>
    <row r="77">
      <c r="A77">
        <f>IF('MT 4.2 Results'!I20="","","Q3 Linear model predictions vs real data: "&amp;'MT 4.2 Results'!E20&amp;"/6")</f>
        <v/>
      </c>
      <c r="K77">
        <f>IF('MT 4.2 Results'!I21="","","Q3 Linear model predictions vs real data: "&amp;'MT 4.2 Results'!E21&amp;"/6")</f>
        <v/>
      </c>
    </row>
    <row r="78">
      <c r="A78">
        <f>IF('MT 4.2 Results'!I20="","","Q4 Assumptions of a linear growth model: "&amp;'MT 4.2 Results'!F20&amp;"/5")</f>
        <v/>
      </c>
      <c r="K78">
        <f>IF('MT 4.2 Results'!I21="","","Q4 Assumptions of a linear growth model: "&amp;'MT 4.2 Results'!F21&amp;"/5")</f>
        <v/>
      </c>
    </row>
    <row r="79">
      <c r="A79">
        <f>IF(OR('MT 4.2 Results'!I20="",'MT 4.2 Results'!J20=""),"",'MT 4.2 Results'!J20)</f>
        <v/>
      </c>
      <c r="K79">
        <f>IF(OR('MT 4.2 Results'!I21="",'MT 4.2 Results'!J21=""),"",'MT 4.2 Results'!J21)</f>
        <v/>
      </c>
    </row>
    <row r="81">
      <c r="A81">
        <f>IF('MT 4.2 Results'!I20="","","Comments:")</f>
        <v/>
      </c>
      <c r="K81">
        <f>IF('MT 4.2 Results'!I21="","","Comments:")</f>
        <v/>
      </c>
    </row>
    <row r="85">
      <c r="A85">
        <f>IF('MT 4.2 Results'!I22="","","Mini Test 4.2 — Critical Analysis of Data &amp; Models")</f>
        <v/>
      </c>
      <c r="K85">
        <f>IF('MT 4.2 Results'!I23="","","Mini Test 4.2 — Critical Analysis of Data &amp; Models")</f>
        <v/>
      </c>
    </row>
    <row r="86">
      <c r="A86">
        <f>IF('MT 4.2 Results'!I22="","","Name: "&amp;'MT 4.2 Results'!B22&amp;"   Class: "&amp;'MT 4.2 Results'!$B$3&amp;"   Date: "&amp;TEXT('MT 4.2 Results'!$B$5,"DD/MM/YY"))</f>
        <v/>
      </c>
      <c r="K86">
        <f>IF('MT 4.2 Results'!I23="","","Name: "&amp;'MT 4.2 Results'!B23&amp;"   Class: "&amp;'MT 4.2 Results'!$B$3&amp;"   Date: "&amp;TEXT('MT 4.2 Results'!$B$5,"DD/MM/YY"))</f>
        <v/>
      </c>
    </row>
    <row r="87">
      <c r="A87">
        <f>IF('MT 4.2 Results'!I22="","","Total: "&amp;'MT 4.2 Results'!G22&amp;"/23 ("&amp;TEXT('MT 4.2 Results'!H22,"0%")&amp;")   Overall: "&amp;'MT 4.2 Results'!I22)</f>
        <v/>
      </c>
      <c r="K87">
        <f>IF('MT 4.2 Results'!I23="","","Total: "&amp;'MT 4.2 Results'!G23&amp;"/23 ("&amp;TEXT('MT 4.2 Results'!H23,"0%")&amp;")   Overall: "&amp;'MT 4.2 Results'!I23)</f>
        <v/>
      </c>
    </row>
    <row r="88">
      <c r="A88">
        <f>IF('MT 4.2 Results'!I22="","",IF('MT 4.2 Results'!I22="Green",Parameters!$C$242,IF('MT 4.2 Results'!I22="Yellow",Parameters!$C$241,Parameters!$C$240)))</f>
        <v/>
      </c>
      <c r="K88">
        <f>IF('MT 4.2 Results'!I23="","",IF('MT 4.2 Results'!I23="Green",Parameters!$C$242,IF('MT 4.2 Results'!I23="Yellow",Parameters!$C$241,Parameters!$C$240)))</f>
        <v/>
      </c>
    </row>
    <row r="90">
      <c r="A90">
        <f>IF('MT 4.2 Results'!I22="","","Breakdown:")</f>
        <v/>
      </c>
      <c r="K90">
        <f>IF('MT 4.2 Results'!I23="","","Breakdown:")</f>
        <v/>
      </c>
    </row>
    <row r="91">
      <c r="A91">
        <f>IF('MT 4.2 Results'!I22="","","Q1 Correlation vs causation (scatter graph): "&amp;'MT 4.2 Results'!C22&amp;"/6")</f>
        <v/>
      </c>
      <c r="K91">
        <f>IF('MT 4.2 Results'!I23="","","Q1 Correlation vs causation (scatter graph): "&amp;'MT 4.2 Results'!C23&amp;"/6")</f>
        <v/>
      </c>
    </row>
    <row r="92">
      <c r="A92">
        <f>IF('MT 4.2 Results'!I22="","","Q2 Evaluating evidence for a health claim: "&amp;'MT 4.2 Results'!D22&amp;"/6")</f>
        <v/>
      </c>
      <c r="K92">
        <f>IF('MT 4.2 Results'!I23="","","Q2 Evaluating evidence for a health claim: "&amp;'MT 4.2 Results'!D23&amp;"/6")</f>
        <v/>
      </c>
    </row>
    <row r="93">
      <c r="A93">
        <f>IF('MT 4.2 Results'!I22="","","Q3 Linear model predictions vs real data: "&amp;'MT 4.2 Results'!E22&amp;"/6")</f>
        <v/>
      </c>
      <c r="K93">
        <f>IF('MT 4.2 Results'!I23="","","Q3 Linear model predictions vs real data: "&amp;'MT 4.2 Results'!E23&amp;"/6")</f>
        <v/>
      </c>
    </row>
    <row r="94">
      <c r="A94">
        <f>IF('MT 4.2 Results'!I22="","","Q4 Assumptions of a linear growth model: "&amp;'MT 4.2 Results'!F22&amp;"/5")</f>
        <v/>
      </c>
      <c r="K94">
        <f>IF('MT 4.2 Results'!I23="","","Q4 Assumptions of a linear growth model: "&amp;'MT 4.2 Results'!F23&amp;"/5")</f>
        <v/>
      </c>
    </row>
    <row r="95">
      <c r="A95">
        <f>IF(OR('MT 4.2 Results'!I22="",'MT 4.2 Results'!J22=""),"",'MT 4.2 Results'!J22)</f>
        <v/>
      </c>
      <c r="K95">
        <f>IF(OR('MT 4.2 Results'!I23="",'MT 4.2 Results'!J23=""),"",'MT 4.2 Results'!J23)</f>
        <v/>
      </c>
    </row>
    <row r="97">
      <c r="A97">
        <f>IF('MT 4.2 Results'!I22="","","Comments:")</f>
        <v/>
      </c>
      <c r="K97">
        <f>IF('MT 4.2 Results'!I23="","","Comments:")</f>
        <v/>
      </c>
    </row>
    <row r="101">
      <c r="A101">
        <f>IF('MT 4.2 Results'!I24="","","Mini Test 4.2 — Critical Analysis of Data &amp; Models")</f>
        <v/>
      </c>
      <c r="K101">
        <f>IF('MT 4.2 Results'!I25="","","Mini Test 4.2 — Critical Analysis of Data &amp; Models")</f>
        <v/>
      </c>
    </row>
    <row r="102">
      <c r="A102">
        <f>IF('MT 4.2 Results'!I24="","","Name: "&amp;'MT 4.2 Results'!B24&amp;"   Class: "&amp;'MT 4.2 Results'!$B$3&amp;"   Date: "&amp;TEXT('MT 4.2 Results'!$B$5,"DD/MM/YY"))</f>
        <v/>
      </c>
      <c r="K102">
        <f>IF('MT 4.2 Results'!I25="","","Name: "&amp;'MT 4.2 Results'!B25&amp;"   Class: "&amp;'MT 4.2 Results'!$B$3&amp;"   Date: "&amp;TEXT('MT 4.2 Results'!$B$5,"DD/MM/YY"))</f>
        <v/>
      </c>
    </row>
    <row r="103">
      <c r="A103">
        <f>IF('MT 4.2 Results'!I24="","","Total: "&amp;'MT 4.2 Results'!G24&amp;"/23 ("&amp;TEXT('MT 4.2 Results'!H24,"0%")&amp;")   Overall: "&amp;'MT 4.2 Results'!I24)</f>
        <v/>
      </c>
      <c r="K103">
        <f>IF('MT 4.2 Results'!I25="","","Total: "&amp;'MT 4.2 Results'!G25&amp;"/23 ("&amp;TEXT('MT 4.2 Results'!H25,"0%")&amp;")   Overall: "&amp;'MT 4.2 Results'!I25)</f>
        <v/>
      </c>
    </row>
    <row r="104">
      <c r="A104">
        <f>IF('MT 4.2 Results'!I24="","",IF('MT 4.2 Results'!I24="Green",Parameters!$C$242,IF('MT 4.2 Results'!I24="Yellow",Parameters!$C$241,Parameters!$C$240)))</f>
        <v/>
      </c>
      <c r="K104">
        <f>IF('MT 4.2 Results'!I25="","",IF('MT 4.2 Results'!I25="Green",Parameters!$C$242,IF('MT 4.2 Results'!I25="Yellow",Parameters!$C$241,Parameters!$C$240)))</f>
        <v/>
      </c>
    </row>
    <row r="106">
      <c r="A106">
        <f>IF('MT 4.2 Results'!I24="","","Breakdown:")</f>
        <v/>
      </c>
      <c r="K106">
        <f>IF('MT 4.2 Results'!I25="","","Breakdown:")</f>
        <v/>
      </c>
    </row>
    <row r="107">
      <c r="A107">
        <f>IF('MT 4.2 Results'!I24="","","Q1 Correlation vs causation (scatter graph): "&amp;'MT 4.2 Results'!C24&amp;"/6")</f>
        <v/>
      </c>
      <c r="K107">
        <f>IF('MT 4.2 Results'!I25="","","Q1 Correlation vs causation (scatter graph): "&amp;'MT 4.2 Results'!C25&amp;"/6")</f>
        <v/>
      </c>
    </row>
    <row r="108">
      <c r="A108">
        <f>IF('MT 4.2 Results'!I24="","","Q2 Evaluating evidence for a health claim: "&amp;'MT 4.2 Results'!D24&amp;"/6")</f>
        <v/>
      </c>
      <c r="K108">
        <f>IF('MT 4.2 Results'!I25="","","Q2 Evaluating evidence for a health claim: "&amp;'MT 4.2 Results'!D25&amp;"/6")</f>
        <v/>
      </c>
    </row>
    <row r="109">
      <c r="A109">
        <f>IF('MT 4.2 Results'!I24="","","Q3 Linear model predictions vs real data: "&amp;'MT 4.2 Results'!E24&amp;"/6")</f>
        <v/>
      </c>
      <c r="K109">
        <f>IF('MT 4.2 Results'!I25="","","Q3 Linear model predictions vs real data: "&amp;'MT 4.2 Results'!E25&amp;"/6")</f>
        <v/>
      </c>
    </row>
    <row r="110">
      <c r="A110">
        <f>IF('MT 4.2 Results'!I24="","","Q4 Assumptions of a linear growth model: "&amp;'MT 4.2 Results'!F24&amp;"/5")</f>
        <v/>
      </c>
      <c r="K110">
        <f>IF('MT 4.2 Results'!I25="","","Q4 Assumptions of a linear growth model: "&amp;'MT 4.2 Results'!F25&amp;"/5")</f>
        <v/>
      </c>
    </row>
    <row r="111">
      <c r="A111">
        <f>IF(OR('MT 4.2 Results'!I24="",'MT 4.2 Results'!J24=""),"",'MT 4.2 Results'!J24)</f>
        <v/>
      </c>
      <c r="K111">
        <f>IF(OR('MT 4.2 Results'!I25="",'MT 4.2 Results'!J25=""),"",'MT 4.2 Results'!J25)</f>
        <v/>
      </c>
    </row>
    <row r="113">
      <c r="A113">
        <f>IF('MT 4.2 Results'!I24="","","Comments:")</f>
        <v/>
      </c>
      <c r="K113">
        <f>IF('MT 4.2 Results'!I25="","","Comments:")</f>
        <v/>
      </c>
    </row>
    <row r="117">
      <c r="A117">
        <f>IF('MT 4.2 Results'!I26="","","Mini Test 4.2 — Critical Analysis of Data &amp; Models")</f>
        <v/>
      </c>
      <c r="K117">
        <f>IF('MT 4.2 Results'!I27="","","Mini Test 4.2 — Critical Analysis of Data &amp; Models")</f>
        <v/>
      </c>
    </row>
    <row r="118">
      <c r="A118">
        <f>IF('MT 4.2 Results'!I26="","","Name: "&amp;'MT 4.2 Results'!B26&amp;"   Class: "&amp;'MT 4.2 Results'!$B$3&amp;"   Date: "&amp;TEXT('MT 4.2 Results'!$B$5,"DD/MM/YY"))</f>
        <v/>
      </c>
      <c r="K118">
        <f>IF('MT 4.2 Results'!I27="","","Name: "&amp;'MT 4.2 Results'!B27&amp;"   Class: "&amp;'MT 4.2 Results'!$B$3&amp;"   Date: "&amp;TEXT('MT 4.2 Results'!$B$5,"DD/MM/YY"))</f>
        <v/>
      </c>
    </row>
    <row r="119">
      <c r="A119">
        <f>IF('MT 4.2 Results'!I26="","","Total: "&amp;'MT 4.2 Results'!G26&amp;"/23 ("&amp;TEXT('MT 4.2 Results'!H26,"0%")&amp;")   Overall: "&amp;'MT 4.2 Results'!I26)</f>
        <v/>
      </c>
      <c r="K119">
        <f>IF('MT 4.2 Results'!I27="","","Total: "&amp;'MT 4.2 Results'!G27&amp;"/23 ("&amp;TEXT('MT 4.2 Results'!H27,"0%")&amp;")   Overall: "&amp;'MT 4.2 Results'!I27)</f>
        <v/>
      </c>
    </row>
    <row r="120">
      <c r="A120">
        <f>IF('MT 4.2 Results'!I26="","",IF('MT 4.2 Results'!I26="Green",Parameters!$C$242,IF('MT 4.2 Results'!I26="Yellow",Parameters!$C$241,Parameters!$C$240)))</f>
        <v/>
      </c>
      <c r="K120">
        <f>IF('MT 4.2 Results'!I27="","",IF('MT 4.2 Results'!I27="Green",Parameters!$C$242,IF('MT 4.2 Results'!I27="Yellow",Parameters!$C$241,Parameters!$C$240)))</f>
        <v/>
      </c>
    </row>
    <row r="122">
      <c r="A122">
        <f>IF('MT 4.2 Results'!I26="","","Breakdown:")</f>
        <v/>
      </c>
      <c r="K122">
        <f>IF('MT 4.2 Results'!I27="","","Breakdown:")</f>
        <v/>
      </c>
    </row>
    <row r="123">
      <c r="A123">
        <f>IF('MT 4.2 Results'!I26="","","Q1 Correlation vs causation (scatter graph): "&amp;'MT 4.2 Results'!C26&amp;"/6")</f>
        <v/>
      </c>
      <c r="K123">
        <f>IF('MT 4.2 Results'!I27="","","Q1 Correlation vs causation (scatter graph): "&amp;'MT 4.2 Results'!C27&amp;"/6")</f>
        <v/>
      </c>
    </row>
    <row r="124">
      <c r="A124">
        <f>IF('MT 4.2 Results'!I26="","","Q2 Evaluating evidence for a health claim: "&amp;'MT 4.2 Results'!D26&amp;"/6")</f>
        <v/>
      </c>
      <c r="K124">
        <f>IF('MT 4.2 Results'!I27="","","Q2 Evaluating evidence for a health claim: "&amp;'MT 4.2 Results'!D27&amp;"/6")</f>
        <v/>
      </c>
    </row>
    <row r="125">
      <c r="A125">
        <f>IF('MT 4.2 Results'!I26="","","Q3 Linear model predictions vs real data: "&amp;'MT 4.2 Results'!E26&amp;"/6")</f>
        <v/>
      </c>
      <c r="K125">
        <f>IF('MT 4.2 Results'!I27="","","Q3 Linear model predictions vs real data: "&amp;'MT 4.2 Results'!E27&amp;"/6")</f>
        <v/>
      </c>
    </row>
    <row r="126">
      <c r="A126">
        <f>IF('MT 4.2 Results'!I26="","","Q4 Assumptions of a linear growth model: "&amp;'MT 4.2 Results'!F26&amp;"/5")</f>
        <v/>
      </c>
      <c r="K126">
        <f>IF('MT 4.2 Results'!I27="","","Q4 Assumptions of a linear growth model: "&amp;'MT 4.2 Results'!F27&amp;"/5")</f>
        <v/>
      </c>
    </row>
    <row r="127">
      <c r="A127">
        <f>IF(OR('MT 4.2 Results'!I26="",'MT 4.2 Results'!J26=""),"",'MT 4.2 Results'!J26)</f>
        <v/>
      </c>
      <c r="K127">
        <f>IF(OR('MT 4.2 Results'!I27="",'MT 4.2 Results'!J27=""),"",'MT 4.2 Results'!J27)</f>
        <v/>
      </c>
    </row>
    <row r="129">
      <c r="A129">
        <f>IF('MT 4.2 Results'!I26="","","Comments:")</f>
        <v/>
      </c>
      <c r="K129">
        <f>IF('MT 4.2 Results'!I27="","","Comments:")</f>
        <v/>
      </c>
    </row>
    <row r="133">
      <c r="A133">
        <f>IF('MT 4.2 Results'!I28="","","Mini Test 4.2 — Critical Analysis of Data &amp; Models")</f>
        <v/>
      </c>
      <c r="K133">
        <f>IF('MT 4.2 Results'!I29="","","Mini Test 4.2 — Critical Analysis of Data &amp; Models")</f>
        <v/>
      </c>
    </row>
    <row r="134">
      <c r="A134">
        <f>IF('MT 4.2 Results'!I28="","","Name: "&amp;'MT 4.2 Results'!B28&amp;"   Class: "&amp;'MT 4.2 Results'!$B$3&amp;"   Date: "&amp;TEXT('MT 4.2 Results'!$B$5,"DD/MM/YY"))</f>
        <v/>
      </c>
      <c r="K134">
        <f>IF('MT 4.2 Results'!I29="","","Name: "&amp;'MT 4.2 Results'!B29&amp;"   Class: "&amp;'MT 4.2 Results'!$B$3&amp;"   Date: "&amp;TEXT('MT 4.2 Results'!$B$5,"DD/MM/YY"))</f>
        <v/>
      </c>
    </row>
    <row r="135">
      <c r="A135">
        <f>IF('MT 4.2 Results'!I28="","","Total: "&amp;'MT 4.2 Results'!G28&amp;"/23 ("&amp;TEXT('MT 4.2 Results'!H28,"0%")&amp;")   Overall: "&amp;'MT 4.2 Results'!I28)</f>
        <v/>
      </c>
      <c r="K135">
        <f>IF('MT 4.2 Results'!I29="","","Total: "&amp;'MT 4.2 Results'!G29&amp;"/23 ("&amp;TEXT('MT 4.2 Results'!H29,"0%")&amp;")   Overall: "&amp;'MT 4.2 Results'!I29)</f>
        <v/>
      </c>
    </row>
    <row r="136">
      <c r="A136">
        <f>IF('MT 4.2 Results'!I28="","",IF('MT 4.2 Results'!I28="Green",Parameters!$C$242,IF('MT 4.2 Results'!I28="Yellow",Parameters!$C$241,Parameters!$C$240)))</f>
        <v/>
      </c>
      <c r="K136">
        <f>IF('MT 4.2 Results'!I29="","",IF('MT 4.2 Results'!I29="Green",Parameters!$C$242,IF('MT 4.2 Results'!I29="Yellow",Parameters!$C$241,Parameters!$C$240)))</f>
        <v/>
      </c>
    </row>
    <row r="138">
      <c r="A138">
        <f>IF('MT 4.2 Results'!I28="","","Breakdown:")</f>
        <v/>
      </c>
      <c r="K138">
        <f>IF('MT 4.2 Results'!I29="","","Breakdown:")</f>
        <v/>
      </c>
    </row>
    <row r="139">
      <c r="A139">
        <f>IF('MT 4.2 Results'!I28="","","Q1 Correlation vs causation (scatter graph): "&amp;'MT 4.2 Results'!C28&amp;"/6")</f>
        <v/>
      </c>
      <c r="K139">
        <f>IF('MT 4.2 Results'!I29="","","Q1 Correlation vs causation (scatter graph): "&amp;'MT 4.2 Results'!C29&amp;"/6")</f>
        <v/>
      </c>
    </row>
    <row r="140">
      <c r="A140">
        <f>IF('MT 4.2 Results'!I28="","","Q2 Evaluating evidence for a health claim: "&amp;'MT 4.2 Results'!D28&amp;"/6")</f>
        <v/>
      </c>
      <c r="K140">
        <f>IF('MT 4.2 Results'!I29="","","Q2 Evaluating evidence for a health claim: "&amp;'MT 4.2 Results'!D29&amp;"/6")</f>
        <v/>
      </c>
    </row>
    <row r="141">
      <c r="A141">
        <f>IF('MT 4.2 Results'!I28="","","Q3 Linear model predictions vs real data: "&amp;'MT 4.2 Results'!E28&amp;"/6")</f>
        <v/>
      </c>
      <c r="K141">
        <f>IF('MT 4.2 Results'!I29="","","Q3 Linear model predictions vs real data: "&amp;'MT 4.2 Results'!E29&amp;"/6")</f>
        <v/>
      </c>
    </row>
    <row r="142">
      <c r="A142">
        <f>IF('MT 4.2 Results'!I28="","","Q4 Assumptions of a linear growth model: "&amp;'MT 4.2 Results'!F28&amp;"/5")</f>
        <v/>
      </c>
      <c r="K142">
        <f>IF('MT 4.2 Results'!I29="","","Q4 Assumptions of a linear growth model: "&amp;'MT 4.2 Results'!F29&amp;"/5")</f>
        <v/>
      </c>
    </row>
    <row r="143">
      <c r="A143">
        <f>IF(OR('MT 4.2 Results'!I28="",'MT 4.2 Results'!J28=""),"",'MT 4.2 Results'!J28)</f>
        <v/>
      </c>
      <c r="K143">
        <f>IF(OR('MT 4.2 Results'!I29="",'MT 4.2 Results'!J29=""),"",'MT 4.2 Results'!J29)</f>
        <v/>
      </c>
    </row>
    <row r="145">
      <c r="A145">
        <f>IF('MT 4.2 Results'!I28="","","Comments:")</f>
        <v/>
      </c>
      <c r="K145">
        <f>IF('MT 4.2 Results'!I29="","","Comments:")</f>
        <v/>
      </c>
    </row>
    <row r="149">
      <c r="A149">
        <f>IF('MT 4.2 Results'!I30="","","Mini Test 4.2 — Critical Analysis of Data &amp; Models")</f>
        <v/>
      </c>
      <c r="K149">
        <f>IF('MT 4.2 Results'!I31="","","Mini Test 4.2 — Critical Analysis of Data &amp; Models")</f>
        <v/>
      </c>
    </row>
    <row r="150">
      <c r="A150">
        <f>IF('MT 4.2 Results'!I30="","","Name: "&amp;'MT 4.2 Results'!B30&amp;"   Class: "&amp;'MT 4.2 Results'!$B$3&amp;"   Date: "&amp;TEXT('MT 4.2 Results'!$B$5,"DD/MM/YY"))</f>
        <v/>
      </c>
      <c r="K150">
        <f>IF('MT 4.2 Results'!I31="","","Name: "&amp;'MT 4.2 Results'!B31&amp;"   Class: "&amp;'MT 4.2 Results'!$B$3&amp;"   Date: "&amp;TEXT('MT 4.2 Results'!$B$5,"DD/MM/YY"))</f>
        <v/>
      </c>
    </row>
    <row r="151">
      <c r="A151">
        <f>IF('MT 4.2 Results'!I30="","","Total: "&amp;'MT 4.2 Results'!G30&amp;"/23 ("&amp;TEXT('MT 4.2 Results'!H30,"0%")&amp;")   Overall: "&amp;'MT 4.2 Results'!I30)</f>
        <v/>
      </c>
      <c r="K151">
        <f>IF('MT 4.2 Results'!I31="","","Total: "&amp;'MT 4.2 Results'!G31&amp;"/23 ("&amp;TEXT('MT 4.2 Results'!H31,"0%")&amp;")   Overall: "&amp;'MT 4.2 Results'!I31)</f>
        <v/>
      </c>
    </row>
    <row r="152">
      <c r="A152">
        <f>IF('MT 4.2 Results'!I30="","",IF('MT 4.2 Results'!I30="Green",Parameters!$C$242,IF('MT 4.2 Results'!I30="Yellow",Parameters!$C$241,Parameters!$C$240)))</f>
        <v/>
      </c>
      <c r="K152">
        <f>IF('MT 4.2 Results'!I31="","",IF('MT 4.2 Results'!I31="Green",Parameters!$C$242,IF('MT 4.2 Results'!I31="Yellow",Parameters!$C$241,Parameters!$C$240)))</f>
        <v/>
      </c>
    </row>
    <row r="154">
      <c r="A154">
        <f>IF('MT 4.2 Results'!I30="","","Breakdown:")</f>
        <v/>
      </c>
      <c r="K154">
        <f>IF('MT 4.2 Results'!I31="","","Breakdown:")</f>
        <v/>
      </c>
    </row>
    <row r="155">
      <c r="A155">
        <f>IF('MT 4.2 Results'!I30="","","Q1 Correlation vs causation (scatter graph): "&amp;'MT 4.2 Results'!C30&amp;"/6")</f>
        <v/>
      </c>
      <c r="K155">
        <f>IF('MT 4.2 Results'!I31="","","Q1 Correlation vs causation (scatter graph): "&amp;'MT 4.2 Results'!C31&amp;"/6")</f>
        <v/>
      </c>
    </row>
    <row r="156">
      <c r="A156">
        <f>IF('MT 4.2 Results'!I30="","","Q2 Evaluating evidence for a health claim: "&amp;'MT 4.2 Results'!D30&amp;"/6")</f>
        <v/>
      </c>
      <c r="K156">
        <f>IF('MT 4.2 Results'!I31="","","Q2 Evaluating evidence for a health claim: "&amp;'MT 4.2 Results'!D31&amp;"/6")</f>
        <v/>
      </c>
    </row>
    <row r="157">
      <c r="A157">
        <f>IF('MT 4.2 Results'!I30="","","Q3 Linear model predictions vs real data: "&amp;'MT 4.2 Results'!E30&amp;"/6")</f>
        <v/>
      </c>
      <c r="K157">
        <f>IF('MT 4.2 Results'!I31="","","Q3 Linear model predictions vs real data: "&amp;'MT 4.2 Results'!E31&amp;"/6")</f>
        <v/>
      </c>
    </row>
    <row r="158">
      <c r="A158">
        <f>IF('MT 4.2 Results'!I30="","","Q4 Assumptions of a linear growth model: "&amp;'MT 4.2 Results'!F30&amp;"/5")</f>
        <v/>
      </c>
      <c r="K158">
        <f>IF('MT 4.2 Results'!I31="","","Q4 Assumptions of a linear growth model: "&amp;'MT 4.2 Results'!F31&amp;"/5")</f>
        <v/>
      </c>
    </row>
    <row r="159">
      <c r="A159">
        <f>IF(OR('MT 4.2 Results'!I30="",'MT 4.2 Results'!J30=""),"",'MT 4.2 Results'!J30)</f>
        <v/>
      </c>
      <c r="K159">
        <f>IF(OR('MT 4.2 Results'!I31="",'MT 4.2 Results'!J31=""),"",'MT 4.2 Results'!J31)</f>
        <v/>
      </c>
    </row>
    <row r="161">
      <c r="A161">
        <f>IF('MT 4.2 Results'!I30="","","Comments:")</f>
        <v/>
      </c>
      <c r="K161">
        <f>IF('MT 4.2 Results'!I31="","","Comments:")</f>
        <v/>
      </c>
    </row>
    <row r="165">
      <c r="A165">
        <f>IF('MT 4.2 Results'!I32="","","Mini Test 4.2 — Critical Analysis of Data &amp; Models")</f>
        <v/>
      </c>
      <c r="K165">
        <f>IF('MT 4.2 Results'!I33="","","Mini Test 4.2 — Critical Analysis of Data &amp; Models")</f>
        <v/>
      </c>
    </row>
    <row r="166">
      <c r="A166">
        <f>IF('MT 4.2 Results'!I32="","","Name: "&amp;'MT 4.2 Results'!B32&amp;"   Class: "&amp;'MT 4.2 Results'!$B$3&amp;"   Date: "&amp;TEXT('MT 4.2 Results'!$B$5,"DD/MM/YY"))</f>
        <v/>
      </c>
      <c r="K166">
        <f>IF('MT 4.2 Results'!I33="","","Name: "&amp;'MT 4.2 Results'!B33&amp;"   Class: "&amp;'MT 4.2 Results'!$B$3&amp;"   Date: "&amp;TEXT('MT 4.2 Results'!$B$5,"DD/MM/YY"))</f>
        <v/>
      </c>
    </row>
    <row r="167">
      <c r="A167">
        <f>IF('MT 4.2 Results'!I32="","","Total: "&amp;'MT 4.2 Results'!G32&amp;"/23 ("&amp;TEXT('MT 4.2 Results'!H32,"0%")&amp;")   Overall: "&amp;'MT 4.2 Results'!I32)</f>
        <v/>
      </c>
      <c r="K167">
        <f>IF('MT 4.2 Results'!I33="","","Total: "&amp;'MT 4.2 Results'!G33&amp;"/23 ("&amp;TEXT('MT 4.2 Results'!H33,"0%")&amp;")   Overall: "&amp;'MT 4.2 Results'!I33)</f>
        <v/>
      </c>
    </row>
    <row r="168">
      <c r="A168">
        <f>IF('MT 4.2 Results'!I32="","",IF('MT 4.2 Results'!I32="Green",Parameters!$C$242,IF('MT 4.2 Results'!I32="Yellow",Parameters!$C$241,Parameters!$C$240)))</f>
        <v/>
      </c>
      <c r="K168">
        <f>IF('MT 4.2 Results'!I33="","",IF('MT 4.2 Results'!I33="Green",Parameters!$C$242,IF('MT 4.2 Results'!I33="Yellow",Parameters!$C$241,Parameters!$C$240)))</f>
        <v/>
      </c>
    </row>
    <row r="170">
      <c r="A170">
        <f>IF('MT 4.2 Results'!I32="","","Breakdown:")</f>
        <v/>
      </c>
      <c r="K170">
        <f>IF('MT 4.2 Results'!I33="","","Breakdown:")</f>
        <v/>
      </c>
    </row>
    <row r="171">
      <c r="A171">
        <f>IF('MT 4.2 Results'!I32="","","Q1 Correlation vs causation (scatter graph): "&amp;'MT 4.2 Results'!C32&amp;"/6")</f>
        <v/>
      </c>
      <c r="K171">
        <f>IF('MT 4.2 Results'!I33="","","Q1 Correlation vs causation (scatter graph): "&amp;'MT 4.2 Results'!C33&amp;"/6")</f>
        <v/>
      </c>
    </row>
    <row r="172">
      <c r="A172">
        <f>IF('MT 4.2 Results'!I32="","","Q2 Evaluating evidence for a health claim: "&amp;'MT 4.2 Results'!D32&amp;"/6")</f>
        <v/>
      </c>
      <c r="K172">
        <f>IF('MT 4.2 Results'!I33="","","Q2 Evaluating evidence for a health claim: "&amp;'MT 4.2 Results'!D33&amp;"/6")</f>
        <v/>
      </c>
    </row>
    <row r="173">
      <c r="A173">
        <f>IF('MT 4.2 Results'!I32="","","Q3 Linear model predictions vs real data: "&amp;'MT 4.2 Results'!E32&amp;"/6")</f>
        <v/>
      </c>
      <c r="K173">
        <f>IF('MT 4.2 Results'!I33="","","Q3 Linear model predictions vs real data: "&amp;'MT 4.2 Results'!E33&amp;"/6")</f>
        <v/>
      </c>
    </row>
    <row r="174">
      <c r="A174">
        <f>IF('MT 4.2 Results'!I32="","","Q4 Assumptions of a linear growth model: "&amp;'MT 4.2 Results'!F32&amp;"/5")</f>
        <v/>
      </c>
      <c r="K174">
        <f>IF('MT 4.2 Results'!I33="","","Q4 Assumptions of a linear growth model: "&amp;'MT 4.2 Results'!F33&amp;"/5")</f>
        <v/>
      </c>
    </row>
    <row r="175">
      <c r="A175">
        <f>IF(OR('MT 4.2 Results'!I32="",'MT 4.2 Results'!J32=""),"",'MT 4.2 Results'!J32)</f>
        <v/>
      </c>
      <c r="K175">
        <f>IF(OR('MT 4.2 Results'!I33="",'MT 4.2 Results'!J33=""),"",'MT 4.2 Results'!J33)</f>
        <v/>
      </c>
    </row>
    <row r="177">
      <c r="A177">
        <f>IF('MT 4.2 Results'!I32="","","Comments:")</f>
        <v/>
      </c>
      <c r="K177">
        <f>IF('MT 4.2 Results'!I33="","","Comments:")</f>
        <v/>
      </c>
    </row>
    <row r="181">
      <c r="A181">
        <f>IF('MT 4.2 Results'!I34="","","Mini Test 4.2 — Critical Analysis of Data &amp; Models")</f>
        <v/>
      </c>
      <c r="K181">
        <f>IF('MT 4.2 Results'!I35="","","Mini Test 4.2 — Critical Analysis of Data &amp; Models")</f>
        <v/>
      </c>
    </row>
    <row r="182">
      <c r="A182">
        <f>IF('MT 4.2 Results'!I34="","","Name: "&amp;'MT 4.2 Results'!B34&amp;"   Class: "&amp;'MT 4.2 Results'!$B$3&amp;"   Date: "&amp;TEXT('MT 4.2 Results'!$B$5,"DD/MM/YY"))</f>
        <v/>
      </c>
      <c r="K182">
        <f>IF('MT 4.2 Results'!I35="","","Name: "&amp;'MT 4.2 Results'!B35&amp;"   Class: "&amp;'MT 4.2 Results'!$B$3&amp;"   Date: "&amp;TEXT('MT 4.2 Results'!$B$5,"DD/MM/YY"))</f>
        <v/>
      </c>
    </row>
    <row r="183">
      <c r="A183">
        <f>IF('MT 4.2 Results'!I34="","","Total: "&amp;'MT 4.2 Results'!G34&amp;"/23 ("&amp;TEXT('MT 4.2 Results'!H34,"0%")&amp;")   Overall: "&amp;'MT 4.2 Results'!I34)</f>
        <v/>
      </c>
      <c r="K183">
        <f>IF('MT 4.2 Results'!I35="","","Total: "&amp;'MT 4.2 Results'!G35&amp;"/23 ("&amp;TEXT('MT 4.2 Results'!H35,"0%")&amp;")   Overall: "&amp;'MT 4.2 Results'!I35)</f>
        <v/>
      </c>
    </row>
    <row r="184">
      <c r="A184">
        <f>IF('MT 4.2 Results'!I34="","",IF('MT 4.2 Results'!I34="Green",Parameters!$C$242,IF('MT 4.2 Results'!I34="Yellow",Parameters!$C$241,Parameters!$C$240)))</f>
        <v/>
      </c>
      <c r="K184">
        <f>IF('MT 4.2 Results'!I35="","",IF('MT 4.2 Results'!I35="Green",Parameters!$C$242,IF('MT 4.2 Results'!I35="Yellow",Parameters!$C$241,Parameters!$C$240)))</f>
        <v/>
      </c>
    </row>
    <row r="186">
      <c r="A186">
        <f>IF('MT 4.2 Results'!I34="","","Breakdown:")</f>
        <v/>
      </c>
      <c r="K186">
        <f>IF('MT 4.2 Results'!I35="","","Breakdown:")</f>
        <v/>
      </c>
    </row>
    <row r="187">
      <c r="A187">
        <f>IF('MT 4.2 Results'!I34="","","Q1 Correlation vs causation (scatter graph): "&amp;'MT 4.2 Results'!C34&amp;"/6")</f>
        <v/>
      </c>
      <c r="K187">
        <f>IF('MT 4.2 Results'!I35="","","Q1 Correlation vs causation (scatter graph): "&amp;'MT 4.2 Results'!C35&amp;"/6")</f>
        <v/>
      </c>
    </row>
    <row r="188">
      <c r="A188">
        <f>IF('MT 4.2 Results'!I34="","","Q2 Evaluating evidence for a health claim: "&amp;'MT 4.2 Results'!D34&amp;"/6")</f>
        <v/>
      </c>
      <c r="K188">
        <f>IF('MT 4.2 Results'!I35="","","Q2 Evaluating evidence for a health claim: "&amp;'MT 4.2 Results'!D35&amp;"/6")</f>
        <v/>
      </c>
    </row>
    <row r="189">
      <c r="A189">
        <f>IF('MT 4.2 Results'!I34="","","Q3 Linear model predictions vs real data: "&amp;'MT 4.2 Results'!E34&amp;"/6")</f>
        <v/>
      </c>
      <c r="K189">
        <f>IF('MT 4.2 Results'!I35="","","Q3 Linear model predictions vs real data: "&amp;'MT 4.2 Results'!E35&amp;"/6")</f>
        <v/>
      </c>
    </row>
    <row r="190">
      <c r="A190">
        <f>IF('MT 4.2 Results'!I34="","","Q4 Assumptions of a linear growth model: "&amp;'MT 4.2 Results'!F34&amp;"/5")</f>
        <v/>
      </c>
      <c r="K190">
        <f>IF('MT 4.2 Results'!I35="","","Q4 Assumptions of a linear growth model: "&amp;'MT 4.2 Results'!F35&amp;"/5")</f>
        <v/>
      </c>
    </row>
    <row r="191">
      <c r="A191">
        <f>IF(OR('MT 4.2 Results'!I34="",'MT 4.2 Results'!J34=""),"",'MT 4.2 Results'!J34)</f>
        <v/>
      </c>
      <c r="K191">
        <f>IF(OR('MT 4.2 Results'!I35="",'MT 4.2 Results'!J35=""),"",'MT 4.2 Results'!J35)</f>
        <v/>
      </c>
    </row>
    <row r="193">
      <c r="A193">
        <f>IF('MT 4.2 Results'!I34="","","Comments:")</f>
        <v/>
      </c>
      <c r="K193">
        <f>IF('MT 4.2 Results'!I35="","","Comments:")</f>
        <v/>
      </c>
    </row>
    <row r="197">
      <c r="A197">
        <f>IF('MT 4.2 Results'!I36="","","Mini Test 4.2 — Critical Analysis of Data &amp; Models")</f>
        <v/>
      </c>
      <c r="K197">
        <f>IF('MT 4.2 Results'!I37="","","Mini Test 4.2 — Critical Analysis of Data &amp; Models")</f>
        <v/>
      </c>
    </row>
    <row r="198">
      <c r="A198">
        <f>IF('MT 4.2 Results'!I36="","","Name: "&amp;'MT 4.2 Results'!B36&amp;"   Class: "&amp;'MT 4.2 Results'!$B$3&amp;"   Date: "&amp;TEXT('MT 4.2 Results'!$B$5,"DD/MM/YY"))</f>
        <v/>
      </c>
      <c r="K198">
        <f>IF('MT 4.2 Results'!I37="","","Name: "&amp;'MT 4.2 Results'!B37&amp;"   Class: "&amp;'MT 4.2 Results'!$B$3&amp;"   Date: "&amp;TEXT('MT 4.2 Results'!$B$5,"DD/MM/YY"))</f>
        <v/>
      </c>
    </row>
    <row r="199">
      <c r="A199">
        <f>IF('MT 4.2 Results'!I36="","","Total: "&amp;'MT 4.2 Results'!G36&amp;"/23 ("&amp;TEXT('MT 4.2 Results'!H36,"0%")&amp;")   Overall: "&amp;'MT 4.2 Results'!I36)</f>
        <v/>
      </c>
      <c r="K199">
        <f>IF('MT 4.2 Results'!I37="","","Total: "&amp;'MT 4.2 Results'!G37&amp;"/23 ("&amp;TEXT('MT 4.2 Results'!H37,"0%")&amp;")   Overall: "&amp;'MT 4.2 Results'!I37)</f>
        <v/>
      </c>
    </row>
    <row r="200">
      <c r="A200">
        <f>IF('MT 4.2 Results'!I36="","",IF('MT 4.2 Results'!I36="Green",Parameters!$C$242,IF('MT 4.2 Results'!I36="Yellow",Parameters!$C$241,Parameters!$C$240)))</f>
        <v/>
      </c>
      <c r="K200">
        <f>IF('MT 4.2 Results'!I37="","",IF('MT 4.2 Results'!I37="Green",Parameters!$C$242,IF('MT 4.2 Results'!I37="Yellow",Parameters!$C$241,Parameters!$C$240)))</f>
        <v/>
      </c>
    </row>
    <row r="202">
      <c r="A202">
        <f>IF('MT 4.2 Results'!I36="","","Breakdown:")</f>
        <v/>
      </c>
      <c r="K202">
        <f>IF('MT 4.2 Results'!I37="","","Breakdown:")</f>
        <v/>
      </c>
    </row>
    <row r="203">
      <c r="A203">
        <f>IF('MT 4.2 Results'!I36="","","Q1 Correlation vs causation (scatter graph): "&amp;'MT 4.2 Results'!C36&amp;"/6")</f>
        <v/>
      </c>
      <c r="K203">
        <f>IF('MT 4.2 Results'!I37="","","Q1 Correlation vs causation (scatter graph): "&amp;'MT 4.2 Results'!C37&amp;"/6")</f>
        <v/>
      </c>
    </row>
    <row r="204">
      <c r="A204">
        <f>IF('MT 4.2 Results'!I36="","","Q2 Evaluating evidence for a health claim: "&amp;'MT 4.2 Results'!D36&amp;"/6")</f>
        <v/>
      </c>
      <c r="K204">
        <f>IF('MT 4.2 Results'!I37="","","Q2 Evaluating evidence for a health claim: "&amp;'MT 4.2 Results'!D37&amp;"/6")</f>
        <v/>
      </c>
    </row>
    <row r="205">
      <c r="A205">
        <f>IF('MT 4.2 Results'!I36="","","Q3 Linear model predictions vs real data: "&amp;'MT 4.2 Results'!E36&amp;"/6")</f>
        <v/>
      </c>
      <c r="K205">
        <f>IF('MT 4.2 Results'!I37="","","Q3 Linear model predictions vs real data: "&amp;'MT 4.2 Results'!E37&amp;"/6")</f>
        <v/>
      </c>
    </row>
    <row r="206">
      <c r="A206">
        <f>IF('MT 4.2 Results'!I36="","","Q4 Assumptions of a linear growth model: "&amp;'MT 4.2 Results'!F36&amp;"/5")</f>
        <v/>
      </c>
      <c r="K206">
        <f>IF('MT 4.2 Results'!I37="","","Q4 Assumptions of a linear growth model: "&amp;'MT 4.2 Results'!F37&amp;"/5")</f>
        <v/>
      </c>
    </row>
    <row r="207">
      <c r="A207">
        <f>IF(OR('MT 4.2 Results'!I36="",'MT 4.2 Results'!J36=""),"",'MT 4.2 Results'!J36)</f>
        <v/>
      </c>
      <c r="K207">
        <f>IF(OR('MT 4.2 Results'!I37="",'MT 4.2 Results'!J37=""),"",'MT 4.2 Results'!J37)</f>
        <v/>
      </c>
    </row>
    <row r="209">
      <c r="A209">
        <f>IF('MT 4.2 Results'!I36="","","Comments:")</f>
        <v/>
      </c>
      <c r="K209">
        <f>IF('MT 4.2 Results'!I37="","","Comments:")</f>
        <v/>
      </c>
    </row>
    <row r="213">
      <c r="A213">
        <f>IF('MT 4.2 Results'!I38="","","Mini Test 4.2 — Critical Analysis of Data &amp; Models")</f>
        <v/>
      </c>
      <c r="K213">
        <f>IF('MT 4.2 Results'!I39="","","Mini Test 4.2 — Critical Analysis of Data &amp; Models")</f>
        <v/>
      </c>
    </row>
    <row r="214">
      <c r="A214">
        <f>IF('MT 4.2 Results'!I38="","","Name: "&amp;'MT 4.2 Results'!B38&amp;"   Class: "&amp;'MT 4.2 Results'!$B$3&amp;"   Date: "&amp;TEXT('MT 4.2 Results'!$B$5,"DD/MM/YY"))</f>
        <v/>
      </c>
      <c r="K214">
        <f>IF('MT 4.2 Results'!I39="","","Name: "&amp;'MT 4.2 Results'!B39&amp;"   Class: "&amp;'MT 4.2 Results'!$B$3&amp;"   Date: "&amp;TEXT('MT 4.2 Results'!$B$5,"DD/MM/YY"))</f>
        <v/>
      </c>
    </row>
    <row r="215">
      <c r="A215">
        <f>IF('MT 4.2 Results'!I38="","","Total: "&amp;'MT 4.2 Results'!G38&amp;"/23 ("&amp;TEXT('MT 4.2 Results'!H38,"0%")&amp;")   Overall: "&amp;'MT 4.2 Results'!I38)</f>
        <v/>
      </c>
      <c r="K215">
        <f>IF('MT 4.2 Results'!I39="","","Total: "&amp;'MT 4.2 Results'!G39&amp;"/23 ("&amp;TEXT('MT 4.2 Results'!H39,"0%")&amp;")   Overall: "&amp;'MT 4.2 Results'!I39)</f>
        <v/>
      </c>
    </row>
    <row r="216">
      <c r="A216">
        <f>IF('MT 4.2 Results'!I38="","",IF('MT 4.2 Results'!I38="Green",Parameters!$C$242,IF('MT 4.2 Results'!I38="Yellow",Parameters!$C$241,Parameters!$C$240)))</f>
        <v/>
      </c>
      <c r="K216">
        <f>IF('MT 4.2 Results'!I39="","",IF('MT 4.2 Results'!I39="Green",Parameters!$C$242,IF('MT 4.2 Results'!I39="Yellow",Parameters!$C$241,Parameters!$C$240)))</f>
        <v/>
      </c>
    </row>
    <row r="218">
      <c r="A218">
        <f>IF('MT 4.2 Results'!I38="","","Breakdown:")</f>
        <v/>
      </c>
      <c r="K218">
        <f>IF('MT 4.2 Results'!I39="","","Breakdown:")</f>
        <v/>
      </c>
    </row>
    <row r="219">
      <c r="A219">
        <f>IF('MT 4.2 Results'!I38="","","Q1 Correlation vs causation (scatter graph): "&amp;'MT 4.2 Results'!C38&amp;"/6")</f>
        <v/>
      </c>
      <c r="K219">
        <f>IF('MT 4.2 Results'!I39="","","Q1 Correlation vs causation (scatter graph): "&amp;'MT 4.2 Results'!C39&amp;"/6")</f>
        <v/>
      </c>
    </row>
    <row r="220">
      <c r="A220">
        <f>IF('MT 4.2 Results'!I38="","","Q2 Evaluating evidence for a health claim: "&amp;'MT 4.2 Results'!D38&amp;"/6")</f>
        <v/>
      </c>
      <c r="K220">
        <f>IF('MT 4.2 Results'!I39="","","Q2 Evaluating evidence for a health claim: "&amp;'MT 4.2 Results'!D39&amp;"/6")</f>
        <v/>
      </c>
    </row>
    <row r="221">
      <c r="A221">
        <f>IF('MT 4.2 Results'!I38="","","Q3 Linear model predictions vs real data: "&amp;'MT 4.2 Results'!E38&amp;"/6")</f>
        <v/>
      </c>
      <c r="K221">
        <f>IF('MT 4.2 Results'!I39="","","Q3 Linear model predictions vs real data: "&amp;'MT 4.2 Results'!E39&amp;"/6")</f>
        <v/>
      </c>
    </row>
    <row r="222">
      <c r="A222">
        <f>IF('MT 4.2 Results'!I38="","","Q4 Assumptions of a linear growth model: "&amp;'MT 4.2 Results'!F38&amp;"/5")</f>
        <v/>
      </c>
      <c r="K222">
        <f>IF('MT 4.2 Results'!I39="","","Q4 Assumptions of a linear growth model: "&amp;'MT 4.2 Results'!F39&amp;"/5")</f>
        <v/>
      </c>
    </row>
    <row r="223">
      <c r="A223">
        <f>IF(OR('MT 4.2 Results'!I38="",'MT 4.2 Results'!J38=""),"",'MT 4.2 Results'!J38)</f>
        <v/>
      </c>
      <c r="K223">
        <f>IF(OR('MT 4.2 Results'!I39="",'MT 4.2 Results'!J39=""),"",'MT 4.2 Results'!J39)</f>
        <v/>
      </c>
    </row>
    <row r="225">
      <c r="A225">
        <f>IF('MT 4.2 Results'!I38="","","Comments:")</f>
        <v/>
      </c>
      <c r="K225">
        <f>IF('MT 4.2 Results'!I39="","","Comments:")</f>
        <v/>
      </c>
    </row>
    <row r="229">
      <c r="A229">
        <f>IF('MT 4.2 Results'!I40="","","Mini Test 4.2 — Critical Analysis of Data &amp; Models")</f>
        <v/>
      </c>
      <c r="K229">
        <f>IF('MT 4.2 Results'!I41="","","Mini Test 4.2 — Critical Analysis of Data &amp; Models")</f>
        <v/>
      </c>
    </row>
    <row r="230">
      <c r="A230">
        <f>IF('MT 4.2 Results'!I40="","","Name: "&amp;'MT 4.2 Results'!B40&amp;"   Class: "&amp;'MT 4.2 Results'!$B$3&amp;"   Date: "&amp;TEXT('MT 4.2 Results'!$B$5,"DD/MM/YY"))</f>
        <v/>
      </c>
      <c r="K230">
        <f>IF('MT 4.2 Results'!I41="","","Name: "&amp;'MT 4.2 Results'!B41&amp;"   Class: "&amp;'MT 4.2 Results'!$B$3&amp;"   Date: "&amp;TEXT('MT 4.2 Results'!$B$5,"DD/MM/YY"))</f>
        <v/>
      </c>
    </row>
    <row r="231">
      <c r="A231">
        <f>IF('MT 4.2 Results'!I40="","","Total: "&amp;'MT 4.2 Results'!G40&amp;"/23 ("&amp;TEXT('MT 4.2 Results'!H40,"0%")&amp;")   Overall: "&amp;'MT 4.2 Results'!I40)</f>
        <v/>
      </c>
      <c r="K231">
        <f>IF('MT 4.2 Results'!I41="","","Total: "&amp;'MT 4.2 Results'!G41&amp;"/23 ("&amp;TEXT('MT 4.2 Results'!H41,"0%")&amp;")   Overall: "&amp;'MT 4.2 Results'!I41)</f>
        <v/>
      </c>
    </row>
    <row r="232">
      <c r="A232">
        <f>IF('MT 4.2 Results'!I40="","",IF('MT 4.2 Results'!I40="Green",Parameters!$C$242,IF('MT 4.2 Results'!I40="Yellow",Parameters!$C$241,Parameters!$C$240)))</f>
        <v/>
      </c>
      <c r="K232">
        <f>IF('MT 4.2 Results'!I41="","",IF('MT 4.2 Results'!I41="Green",Parameters!$C$242,IF('MT 4.2 Results'!I41="Yellow",Parameters!$C$241,Parameters!$C$240)))</f>
        <v/>
      </c>
    </row>
    <row r="234">
      <c r="A234">
        <f>IF('MT 4.2 Results'!I40="","","Breakdown:")</f>
        <v/>
      </c>
      <c r="K234">
        <f>IF('MT 4.2 Results'!I41="","","Breakdown:")</f>
        <v/>
      </c>
    </row>
    <row r="235">
      <c r="A235">
        <f>IF('MT 4.2 Results'!I40="","","Q1 Correlation vs causation (scatter graph): "&amp;'MT 4.2 Results'!C40&amp;"/6")</f>
        <v/>
      </c>
      <c r="K235">
        <f>IF('MT 4.2 Results'!I41="","","Q1 Correlation vs causation (scatter graph): "&amp;'MT 4.2 Results'!C41&amp;"/6")</f>
        <v/>
      </c>
    </row>
    <row r="236">
      <c r="A236">
        <f>IF('MT 4.2 Results'!I40="","","Q2 Evaluating evidence for a health claim: "&amp;'MT 4.2 Results'!D40&amp;"/6")</f>
        <v/>
      </c>
      <c r="K236">
        <f>IF('MT 4.2 Results'!I41="","","Q2 Evaluating evidence for a health claim: "&amp;'MT 4.2 Results'!D41&amp;"/6")</f>
        <v/>
      </c>
    </row>
    <row r="237">
      <c r="A237">
        <f>IF('MT 4.2 Results'!I40="","","Q3 Linear model predictions vs real data: "&amp;'MT 4.2 Results'!E40&amp;"/6")</f>
        <v/>
      </c>
      <c r="K237">
        <f>IF('MT 4.2 Results'!I41="","","Q3 Linear model predictions vs real data: "&amp;'MT 4.2 Results'!E41&amp;"/6")</f>
        <v/>
      </c>
    </row>
    <row r="238">
      <c r="A238">
        <f>IF('MT 4.2 Results'!I40="","","Q4 Assumptions of a linear growth model: "&amp;'MT 4.2 Results'!F40&amp;"/5")</f>
        <v/>
      </c>
      <c r="K238">
        <f>IF('MT 4.2 Results'!I41="","","Q4 Assumptions of a linear growth model: "&amp;'MT 4.2 Results'!F41&amp;"/5")</f>
        <v/>
      </c>
    </row>
    <row r="239">
      <c r="A239">
        <f>IF(OR('MT 4.2 Results'!I40="",'MT 4.2 Results'!J40=""),"",'MT 4.2 Results'!J40)</f>
        <v/>
      </c>
      <c r="K239">
        <f>IF(OR('MT 4.2 Results'!I41="",'MT 4.2 Results'!J41=""),"",'MT 4.2 Results'!J41)</f>
        <v/>
      </c>
    </row>
    <row r="241">
      <c r="A241">
        <f>IF('MT 4.2 Results'!I40="","","Comments:")</f>
        <v/>
      </c>
      <c r="K241">
        <f>IF('MT 4.2 Results'!I41="","","Comments:")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8" customWidth="1" min="10" max="10"/>
    <col width="10" customWidth="1" min="11" max="11"/>
    <col width="45" customWidth="1" min="12" max="12"/>
  </cols>
  <sheetData>
    <row r="1">
      <c r="A1" s="11" t="inlineStr">
        <is>
          <t>Chapter 4 End of Topic Test — Critical Analysis of Data &amp; Models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Evidence, reasoning, conclusion
(/9)</t>
        </is>
      </c>
      <c r="D9" s="12" t="inlineStr">
        <is>
          <t>Q2
Evaluating conflicting claims
(/10)</t>
        </is>
      </c>
      <c r="E9" s="12" t="inlineStr">
        <is>
          <t>Q3
Misleading headline vs long-term data
(/9)</t>
        </is>
      </c>
      <c r="F9" s="12" t="inlineStr">
        <is>
          <t>Q4
Sampling &amp; bias
(/8)</t>
        </is>
      </c>
      <c r="G9" s="12" t="inlineStr">
        <is>
          <t>Q5
Correlation vs causation
(/7)</t>
        </is>
      </c>
      <c r="H9" s="12" t="inlineStr">
        <is>
          <t>Q6
Reasoning flaws
(/8)</t>
        </is>
      </c>
      <c r="I9" s="12" t="inlineStr">
        <is>
          <t>Total
(/51)</t>
        </is>
      </c>
      <c r="J9" s="12" t="inlineStr">
        <is>
          <t>%</t>
        </is>
      </c>
      <c r="K9" s="12" t="inlineStr">
        <is>
          <t>Overall</t>
        </is>
      </c>
      <c r="L9" s="12" t="inlineStr">
        <is>
          <t>Focus for next steps</t>
        </is>
      </c>
      <c r="M9" s="12" t="inlineStr">
        <is>
          <t>Q1%</t>
        </is>
      </c>
      <c r="N9" s="12" t="inlineStr">
        <is>
          <t>Q2%</t>
        </is>
      </c>
      <c r="O9" s="12" t="inlineStr">
        <is>
          <t>Q3%</t>
        </is>
      </c>
      <c r="P9" s="12" t="inlineStr">
        <is>
          <t>Q4%</t>
        </is>
      </c>
      <c r="Q9" s="12" t="inlineStr">
        <is>
          <t>Q5%</t>
        </is>
      </c>
      <c r="R9" s="12" t="inlineStr">
        <is>
          <t>Q6%</t>
        </is>
      </c>
    </row>
    <row r="10">
      <c r="A10" s="3" t="n"/>
      <c r="B10" s="3" t="inlineStr">
        <is>
          <t>Max marks</t>
        </is>
      </c>
      <c r="C10" s="3" t="n">
        <v>9</v>
      </c>
      <c r="D10" s="3" t="n">
        <v>10</v>
      </c>
      <c r="E10" s="3" t="n">
        <v>9</v>
      </c>
      <c r="F10" s="3" t="n">
        <v>8</v>
      </c>
      <c r="G10" s="3" t="n">
        <v>7</v>
      </c>
      <c r="H10" s="3" t="n">
        <v>8</v>
      </c>
      <c r="I10" s="3" t="n">
        <v>51</v>
      </c>
      <c r="J10" s="3" t="inlineStr">
        <is>
          <t>100%</t>
        </is>
      </c>
      <c r="K10" s="3" t="n"/>
      <c r="L10" s="3" t="n"/>
      <c r="M10" s="3" t="n"/>
      <c r="N10" s="3" t="n"/>
      <c r="O10" s="3" t="n"/>
      <c r="P10" s="3" t="n"/>
      <c r="Q10" s="3" t="n"/>
      <c r="R10" s="3" t="n"/>
    </row>
    <row r="11">
      <c r="A11" s="13" t="n">
        <v>1</v>
      </c>
      <c r="B11" s="13" t="inlineStr">
        <is>
          <t>Example pupil (edit me)</t>
        </is>
      </c>
      <c r="C11" s="13" t="n">
        <v>7</v>
      </c>
      <c r="D11" s="13" t="n">
        <v>8</v>
      </c>
      <c r="E11" s="13" t="n">
        <v>7</v>
      </c>
      <c r="F11" s="13" t="n">
        <v>6</v>
      </c>
      <c r="G11" s="13" t="n">
        <v>6</v>
      </c>
      <c r="H11" s="13" t="n">
        <v>6</v>
      </c>
      <c r="I11" s="13">
        <f>IF(COUNT(C11:H11)&lt;6,"",SUM(C11:H11))</f>
        <v/>
      </c>
      <c r="J11" s="13">
        <f>IF(COUNT(C11:H11)&lt;6,"",I11/51)</f>
        <v/>
      </c>
      <c r="K11" s="13">
        <f>IF(COUNT(C11:H11)&lt;6,"",IF(J11&gt;=0.8,"Green",IF(J11&gt;=0.5,"Yellow","Red")))</f>
        <v/>
      </c>
      <c r="L11" s="13">
        <f>IF(COUNT(C11:H11)&lt;6,"",IF(K11="Green","Well done! "&amp;Parameters!$C$259,"Revise: "&amp;_xlfn.TEXTJOIN(", ",TRUE(),IF(M11&lt;1,Parameters!$A$248,""),IF(N11&lt;1,Parameters!$A$249,""),IF(O11&lt;1,Parameters!$A$250,""),IF(P11&lt;1,Parameters!$A$251,""),IF(Q11&lt;1,Parameters!$A$252,""),IF(R11&lt;1,Parameters!$A$253,""))))</f>
        <v/>
      </c>
      <c r="M11" s="13">
        <f>IF(C11="","",C11/9)</f>
        <v/>
      </c>
      <c r="N11" s="13">
        <f>IF(D11="","",D11/10)</f>
        <v/>
      </c>
      <c r="O11" s="13">
        <f>IF(E11="","",E11/9)</f>
        <v/>
      </c>
      <c r="P11" s="13">
        <f>IF(F11="","",F11/8)</f>
        <v/>
      </c>
      <c r="Q11" s="13">
        <f>IF(G11="","",G11/7)</f>
        <v/>
      </c>
      <c r="R11" s="13">
        <f>IF(H11="","",H11/8)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4" t="n"/>
      <c r="H12" s="14" t="n"/>
      <c r="I12" s="13">
        <f>IF(COUNT(C12:H12)&lt;6,"",SUM(C12:H12))</f>
        <v/>
      </c>
      <c r="J12" s="13">
        <f>IF(COUNT(C12:H12)&lt;6,"",I12/51)</f>
        <v/>
      </c>
      <c r="K12" s="13">
        <f>IF(COUNT(C12:H12)&lt;6,"",IF(J12&gt;=0.8,"Green",IF(J12&gt;=0.5,"Yellow","Red")))</f>
        <v/>
      </c>
      <c r="L12" s="13">
        <f>IF(COUNT(C12:H12)&lt;6,"",IF(K12="Green","Well done! "&amp;Parameters!$C$259,"Revise: "&amp;_xlfn.TEXTJOIN(", ",TRUE(),IF(M12&lt;1,Parameters!$A$248,""),IF(N12&lt;1,Parameters!$A$249,""),IF(O12&lt;1,Parameters!$A$250,""),IF(P12&lt;1,Parameters!$A$251,""),IF(Q12&lt;1,Parameters!$A$252,""),IF(R12&lt;1,Parameters!$A$253,""))))</f>
        <v/>
      </c>
      <c r="M12" s="13">
        <f>IF(C12="","",C12/9)</f>
        <v/>
      </c>
      <c r="N12" s="13">
        <f>IF(D12="","",D12/10)</f>
        <v/>
      </c>
      <c r="O12" s="13">
        <f>IF(E12="","",E12/9)</f>
        <v/>
      </c>
      <c r="P12" s="13">
        <f>IF(F12="","",F12/8)</f>
        <v/>
      </c>
      <c r="Q12" s="13">
        <f>IF(G12="","",G12/7)</f>
        <v/>
      </c>
      <c r="R12" s="13">
        <f>IF(H12="","",H12/8)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4" t="n"/>
      <c r="H13" s="14" t="n"/>
      <c r="I13" s="13">
        <f>IF(COUNT(C13:H13)&lt;6,"",SUM(C13:H13))</f>
        <v/>
      </c>
      <c r="J13" s="13">
        <f>IF(COUNT(C13:H13)&lt;6,"",I13/51)</f>
        <v/>
      </c>
      <c r="K13" s="13">
        <f>IF(COUNT(C13:H13)&lt;6,"",IF(J13&gt;=0.8,"Green",IF(J13&gt;=0.5,"Yellow","Red")))</f>
        <v/>
      </c>
      <c r="L13" s="13">
        <f>IF(COUNT(C13:H13)&lt;6,"",IF(K13="Green","Well done! "&amp;Parameters!$C$259,"Revise: "&amp;_xlfn.TEXTJOIN(", ",TRUE(),IF(M13&lt;1,Parameters!$A$248,""),IF(N13&lt;1,Parameters!$A$249,""),IF(O13&lt;1,Parameters!$A$250,""),IF(P13&lt;1,Parameters!$A$251,""),IF(Q13&lt;1,Parameters!$A$252,""),IF(R13&lt;1,Parameters!$A$253,""))))</f>
        <v/>
      </c>
      <c r="M13" s="13">
        <f>IF(C13="","",C13/9)</f>
        <v/>
      </c>
      <c r="N13" s="13">
        <f>IF(D13="","",D13/10)</f>
        <v/>
      </c>
      <c r="O13" s="13">
        <f>IF(E13="","",E13/9)</f>
        <v/>
      </c>
      <c r="P13" s="13">
        <f>IF(F13="","",F13/8)</f>
        <v/>
      </c>
      <c r="Q13" s="13">
        <f>IF(G13="","",G13/7)</f>
        <v/>
      </c>
      <c r="R13" s="13">
        <f>IF(H13="","",H13/8)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4" t="n"/>
      <c r="H14" s="14" t="n"/>
      <c r="I14" s="13">
        <f>IF(COUNT(C14:H14)&lt;6,"",SUM(C14:H14))</f>
        <v/>
      </c>
      <c r="J14" s="13">
        <f>IF(COUNT(C14:H14)&lt;6,"",I14/51)</f>
        <v/>
      </c>
      <c r="K14" s="13">
        <f>IF(COUNT(C14:H14)&lt;6,"",IF(J14&gt;=0.8,"Green",IF(J14&gt;=0.5,"Yellow","Red")))</f>
        <v/>
      </c>
      <c r="L14" s="13">
        <f>IF(COUNT(C14:H14)&lt;6,"",IF(K14="Green","Well done! "&amp;Parameters!$C$259,"Revise: "&amp;_xlfn.TEXTJOIN(", ",TRUE(),IF(M14&lt;1,Parameters!$A$248,""),IF(N14&lt;1,Parameters!$A$249,""),IF(O14&lt;1,Parameters!$A$250,""),IF(P14&lt;1,Parameters!$A$251,""),IF(Q14&lt;1,Parameters!$A$252,""),IF(R14&lt;1,Parameters!$A$253,""))))</f>
        <v/>
      </c>
      <c r="M14" s="13">
        <f>IF(C14="","",C14/9)</f>
        <v/>
      </c>
      <c r="N14" s="13">
        <f>IF(D14="","",D14/10)</f>
        <v/>
      </c>
      <c r="O14" s="13">
        <f>IF(E14="","",E14/9)</f>
        <v/>
      </c>
      <c r="P14" s="13">
        <f>IF(F14="","",F14/8)</f>
        <v/>
      </c>
      <c r="Q14" s="13">
        <f>IF(G14="","",G14/7)</f>
        <v/>
      </c>
      <c r="R14" s="13">
        <f>IF(H14="","",H14/8)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4" t="n"/>
      <c r="H15" s="14" t="n"/>
      <c r="I15" s="13">
        <f>IF(COUNT(C15:H15)&lt;6,"",SUM(C15:H15))</f>
        <v/>
      </c>
      <c r="J15" s="13">
        <f>IF(COUNT(C15:H15)&lt;6,"",I15/51)</f>
        <v/>
      </c>
      <c r="K15" s="13">
        <f>IF(COUNT(C15:H15)&lt;6,"",IF(J15&gt;=0.8,"Green",IF(J15&gt;=0.5,"Yellow","Red")))</f>
        <v/>
      </c>
      <c r="L15" s="13">
        <f>IF(COUNT(C15:H15)&lt;6,"",IF(K15="Green","Well done! "&amp;Parameters!$C$259,"Revise: "&amp;_xlfn.TEXTJOIN(", ",TRUE(),IF(M15&lt;1,Parameters!$A$248,""),IF(N15&lt;1,Parameters!$A$249,""),IF(O15&lt;1,Parameters!$A$250,""),IF(P15&lt;1,Parameters!$A$251,""),IF(Q15&lt;1,Parameters!$A$252,""),IF(R15&lt;1,Parameters!$A$253,""))))</f>
        <v/>
      </c>
      <c r="M15" s="13">
        <f>IF(C15="","",C15/9)</f>
        <v/>
      </c>
      <c r="N15" s="13">
        <f>IF(D15="","",D15/10)</f>
        <v/>
      </c>
      <c r="O15" s="13">
        <f>IF(E15="","",E15/9)</f>
        <v/>
      </c>
      <c r="P15" s="13">
        <f>IF(F15="","",F15/8)</f>
        <v/>
      </c>
      <c r="Q15" s="13">
        <f>IF(G15="","",G15/7)</f>
        <v/>
      </c>
      <c r="R15" s="13">
        <f>IF(H15="","",H15/8)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4" t="n"/>
      <c r="H16" s="14" t="n"/>
      <c r="I16" s="13">
        <f>IF(COUNT(C16:H16)&lt;6,"",SUM(C16:H16))</f>
        <v/>
      </c>
      <c r="J16" s="13">
        <f>IF(COUNT(C16:H16)&lt;6,"",I16/51)</f>
        <v/>
      </c>
      <c r="K16" s="13">
        <f>IF(COUNT(C16:H16)&lt;6,"",IF(J16&gt;=0.8,"Green",IF(J16&gt;=0.5,"Yellow","Red")))</f>
        <v/>
      </c>
      <c r="L16" s="13">
        <f>IF(COUNT(C16:H16)&lt;6,"",IF(K16="Green","Well done! "&amp;Parameters!$C$259,"Revise: "&amp;_xlfn.TEXTJOIN(", ",TRUE(),IF(M16&lt;1,Parameters!$A$248,""),IF(N16&lt;1,Parameters!$A$249,""),IF(O16&lt;1,Parameters!$A$250,""),IF(P16&lt;1,Parameters!$A$251,""),IF(Q16&lt;1,Parameters!$A$252,""),IF(R16&lt;1,Parameters!$A$253,""))))</f>
        <v/>
      </c>
      <c r="M16" s="13">
        <f>IF(C16="","",C16/9)</f>
        <v/>
      </c>
      <c r="N16" s="13">
        <f>IF(D16="","",D16/10)</f>
        <v/>
      </c>
      <c r="O16" s="13">
        <f>IF(E16="","",E16/9)</f>
        <v/>
      </c>
      <c r="P16" s="13">
        <f>IF(F16="","",F16/8)</f>
        <v/>
      </c>
      <c r="Q16" s="13">
        <f>IF(G16="","",G16/7)</f>
        <v/>
      </c>
      <c r="R16" s="13">
        <f>IF(H16="","",H16/8)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4" t="n"/>
      <c r="H17" s="14" t="n"/>
      <c r="I17" s="13">
        <f>IF(COUNT(C17:H17)&lt;6,"",SUM(C17:H17))</f>
        <v/>
      </c>
      <c r="J17" s="13">
        <f>IF(COUNT(C17:H17)&lt;6,"",I17/51)</f>
        <v/>
      </c>
      <c r="K17" s="13">
        <f>IF(COUNT(C17:H17)&lt;6,"",IF(J17&gt;=0.8,"Green",IF(J17&gt;=0.5,"Yellow","Red")))</f>
        <v/>
      </c>
      <c r="L17" s="13">
        <f>IF(COUNT(C17:H17)&lt;6,"",IF(K17="Green","Well done! "&amp;Parameters!$C$259,"Revise: "&amp;_xlfn.TEXTJOIN(", ",TRUE(),IF(M17&lt;1,Parameters!$A$248,""),IF(N17&lt;1,Parameters!$A$249,""),IF(O17&lt;1,Parameters!$A$250,""),IF(P17&lt;1,Parameters!$A$251,""),IF(Q17&lt;1,Parameters!$A$252,""),IF(R17&lt;1,Parameters!$A$253,""))))</f>
        <v/>
      </c>
      <c r="M17" s="13">
        <f>IF(C17="","",C17/9)</f>
        <v/>
      </c>
      <c r="N17" s="13">
        <f>IF(D17="","",D17/10)</f>
        <v/>
      </c>
      <c r="O17" s="13">
        <f>IF(E17="","",E17/9)</f>
        <v/>
      </c>
      <c r="P17" s="13">
        <f>IF(F17="","",F17/8)</f>
        <v/>
      </c>
      <c r="Q17" s="13">
        <f>IF(G17="","",G17/7)</f>
        <v/>
      </c>
      <c r="R17" s="13">
        <f>IF(H17="","",H17/8)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4" t="n"/>
      <c r="H18" s="14" t="n"/>
      <c r="I18" s="13">
        <f>IF(COUNT(C18:H18)&lt;6,"",SUM(C18:H18))</f>
        <v/>
      </c>
      <c r="J18" s="13">
        <f>IF(COUNT(C18:H18)&lt;6,"",I18/51)</f>
        <v/>
      </c>
      <c r="K18" s="13">
        <f>IF(COUNT(C18:H18)&lt;6,"",IF(J18&gt;=0.8,"Green",IF(J18&gt;=0.5,"Yellow","Red")))</f>
        <v/>
      </c>
      <c r="L18" s="13">
        <f>IF(COUNT(C18:H18)&lt;6,"",IF(K18="Green","Well done! "&amp;Parameters!$C$259,"Revise: "&amp;_xlfn.TEXTJOIN(", ",TRUE(),IF(M18&lt;1,Parameters!$A$248,""),IF(N18&lt;1,Parameters!$A$249,""),IF(O18&lt;1,Parameters!$A$250,""),IF(P18&lt;1,Parameters!$A$251,""),IF(Q18&lt;1,Parameters!$A$252,""),IF(R18&lt;1,Parameters!$A$253,""))))</f>
        <v/>
      </c>
      <c r="M18" s="13">
        <f>IF(C18="","",C18/9)</f>
        <v/>
      </c>
      <c r="N18" s="13">
        <f>IF(D18="","",D18/10)</f>
        <v/>
      </c>
      <c r="O18" s="13">
        <f>IF(E18="","",E18/9)</f>
        <v/>
      </c>
      <c r="P18" s="13">
        <f>IF(F18="","",F18/8)</f>
        <v/>
      </c>
      <c r="Q18" s="13">
        <f>IF(G18="","",G18/7)</f>
        <v/>
      </c>
      <c r="R18" s="13">
        <f>IF(H18="","",H18/8)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4" t="n"/>
      <c r="H19" s="14" t="n"/>
      <c r="I19" s="13">
        <f>IF(COUNT(C19:H19)&lt;6,"",SUM(C19:H19))</f>
        <v/>
      </c>
      <c r="J19" s="13">
        <f>IF(COUNT(C19:H19)&lt;6,"",I19/51)</f>
        <v/>
      </c>
      <c r="K19" s="13">
        <f>IF(COUNT(C19:H19)&lt;6,"",IF(J19&gt;=0.8,"Green",IF(J19&gt;=0.5,"Yellow","Red")))</f>
        <v/>
      </c>
      <c r="L19" s="13">
        <f>IF(COUNT(C19:H19)&lt;6,"",IF(K19="Green","Well done! "&amp;Parameters!$C$259,"Revise: "&amp;_xlfn.TEXTJOIN(", ",TRUE(),IF(M19&lt;1,Parameters!$A$248,""),IF(N19&lt;1,Parameters!$A$249,""),IF(O19&lt;1,Parameters!$A$250,""),IF(P19&lt;1,Parameters!$A$251,""),IF(Q19&lt;1,Parameters!$A$252,""),IF(R19&lt;1,Parameters!$A$253,""))))</f>
        <v/>
      </c>
      <c r="M19" s="13">
        <f>IF(C19="","",C19/9)</f>
        <v/>
      </c>
      <c r="N19" s="13">
        <f>IF(D19="","",D19/10)</f>
        <v/>
      </c>
      <c r="O19" s="13">
        <f>IF(E19="","",E19/9)</f>
        <v/>
      </c>
      <c r="P19" s="13">
        <f>IF(F19="","",F19/8)</f>
        <v/>
      </c>
      <c r="Q19" s="13">
        <f>IF(G19="","",G19/7)</f>
        <v/>
      </c>
      <c r="R19" s="13">
        <f>IF(H19="","",H19/8)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4" t="n"/>
      <c r="H20" s="14" t="n"/>
      <c r="I20" s="13">
        <f>IF(COUNT(C20:H20)&lt;6,"",SUM(C20:H20))</f>
        <v/>
      </c>
      <c r="J20" s="13">
        <f>IF(COUNT(C20:H20)&lt;6,"",I20/51)</f>
        <v/>
      </c>
      <c r="K20" s="13">
        <f>IF(COUNT(C20:H20)&lt;6,"",IF(J20&gt;=0.8,"Green",IF(J20&gt;=0.5,"Yellow","Red")))</f>
        <v/>
      </c>
      <c r="L20" s="13">
        <f>IF(COUNT(C20:H20)&lt;6,"",IF(K20="Green","Well done! "&amp;Parameters!$C$259,"Revise: "&amp;_xlfn.TEXTJOIN(", ",TRUE(),IF(M20&lt;1,Parameters!$A$248,""),IF(N20&lt;1,Parameters!$A$249,""),IF(O20&lt;1,Parameters!$A$250,""),IF(P20&lt;1,Parameters!$A$251,""),IF(Q20&lt;1,Parameters!$A$252,""),IF(R20&lt;1,Parameters!$A$253,""))))</f>
        <v/>
      </c>
      <c r="M20" s="13">
        <f>IF(C20="","",C20/9)</f>
        <v/>
      </c>
      <c r="N20" s="13">
        <f>IF(D20="","",D20/10)</f>
        <v/>
      </c>
      <c r="O20" s="13">
        <f>IF(E20="","",E20/9)</f>
        <v/>
      </c>
      <c r="P20" s="13">
        <f>IF(F20="","",F20/8)</f>
        <v/>
      </c>
      <c r="Q20" s="13">
        <f>IF(G20="","",G20/7)</f>
        <v/>
      </c>
      <c r="R20" s="13">
        <f>IF(H20="","",H20/8)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4" t="n"/>
      <c r="H21" s="14" t="n"/>
      <c r="I21" s="13">
        <f>IF(COUNT(C21:H21)&lt;6,"",SUM(C21:H21))</f>
        <v/>
      </c>
      <c r="J21" s="13">
        <f>IF(COUNT(C21:H21)&lt;6,"",I21/51)</f>
        <v/>
      </c>
      <c r="K21" s="13">
        <f>IF(COUNT(C21:H21)&lt;6,"",IF(J21&gt;=0.8,"Green",IF(J21&gt;=0.5,"Yellow","Red")))</f>
        <v/>
      </c>
      <c r="L21" s="13">
        <f>IF(COUNT(C21:H21)&lt;6,"",IF(K21="Green","Well done! "&amp;Parameters!$C$259,"Revise: "&amp;_xlfn.TEXTJOIN(", ",TRUE(),IF(M21&lt;1,Parameters!$A$248,""),IF(N21&lt;1,Parameters!$A$249,""),IF(O21&lt;1,Parameters!$A$250,""),IF(P21&lt;1,Parameters!$A$251,""),IF(Q21&lt;1,Parameters!$A$252,""),IF(R21&lt;1,Parameters!$A$253,""))))</f>
        <v/>
      </c>
      <c r="M21" s="13">
        <f>IF(C21="","",C21/9)</f>
        <v/>
      </c>
      <c r="N21" s="13">
        <f>IF(D21="","",D21/10)</f>
        <v/>
      </c>
      <c r="O21" s="13">
        <f>IF(E21="","",E21/9)</f>
        <v/>
      </c>
      <c r="P21" s="13">
        <f>IF(F21="","",F21/8)</f>
        <v/>
      </c>
      <c r="Q21" s="13">
        <f>IF(G21="","",G21/7)</f>
        <v/>
      </c>
      <c r="R21" s="13">
        <f>IF(H21="","",H21/8)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4" t="n"/>
      <c r="H22" s="14" t="n"/>
      <c r="I22" s="13">
        <f>IF(COUNT(C22:H22)&lt;6,"",SUM(C22:H22))</f>
        <v/>
      </c>
      <c r="J22" s="13">
        <f>IF(COUNT(C22:H22)&lt;6,"",I22/51)</f>
        <v/>
      </c>
      <c r="K22" s="13">
        <f>IF(COUNT(C22:H22)&lt;6,"",IF(J22&gt;=0.8,"Green",IF(J22&gt;=0.5,"Yellow","Red")))</f>
        <v/>
      </c>
      <c r="L22" s="13">
        <f>IF(COUNT(C22:H22)&lt;6,"",IF(K22="Green","Well done! "&amp;Parameters!$C$259,"Revise: "&amp;_xlfn.TEXTJOIN(", ",TRUE(),IF(M22&lt;1,Parameters!$A$248,""),IF(N22&lt;1,Parameters!$A$249,""),IF(O22&lt;1,Parameters!$A$250,""),IF(P22&lt;1,Parameters!$A$251,""),IF(Q22&lt;1,Parameters!$A$252,""),IF(R22&lt;1,Parameters!$A$253,""))))</f>
        <v/>
      </c>
      <c r="M22" s="13">
        <f>IF(C22="","",C22/9)</f>
        <v/>
      </c>
      <c r="N22" s="13">
        <f>IF(D22="","",D22/10)</f>
        <v/>
      </c>
      <c r="O22" s="13">
        <f>IF(E22="","",E22/9)</f>
        <v/>
      </c>
      <c r="P22" s="13">
        <f>IF(F22="","",F22/8)</f>
        <v/>
      </c>
      <c r="Q22" s="13">
        <f>IF(G22="","",G22/7)</f>
        <v/>
      </c>
      <c r="R22" s="13">
        <f>IF(H22="","",H22/8)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4" t="n"/>
      <c r="H23" s="14" t="n"/>
      <c r="I23" s="13">
        <f>IF(COUNT(C23:H23)&lt;6,"",SUM(C23:H23))</f>
        <v/>
      </c>
      <c r="J23" s="13">
        <f>IF(COUNT(C23:H23)&lt;6,"",I23/51)</f>
        <v/>
      </c>
      <c r="K23" s="13">
        <f>IF(COUNT(C23:H23)&lt;6,"",IF(J23&gt;=0.8,"Green",IF(J23&gt;=0.5,"Yellow","Red")))</f>
        <v/>
      </c>
      <c r="L23" s="13">
        <f>IF(COUNT(C23:H23)&lt;6,"",IF(K23="Green","Well done! "&amp;Parameters!$C$259,"Revise: "&amp;_xlfn.TEXTJOIN(", ",TRUE(),IF(M23&lt;1,Parameters!$A$248,""),IF(N23&lt;1,Parameters!$A$249,""),IF(O23&lt;1,Parameters!$A$250,""),IF(P23&lt;1,Parameters!$A$251,""),IF(Q23&lt;1,Parameters!$A$252,""),IF(R23&lt;1,Parameters!$A$253,""))))</f>
        <v/>
      </c>
      <c r="M23" s="13">
        <f>IF(C23="","",C23/9)</f>
        <v/>
      </c>
      <c r="N23" s="13">
        <f>IF(D23="","",D23/10)</f>
        <v/>
      </c>
      <c r="O23" s="13">
        <f>IF(E23="","",E23/9)</f>
        <v/>
      </c>
      <c r="P23" s="13">
        <f>IF(F23="","",F23/8)</f>
        <v/>
      </c>
      <c r="Q23" s="13">
        <f>IF(G23="","",G23/7)</f>
        <v/>
      </c>
      <c r="R23" s="13">
        <f>IF(H23="","",H23/8)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4" t="n"/>
      <c r="H24" s="14" t="n"/>
      <c r="I24" s="13">
        <f>IF(COUNT(C24:H24)&lt;6,"",SUM(C24:H24))</f>
        <v/>
      </c>
      <c r="J24" s="13">
        <f>IF(COUNT(C24:H24)&lt;6,"",I24/51)</f>
        <v/>
      </c>
      <c r="K24" s="13">
        <f>IF(COUNT(C24:H24)&lt;6,"",IF(J24&gt;=0.8,"Green",IF(J24&gt;=0.5,"Yellow","Red")))</f>
        <v/>
      </c>
      <c r="L24" s="13">
        <f>IF(COUNT(C24:H24)&lt;6,"",IF(K24="Green","Well done! "&amp;Parameters!$C$259,"Revise: "&amp;_xlfn.TEXTJOIN(", ",TRUE(),IF(M24&lt;1,Parameters!$A$248,""),IF(N24&lt;1,Parameters!$A$249,""),IF(O24&lt;1,Parameters!$A$250,""),IF(P24&lt;1,Parameters!$A$251,""),IF(Q24&lt;1,Parameters!$A$252,""),IF(R24&lt;1,Parameters!$A$253,""))))</f>
        <v/>
      </c>
      <c r="M24" s="13">
        <f>IF(C24="","",C24/9)</f>
        <v/>
      </c>
      <c r="N24" s="13">
        <f>IF(D24="","",D24/10)</f>
        <v/>
      </c>
      <c r="O24" s="13">
        <f>IF(E24="","",E24/9)</f>
        <v/>
      </c>
      <c r="P24" s="13">
        <f>IF(F24="","",F24/8)</f>
        <v/>
      </c>
      <c r="Q24" s="13">
        <f>IF(G24="","",G24/7)</f>
        <v/>
      </c>
      <c r="R24" s="13">
        <f>IF(H24="","",H24/8)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4" t="n"/>
      <c r="H25" s="14" t="n"/>
      <c r="I25" s="13">
        <f>IF(COUNT(C25:H25)&lt;6,"",SUM(C25:H25))</f>
        <v/>
      </c>
      <c r="J25" s="13">
        <f>IF(COUNT(C25:H25)&lt;6,"",I25/51)</f>
        <v/>
      </c>
      <c r="K25" s="13">
        <f>IF(COUNT(C25:H25)&lt;6,"",IF(J25&gt;=0.8,"Green",IF(J25&gt;=0.5,"Yellow","Red")))</f>
        <v/>
      </c>
      <c r="L25" s="13">
        <f>IF(COUNT(C25:H25)&lt;6,"",IF(K25="Green","Well done! "&amp;Parameters!$C$259,"Revise: "&amp;_xlfn.TEXTJOIN(", ",TRUE(),IF(M25&lt;1,Parameters!$A$248,""),IF(N25&lt;1,Parameters!$A$249,""),IF(O25&lt;1,Parameters!$A$250,""),IF(P25&lt;1,Parameters!$A$251,""),IF(Q25&lt;1,Parameters!$A$252,""),IF(R25&lt;1,Parameters!$A$253,""))))</f>
        <v/>
      </c>
      <c r="M25" s="13">
        <f>IF(C25="","",C25/9)</f>
        <v/>
      </c>
      <c r="N25" s="13">
        <f>IF(D25="","",D25/10)</f>
        <v/>
      </c>
      <c r="O25" s="13">
        <f>IF(E25="","",E25/9)</f>
        <v/>
      </c>
      <c r="P25" s="13">
        <f>IF(F25="","",F25/8)</f>
        <v/>
      </c>
      <c r="Q25" s="13">
        <f>IF(G25="","",G25/7)</f>
        <v/>
      </c>
      <c r="R25" s="13">
        <f>IF(H25="","",H25/8)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4" t="n"/>
      <c r="H26" s="14" t="n"/>
      <c r="I26" s="13">
        <f>IF(COUNT(C26:H26)&lt;6,"",SUM(C26:H26))</f>
        <v/>
      </c>
      <c r="J26" s="13">
        <f>IF(COUNT(C26:H26)&lt;6,"",I26/51)</f>
        <v/>
      </c>
      <c r="K26" s="13">
        <f>IF(COUNT(C26:H26)&lt;6,"",IF(J26&gt;=0.8,"Green",IF(J26&gt;=0.5,"Yellow","Red")))</f>
        <v/>
      </c>
      <c r="L26" s="13">
        <f>IF(COUNT(C26:H26)&lt;6,"",IF(K26="Green","Well done! "&amp;Parameters!$C$259,"Revise: "&amp;_xlfn.TEXTJOIN(", ",TRUE(),IF(M26&lt;1,Parameters!$A$248,""),IF(N26&lt;1,Parameters!$A$249,""),IF(O26&lt;1,Parameters!$A$250,""),IF(P26&lt;1,Parameters!$A$251,""),IF(Q26&lt;1,Parameters!$A$252,""),IF(R26&lt;1,Parameters!$A$253,""))))</f>
        <v/>
      </c>
      <c r="M26" s="13">
        <f>IF(C26="","",C26/9)</f>
        <v/>
      </c>
      <c r="N26" s="13">
        <f>IF(D26="","",D26/10)</f>
        <v/>
      </c>
      <c r="O26" s="13">
        <f>IF(E26="","",E26/9)</f>
        <v/>
      </c>
      <c r="P26" s="13">
        <f>IF(F26="","",F26/8)</f>
        <v/>
      </c>
      <c r="Q26" s="13">
        <f>IF(G26="","",G26/7)</f>
        <v/>
      </c>
      <c r="R26" s="13">
        <f>IF(H26="","",H26/8)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4" t="n"/>
      <c r="H27" s="14" t="n"/>
      <c r="I27" s="13">
        <f>IF(COUNT(C27:H27)&lt;6,"",SUM(C27:H27))</f>
        <v/>
      </c>
      <c r="J27" s="13">
        <f>IF(COUNT(C27:H27)&lt;6,"",I27/51)</f>
        <v/>
      </c>
      <c r="K27" s="13">
        <f>IF(COUNT(C27:H27)&lt;6,"",IF(J27&gt;=0.8,"Green",IF(J27&gt;=0.5,"Yellow","Red")))</f>
        <v/>
      </c>
      <c r="L27" s="13">
        <f>IF(COUNT(C27:H27)&lt;6,"",IF(K27="Green","Well done! "&amp;Parameters!$C$259,"Revise: "&amp;_xlfn.TEXTJOIN(", ",TRUE(),IF(M27&lt;1,Parameters!$A$248,""),IF(N27&lt;1,Parameters!$A$249,""),IF(O27&lt;1,Parameters!$A$250,""),IF(P27&lt;1,Parameters!$A$251,""),IF(Q27&lt;1,Parameters!$A$252,""),IF(R27&lt;1,Parameters!$A$253,""))))</f>
        <v/>
      </c>
      <c r="M27" s="13">
        <f>IF(C27="","",C27/9)</f>
        <v/>
      </c>
      <c r="N27" s="13">
        <f>IF(D27="","",D27/10)</f>
        <v/>
      </c>
      <c r="O27" s="13">
        <f>IF(E27="","",E27/9)</f>
        <v/>
      </c>
      <c r="P27" s="13">
        <f>IF(F27="","",F27/8)</f>
        <v/>
      </c>
      <c r="Q27" s="13">
        <f>IF(G27="","",G27/7)</f>
        <v/>
      </c>
      <c r="R27" s="13">
        <f>IF(H27="","",H27/8)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4" t="n"/>
      <c r="H28" s="14" t="n"/>
      <c r="I28" s="13">
        <f>IF(COUNT(C28:H28)&lt;6,"",SUM(C28:H28))</f>
        <v/>
      </c>
      <c r="J28" s="13">
        <f>IF(COUNT(C28:H28)&lt;6,"",I28/51)</f>
        <v/>
      </c>
      <c r="K28" s="13">
        <f>IF(COUNT(C28:H28)&lt;6,"",IF(J28&gt;=0.8,"Green",IF(J28&gt;=0.5,"Yellow","Red")))</f>
        <v/>
      </c>
      <c r="L28" s="13">
        <f>IF(COUNT(C28:H28)&lt;6,"",IF(K28="Green","Well done! "&amp;Parameters!$C$259,"Revise: "&amp;_xlfn.TEXTJOIN(", ",TRUE(),IF(M28&lt;1,Parameters!$A$248,""),IF(N28&lt;1,Parameters!$A$249,""),IF(O28&lt;1,Parameters!$A$250,""),IF(P28&lt;1,Parameters!$A$251,""),IF(Q28&lt;1,Parameters!$A$252,""),IF(R28&lt;1,Parameters!$A$253,""))))</f>
        <v/>
      </c>
      <c r="M28" s="13">
        <f>IF(C28="","",C28/9)</f>
        <v/>
      </c>
      <c r="N28" s="13">
        <f>IF(D28="","",D28/10)</f>
        <v/>
      </c>
      <c r="O28" s="13">
        <f>IF(E28="","",E28/9)</f>
        <v/>
      </c>
      <c r="P28" s="13">
        <f>IF(F28="","",F28/8)</f>
        <v/>
      </c>
      <c r="Q28" s="13">
        <f>IF(G28="","",G28/7)</f>
        <v/>
      </c>
      <c r="R28" s="13">
        <f>IF(H28="","",H28/8)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4" t="n"/>
      <c r="H29" s="14" t="n"/>
      <c r="I29" s="13">
        <f>IF(COUNT(C29:H29)&lt;6,"",SUM(C29:H29))</f>
        <v/>
      </c>
      <c r="J29" s="13">
        <f>IF(COUNT(C29:H29)&lt;6,"",I29/51)</f>
        <v/>
      </c>
      <c r="K29" s="13">
        <f>IF(COUNT(C29:H29)&lt;6,"",IF(J29&gt;=0.8,"Green",IF(J29&gt;=0.5,"Yellow","Red")))</f>
        <v/>
      </c>
      <c r="L29" s="13">
        <f>IF(COUNT(C29:H29)&lt;6,"",IF(K29="Green","Well done! "&amp;Parameters!$C$259,"Revise: "&amp;_xlfn.TEXTJOIN(", ",TRUE(),IF(M29&lt;1,Parameters!$A$248,""),IF(N29&lt;1,Parameters!$A$249,""),IF(O29&lt;1,Parameters!$A$250,""),IF(P29&lt;1,Parameters!$A$251,""),IF(Q29&lt;1,Parameters!$A$252,""),IF(R29&lt;1,Parameters!$A$253,""))))</f>
        <v/>
      </c>
      <c r="M29" s="13">
        <f>IF(C29="","",C29/9)</f>
        <v/>
      </c>
      <c r="N29" s="13">
        <f>IF(D29="","",D29/10)</f>
        <v/>
      </c>
      <c r="O29" s="13">
        <f>IF(E29="","",E29/9)</f>
        <v/>
      </c>
      <c r="P29" s="13">
        <f>IF(F29="","",F29/8)</f>
        <v/>
      </c>
      <c r="Q29" s="13">
        <f>IF(G29="","",G29/7)</f>
        <v/>
      </c>
      <c r="R29" s="13">
        <f>IF(H29="","",H29/8)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4" t="n"/>
      <c r="H30" s="14" t="n"/>
      <c r="I30" s="13">
        <f>IF(COUNT(C30:H30)&lt;6,"",SUM(C30:H30))</f>
        <v/>
      </c>
      <c r="J30" s="13">
        <f>IF(COUNT(C30:H30)&lt;6,"",I30/51)</f>
        <v/>
      </c>
      <c r="K30" s="13">
        <f>IF(COUNT(C30:H30)&lt;6,"",IF(J30&gt;=0.8,"Green",IF(J30&gt;=0.5,"Yellow","Red")))</f>
        <v/>
      </c>
      <c r="L30" s="13">
        <f>IF(COUNT(C30:H30)&lt;6,"",IF(K30="Green","Well done! "&amp;Parameters!$C$259,"Revise: "&amp;_xlfn.TEXTJOIN(", ",TRUE(),IF(M30&lt;1,Parameters!$A$248,""),IF(N30&lt;1,Parameters!$A$249,""),IF(O30&lt;1,Parameters!$A$250,""),IF(P30&lt;1,Parameters!$A$251,""),IF(Q30&lt;1,Parameters!$A$252,""),IF(R30&lt;1,Parameters!$A$253,""))))</f>
        <v/>
      </c>
      <c r="M30" s="13">
        <f>IF(C30="","",C30/9)</f>
        <v/>
      </c>
      <c r="N30" s="13">
        <f>IF(D30="","",D30/10)</f>
        <v/>
      </c>
      <c r="O30" s="13">
        <f>IF(E30="","",E30/9)</f>
        <v/>
      </c>
      <c r="P30" s="13">
        <f>IF(F30="","",F30/8)</f>
        <v/>
      </c>
      <c r="Q30" s="13">
        <f>IF(G30="","",G30/7)</f>
        <v/>
      </c>
      <c r="R30" s="13">
        <f>IF(H30="","",H30/8)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4" t="n"/>
      <c r="H31" s="14" t="n"/>
      <c r="I31" s="13">
        <f>IF(COUNT(C31:H31)&lt;6,"",SUM(C31:H31))</f>
        <v/>
      </c>
      <c r="J31" s="13">
        <f>IF(COUNT(C31:H31)&lt;6,"",I31/51)</f>
        <v/>
      </c>
      <c r="K31" s="13">
        <f>IF(COUNT(C31:H31)&lt;6,"",IF(J31&gt;=0.8,"Green",IF(J31&gt;=0.5,"Yellow","Red")))</f>
        <v/>
      </c>
      <c r="L31" s="13">
        <f>IF(COUNT(C31:H31)&lt;6,"",IF(K31="Green","Well done! "&amp;Parameters!$C$259,"Revise: "&amp;_xlfn.TEXTJOIN(", ",TRUE(),IF(M31&lt;1,Parameters!$A$248,""),IF(N31&lt;1,Parameters!$A$249,""),IF(O31&lt;1,Parameters!$A$250,""),IF(P31&lt;1,Parameters!$A$251,""),IF(Q31&lt;1,Parameters!$A$252,""),IF(R31&lt;1,Parameters!$A$253,""))))</f>
        <v/>
      </c>
      <c r="M31" s="13">
        <f>IF(C31="","",C31/9)</f>
        <v/>
      </c>
      <c r="N31" s="13">
        <f>IF(D31="","",D31/10)</f>
        <v/>
      </c>
      <c r="O31" s="13">
        <f>IF(E31="","",E31/9)</f>
        <v/>
      </c>
      <c r="P31" s="13">
        <f>IF(F31="","",F31/8)</f>
        <v/>
      </c>
      <c r="Q31" s="13">
        <f>IF(G31="","",G31/7)</f>
        <v/>
      </c>
      <c r="R31" s="13">
        <f>IF(H31="","",H31/8)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4" t="n"/>
      <c r="H32" s="14" t="n"/>
      <c r="I32" s="13">
        <f>IF(COUNT(C32:H32)&lt;6,"",SUM(C32:H32))</f>
        <v/>
      </c>
      <c r="J32" s="13">
        <f>IF(COUNT(C32:H32)&lt;6,"",I32/51)</f>
        <v/>
      </c>
      <c r="K32" s="13">
        <f>IF(COUNT(C32:H32)&lt;6,"",IF(J32&gt;=0.8,"Green",IF(J32&gt;=0.5,"Yellow","Red")))</f>
        <v/>
      </c>
      <c r="L32" s="13">
        <f>IF(COUNT(C32:H32)&lt;6,"",IF(K32="Green","Well done! "&amp;Parameters!$C$259,"Revise: "&amp;_xlfn.TEXTJOIN(", ",TRUE(),IF(M32&lt;1,Parameters!$A$248,""),IF(N32&lt;1,Parameters!$A$249,""),IF(O32&lt;1,Parameters!$A$250,""),IF(P32&lt;1,Parameters!$A$251,""),IF(Q32&lt;1,Parameters!$A$252,""),IF(R32&lt;1,Parameters!$A$253,""))))</f>
        <v/>
      </c>
      <c r="M32" s="13">
        <f>IF(C32="","",C32/9)</f>
        <v/>
      </c>
      <c r="N32" s="13">
        <f>IF(D32="","",D32/10)</f>
        <v/>
      </c>
      <c r="O32" s="13">
        <f>IF(E32="","",E32/9)</f>
        <v/>
      </c>
      <c r="P32" s="13">
        <f>IF(F32="","",F32/8)</f>
        <v/>
      </c>
      <c r="Q32" s="13">
        <f>IF(G32="","",G32/7)</f>
        <v/>
      </c>
      <c r="R32" s="13">
        <f>IF(H32="","",H32/8)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4" t="n"/>
      <c r="H33" s="14" t="n"/>
      <c r="I33" s="13">
        <f>IF(COUNT(C33:H33)&lt;6,"",SUM(C33:H33))</f>
        <v/>
      </c>
      <c r="J33" s="13">
        <f>IF(COUNT(C33:H33)&lt;6,"",I33/51)</f>
        <v/>
      </c>
      <c r="K33" s="13">
        <f>IF(COUNT(C33:H33)&lt;6,"",IF(J33&gt;=0.8,"Green",IF(J33&gt;=0.5,"Yellow","Red")))</f>
        <v/>
      </c>
      <c r="L33" s="13">
        <f>IF(COUNT(C33:H33)&lt;6,"",IF(K33="Green","Well done! "&amp;Parameters!$C$259,"Revise: "&amp;_xlfn.TEXTJOIN(", ",TRUE(),IF(M33&lt;1,Parameters!$A$248,""),IF(N33&lt;1,Parameters!$A$249,""),IF(O33&lt;1,Parameters!$A$250,""),IF(P33&lt;1,Parameters!$A$251,""),IF(Q33&lt;1,Parameters!$A$252,""),IF(R33&lt;1,Parameters!$A$253,""))))</f>
        <v/>
      </c>
      <c r="M33" s="13">
        <f>IF(C33="","",C33/9)</f>
        <v/>
      </c>
      <c r="N33" s="13">
        <f>IF(D33="","",D33/10)</f>
        <v/>
      </c>
      <c r="O33" s="13">
        <f>IF(E33="","",E33/9)</f>
        <v/>
      </c>
      <c r="P33" s="13">
        <f>IF(F33="","",F33/8)</f>
        <v/>
      </c>
      <c r="Q33" s="13">
        <f>IF(G33="","",G33/7)</f>
        <v/>
      </c>
      <c r="R33" s="13">
        <f>IF(H33="","",H33/8)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4" t="n"/>
      <c r="H34" s="14" t="n"/>
      <c r="I34" s="13">
        <f>IF(COUNT(C34:H34)&lt;6,"",SUM(C34:H34))</f>
        <v/>
      </c>
      <c r="J34" s="13">
        <f>IF(COUNT(C34:H34)&lt;6,"",I34/51)</f>
        <v/>
      </c>
      <c r="K34" s="13">
        <f>IF(COUNT(C34:H34)&lt;6,"",IF(J34&gt;=0.8,"Green",IF(J34&gt;=0.5,"Yellow","Red")))</f>
        <v/>
      </c>
      <c r="L34" s="13">
        <f>IF(COUNT(C34:H34)&lt;6,"",IF(K34="Green","Well done! "&amp;Parameters!$C$259,"Revise: "&amp;_xlfn.TEXTJOIN(", ",TRUE(),IF(M34&lt;1,Parameters!$A$248,""),IF(N34&lt;1,Parameters!$A$249,""),IF(O34&lt;1,Parameters!$A$250,""),IF(P34&lt;1,Parameters!$A$251,""),IF(Q34&lt;1,Parameters!$A$252,""),IF(R34&lt;1,Parameters!$A$253,""))))</f>
        <v/>
      </c>
      <c r="M34" s="13">
        <f>IF(C34="","",C34/9)</f>
        <v/>
      </c>
      <c r="N34" s="13">
        <f>IF(D34="","",D34/10)</f>
        <v/>
      </c>
      <c r="O34" s="13">
        <f>IF(E34="","",E34/9)</f>
        <v/>
      </c>
      <c r="P34" s="13">
        <f>IF(F34="","",F34/8)</f>
        <v/>
      </c>
      <c r="Q34" s="13">
        <f>IF(G34="","",G34/7)</f>
        <v/>
      </c>
      <c r="R34" s="13">
        <f>IF(H34="","",H34/8)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4" t="n"/>
      <c r="H35" s="14" t="n"/>
      <c r="I35" s="13">
        <f>IF(COUNT(C35:H35)&lt;6,"",SUM(C35:H35))</f>
        <v/>
      </c>
      <c r="J35" s="13">
        <f>IF(COUNT(C35:H35)&lt;6,"",I35/51)</f>
        <v/>
      </c>
      <c r="K35" s="13">
        <f>IF(COUNT(C35:H35)&lt;6,"",IF(J35&gt;=0.8,"Green",IF(J35&gt;=0.5,"Yellow","Red")))</f>
        <v/>
      </c>
      <c r="L35" s="13">
        <f>IF(COUNT(C35:H35)&lt;6,"",IF(K35="Green","Well done! "&amp;Parameters!$C$259,"Revise: "&amp;_xlfn.TEXTJOIN(", ",TRUE(),IF(M35&lt;1,Parameters!$A$248,""),IF(N35&lt;1,Parameters!$A$249,""),IF(O35&lt;1,Parameters!$A$250,""),IF(P35&lt;1,Parameters!$A$251,""),IF(Q35&lt;1,Parameters!$A$252,""),IF(R35&lt;1,Parameters!$A$253,""))))</f>
        <v/>
      </c>
      <c r="M35" s="13">
        <f>IF(C35="","",C35/9)</f>
        <v/>
      </c>
      <c r="N35" s="13">
        <f>IF(D35="","",D35/10)</f>
        <v/>
      </c>
      <c r="O35" s="13">
        <f>IF(E35="","",E35/9)</f>
        <v/>
      </c>
      <c r="P35" s="13">
        <f>IF(F35="","",F35/8)</f>
        <v/>
      </c>
      <c r="Q35" s="13">
        <f>IF(G35="","",G35/7)</f>
        <v/>
      </c>
      <c r="R35" s="13">
        <f>IF(H35="","",H35/8)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4" t="n"/>
      <c r="H36" s="14" t="n"/>
      <c r="I36" s="13">
        <f>IF(COUNT(C36:H36)&lt;6,"",SUM(C36:H36))</f>
        <v/>
      </c>
      <c r="J36" s="13">
        <f>IF(COUNT(C36:H36)&lt;6,"",I36/51)</f>
        <v/>
      </c>
      <c r="K36" s="13">
        <f>IF(COUNT(C36:H36)&lt;6,"",IF(J36&gt;=0.8,"Green",IF(J36&gt;=0.5,"Yellow","Red")))</f>
        <v/>
      </c>
      <c r="L36" s="13">
        <f>IF(COUNT(C36:H36)&lt;6,"",IF(K36="Green","Well done! "&amp;Parameters!$C$259,"Revise: "&amp;_xlfn.TEXTJOIN(", ",TRUE(),IF(M36&lt;1,Parameters!$A$248,""),IF(N36&lt;1,Parameters!$A$249,""),IF(O36&lt;1,Parameters!$A$250,""),IF(P36&lt;1,Parameters!$A$251,""),IF(Q36&lt;1,Parameters!$A$252,""),IF(R36&lt;1,Parameters!$A$253,""))))</f>
        <v/>
      </c>
      <c r="M36" s="13">
        <f>IF(C36="","",C36/9)</f>
        <v/>
      </c>
      <c r="N36" s="13">
        <f>IF(D36="","",D36/10)</f>
        <v/>
      </c>
      <c r="O36" s="13">
        <f>IF(E36="","",E36/9)</f>
        <v/>
      </c>
      <c r="P36" s="13">
        <f>IF(F36="","",F36/8)</f>
        <v/>
      </c>
      <c r="Q36" s="13">
        <f>IF(G36="","",G36/7)</f>
        <v/>
      </c>
      <c r="R36" s="13">
        <f>IF(H36="","",H36/8)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4" t="n"/>
      <c r="H37" s="14" t="n"/>
      <c r="I37" s="13">
        <f>IF(COUNT(C37:H37)&lt;6,"",SUM(C37:H37))</f>
        <v/>
      </c>
      <c r="J37" s="13">
        <f>IF(COUNT(C37:H37)&lt;6,"",I37/51)</f>
        <v/>
      </c>
      <c r="K37" s="13">
        <f>IF(COUNT(C37:H37)&lt;6,"",IF(J37&gt;=0.8,"Green",IF(J37&gt;=0.5,"Yellow","Red")))</f>
        <v/>
      </c>
      <c r="L37" s="13">
        <f>IF(COUNT(C37:H37)&lt;6,"",IF(K37="Green","Well done! "&amp;Parameters!$C$259,"Revise: "&amp;_xlfn.TEXTJOIN(", ",TRUE(),IF(M37&lt;1,Parameters!$A$248,""),IF(N37&lt;1,Parameters!$A$249,""),IF(O37&lt;1,Parameters!$A$250,""),IF(P37&lt;1,Parameters!$A$251,""),IF(Q37&lt;1,Parameters!$A$252,""),IF(R37&lt;1,Parameters!$A$253,""))))</f>
        <v/>
      </c>
      <c r="M37" s="13">
        <f>IF(C37="","",C37/9)</f>
        <v/>
      </c>
      <c r="N37" s="13">
        <f>IF(D37="","",D37/10)</f>
        <v/>
      </c>
      <c r="O37" s="13">
        <f>IF(E37="","",E37/9)</f>
        <v/>
      </c>
      <c r="P37" s="13">
        <f>IF(F37="","",F37/8)</f>
        <v/>
      </c>
      <c r="Q37" s="13">
        <f>IF(G37="","",G37/7)</f>
        <v/>
      </c>
      <c r="R37" s="13">
        <f>IF(H37="","",H37/8)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4" t="n"/>
      <c r="H38" s="14" t="n"/>
      <c r="I38" s="13">
        <f>IF(COUNT(C38:H38)&lt;6,"",SUM(C38:H38))</f>
        <v/>
      </c>
      <c r="J38" s="13">
        <f>IF(COUNT(C38:H38)&lt;6,"",I38/51)</f>
        <v/>
      </c>
      <c r="K38" s="13">
        <f>IF(COUNT(C38:H38)&lt;6,"",IF(J38&gt;=0.8,"Green",IF(J38&gt;=0.5,"Yellow","Red")))</f>
        <v/>
      </c>
      <c r="L38" s="13">
        <f>IF(COUNT(C38:H38)&lt;6,"",IF(K38="Green","Well done! "&amp;Parameters!$C$259,"Revise: "&amp;_xlfn.TEXTJOIN(", ",TRUE(),IF(M38&lt;1,Parameters!$A$248,""),IF(N38&lt;1,Parameters!$A$249,""),IF(O38&lt;1,Parameters!$A$250,""),IF(P38&lt;1,Parameters!$A$251,""),IF(Q38&lt;1,Parameters!$A$252,""),IF(R38&lt;1,Parameters!$A$253,""))))</f>
        <v/>
      </c>
      <c r="M38" s="13">
        <f>IF(C38="","",C38/9)</f>
        <v/>
      </c>
      <c r="N38" s="13">
        <f>IF(D38="","",D38/10)</f>
        <v/>
      </c>
      <c r="O38" s="13">
        <f>IF(E38="","",E38/9)</f>
        <v/>
      </c>
      <c r="P38" s="13">
        <f>IF(F38="","",F38/8)</f>
        <v/>
      </c>
      <c r="Q38" s="13">
        <f>IF(G38="","",G38/7)</f>
        <v/>
      </c>
      <c r="R38" s="13">
        <f>IF(H38="","",H38/8)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4" t="n"/>
      <c r="H39" s="14" t="n"/>
      <c r="I39" s="13">
        <f>IF(COUNT(C39:H39)&lt;6,"",SUM(C39:H39))</f>
        <v/>
      </c>
      <c r="J39" s="13">
        <f>IF(COUNT(C39:H39)&lt;6,"",I39/51)</f>
        <v/>
      </c>
      <c r="K39" s="13">
        <f>IF(COUNT(C39:H39)&lt;6,"",IF(J39&gt;=0.8,"Green",IF(J39&gt;=0.5,"Yellow","Red")))</f>
        <v/>
      </c>
      <c r="L39" s="13">
        <f>IF(COUNT(C39:H39)&lt;6,"",IF(K39="Green","Well done! "&amp;Parameters!$C$259,"Revise: "&amp;_xlfn.TEXTJOIN(", ",TRUE(),IF(M39&lt;1,Parameters!$A$248,""),IF(N39&lt;1,Parameters!$A$249,""),IF(O39&lt;1,Parameters!$A$250,""),IF(P39&lt;1,Parameters!$A$251,""),IF(Q39&lt;1,Parameters!$A$252,""),IF(R39&lt;1,Parameters!$A$253,""))))</f>
        <v/>
      </c>
      <c r="M39" s="13">
        <f>IF(C39="","",C39/9)</f>
        <v/>
      </c>
      <c r="N39" s="13">
        <f>IF(D39="","",D39/10)</f>
        <v/>
      </c>
      <c r="O39" s="13">
        <f>IF(E39="","",E39/9)</f>
        <v/>
      </c>
      <c r="P39" s="13">
        <f>IF(F39="","",F39/8)</f>
        <v/>
      </c>
      <c r="Q39" s="13">
        <f>IF(G39="","",G39/7)</f>
        <v/>
      </c>
      <c r="R39" s="13">
        <f>IF(H39="","",H39/8)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4" t="n"/>
      <c r="H40" s="14" t="n"/>
      <c r="I40" s="13">
        <f>IF(COUNT(C40:H40)&lt;6,"",SUM(C40:H40))</f>
        <v/>
      </c>
      <c r="J40" s="13">
        <f>IF(COUNT(C40:H40)&lt;6,"",I40/51)</f>
        <v/>
      </c>
      <c r="K40" s="13">
        <f>IF(COUNT(C40:H40)&lt;6,"",IF(J40&gt;=0.8,"Green",IF(J40&gt;=0.5,"Yellow","Red")))</f>
        <v/>
      </c>
      <c r="L40" s="13">
        <f>IF(COUNT(C40:H40)&lt;6,"",IF(K40="Green","Well done! "&amp;Parameters!$C$259,"Revise: "&amp;_xlfn.TEXTJOIN(", ",TRUE(),IF(M40&lt;1,Parameters!$A$248,""),IF(N40&lt;1,Parameters!$A$249,""),IF(O40&lt;1,Parameters!$A$250,""),IF(P40&lt;1,Parameters!$A$251,""),IF(Q40&lt;1,Parameters!$A$252,""),IF(R40&lt;1,Parameters!$A$253,""))))</f>
        <v/>
      </c>
      <c r="M40" s="13">
        <f>IF(C40="","",C40/9)</f>
        <v/>
      </c>
      <c r="N40" s="13">
        <f>IF(D40="","",D40/10)</f>
        <v/>
      </c>
      <c r="O40" s="13">
        <f>IF(E40="","",E40/9)</f>
        <v/>
      </c>
      <c r="P40" s="13">
        <f>IF(F40="","",F40/8)</f>
        <v/>
      </c>
      <c r="Q40" s="13">
        <f>IF(G40="","",G40/7)</f>
        <v/>
      </c>
      <c r="R40" s="13">
        <f>IF(H40="","",H40/8)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4" t="n"/>
      <c r="H41" s="14" t="n"/>
      <c r="I41" s="13">
        <f>IF(COUNT(C41:H41)&lt;6,"",SUM(C41:H41))</f>
        <v/>
      </c>
      <c r="J41" s="13">
        <f>IF(COUNT(C41:H41)&lt;6,"",I41/51)</f>
        <v/>
      </c>
      <c r="K41" s="13">
        <f>IF(COUNT(C41:H41)&lt;6,"",IF(J41&gt;=0.8,"Green",IF(J41&gt;=0.5,"Yellow","Red")))</f>
        <v/>
      </c>
      <c r="L41" s="13">
        <f>IF(COUNT(C41:H41)&lt;6,"",IF(K41="Green","Well done! "&amp;Parameters!$C$259,"Revise: "&amp;_xlfn.TEXTJOIN(", ",TRUE(),IF(M41&lt;1,Parameters!$A$248,""),IF(N41&lt;1,Parameters!$A$249,""),IF(O41&lt;1,Parameters!$A$250,""),IF(P41&lt;1,Parameters!$A$251,""),IF(Q41&lt;1,Parameters!$A$252,""),IF(R41&lt;1,Parameters!$A$253,""))))</f>
        <v/>
      </c>
      <c r="M41" s="13">
        <f>IF(C41="","",C41/9)</f>
        <v/>
      </c>
      <c r="N41" s="13">
        <f>IF(D41="","",D41/10)</f>
        <v/>
      </c>
      <c r="O41" s="13">
        <f>IF(E41="","",E41/9)</f>
        <v/>
      </c>
      <c r="P41" s="13">
        <f>IF(F41="","",F41/8)</f>
        <v/>
      </c>
      <c r="Q41" s="13">
        <f>IF(G41="","",G41/7)</f>
        <v/>
      </c>
      <c r="R41" s="13">
        <f>IF(H41="","",H41/8)</f>
        <v/>
      </c>
    </row>
  </sheetData>
  <conditionalFormatting sqref="C11">
    <cfRule type="expression" priority="1" dxfId="0">
      <formula>AND(COUNT(C11:H11)=6,C11=9)</formula>
    </cfRule>
    <cfRule type="expression" priority="2" dxfId="1">
      <formula>AND(COUNT(C11:H11)=6,C11&lt;9*0.4)</formula>
    </cfRule>
    <cfRule type="expression" priority="3" dxfId="2">
      <formula>AND(COUNT(C11:H11)=6,C11&gt;=9*0.4,C11&lt;9)</formula>
    </cfRule>
  </conditionalFormatting>
  <conditionalFormatting sqref="C12">
    <cfRule type="expression" priority="4" dxfId="0">
      <formula>AND(COUNT(C12:H12)=6,C12=9)</formula>
    </cfRule>
    <cfRule type="expression" priority="5" dxfId="1">
      <formula>AND(COUNT(C12:H12)=6,C12&lt;9*0.4)</formula>
    </cfRule>
    <cfRule type="expression" priority="6" dxfId="2">
      <formula>AND(COUNT(C12:H12)=6,C12&gt;=9*0.4,C12&lt;9)</formula>
    </cfRule>
  </conditionalFormatting>
  <conditionalFormatting sqref="C13">
    <cfRule type="expression" priority="7" dxfId="0">
      <formula>AND(COUNT(C13:H13)=6,C13=9)</formula>
    </cfRule>
    <cfRule type="expression" priority="8" dxfId="1">
      <formula>AND(COUNT(C13:H13)=6,C13&lt;9*0.4)</formula>
    </cfRule>
    <cfRule type="expression" priority="9" dxfId="2">
      <formula>AND(COUNT(C13:H13)=6,C13&gt;=9*0.4,C13&lt;9)</formula>
    </cfRule>
  </conditionalFormatting>
  <conditionalFormatting sqref="C14">
    <cfRule type="expression" priority="10" dxfId="0">
      <formula>AND(COUNT(C14:H14)=6,C14=9)</formula>
    </cfRule>
    <cfRule type="expression" priority="11" dxfId="1">
      <formula>AND(COUNT(C14:H14)=6,C14&lt;9*0.4)</formula>
    </cfRule>
    <cfRule type="expression" priority="12" dxfId="2">
      <formula>AND(COUNT(C14:H14)=6,C14&gt;=9*0.4,C14&lt;9)</formula>
    </cfRule>
  </conditionalFormatting>
  <conditionalFormatting sqref="C15">
    <cfRule type="expression" priority="13" dxfId="0">
      <formula>AND(COUNT(C15:H15)=6,C15=9)</formula>
    </cfRule>
    <cfRule type="expression" priority="14" dxfId="1">
      <formula>AND(COUNT(C15:H15)=6,C15&lt;9*0.4)</formula>
    </cfRule>
    <cfRule type="expression" priority="15" dxfId="2">
      <formula>AND(COUNT(C15:H15)=6,C15&gt;=9*0.4,C15&lt;9)</formula>
    </cfRule>
  </conditionalFormatting>
  <conditionalFormatting sqref="C16">
    <cfRule type="expression" priority="16" dxfId="0">
      <formula>AND(COUNT(C16:H16)=6,C16=9)</formula>
    </cfRule>
    <cfRule type="expression" priority="17" dxfId="1">
      <formula>AND(COUNT(C16:H16)=6,C16&lt;9*0.4)</formula>
    </cfRule>
    <cfRule type="expression" priority="18" dxfId="2">
      <formula>AND(COUNT(C16:H16)=6,C16&gt;=9*0.4,C16&lt;9)</formula>
    </cfRule>
  </conditionalFormatting>
  <conditionalFormatting sqref="C17">
    <cfRule type="expression" priority="19" dxfId="0">
      <formula>AND(COUNT(C17:H17)=6,C17=9)</formula>
    </cfRule>
    <cfRule type="expression" priority="20" dxfId="1">
      <formula>AND(COUNT(C17:H17)=6,C17&lt;9*0.4)</formula>
    </cfRule>
    <cfRule type="expression" priority="21" dxfId="2">
      <formula>AND(COUNT(C17:H17)=6,C17&gt;=9*0.4,C17&lt;9)</formula>
    </cfRule>
  </conditionalFormatting>
  <conditionalFormatting sqref="C18">
    <cfRule type="expression" priority="22" dxfId="0">
      <formula>AND(COUNT(C18:H18)=6,C18=9)</formula>
    </cfRule>
    <cfRule type="expression" priority="23" dxfId="1">
      <formula>AND(COUNT(C18:H18)=6,C18&lt;9*0.4)</formula>
    </cfRule>
    <cfRule type="expression" priority="24" dxfId="2">
      <formula>AND(COUNT(C18:H18)=6,C18&gt;=9*0.4,C18&lt;9)</formula>
    </cfRule>
  </conditionalFormatting>
  <conditionalFormatting sqref="C19">
    <cfRule type="expression" priority="25" dxfId="0">
      <formula>AND(COUNT(C19:H19)=6,C19=9)</formula>
    </cfRule>
    <cfRule type="expression" priority="26" dxfId="1">
      <formula>AND(COUNT(C19:H19)=6,C19&lt;9*0.4)</formula>
    </cfRule>
    <cfRule type="expression" priority="27" dxfId="2">
      <formula>AND(COUNT(C19:H19)=6,C19&gt;=9*0.4,C19&lt;9)</formula>
    </cfRule>
  </conditionalFormatting>
  <conditionalFormatting sqref="C20">
    <cfRule type="expression" priority="28" dxfId="0">
      <formula>AND(COUNT(C20:H20)=6,C20=9)</formula>
    </cfRule>
    <cfRule type="expression" priority="29" dxfId="1">
      <formula>AND(COUNT(C20:H20)=6,C20&lt;9*0.4)</formula>
    </cfRule>
    <cfRule type="expression" priority="30" dxfId="2">
      <formula>AND(COUNT(C20:H20)=6,C20&gt;=9*0.4,C20&lt;9)</formula>
    </cfRule>
  </conditionalFormatting>
  <conditionalFormatting sqref="C21">
    <cfRule type="expression" priority="31" dxfId="0">
      <formula>AND(COUNT(C21:H21)=6,C21=9)</formula>
    </cfRule>
    <cfRule type="expression" priority="32" dxfId="1">
      <formula>AND(COUNT(C21:H21)=6,C21&lt;9*0.4)</formula>
    </cfRule>
    <cfRule type="expression" priority="33" dxfId="2">
      <formula>AND(COUNT(C21:H21)=6,C21&gt;=9*0.4,C21&lt;9)</formula>
    </cfRule>
  </conditionalFormatting>
  <conditionalFormatting sqref="C22">
    <cfRule type="expression" priority="34" dxfId="0">
      <formula>AND(COUNT(C22:H22)=6,C22=9)</formula>
    </cfRule>
    <cfRule type="expression" priority="35" dxfId="1">
      <formula>AND(COUNT(C22:H22)=6,C22&lt;9*0.4)</formula>
    </cfRule>
    <cfRule type="expression" priority="36" dxfId="2">
      <formula>AND(COUNT(C22:H22)=6,C22&gt;=9*0.4,C22&lt;9)</formula>
    </cfRule>
  </conditionalFormatting>
  <conditionalFormatting sqref="C23">
    <cfRule type="expression" priority="37" dxfId="0">
      <formula>AND(COUNT(C23:H23)=6,C23=9)</formula>
    </cfRule>
    <cfRule type="expression" priority="38" dxfId="1">
      <formula>AND(COUNT(C23:H23)=6,C23&lt;9*0.4)</formula>
    </cfRule>
    <cfRule type="expression" priority="39" dxfId="2">
      <formula>AND(COUNT(C23:H23)=6,C23&gt;=9*0.4,C23&lt;9)</formula>
    </cfRule>
  </conditionalFormatting>
  <conditionalFormatting sqref="C24">
    <cfRule type="expression" priority="40" dxfId="0">
      <formula>AND(COUNT(C24:H24)=6,C24=9)</formula>
    </cfRule>
    <cfRule type="expression" priority="41" dxfId="1">
      <formula>AND(COUNT(C24:H24)=6,C24&lt;9*0.4)</formula>
    </cfRule>
    <cfRule type="expression" priority="42" dxfId="2">
      <formula>AND(COUNT(C24:H24)=6,C24&gt;=9*0.4,C24&lt;9)</formula>
    </cfRule>
  </conditionalFormatting>
  <conditionalFormatting sqref="C25">
    <cfRule type="expression" priority="43" dxfId="0">
      <formula>AND(COUNT(C25:H25)=6,C25=9)</formula>
    </cfRule>
    <cfRule type="expression" priority="44" dxfId="1">
      <formula>AND(COUNT(C25:H25)=6,C25&lt;9*0.4)</formula>
    </cfRule>
    <cfRule type="expression" priority="45" dxfId="2">
      <formula>AND(COUNT(C25:H25)=6,C25&gt;=9*0.4,C25&lt;9)</formula>
    </cfRule>
  </conditionalFormatting>
  <conditionalFormatting sqref="C26">
    <cfRule type="expression" priority="46" dxfId="0">
      <formula>AND(COUNT(C26:H26)=6,C26=9)</formula>
    </cfRule>
    <cfRule type="expression" priority="47" dxfId="1">
      <formula>AND(COUNT(C26:H26)=6,C26&lt;9*0.4)</formula>
    </cfRule>
    <cfRule type="expression" priority="48" dxfId="2">
      <formula>AND(COUNT(C26:H26)=6,C26&gt;=9*0.4,C26&lt;9)</formula>
    </cfRule>
  </conditionalFormatting>
  <conditionalFormatting sqref="C27">
    <cfRule type="expression" priority="49" dxfId="0">
      <formula>AND(COUNT(C27:H27)=6,C27=9)</formula>
    </cfRule>
    <cfRule type="expression" priority="50" dxfId="1">
      <formula>AND(COUNT(C27:H27)=6,C27&lt;9*0.4)</formula>
    </cfRule>
    <cfRule type="expression" priority="51" dxfId="2">
      <formula>AND(COUNT(C27:H27)=6,C27&gt;=9*0.4,C27&lt;9)</formula>
    </cfRule>
  </conditionalFormatting>
  <conditionalFormatting sqref="C28">
    <cfRule type="expression" priority="52" dxfId="0">
      <formula>AND(COUNT(C28:H28)=6,C28=9)</formula>
    </cfRule>
    <cfRule type="expression" priority="53" dxfId="1">
      <formula>AND(COUNT(C28:H28)=6,C28&lt;9*0.4)</formula>
    </cfRule>
    <cfRule type="expression" priority="54" dxfId="2">
      <formula>AND(COUNT(C28:H28)=6,C28&gt;=9*0.4,C28&lt;9)</formula>
    </cfRule>
  </conditionalFormatting>
  <conditionalFormatting sqref="C29">
    <cfRule type="expression" priority="55" dxfId="0">
      <formula>AND(COUNT(C29:H29)=6,C29=9)</formula>
    </cfRule>
    <cfRule type="expression" priority="56" dxfId="1">
      <formula>AND(COUNT(C29:H29)=6,C29&lt;9*0.4)</formula>
    </cfRule>
    <cfRule type="expression" priority="57" dxfId="2">
      <formula>AND(COUNT(C29:H29)=6,C29&gt;=9*0.4,C29&lt;9)</formula>
    </cfRule>
  </conditionalFormatting>
  <conditionalFormatting sqref="C30">
    <cfRule type="expression" priority="58" dxfId="0">
      <formula>AND(COUNT(C30:H30)=6,C30=9)</formula>
    </cfRule>
    <cfRule type="expression" priority="59" dxfId="1">
      <formula>AND(COUNT(C30:H30)=6,C30&lt;9*0.4)</formula>
    </cfRule>
    <cfRule type="expression" priority="60" dxfId="2">
      <formula>AND(COUNT(C30:H30)=6,C30&gt;=9*0.4,C30&lt;9)</formula>
    </cfRule>
  </conditionalFormatting>
  <conditionalFormatting sqref="C31">
    <cfRule type="expression" priority="61" dxfId="0">
      <formula>AND(COUNT(C31:H31)=6,C31=9)</formula>
    </cfRule>
    <cfRule type="expression" priority="62" dxfId="1">
      <formula>AND(COUNT(C31:H31)=6,C31&lt;9*0.4)</formula>
    </cfRule>
    <cfRule type="expression" priority="63" dxfId="2">
      <formula>AND(COUNT(C31:H31)=6,C31&gt;=9*0.4,C31&lt;9)</formula>
    </cfRule>
  </conditionalFormatting>
  <conditionalFormatting sqref="C32">
    <cfRule type="expression" priority="64" dxfId="0">
      <formula>AND(COUNT(C32:H32)=6,C32=9)</formula>
    </cfRule>
    <cfRule type="expression" priority="65" dxfId="1">
      <formula>AND(COUNT(C32:H32)=6,C32&lt;9*0.4)</formula>
    </cfRule>
    <cfRule type="expression" priority="66" dxfId="2">
      <formula>AND(COUNT(C32:H32)=6,C32&gt;=9*0.4,C32&lt;9)</formula>
    </cfRule>
  </conditionalFormatting>
  <conditionalFormatting sqref="C33">
    <cfRule type="expression" priority="67" dxfId="0">
      <formula>AND(COUNT(C33:H33)=6,C33=9)</formula>
    </cfRule>
    <cfRule type="expression" priority="68" dxfId="1">
      <formula>AND(COUNT(C33:H33)=6,C33&lt;9*0.4)</formula>
    </cfRule>
    <cfRule type="expression" priority="69" dxfId="2">
      <formula>AND(COUNT(C33:H33)=6,C33&gt;=9*0.4,C33&lt;9)</formula>
    </cfRule>
  </conditionalFormatting>
  <conditionalFormatting sqref="C34">
    <cfRule type="expression" priority="70" dxfId="0">
      <formula>AND(COUNT(C34:H34)=6,C34=9)</formula>
    </cfRule>
    <cfRule type="expression" priority="71" dxfId="1">
      <formula>AND(COUNT(C34:H34)=6,C34&lt;9*0.4)</formula>
    </cfRule>
    <cfRule type="expression" priority="72" dxfId="2">
      <formula>AND(COUNT(C34:H34)=6,C34&gt;=9*0.4,C34&lt;9)</formula>
    </cfRule>
  </conditionalFormatting>
  <conditionalFormatting sqref="C35">
    <cfRule type="expression" priority="73" dxfId="0">
      <formula>AND(COUNT(C35:H35)=6,C35=9)</formula>
    </cfRule>
    <cfRule type="expression" priority="74" dxfId="1">
      <formula>AND(COUNT(C35:H35)=6,C35&lt;9*0.4)</formula>
    </cfRule>
    <cfRule type="expression" priority="75" dxfId="2">
      <formula>AND(COUNT(C35:H35)=6,C35&gt;=9*0.4,C35&lt;9)</formula>
    </cfRule>
  </conditionalFormatting>
  <conditionalFormatting sqref="C36">
    <cfRule type="expression" priority="76" dxfId="0">
      <formula>AND(COUNT(C36:H36)=6,C36=9)</formula>
    </cfRule>
    <cfRule type="expression" priority="77" dxfId="1">
      <formula>AND(COUNT(C36:H36)=6,C36&lt;9*0.4)</formula>
    </cfRule>
    <cfRule type="expression" priority="78" dxfId="2">
      <formula>AND(COUNT(C36:H36)=6,C36&gt;=9*0.4,C36&lt;9)</formula>
    </cfRule>
  </conditionalFormatting>
  <conditionalFormatting sqref="C37">
    <cfRule type="expression" priority="79" dxfId="0">
      <formula>AND(COUNT(C37:H37)=6,C37=9)</formula>
    </cfRule>
    <cfRule type="expression" priority="80" dxfId="1">
      <formula>AND(COUNT(C37:H37)=6,C37&lt;9*0.4)</formula>
    </cfRule>
    <cfRule type="expression" priority="81" dxfId="2">
      <formula>AND(COUNT(C37:H37)=6,C37&gt;=9*0.4,C37&lt;9)</formula>
    </cfRule>
  </conditionalFormatting>
  <conditionalFormatting sqref="C38">
    <cfRule type="expression" priority="82" dxfId="0">
      <formula>AND(COUNT(C38:H38)=6,C38=9)</formula>
    </cfRule>
    <cfRule type="expression" priority="83" dxfId="1">
      <formula>AND(COUNT(C38:H38)=6,C38&lt;9*0.4)</formula>
    </cfRule>
    <cfRule type="expression" priority="84" dxfId="2">
      <formula>AND(COUNT(C38:H38)=6,C38&gt;=9*0.4,C38&lt;9)</formula>
    </cfRule>
  </conditionalFormatting>
  <conditionalFormatting sqref="C39">
    <cfRule type="expression" priority="85" dxfId="0">
      <formula>AND(COUNT(C39:H39)=6,C39=9)</formula>
    </cfRule>
    <cfRule type="expression" priority="86" dxfId="1">
      <formula>AND(COUNT(C39:H39)=6,C39&lt;9*0.4)</formula>
    </cfRule>
    <cfRule type="expression" priority="87" dxfId="2">
      <formula>AND(COUNT(C39:H39)=6,C39&gt;=9*0.4,C39&lt;9)</formula>
    </cfRule>
  </conditionalFormatting>
  <conditionalFormatting sqref="C40">
    <cfRule type="expression" priority="88" dxfId="0">
      <formula>AND(COUNT(C40:H40)=6,C40=9)</formula>
    </cfRule>
    <cfRule type="expression" priority="89" dxfId="1">
      <formula>AND(COUNT(C40:H40)=6,C40&lt;9*0.4)</formula>
    </cfRule>
    <cfRule type="expression" priority="90" dxfId="2">
      <formula>AND(COUNT(C40:H40)=6,C40&gt;=9*0.4,C40&lt;9)</formula>
    </cfRule>
  </conditionalFormatting>
  <conditionalFormatting sqref="C41">
    <cfRule type="expression" priority="91" dxfId="0">
      <formula>AND(COUNT(C41:H41)=6,C41=9)</formula>
    </cfRule>
    <cfRule type="expression" priority="92" dxfId="1">
      <formula>AND(COUNT(C41:H41)=6,C41&lt;9*0.4)</formula>
    </cfRule>
    <cfRule type="expression" priority="93" dxfId="2">
      <formula>AND(COUNT(C41:H41)=6,C41&gt;=9*0.4,C41&lt;9)</formula>
    </cfRule>
  </conditionalFormatting>
  <conditionalFormatting sqref="D11">
    <cfRule type="expression" priority="94" dxfId="0">
      <formula>AND(COUNT(C11:H11)=6,D11=10)</formula>
    </cfRule>
    <cfRule type="expression" priority="95" dxfId="1">
      <formula>AND(COUNT(C11:H11)=6,D11&lt;10*0.4)</formula>
    </cfRule>
    <cfRule type="expression" priority="96" dxfId="2">
      <formula>AND(COUNT(C11:H11)=6,D11&gt;=10*0.4,D11&lt;10)</formula>
    </cfRule>
  </conditionalFormatting>
  <conditionalFormatting sqref="D12">
    <cfRule type="expression" priority="97" dxfId="0">
      <formula>AND(COUNT(C12:H12)=6,D12=10)</formula>
    </cfRule>
    <cfRule type="expression" priority="98" dxfId="1">
      <formula>AND(COUNT(C12:H12)=6,D12&lt;10*0.4)</formula>
    </cfRule>
    <cfRule type="expression" priority="99" dxfId="2">
      <formula>AND(COUNT(C12:H12)=6,D12&gt;=10*0.4,D12&lt;10)</formula>
    </cfRule>
  </conditionalFormatting>
  <conditionalFormatting sqref="D13">
    <cfRule type="expression" priority="100" dxfId="0">
      <formula>AND(COUNT(C13:H13)=6,D13=10)</formula>
    </cfRule>
    <cfRule type="expression" priority="101" dxfId="1">
      <formula>AND(COUNT(C13:H13)=6,D13&lt;10*0.4)</formula>
    </cfRule>
    <cfRule type="expression" priority="102" dxfId="2">
      <formula>AND(COUNT(C13:H13)=6,D13&gt;=10*0.4,D13&lt;10)</formula>
    </cfRule>
  </conditionalFormatting>
  <conditionalFormatting sqref="D14">
    <cfRule type="expression" priority="103" dxfId="0">
      <formula>AND(COUNT(C14:H14)=6,D14=10)</formula>
    </cfRule>
    <cfRule type="expression" priority="104" dxfId="1">
      <formula>AND(COUNT(C14:H14)=6,D14&lt;10*0.4)</formula>
    </cfRule>
    <cfRule type="expression" priority="105" dxfId="2">
      <formula>AND(COUNT(C14:H14)=6,D14&gt;=10*0.4,D14&lt;10)</formula>
    </cfRule>
  </conditionalFormatting>
  <conditionalFormatting sqref="D15">
    <cfRule type="expression" priority="106" dxfId="0">
      <formula>AND(COUNT(C15:H15)=6,D15=10)</formula>
    </cfRule>
    <cfRule type="expression" priority="107" dxfId="1">
      <formula>AND(COUNT(C15:H15)=6,D15&lt;10*0.4)</formula>
    </cfRule>
    <cfRule type="expression" priority="108" dxfId="2">
      <formula>AND(COUNT(C15:H15)=6,D15&gt;=10*0.4,D15&lt;10)</formula>
    </cfRule>
  </conditionalFormatting>
  <conditionalFormatting sqref="D16">
    <cfRule type="expression" priority="109" dxfId="0">
      <formula>AND(COUNT(C16:H16)=6,D16=10)</formula>
    </cfRule>
    <cfRule type="expression" priority="110" dxfId="1">
      <formula>AND(COUNT(C16:H16)=6,D16&lt;10*0.4)</formula>
    </cfRule>
    <cfRule type="expression" priority="111" dxfId="2">
      <formula>AND(COUNT(C16:H16)=6,D16&gt;=10*0.4,D16&lt;10)</formula>
    </cfRule>
  </conditionalFormatting>
  <conditionalFormatting sqref="D17">
    <cfRule type="expression" priority="112" dxfId="0">
      <formula>AND(COUNT(C17:H17)=6,D17=10)</formula>
    </cfRule>
    <cfRule type="expression" priority="113" dxfId="1">
      <formula>AND(COUNT(C17:H17)=6,D17&lt;10*0.4)</formula>
    </cfRule>
    <cfRule type="expression" priority="114" dxfId="2">
      <formula>AND(COUNT(C17:H17)=6,D17&gt;=10*0.4,D17&lt;10)</formula>
    </cfRule>
  </conditionalFormatting>
  <conditionalFormatting sqref="D18">
    <cfRule type="expression" priority="115" dxfId="0">
      <formula>AND(COUNT(C18:H18)=6,D18=10)</formula>
    </cfRule>
    <cfRule type="expression" priority="116" dxfId="1">
      <formula>AND(COUNT(C18:H18)=6,D18&lt;10*0.4)</formula>
    </cfRule>
    <cfRule type="expression" priority="117" dxfId="2">
      <formula>AND(COUNT(C18:H18)=6,D18&gt;=10*0.4,D18&lt;10)</formula>
    </cfRule>
  </conditionalFormatting>
  <conditionalFormatting sqref="D19">
    <cfRule type="expression" priority="118" dxfId="0">
      <formula>AND(COUNT(C19:H19)=6,D19=10)</formula>
    </cfRule>
    <cfRule type="expression" priority="119" dxfId="1">
      <formula>AND(COUNT(C19:H19)=6,D19&lt;10*0.4)</formula>
    </cfRule>
    <cfRule type="expression" priority="120" dxfId="2">
      <formula>AND(COUNT(C19:H19)=6,D19&gt;=10*0.4,D19&lt;10)</formula>
    </cfRule>
  </conditionalFormatting>
  <conditionalFormatting sqref="D20">
    <cfRule type="expression" priority="121" dxfId="0">
      <formula>AND(COUNT(C20:H20)=6,D20=10)</formula>
    </cfRule>
    <cfRule type="expression" priority="122" dxfId="1">
      <formula>AND(COUNT(C20:H20)=6,D20&lt;10*0.4)</formula>
    </cfRule>
    <cfRule type="expression" priority="123" dxfId="2">
      <formula>AND(COUNT(C20:H20)=6,D20&gt;=10*0.4,D20&lt;10)</formula>
    </cfRule>
  </conditionalFormatting>
  <conditionalFormatting sqref="D21">
    <cfRule type="expression" priority="124" dxfId="0">
      <formula>AND(COUNT(C21:H21)=6,D21=10)</formula>
    </cfRule>
    <cfRule type="expression" priority="125" dxfId="1">
      <formula>AND(COUNT(C21:H21)=6,D21&lt;10*0.4)</formula>
    </cfRule>
    <cfRule type="expression" priority="126" dxfId="2">
      <formula>AND(COUNT(C21:H21)=6,D21&gt;=10*0.4,D21&lt;10)</formula>
    </cfRule>
  </conditionalFormatting>
  <conditionalFormatting sqref="D22">
    <cfRule type="expression" priority="127" dxfId="0">
      <formula>AND(COUNT(C22:H22)=6,D22=10)</formula>
    </cfRule>
    <cfRule type="expression" priority="128" dxfId="1">
      <formula>AND(COUNT(C22:H22)=6,D22&lt;10*0.4)</formula>
    </cfRule>
    <cfRule type="expression" priority="129" dxfId="2">
      <formula>AND(COUNT(C22:H22)=6,D22&gt;=10*0.4,D22&lt;10)</formula>
    </cfRule>
  </conditionalFormatting>
  <conditionalFormatting sqref="D23">
    <cfRule type="expression" priority="130" dxfId="0">
      <formula>AND(COUNT(C23:H23)=6,D23=10)</formula>
    </cfRule>
    <cfRule type="expression" priority="131" dxfId="1">
      <formula>AND(COUNT(C23:H23)=6,D23&lt;10*0.4)</formula>
    </cfRule>
    <cfRule type="expression" priority="132" dxfId="2">
      <formula>AND(COUNT(C23:H23)=6,D23&gt;=10*0.4,D23&lt;10)</formula>
    </cfRule>
  </conditionalFormatting>
  <conditionalFormatting sqref="D24">
    <cfRule type="expression" priority="133" dxfId="0">
      <formula>AND(COUNT(C24:H24)=6,D24=10)</formula>
    </cfRule>
    <cfRule type="expression" priority="134" dxfId="1">
      <formula>AND(COUNT(C24:H24)=6,D24&lt;10*0.4)</formula>
    </cfRule>
    <cfRule type="expression" priority="135" dxfId="2">
      <formula>AND(COUNT(C24:H24)=6,D24&gt;=10*0.4,D24&lt;10)</formula>
    </cfRule>
  </conditionalFormatting>
  <conditionalFormatting sqref="D25">
    <cfRule type="expression" priority="136" dxfId="0">
      <formula>AND(COUNT(C25:H25)=6,D25=10)</formula>
    </cfRule>
    <cfRule type="expression" priority="137" dxfId="1">
      <formula>AND(COUNT(C25:H25)=6,D25&lt;10*0.4)</formula>
    </cfRule>
    <cfRule type="expression" priority="138" dxfId="2">
      <formula>AND(COUNT(C25:H25)=6,D25&gt;=10*0.4,D25&lt;10)</formula>
    </cfRule>
  </conditionalFormatting>
  <conditionalFormatting sqref="D26">
    <cfRule type="expression" priority="139" dxfId="0">
      <formula>AND(COUNT(C26:H26)=6,D26=10)</formula>
    </cfRule>
    <cfRule type="expression" priority="140" dxfId="1">
      <formula>AND(COUNT(C26:H26)=6,D26&lt;10*0.4)</formula>
    </cfRule>
    <cfRule type="expression" priority="141" dxfId="2">
      <formula>AND(COUNT(C26:H26)=6,D26&gt;=10*0.4,D26&lt;10)</formula>
    </cfRule>
  </conditionalFormatting>
  <conditionalFormatting sqref="D27">
    <cfRule type="expression" priority="142" dxfId="0">
      <formula>AND(COUNT(C27:H27)=6,D27=10)</formula>
    </cfRule>
    <cfRule type="expression" priority="143" dxfId="1">
      <formula>AND(COUNT(C27:H27)=6,D27&lt;10*0.4)</formula>
    </cfRule>
    <cfRule type="expression" priority="144" dxfId="2">
      <formula>AND(COUNT(C27:H27)=6,D27&gt;=10*0.4,D27&lt;10)</formula>
    </cfRule>
  </conditionalFormatting>
  <conditionalFormatting sqref="D28">
    <cfRule type="expression" priority="145" dxfId="0">
      <formula>AND(COUNT(C28:H28)=6,D28=10)</formula>
    </cfRule>
    <cfRule type="expression" priority="146" dxfId="1">
      <formula>AND(COUNT(C28:H28)=6,D28&lt;10*0.4)</formula>
    </cfRule>
    <cfRule type="expression" priority="147" dxfId="2">
      <formula>AND(COUNT(C28:H28)=6,D28&gt;=10*0.4,D28&lt;10)</formula>
    </cfRule>
  </conditionalFormatting>
  <conditionalFormatting sqref="D29">
    <cfRule type="expression" priority="148" dxfId="0">
      <formula>AND(COUNT(C29:H29)=6,D29=10)</formula>
    </cfRule>
    <cfRule type="expression" priority="149" dxfId="1">
      <formula>AND(COUNT(C29:H29)=6,D29&lt;10*0.4)</formula>
    </cfRule>
    <cfRule type="expression" priority="150" dxfId="2">
      <formula>AND(COUNT(C29:H29)=6,D29&gt;=10*0.4,D29&lt;10)</formula>
    </cfRule>
  </conditionalFormatting>
  <conditionalFormatting sqref="D30">
    <cfRule type="expression" priority="151" dxfId="0">
      <formula>AND(COUNT(C30:H30)=6,D30=10)</formula>
    </cfRule>
    <cfRule type="expression" priority="152" dxfId="1">
      <formula>AND(COUNT(C30:H30)=6,D30&lt;10*0.4)</formula>
    </cfRule>
    <cfRule type="expression" priority="153" dxfId="2">
      <formula>AND(COUNT(C30:H30)=6,D30&gt;=10*0.4,D30&lt;10)</formula>
    </cfRule>
  </conditionalFormatting>
  <conditionalFormatting sqref="D31">
    <cfRule type="expression" priority="154" dxfId="0">
      <formula>AND(COUNT(C31:H31)=6,D31=10)</formula>
    </cfRule>
    <cfRule type="expression" priority="155" dxfId="1">
      <formula>AND(COUNT(C31:H31)=6,D31&lt;10*0.4)</formula>
    </cfRule>
    <cfRule type="expression" priority="156" dxfId="2">
      <formula>AND(COUNT(C31:H31)=6,D31&gt;=10*0.4,D31&lt;10)</formula>
    </cfRule>
  </conditionalFormatting>
  <conditionalFormatting sqref="D32">
    <cfRule type="expression" priority="157" dxfId="0">
      <formula>AND(COUNT(C32:H32)=6,D32=10)</formula>
    </cfRule>
    <cfRule type="expression" priority="158" dxfId="1">
      <formula>AND(COUNT(C32:H32)=6,D32&lt;10*0.4)</formula>
    </cfRule>
    <cfRule type="expression" priority="159" dxfId="2">
      <formula>AND(COUNT(C32:H32)=6,D32&gt;=10*0.4,D32&lt;10)</formula>
    </cfRule>
  </conditionalFormatting>
  <conditionalFormatting sqref="D33">
    <cfRule type="expression" priority="160" dxfId="0">
      <formula>AND(COUNT(C33:H33)=6,D33=10)</formula>
    </cfRule>
    <cfRule type="expression" priority="161" dxfId="1">
      <formula>AND(COUNT(C33:H33)=6,D33&lt;10*0.4)</formula>
    </cfRule>
    <cfRule type="expression" priority="162" dxfId="2">
      <formula>AND(COUNT(C33:H33)=6,D33&gt;=10*0.4,D33&lt;10)</formula>
    </cfRule>
  </conditionalFormatting>
  <conditionalFormatting sqref="D34">
    <cfRule type="expression" priority="163" dxfId="0">
      <formula>AND(COUNT(C34:H34)=6,D34=10)</formula>
    </cfRule>
    <cfRule type="expression" priority="164" dxfId="1">
      <formula>AND(COUNT(C34:H34)=6,D34&lt;10*0.4)</formula>
    </cfRule>
    <cfRule type="expression" priority="165" dxfId="2">
      <formula>AND(COUNT(C34:H34)=6,D34&gt;=10*0.4,D34&lt;10)</formula>
    </cfRule>
  </conditionalFormatting>
  <conditionalFormatting sqref="D35">
    <cfRule type="expression" priority="166" dxfId="0">
      <formula>AND(COUNT(C35:H35)=6,D35=10)</formula>
    </cfRule>
    <cfRule type="expression" priority="167" dxfId="1">
      <formula>AND(COUNT(C35:H35)=6,D35&lt;10*0.4)</formula>
    </cfRule>
    <cfRule type="expression" priority="168" dxfId="2">
      <formula>AND(COUNT(C35:H35)=6,D35&gt;=10*0.4,D35&lt;10)</formula>
    </cfRule>
  </conditionalFormatting>
  <conditionalFormatting sqref="D36">
    <cfRule type="expression" priority="169" dxfId="0">
      <formula>AND(COUNT(C36:H36)=6,D36=10)</formula>
    </cfRule>
    <cfRule type="expression" priority="170" dxfId="1">
      <formula>AND(COUNT(C36:H36)=6,D36&lt;10*0.4)</formula>
    </cfRule>
    <cfRule type="expression" priority="171" dxfId="2">
      <formula>AND(COUNT(C36:H36)=6,D36&gt;=10*0.4,D36&lt;10)</formula>
    </cfRule>
  </conditionalFormatting>
  <conditionalFormatting sqref="D37">
    <cfRule type="expression" priority="172" dxfId="0">
      <formula>AND(COUNT(C37:H37)=6,D37=10)</formula>
    </cfRule>
    <cfRule type="expression" priority="173" dxfId="1">
      <formula>AND(COUNT(C37:H37)=6,D37&lt;10*0.4)</formula>
    </cfRule>
    <cfRule type="expression" priority="174" dxfId="2">
      <formula>AND(COUNT(C37:H37)=6,D37&gt;=10*0.4,D37&lt;10)</formula>
    </cfRule>
  </conditionalFormatting>
  <conditionalFormatting sqref="D38">
    <cfRule type="expression" priority="175" dxfId="0">
      <formula>AND(COUNT(C38:H38)=6,D38=10)</formula>
    </cfRule>
    <cfRule type="expression" priority="176" dxfId="1">
      <formula>AND(COUNT(C38:H38)=6,D38&lt;10*0.4)</formula>
    </cfRule>
    <cfRule type="expression" priority="177" dxfId="2">
      <formula>AND(COUNT(C38:H38)=6,D38&gt;=10*0.4,D38&lt;10)</formula>
    </cfRule>
  </conditionalFormatting>
  <conditionalFormatting sqref="D39">
    <cfRule type="expression" priority="178" dxfId="0">
      <formula>AND(COUNT(C39:H39)=6,D39=10)</formula>
    </cfRule>
    <cfRule type="expression" priority="179" dxfId="1">
      <formula>AND(COUNT(C39:H39)=6,D39&lt;10*0.4)</formula>
    </cfRule>
    <cfRule type="expression" priority="180" dxfId="2">
      <formula>AND(COUNT(C39:H39)=6,D39&gt;=10*0.4,D39&lt;10)</formula>
    </cfRule>
  </conditionalFormatting>
  <conditionalFormatting sqref="D40">
    <cfRule type="expression" priority="181" dxfId="0">
      <formula>AND(COUNT(C40:H40)=6,D40=10)</formula>
    </cfRule>
    <cfRule type="expression" priority="182" dxfId="1">
      <formula>AND(COUNT(C40:H40)=6,D40&lt;10*0.4)</formula>
    </cfRule>
    <cfRule type="expression" priority="183" dxfId="2">
      <formula>AND(COUNT(C40:H40)=6,D40&gt;=10*0.4,D40&lt;10)</formula>
    </cfRule>
  </conditionalFormatting>
  <conditionalFormatting sqref="D41">
    <cfRule type="expression" priority="184" dxfId="0">
      <formula>AND(COUNT(C41:H41)=6,D41=10)</formula>
    </cfRule>
    <cfRule type="expression" priority="185" dxfId="1">
      <formula>AND(COUNT(C41:H41)=6,D41&lt;10*0.4)</formula>
    </cfRule>
    <cfRule type="expression" priority="186" dxfId="2">
      <formula>AND(COUNT(C41:H41)=6,D41&gt;=10*0.4,D41&lt;10)</formula>
    </cfRule>
  </conditionalFormatting>
  <conditionalFormatting sqref="E11">
    <cfRule type="expression" priority="187" dxfId="0">
      <formula>AND(COUNT(C11:H11)=6,E11=9)</formula>
    </cfRule>
    <cfRule type="expression" priority="188" dxfId="1">
      <formula>AND(COUNT(C11:H11)=6,E11&lt;9*0.4)</formula>
    </cfRule>
    <cfRule type="expression" priority="189" dxfId="2">
      <formula>AND(COUNT(C11:H11)=6,E11&gt;=9*0.4,E11&lt;9)</formula>
    </cfRule>
  </conditionalFormatting>
  <conditionalFormatting sqref="E12">
    <cfRule type="expression" priority="190" dxfId="0">
      <formula>AND(COUNT(C12:H12)=6,E12=9)</formula>
    </cfRule>
    <cfRule type="expression" priority="191" dxfId="1">
      <formula>AND(COUNT(C12:H12)=6,E12&lt;9*0.4)</formula>
    </cfRule>
    <cfRule type="expression" priority="192" dxfId="2">
      <formula>AND(COUNT(C12:H12)=6,E12&gt;=9*0.4,E12&lt;9)</formula>
    </cfRule>
  </conditionalFormatting>
  <conditionalFormatting sqref="E13">
    <cfRule type="expression" priority="193" dxfId="0">
      <formula>AND(COUNT(C13:H13)=6,E13=9)</formula>
    </cfRule>
    <cfRule type="expression" priority="194" dxfId="1">
      <formula>AND(COUNT(C13:H13)=6,E13&lt;9*0.4)</formula>
    </cfRule>
    <cfRule type="expression" priority="195" dxfId="2">
      <formula>AND(COUNT(C13:H13)=6,E13&gt;=9*0.4,E13&lt;9)</formula>
    </cfRule>
  </conditionalFormatting>
  <conditionalFormatting sqref="E14">
    <cfRule type="expression" priority="196" dxfId="0">
      <formula>AND(COUNT(C14:H14)=6,E14=9)</formula>
    </cfRule>
    <cfRule type="expression" priority="197" dxfId="1">
      <formula>AND(COUNT(C14:H14)=6,E14&lt;9*0.4)</formula>
    </cfRule>
    <cfRule type="expression" priority="198" dxfId="2">
      <formula>AND(COUNT(C14:H14)=6,E14&gt;=9*0.4,E14&lt;9)</formula>
    </cfRule>
  </conditionalFormatting>
  <conditionalFormatting sqref="E15">
    <cfRule type="expression" priority="199" dxfId="0">
      <formula>AND(COUNT(C15:H15)=6,E15=9)</formula>
    </cfRule>
    <cfRule type="expression" priority="200" dxfId="1">
      <formula>AND(COUNT(C15:H15)=6,E15&lt;9*0.4)</formula>
    </cfRule>
    <cfRule type="expression" priority="201" dxfId="2">
      <formula>AND(COUNT(C15:H15)=6,E15&gt;=9*0.4,E15&lt;9)</formula>
    </cfRule>
  </conditionalFormatting>
  <conditionalFormatting sqref="E16">
    <cfRule type="expression" priority="202" dxfId="0">
      <formula>AND(COUNT(C16:H16)=6,E16=9)</formula>
    </cfRule>
    <cfRule type="expression" priority="203" dxfId="1">
      <formula>AND(COUNT(C16:H16)=6,E16&lt;9*0.4)</formula>
    </cfRule>
    <cfRule type="expression" priority="204" dxfId="2">
      <formula>AND(COUNT(C16:H16)=6,E16&gt;=9*0.4,E16&lt;9)</formula>
    </cfRule>
  </conditionalFormatting>
  <conditionalFormatting sqref="E17">
    <cfRule type="expression" priority="205" dxfId="0">
      <formula>AND(COUNT(C17:H17)=6,E17=9)</formula>
    </cfRule>
    <cfRule type="expression" priority="206" dxfId="1">
      <formula>AND(COUNT(C17:H17)=6,E17&lt;9*0.4)</formula>
    </cfRule>
    <cfRule type="expression" priority="207" dxfId="2">
      <formula>AND(COUNT(C17:H17)=6,E17&gt;=9*0.4,E17&lt;9)</formula>
    </cfRule>
  </conditionalFormatting>
  <conditionalFormatting sqref="E18">
    <cfRule type="expression" priority="208" dxfId="0">
      <formula>AND(COUNT(C18:H18)=6,E18=9)</formula>
    </cfRule>
    <cfRule type="expression" priority="209" dxfId="1">
      <formula>AND(COUNT(C18:H18)=6,E18&lt;9*0.4)</formula>
    </cfRule>
    <cfRule type="expression" priority="210" dxfId="2">
      <formula>AND(COUNT(C18:H18)=6,E18&gt;=9*0.4,E18&lt;9)</formula>
    </cfRule>
  </conditionalFormatting>
  <conditionalFormatting sqref="E19">
    <cfRule type="expression" priority="211" dxfId="0">
      <formula>AND(COUNT(C19:H19)=6,E19=9)</formula>
    </cfRule>
    <cfRule type="expression" priority="212" dxfId="1">
      <formula>AND(COUNT(C19:H19)=6,E19&lt;9*0.4)</formula>
    </cfRule>
    <cfRule type="expression" priority="213" dxfId="2">
      <formula>AND(COUNT(C19:H19)=6,E19&gt;=9*0.4,E19&lt;9)</formula>
    </cfRule>
  </conditionalFormatting>
  <conditionalFormatting sqref="E20">
    <cfRule type="expression" priority="214" dxfId="0">
      <formula>AND(COUNT(C20:H20)=6,E20=9)</formula>
    </cfRule>
    <cfRule type="expression" priority="215" dxfId="1">
      <formula>AND(COUNT(C20:H20)=6,E20&lt;9*0.4)</formula>
    </cfRule>
    <cfRule type="expression" priority="216" dxfId="2">
      <formula>AND(COUNT(C20:H20)=6,E20&gt;=9*0.4,E20&lt;9)</formula>
    </cfRule>
  </conditionalFormatting>
  <conditionalFormatting sqref="E21">
    <cfRule type="expression" priority="217" dxfId="0">
      <formula>AND(COUNT(C21:H21)=6,E21=9)</formula>
    </cfRule>
    <cfRule type="expression" priority="218" dxfId="1">
      <formula>AND(COUNT(C21:H21)=6,E21&lt;9*0.4)</formula>
    </cfRule>
    <cfRule type="expression" priority="219" dxfId="2">
      <formula>AND(COUNT(C21:H21)=6,E21&gt;=9*0.4,E21&lt;9)</formula>
    </cfRule>
  </conditionalFormatting>
  <conditionalFormatting sqref="E22">
    <cfRule type="expression" priority="220" dxfId="0">
      <formula>AND(COUNT(C22:H22)=6,E22=9)</formula>
    </cfRule>
    <cfRule type="expression" priority="221" dxfId="1">
      <formula>AND(COUNT(C22:H22)=6,E22&lt;9*0.4)</formula>
    </cfRule>
    <cfRule type="expression" priority="222" dxfId="2">
      <formula>AND(COUNT(C22:H22)=6,E22&gt;=9*0.4,E22&lt;9)</formula>
    </cfRule>
  </conditionalFormatting>
  <conditionalFormatting sqref="E23">
    <cfRule type="expression" priority="223" dxfId="0">
      <formula>AND(COUNT(C23:H23)=6,E23=9)</formula>
    </cfRule>
    <cfRule type="expression" priority="224" dxfId="1">
      <formula>AND(COUNT(C23:H23)=6,E23&lt;9*0.4)</formula>
    </cfRule>
    <cfRule type="expression" priority="225" dxfId="2">
      <formula>AND(COUNT(C23:H23)=6,E23&gt;=9*0.4,E23&lt;9)</formula>
    </cfRule>
  </conditionalFormatting>
  <conditionalFormatting sqref="E24">
    <cfRule type="expression" priority="226" dxfId="0">
      <formula>AND(COUNT(C24:H24)=6,E24=9)</formula>
    </cfRule>
    <cfRule type="expression" priority="227" dxfId="1">
      <formula>AND(COUNT(C24:H24)=6,E24&lt;9*0.4)</formula>
    </cfRule>
    <cfRule type="expression" priority="228" dxfId="2">
      <formula>AND(COUNT(C24:H24)=6,E24&gt;=9*0.4,E24&lt;9)</formula>
    </cfRule>
  </conditionalFormatting>
  <conditionalFormatting sqref="E25">
    <cfRule type="expression" priority="229" dxfId="0">
      <formula>AND(COUNT(C25:H25)=6,E25=9)</formula>
    </cfRule>
    <cfRule type="expression" priority="230" dxfId="1">
      <formula>AND(COUNT(C25:H25)=6,E25&lt;9*0.4)</formula>
    </cfRule>
    <cfRule type="expression" priority="231" dxfId="2">
      <formula>AND(COUNT(C25:H25)=6,E25&gt;=9*0.4,E25&lt;9)</formula>
    </cfRule>
  </conditionalFormatting>
  <conditionalFormatting sqref="E26">
    <cfRule type="expression" priority="232" dxfId="0">
      <formula>AND(COUNT(C26:H26)=6,E26=9)</formula>
    </cfRule>
    <cfRule type="expression" priority="233" dxfId="1">
      <formula>AND(COUNT(C26:H26)=6,E26&lt;9*0.4)</formula>
    </cfRule>
    <cfRule type="expression" priority="234" dxfId="2">
      <formula>AND(COUNT(C26:H26)=6,E26&gt;=9*0.4,E26&lt;9)</formula>
    </cfRule>
  </conditionalFormatting>
  <conditionalFormatting sqref="E27">
    <cfRule type="expression" priority="235" dxfId="0">
      <formula>AND(COUNT(C27:H27)=6,E27=9)</formula>
    </cfRule>
    <cfRule type="expression" priority="236" dxfId="1">
      <formula>AND(COUNT(C27:H27)=6,E27&lt;9*0.4)</formula>
    </cfRule>
    <cfRule type="expression" priority="237" dxfId="2">
      <formula>AND(COUNT(C27:H27)=6,E27&gt;=9*0.4,E27&lt;9)</formula>
    </cfRule>
  </conditionalFormatting>
  <conditionalFormatting sqref="E28">
    <cfRule type="expression" priority="238" dxfId="0">
      <formula>AND(COUNT(C28:H28)=6,E28=9)</formula>
    </cfRule>
    <cfRule type="expression" priority="239" dxfId="1">
      <formula>AND(COUNT(C28:H28)=6,E28&lt;9*0.4)</formula>
    </cfRule>
    <cfRule type="expression" priority="240" dxfId="2">
      <formula>AND(COUNT(C28:H28)=6,E28&gt;=9*0.4,E28&lt;9)</formula>
    </cfRule>
  </conditionalFormatting>
  <conditionalFormatting sqref="E29">
    <cfRule type="expression" priority="241" dxfId="0">
      <formula>AND(COUNT(C29:H29)=6,E29=9)</formula>
    </cfRule>
    <cfRule type="expression" priority="242" dxfId="1">
      <formula>AND(COUNT(C29:H29)=6,E29&lt;9*0.4)</formula>
    </cfRule>
    <cfRule type="expression" priority="243" dxfId="2">
      <formula>AND(COUNT(C29:H29)=6,E29&gt;=9*0.4,E29&lt;9)</formula>
    </cfRule>
  </conditionalFormatting>
  <conditionalFormatting sqref="E30">
    <cfRule type="expression" priority="244" dxfId="0">
      <formula>AND(COUNT(C30:H30)=6,E30=9)</formula>
    </cfRule>
    <cfRule type="expression" priority="245" dxfId="1">
      <formula>AND(COUNT(C30:H30)=6,E30&lt;9*0.4)</formula>
    </cfRule>
    <cfRule type="expression" priority="246" dxfId="2">
      <formula>AND(COUNT(C30:H30)=6,E30&gt;=9*0.4,E30&lt;9)</formula>
    </cfRule>
  </conditionalFormatting>
  <conditionalFormatting sqref="E31">
    <cfRule type="expression" priority="247" dxfId="0">
      <formula>AND(COUNT(C31:H31)=6,E31=9)</formula>
    </cfRule>
    <cfRule type="expression" priority="248" dxfId="1">
      <formula>AND(COUNT(C31:H31)=6,E31&lt;9*0.4)</formula>
    </cfRule>
    <cfRule type="expression" priority="249" dxfId="2">
      <formula>AND(COUNT(C31:H31)=6,E31&gt;=9*0.4,E31&lt;9)</formula>
    </cfRule>
  </conditionalFormatting>
  <conditionalFormatting sqref="E32">
    <cfRule type="expression" priority="250" dxfId="0">
      <formula>AND(COUNT(C32:H32)=6,E32=9)</formula>
    </cfRule>
    <cfRule type="expression" priority="251" dxfId="1">
      <formula>AND(COUNT(C32:H32)=6,E32&lt;9*0.4)</formula>
    </cfRule>
    <cfRule type="expression" priority="252" dxfId="2">
      <formula>AND(COUNT(C32:H32)=6,E32&gt;=9*0.4,E32&lt;9)</formula>
    </cfRule>
  </conditionalFormatting>
  <conditionalFormatting sqref="E33">
    <cfRule type="expression" priority="253" dxfId="0">
      <formula>AND(COUNT(C33:H33)=6,E33=9)</formula>
    </cfRule>
    <cfRule type="expression" priority="254" dxfId="1">
      <formula>AND(COUNT(C33:H33)=6,E33&lt;9*0.4)</formula>
    </cfRule>
    <cfRule type="expression" priority="255" dxfId="2">
      <formula>AND(COUNT(C33:H33)=6,E33&gt;=9*0.4,E33&lt;9)</formula>
    </cfRule>
  </conditionalFormatting>
  <conditionalFormatting sqref="E34">
    <cfRule type="expression" priority="256" dxfId="0">
      <formula>AND(COUNT(C34:H34)=6,E34=9)</formula>
    </cfRule>
    <cfRule type="expression" priority="257" dxfId="1">
      <formula>AND(COUNT(C34:H34)=6,E34&lt;9*0.4)</formula>
    </cfRule>
    <cfRule type="expression" priority="258" dxfId="2">
      <formula>AND(COUNT(C34:H34)=6,E34&gt;=9*0.4,E34&lt;9)</formula>
    </cfRule>
  </conditionalFormatting>
  <conditionalFormatting sqref="E35">
    <cfRule type="expression" priority="259" dxfId="0">
      <formula>AND(COUNT(C35:H35)=6,E35=9)</formula>
    </cfRule>
    <cfRule type="expression" priority="260" dxfId="1">
      <formula>AND(COUNT(C35:H35)=6,E35&lt;9*0.4)</formula>
    </cfRule>
    <cfRule type="expression" priority="261" dxfId="2">
      <formula>AND(COUNT(C35:H35)=6,E35&gt;=9*0.4,E35&lt;9)</formula>
    </cfRule>
  </conditionalFormatting>
  <conditionalFormatting sqref="E36">
    <cfRule type="expression" priority="262" dxfId="0">
      <formula>AND(COUNT(C36:H36)=6,E36=9)</formula>
    </cfRule>
    <cfRule type="expression" priority="263" dxfId="1">
      <formula>AND(COUNT(C36:H36)=6,E36&lt;9*0.4)</formula>
    </cfRule>
    <cfRule type="expression" priority="264" dxfId="2">
      <formula>AND(COUNT(C36:H36)=6,E36&gt;=9*0.4,E36&lt;9)</formula>
    </cfRule>
  </conditionalFormatting>
  <conditionalFormatting sqref="E37">
    <cfRule type="expression" priority="265" dxfId="0">
      <formula>AND(COUNT(C37:H37)=6,E37=9)</formula>
    </cfRule>
    <cfRule type="expression" priority="266" dxfId="1">
      <formula>AND(COUNT(C37:H37)=6,E37&lt;9*0.4)</formula>
    </cfRule>
    <cfRule type="expression" priority="267" dxfId="2">
      <formula>AND(COUNT(C37:H37)=6,E37&gt;=9*0.4,E37&lt;9)</formula>
    </cfRule>
  </conditionalFormatting>
  <conditionalFormatting sqref="E38">
    <cfRule type="expression" priority="268" dxfId="0">
      <formula>AND(COUNT(C38:H38)=6,E38=9)</formula>
    </cfRule>
    <cfRule type="expression" priority="269" dxfId="1">
      <formula>AND(COUNT(C38:H38)=6,E38&lt;9*0.4)</formula>
    </cfRule>
    <cfRule type="expression" priority="270" dxfId="2">
      <formula>AND(COUNT(C38:H38)=6,E38&gt;=9*0.4,E38&lt;9)</formula>
    </cfRule>
  </conditionalFormatting>
  <conditionalFormatting sqref="E39">
    <cfRule type="expression" priority="271" dxfId="0">
      <formula>AND(COUNT(C39:H39)=6,E39=9)</formula>
    </cfRule>
    <cfRule type="expression" priority="272" dxfId="1">
      <formula>AND(COUNT(C39:H39)=6,E39&lt;9*0.4)</formula>
    </cfRule>
    <cfRule type="expression" priority="273" dxfId="2">
      <formula>AND(COUNT(C39:H39)=6,E39&gt;=9*0.4,E39&lt;9)</formula>
    </cfRule>
  </conditionalFormatting>
  <conditionalFormatting sqref="E40">
    <cfRule type="expression" priority="274" dxfId="0">
      <formula>AND(COUNT(C40:H40)=6,E40=9)</formula>
    </cfRule>
    <cfRule type="expression" priority="275" dxfId="1">
      <formula>AND(COUNT(C40:H40)=6,E40&lt;9*0.4)</formula>
    </cfRule>
    <cfRule type="expression" priority="276" dxfId="2">
      <formula>AND(COUNT(C40:H40)=6,E40&gt;=9*0.4,E40&lt;9)</formula>
    </cfRule>
  </conditionalFormatting>
  <conditionalFormatting sqref="E41">
    <cfRule type="expression" priority="277" dxfId="0">
      <formula>AND(COUNT(C41:H41)=6,E41=9)</formula>
    </cfRule>
    <cfRule type="expression" priority="278" dxfId="1">
      <formula>AND(COUNT(C41:H41)=6,E41&lt;9*0.4)</formula>
    </cfRule>
    <cfRule type="expression" priority="279" dxfId="2">
      <formula>AND(COUNT(C41:H41)=6,E41&gt;=9*0.4,E41&lt;9)</formula>
    </cfRule>
  </conditionalFormatting>
  <conditionalFormatting sqref="F11">
    <cfRule type="expression" priority="280" dxfId="0">
      <formula>AND(COUNT(C11:H11)=6,F11=8)</formula>
    </cfRule>
    <cfRule type="expression" priority="281" dxfId="1">
      <formula>AND(COUNT(C11:H11)=6,F11&lt;8*0.4)</formula>
    </cfRule>
    <cfRule type="expression" priority="282" dxfId="2">
      <formula>AND(COUNT(C11:H11)=6,F11&gt;=8*0.4,F11&lt;8)</formula>
    </cfRule>
  </conditionalFormatting>
  <conditionalFormatting sqref="F12">
    <cfRule type="expression" priority="283" dxfId="0">
      <formula>AND(COUNT(C12:H12)=6,F12=8)</formula>
    </cfRule>
    <cfRule type="expression" priority="284" dxfId="1">
      <formula>AND(COUNT(C12:H12)=6,F12&lt;8*0.4)</formula>
    </cfRule>
    <cfRule type="expression" priority="285" dxfId="2">
      <formula>AND(COUNT(C12:H12)=6,F12&gt;=8*0.4,F12&lt;8)</formula>
    </cfRule>
  </conditionalFormatting>
  <conditionalFormatting sqref="F13">
    <cfRule type="expression" priority="286" dxfId="0">
      <formula>AND(COUNT(C13:H13)=6,F13=8)</formula>
    </cfRule>
    <cfRule type="expression" priority="287" dxfId="1">
      <formula>AND(COUNT(C13:H13)=6,F13&lt;8*0.4)</formula>
    </cfRule>
    <cfRule type="expression" priority="288" dxfId="2">
      <formula>AND(COUNT(C13:H13)=6,F13&gt;=8*0.4,F13&lt;8)</formula>
    </cfRule>
  </conditionalFormatting>
  <conditionalFormatting sqref="F14">
    <cfRule type="expression" priority="289" dxfId="0">
      <formula>AND(COUNT(C14:H14)=6,F14=8)</formula>
    </cfRule>
    <cfRule type="expression" priority="290" dxfId="1">
      <formula>AND(COUNT(C14:H14)=6,F14&lt;8*0.4)</formula>
    </cfRule>
    <cfRule type="expression" priority="291" dxfId="2">
      <formula>AND(COUNT(C14:H14)=6,F14&gt;=8*0.4,F14&lt;8)</formula>
    </cfRule>
  </conditionalFormatting>
  <conditionalFormatting sqref="F15">
    <cfRule type="expression" priority="292" dxfId="0">
      <formula>AND(COUNT(C15:H15)=6,F15=8)</formula>
    </cfRule>
    <cfRule type="expression" priority="293" dxfId="1">
      <formula>AND(COUNT(C15:H15)=6,F15&lt;8*0.4)</formula>
    </cfRule>
    <cfRule type="expression" priority="294" dxfId="2">
      <formula>AND(COUNT(C15:H15)=6,F15&gt;=8*0.4,F15&lt;8)</formula>
    </cfRule>
  </conditionalFormatting>
  <conditionalFormatting sqref="F16">
    <cfRule type="expression" priority="295" dxfId="0">
      <formula>AND(COUNT(C16:H16)=6,F16=8)</formula>
    </cfRule>
    <cfRule type="expression" priority="296" dxfId="1">
      <formula>AND(COUNT(C16:H16)=6,F16&lt;8*0.4)</formula>
    </cfRule>
    <cfRule type="expression" priority="297" dxfId="2">
      <formula>AND(COUNT(C16:H16)=6,F16&gt;=8*0.4,F16&lt;8)</formula>
    </cfRule>
  </conditionalFormatting>
  <conditionalFormatting sqref="F17">
    <cfRule type="expression" priority="298" dxfId="0">
      <formula>AND(COUNT(C17:H17)=6,F17=8)</formula>
    </cfRule>
    <cfRule type="expression" priority="299" dxfId="1">
      <formula>AND(COUNT(C17:H17)=6,F17&lt;8*0.4)</formula>
    </cfRule>
    <cfRule type="expression" priority="300" dxfId="2">
      <formula>AND(COUNT(C17:H17)=6,F17&gt;=8*0.4,F17&lt;8)</formula>
    </cfRule>
  </conditionalFormatting>
  <conditionalFormatting sqref="F18">
    <cfRule type="expression" priority="301" dxfId="0">
      <formula>AND(COUNT(C18:H18)=6,F18=8)</formula>
    </cfRule>
    <cfRule type="expression" priority="302" dxfId="1">
      <formula>AND(COUNT(C18:H18)=6,F18&lt;8*0.4)</formula>
    </cfRule>
    <cfRule type="expression" priority="303" dxfId="2">
      <formula>AND(COUNT(C18:H18)=6,F18&gt;=8*0.4,F18&lt;8)</formula>
    </cfRule>
  </conditionalFormatting>
  <conditionalFormatting sqref="F19">
    <cfRule type="expression" priority="304" dxfId="0">
      <formula>AND(COUNT(C19:H19)=6,F19=8)</formula>
    </cfRule>
    <cfRule type="expression" priority="305" dxfId="1">
      <formula>AND(COUNT(C19:H19)=6,F19&lt;8*0.4)</formula>
    </cfRule>
    <cfRule type="expression" priority="306" dxfId="2">
      <formula>AND(COUNT(C19:H19)=6,F19&gt;=8*0.4,F19&lt;8)</formula>
    </cfRule>
  </conditionalFormatting>
  <conditionalFormatting sqref="F20">
    <cfRule type="expression" priority="307" dxfId="0">
      <formula>AND(COUNT(C20:H20)=6,F20=8)</formula>
    </cfRule>
    <cfRule type="expression" priority="308" dxfId="1">
      <formula>AND(COUNT(C20:H20)=6,F20&lt;8*0.4)</formula>
    </cfRule>
    <cfRule type="expression" priority="309" dxfId="2">
      <formula>AND(COUNT(C20:H20)=6,F20&gt;=8*0.4,F20&lt;8)</formula>
    </cfRule>
  </conditionalFormatting>
  <conditionalFormatting sqref="F21">
    <cfRule type="expression" priority="310" dxfId="0">
      <formula>AND(COUNT(C21:H21)=6,F21=8)</formula>
    </cfRule>
    <cfRule type="expression" priority="311" dxfId="1">
      <formula>AND(COUNT(C21:H21)=6,F21&lt;8*0.4)</formula>
    </cfRule>
    <cfRule type="expression" priority="312" dxfId="2">
      <formula>AND(COUNT(C21:H21)=6,F21&gt;=8*0.4,F21&lt;8)</formula>
    </cfRule>
  </conditionalFormatting>
  <conditionalFormatting sqref="F22">
    <cfRule type="expression" priority="313" dxfId="0">
      <formula>AND(COUNT(C22:H22)=6,F22=8)</formula>
    </cfRule>
    <cfRule type="expression" priority="314" dxfId="1">
      <formula>AND(COUNT(C22:H22)=6,F22&lt;8*0.4)</formula>
    </cfRule>
    <cfRule type="expression" priority="315" dxfId="2">
      <formula>AND(COUNT(C22:H22)=6,F22&gt;=8*0.4,F22&lt;8)</formula>
    </cfRule>
  </conditionalFormatting>
  <conditionalFormatting sqref="F23">
    <cfRule type="expression" priority="316" dxfId="0">
      <formula>AND(COUNT(C23:H23)=6,F23=8)</formula>
    </cfRule>
    <cfRule type="expression" priority="317" dxfId="1">
      <formula>AND(COUNT(C23:H23)=6,F23&lt;8*0.4)</formula>
    </cfRule>
    <cfRule type="expression" priority="318" dxfId="2">
      <formula>AND(COUNT(C23:H23)=6,F23&gt;=8*0.4,F23&lt;8)</formula>
    </cfRule>
  </conditionalFormatting>
  <conditionalFormatting sqref="F24">
    <cfRule type="expression" priority="319" dxfId="0">
      <formula>AND(COUNT(C24:H24)=6,F24=8)</formula>
    </cfRule>
    <cfRule type="expression" priority="320" dxfId="1">
      <formula>AND(COUNT(C24:H24)=6,F24&lt;8*0.4)</formula>
    </cfRule>
    <cfRule type="expression" priority="321" dxfId="2">
      <formula>AND(COUNT(C24:H24)=6,F24&gt;=8*0.4,F24&lt;8)</formula>
    </cfRule>
  </conditionalFormatting>
  <conditionalFormatting sqref="F25">
    <cfRule type="expression" priority="322" dxfId="0">
      <formula>AND(COUNT(C25:H25)=6,F25=8)</formula>
    </cfRule>
    <cfRule type="expression" priority="323" dxfId="1">
      <formula>AND(COUNT(C25:H25)=6,F25&lt;8*0.4)</formula>
    </cfRule>
    <cfRule type="expression" priority="324" dxfId="2">
      <formula>AND(COUNT(C25:H25)=6,F25&gt;=8*0.4,F25&lt;8)</formula>
    </cfRule>
  </conditionalFormatting>
  <conditionalFormatting sqref="F26">
    <cfRule type="expression" priority="325" dxfId="0">
      <formula>AND(COUNT(C26:H26)=6,F26=8)</formula>
    </cfRule>
    <cfRule type="expression" priority="326" dxfId="1">
      <formula>AND(COUNT(C26:H26)=6,F26&lt;8*0.4)</formula>
    </cfRule>
    <cfRule type="expression" priority="327" dxfId="2">
      <formula>AND(COUNT(C26:H26)=6,F26&gt;=8*0.4,F26&lt;8)</formula>
    </cfRule>
  </conditionalFormatting>
  <conditionalFormatting sqref="F27">
    <cfRule type="expression" priority="328" dxfId="0">
      <formula>AND(COUNT(C27:H27)=6,F27=8)</formula>
    </cfRule>
    <cfRule type="expression" priority="329" dxfId="1">
      <formula>AND(COUNT(C27:H27)=6,F27&lt;8*0.4)</formula>
    </cfRule>
    <cfRule type="expression" priority="330" dxfId="2">
      <formula>AND(COUNT(C27:H27)=6,F27&gt;=8*0.4,F27&lt;8)</formula>
    </cfRule>
  </conditionalFormatting>
  <conditionalFormatting sqref="F28">
    <cfRule type="expression" priority="331" dxfId="0">
      <formula>AND(COUNT(C28:H28)=6,F28=8)</formula>
    </cfRule>
    <cfRule type="expression" priority="332" dxfId="1">
      <formula>AND(COUNT(C28:H28)=6,F28&lt;8*0.4)</formula>
    </cfRule>
    <cfRule type="expression" priority="333" dxfId="2">
      <formula>AND(COUNT(C28:H28)=6,F28&gt;=8*0.4,F28&lt;8)</formula>
    </cfRule>
  </conditionalFormatting>
  <conditionalFormatting sqref="F29">
    <cfRule type="expression" priority="334" dxfId="0">
      <formula>AND(COUNT(C29:H29)=6,F29=8)</formula>
    </cfRule>
    <cfRule type="expression" priority="335" dxfId="1">
      <formula>AND(COUNT(C29:H29)=6,F29&lt;8*0.4)</formula>
    </cfRule>
    <cfRule type="expression" priority="336" dxfId="2">
      <formula>AND(COUNT(C29:H29)=6,F29&gt;=8*0.4,F29&lt;8)</formula>
    </cfRule>
  </conditionalFormatting>
  <conditionalFormatting sqref="F30">
    <cfRule type="expression" priority="337" dxfId="0">
      <formula>AND(COUNT(C30:H30)=6,F30=8)</formula>
    </cfRule>
    <cfRule type="expression" priority="338" dxfId="1">
      <formula>AND(COUNT(C30:H30)=6,F30&lt;8*0.4)</formula>
    </cfRule>
    <cfRule type="expression" priority="339" dxfId="2">
      <formula>AND(COUNT(C30:H30)=6,F30&gt;=8*0.4,F30&lt;8)</formula>
    </cfRule>
  </conditionalFormatting>
  <conditionalFormatting sqref="F31">
    <cfRule type="expression" priority="340" dxfId="0">
      <formula>AND(COUNT(C31:H31)=6,F31=8)</formula>
    </cfRule>
    <cfRule type="expression" priority="341" dxfId="1">
      <formula>AND(COUNT(C31:H31)=6,F31&lt;8*0.4)</formula>
    </cfRule>
    <cfRule type="expression" priority="342" dxfId="2">
      <formula>AND(COUNT(C31:H31)=6,F31&gt;=8*0.4,F31&lt;8)</formula>
    </cfRule>
  </conditionalFormatting>
  <conditionalFormatting sqref="F32">
    <cfRule type="expression" priority="343" dxfId="0">
      <formula>AND(COUNT(C32:H32)=6,F32=8)</formula>
    </cfRule>
    <cfRule type="expression" priority="344" dxfId="1">
      <formula>AND(COUNT(C32:H32)=6,F32&lt;8*0.4)</formula>
    </cfRule>
    <cfRule type="expression" priority="345" dxfId="2">
      <formula>AND(COUNT(C32:H32)=6,F32&gt;=8*0.4,F32&lt;8)</formula>
    </cfRule>
  </conditionalFormatting>
  <conditionalFormatting sqref="F33">
    <cfRule type="expression" priority="346" dxfId="0">
      <formula>AND(COUNT(C33:H33)=6,F33=8)</formula>
    </cfRule>
    <cfRule type="expression" priority="347" dxfId="1">
      <formula>AND(COUNT(C33:H33)=6,F33&lt;8*0.4)</formula>
    </cfRule>
    <cfRule type="expression" priority="348" dxfId="2">
      <formula>AND(COUNT(C33:H33)=6,F33&gt;=8*0.4,F33&lt;8)</formula>
    </cfRule>
  </conditionalFormatting>
  <conditionalFormatting sqref="F34">
    <cfRule type="expression" priority="349" dxfId="0">
      <formula>AND(COUNT(C34:H34)=6,F34=8)</formula>
    </cfRule>
    <cfRule type="expression" priority="350" dxfId="1">
      <formula>AND(COUNT(C34:H34)=6,F34&lt;8*0.4)</formula>
    </cfRule>
    <cfRule type="expression" priority="351" dxfId="2">
      <formula>AND(COUNT(C34:H34)=6,F34&gt;=8*0.4,F34&lt;8)</formula>
    </cfRule>
  </conditionalFormatting>
  <conditionalFormatting sqref="F35">
    <cfRule type="expression" priority="352" dxfId="0">
      <formula>AND(COUNT(C35:H35)=6,F35=8)</formula>
    </cfRule>
    <cfRule type="expression" priority="353" dxfId="1">
      <formula>AND(COUNT(C35:H35)=6,F35&lt;8*0.4)</formula>
    </cfRule>
    <cfRule type="expression" priority="354" dxfId="2">
      <formula>AND(COUNT(C35:H35)=6,F35&gt;=8*0.4,F35&lt;8)</formula>
    </cfRule>
  </conditionalFormatting>
  <conditionalFormatting sqref="F36">
    <cfRule type="expression" priority="355" dxfId="0">
      <formula>AND(COUNT(C36:H36)=6,F36=8)</formula>
    </cfRule>
    <cfRule type="expression" priority="356" dxfId="1">
      <formula>AND(COUNT(C36:H36)=6,F36&lt;8*0.4)</formula>
    </cfRule>
    <cfRule type="expression" priority="357" dxfId="2">
      <formula>AND(COUNT(C36:H36)=6,F36&gt;=8*0.4,F36&lt;8)</formula>
    </cfRule>
  </conditionalFormatting>
  <conditionalFormatting sqref="F37">
    <cfRule type="expression" priority="358" dxfId="0">
      <formula>AND(COUNT(C37:H37)=6,F37=8)</formula>
    </cfRule>
    <cfRule type="expression" priority="359" dxfId="1">
      <formula>AND(COUNT(C37:H37)=6,F37&lt;8*0.4)</formula>
    </cfRule>
    <cfRule type="expression" priority="360" dxfId="2">
      <formula>AND(COUNT(C37:H37)=6,F37&gt;=8*0.4,F37&lt;8)</formula>
    </cfRule>
  </conditionalFormatting>
  <conditionalFormatting sqref="F38">
    <cfRule type="expression" priority="361" dxfId="0">
      <formula>AND(COUNT(C38:H38)=6,F38=8)</formula>
    </cfRule>
    <cfRule type="expression" priority="362" dxfId="1">
      <formula>AND(COUNT(C38:H38)=6,F38&lt;8*0.4)</formula>
    </cfRule>
    <cfRule type="expression" priority="363" dxfId="2">
      <formula>AND(COUNT(C38:H38)=6,F38&gt;=8*0.4,F38&lt;8)</formula>
    </cfRule>
  </conditionalFormatting>
  <conditionalFormatting sqref="F39">
    <cfRule type="expression" priority="364" dxfId="0">
      <formula>AND(COUNT(C39:H39)=6,F39=8)</formula>
    </cfRule>
    <cfRule type="expression" priority="365" dxfId="1">
      <formula>AND(COUNT(C39:H39)=6,F39&lt;8*0.4)</formula>
    </cfRule>
    <cfRule type="expression" priority="366" dxfId="2">
      <formula>AND(COUNT(C39:H39)=6,F39&gt;=8*0.4,F39&lt;8)</formula>
    </cfRule>
  </conditionalFormatting>
  <conditionalFormatting sqref="F40">
    <cfRule type="expression" priority="367" dxfId="0">
      <formula>AND(COUNT(C40:H40)=6,F40=8)</formula>
    </cfRule>
    <cfRule type="expression" priority="368" dxfId="1">
      <formula>AND(COUNT(C40:H40)=6,F40&lt;8*0.4)</formula>
    </cfRule>
    <cfRule type="expression" priority="369" dxfId="2">
      <formula>AND(COUNT(C40:H40)=6,F40&gt;=8*0.4,F40&lt;8)</formula>
    </cfRule>
  </conditionalFormatting>
  <conditionalFormatting sqref="F41">
    <cfRule type="expression" priority="370" dxfId="0">
      <formula>AND(COUNT(C41:H41)=6,F41=8)</formula>
    </cfRule>
    <cfRule type="expression" priority="371" dxfId="1">
      <formula>AND(COUNT(C41:H41)=6,F41&lt;8*0.4)</formula>
    </cfRule>
    <cfRule type="expression" priority="372" dxfId="2">
      <formula>AND(COUNT(C41:H41)=6,F41&gt;=8*0.4,F41&lt;8)</formula>
    </cfRule>
  </conditionalFormatting>
  <conditionalFormatting sqref="G11">
    <cfRule type="expression" priority="373" dxfId="0">
      <formula>AND(COUNT(C11:H11)=6,G11=7)</formula>
    </cfRule>
    <cfRule type="expression" priority="374" dxfId="1">
      <formula>AND(COUNT(C11:H11)=6,G11&lt;7*0.4)</formula>
    </cfRule>
    <cfRule type="expression" priority="375" dxfId="2">
      <formula>AND(COUNT(C11:H11)=6,G11&gt;=7*0.4,G11&lt;7)</formula>
    </cfRule>
  </conditionalFormatting>
  <conditionalFormatting sqref="G12">
    <cfRule type="expression" priority="376" dxfId="0">
      <formula>AND(COUNT(C12:H12)=6,G12=7)</formula>
    </cfRule>
    <cfRule type="expression" priority="377" dxfId="1">
      <formula>AND(COUNT(C12:H12)=6,G12&lt;7*0.4)</formula>
    </cfRule>
    <cfRule type="expression" priority="378" dxfId="2">
      <formula>AND(COUNT(C12:H12)=6,G12&gt;=7*0.4,G12&lt;7)</formula>
    </cfRule>
  </conditionalFormatting>
  <conditionalFormatting sqref="G13">
    <cfRule type="expression" priority="379" dxfId="0">
      <formula>AND(COUNT(C13:H13)=6,G13=7)</formula>
    </cfRule>
    <cfRule type="expression" priority="380" dxfId="1">
      <formula>AND(COUNT(C13:H13)=6,G13&lt;7*0.4)</formula>
    </cfRule>
    <cfRule type="expression" priority="381" dxfId="2">
      <formula>AND(COUNT(C13:H13)=6,G13&gt;=7*0.4,G13&lt;7)</formula>
    </cfRule>
  </conditionalFormatting>
  <conditionalFormatting sqref="G14">
    <cfRule type="expression" priority="382" dxfId="0">
      <formula>AND(COUNT(C14:H14)=6,G14=7)</formula>
    </cfRule>
    <cfRule type="expression" priority="383" dxfId="1">
      <formula>AND(COUNT(C14:H14)=6,G14&lt;7*0.4)</formula>
    </cfRule>
    <cfRule type="expression" priority="384" dxfId="2">
      <formula>AND(COUNT(C14:H14)=6,G14&gt;=7*0.4,G14&lt;7)</formula>
    </cfRule>
  </conditionalFormatting>
  <conditionalFormatting sqref="G15">
    <cfRule type="expression" priority="385" dxfId="0">
      <formula>AND(COUNT(C15:H15)=6,G15=7)</formula>
    </cfRule>
    <cfRule type="expression" priority="386" dxfId="1">
      <formula>AND(COUNT(C15:H15)=6,G15&lt;7*0.4)</formula>
    </cfRule>
    <cfRule type="expression" priority="387" dxfId="2">
      <formula>AND(COUNT(C15:H15)=6,G15&gt;=7*0.4,G15&lt;7)</formula>
    </cfRule>
  </conditionalFormatting>
  <conditionalFormatting sqref="G16">
    <cfRule type="expression" priority="388" dxfId="0">
      <formula>AND(COUNT(C16:H16)=6,G16=7)</formula>
    </cfRule>
    <cfRule type="expression" priority="389" dxfId="1">
      <formula>AND(COUNT(C16:H16)=6,G16&lt;7*0.4)</formula>
    </cfRule>
    <cfRule type="expression" priority="390" dxfId="2">
      <formula>AND(COUNT(C16:H16)=6,G16&gt;=7*0.4,G16&lt;7)</formula>
    </cfRule>
  </conditionalFormatting>
  <conditionalFormatting sqref="G17">
    <cfRule type="expression" priority="391" dxfId="0">
      <formula>AND(COUNT(C17:H17)=6,G17=7)</formula>
    </cfRule>
    <cfRule type="expression" priority="392" dxfId="1">
      <formula>AND(COUNT(C17:H17)=6,G17&lt;7*0.4)</formula>
    </cfRule>
    <cfRule type="expression" priority="393" dxfId="2">
      <formula>AND(COUNT(C17:H17)=6,G17&gt;=7*0.4,G17&lt;7)</formula>
    </cfRule>
  </conditionalFormatting>
  <conditionalFormatting sqref="G18">
    <cfRule type="expression" priority="394" dxfId="0">
      <formula>AND(COUNT(C18:H18)=6,G18=7)</formula>
    </cfRule>
    <cfRule type="expression" priority="395" dxfId="1">
      <formula>AND(COUNT(C18:H18)=6,G18&lt;7*0.4)</formula>
    </cfRule>
    <cfRule type="expression" priority="396" dxfId="2">
      <formula>AND(COUNT(C18:H18)=6,G18&gt;=7*0.4,G18&lt;7)</formula>
    </cfRule>
  </conditionalFormatting>
  <conditionalFormatting sqref="G19">
    <cfRule type="expression" priority="397" dxfId="0">
      <formula>AND(COUNT(C19:H19)=6,G19=7)</formula>
    </cfRule>
    <cfRule type="expression" priority="398" dxfId="1">
      <formula>AND(COUNT(C19:H19)=6,G19&lt;7*0.4)</formula>
    </cfRule>
    <cfRule type="expression" priority="399" dxfId="2">
      <formula>AND(COUNT(C19:H19)=6,G19&gt;=7*0.4,G19&lt;7)</formula>
    </cfRule>
  </conditionalFormatting>
  <conditionalFormatting sqref="G20">
    <cfRule type="expression" priority="400" dxfId="0">
      <formula>AND(COUNT(C20:H20)=6,G20=7)</formula>
    </cfRule>
    <cfRule type="expression" priority="401" dxfId="1">
      <formula>AND(COUNT(C20:H20)=6,G20&lt;7*0.4)</formula>
    </cfRule>
    <cfRule type="expression" priority="402" dxfId="2">
      <formula>AND(COUNT(C20:H20)=6,G20&gt;=7*0.4,G20&lt;7)</formula>
    </cfRule>
  </conditionalFormatting>
  <conditionalFormatting sqref="G21">
    <cfRule type="expression" priority="403" dxfId="0">
      <formula>AND(COUNT(C21:H21)=6,G21=7)</formula>
    </cfRule>
    <cfRule type="expression" priority="404" dxfId="1">
      <formula>AND(COUNT(C21:H21)=6,G21&lt;7*0.4)</formula>
    </cfRule>
    <cfRule type="expression" priority="405" dxfId="2">
      <formula>AND(COUNT(C21:H21)=6,G21&gt;=7*0.4,G21&lt;7)</formula>
    </cfRule>
  </conditionalFormatting>
  <conditionalFormatting sqref="G22">
    <cfRule type="expression" priority="406" dxfId="0">
      <formula>AND(COUNT(C22:H22)=6,G22=7)</formula>
    </cfRule>
    <cfRule type="expression" priority="407" dxfId="1">
      <formula>AND(COUNT(C22:H22)=6,G22&lt;7*0.4)</formula>
    </cfRule>
    <cfRule type="expression" priority="408" dxfId="2">
      <formula>AND(COUNT(C22:H22)=6,G22&gt;=7*0.4,G22&lt;7)</formula>
    </cfRule>
  </conditionalFormatting>
  <conditionalFormatting sqref="G23">
    <cfRule type="expression" priority="409" dxfId="0">
      <formula>AND(COUNT(C23:H23)=6,G23=7)</formula>
    </cfRule>
    <cfRule type="expression" priority="410" dxfId="1">
      <formula>AND(COUNT(C23:H23)=6,G23&lt;7*0.4)</formula>
    </cfRule>
    <cfRule type="expression" priority="411" dxfId="2">
      <formula>AND(COUNT(C23:H23)=6,G23&gt;=7*0.4,G23&lt;7)</formula>
    </cfRule>
  </conditionalFormatting>
  <conditionalFormatting sqref="G24">
    <cfRule type="expression" priority="412" dxfId="0">
      <formula>AND(COUNT(C24:H24)=6,G24=7)</formula>
    </cfRule>
    <cfRule type="expression" priority="413" dxfId="1">
      <formula>AND(COUNT(C24:H24)=6,G24&lt;7*0.4)</formula>
    </cfRule>
    <cfRule type="expression" priority="414" dxfId="2">
      <formula>AND(COUNT(C24:H24)=6,G24&gt;=7*0.4,G24&lt;7)</formula>
    </cfRule>
  </conditionalFormatting>
  <conditionalFormatting sqref="G25">
    <cfRule type="expression" priority="415" dxfId="0">
      <formula>AND(COUNT(C25:H25)=6,G25=7)</formula>
    </cfRule>
    <cfRule type="expression" priority="416" dxfId="1">
      <formula>AND(COUNT(C25:H25)=6,G25&lt;7*0.4)</formula>
    </cfRule>
    <cfRule type="expression" priority="417" dxfId="2">
      <formula>AND(COUNT(C25:H25)=6,G25&gt;=7*0.4,G25&lt;7)</formula>
    </cfRule>
  </conditionalFormatting>
  <conditionalFormatting sqref="G26">
    <cfRule type="expression" priority="418" dxfId="0">
      <formula>AND(COUNT(C26:H26)=6,G26=7)</formula>
    </cfRule>
    <cfRule type="expression" priority="419" dxfId="1">
      <formula>AND(COUNT(C26:H26)=6,G26&lt;7*0.4)</formula>
    </cfRule>
    <cfRule type="expression" priority="420" dxfId="2">
      <formula>AND(COUNT(C26:H26)=6,G26&gt;=7*0.4,G26&lt;7)</formula>
    </cfRule>
  </conditionalFormatting>
  <conditionalFormatting sqref="G27">
    <cfRule type="expression" priority="421" dxfId="0">
      <formula>AND(COUNT(C27:H27)=6,G27=7)</formula>
    </cfRule>
    <cfRule type="expression" priority="422" dxfId="1">
      <formula>AND(COUNT(C27:H27)=6,G27&lt;7*0.4)</formula>
    </cfRule>
    <cfRule type="expression" priority="423" dxfId="2">
      <formula>AND(COUNT(C27:H27)=6,G27&gt;=7*0.4,G27&lt;7)</formula>
    </cfRule>
  </conditionalFormatting>
  <conditionalFormatting sqref="G28">
    <cfRule type="expression" priority="424" dxfId="0">
      <formula>AND(COUNT(C28:H28)=6,G28=7)</formula>
    </cfRule>
    <cfRule type="expression" priority="425" dxfId="1">
      <formula>AND(COUNT(C28:H28)=6,G28&lt;7*0.4)</formula>
    </cfRule>
    <cfRule type="expression" priority="426" dxfId="2">
      <formula>AND(COUNT(C28:H28)=6,G28&gt;=7*0.4,G28&lt;7)</formula>
    </cfRule>
  </conditionalFormatting>
  <conditionalFormatting sqref="G29">
    <cfRule type="expression" priority="427" dxfId="0">
      <formula>AND(COUNT(C29:H29)=6,G29=7)</formula>
    </cfRule>
    <cfRule type="expression" priority="428" dxfId="1">
      <formula>AND(COUNT(C29:H29)=6,G29&lt;7*0.4)</formula>
    </cfRule>
    <cfRule type="expression" priority="429" dxfId="2">
      <formula>AND(COUNT(C29:H29)=6,G29&gt;=7*0.4,G29&lt;7)</formula>
    </cfRule>
  </conditionalFormatting>
  <conditionalFormatting sqref="G30">
    <cfRule type="expression" priority="430" dxfId="0">
      <formula>AND(COUNT(C30:H30)=6,G30=7)</formula>
    </cfRule>
    <cfRule type="expression" priority="431" dxfId="1">
      <formula>AND(COUNT(C30:H30)=6,G30&lt;7*0.4)</formula>
    </cfRule>
    <cfRule type="expression" priority="432" dxfId="2">
      <formula>AND(COUNT(C30:H30)=6,G30&gt;=7*0.4,G30&lt;7)</formula>
    </cfRule>
  </conditionalFormatting>
  <conditionalFormatting sqref="G31">
    <cfRule type="expression" priority="433" dxfId="0">
      <formula>AND(COUNT(C31:H31)=6,G31=7)</formula>
    </cfRule>
    <cfRule type="expression" priority="434" dxfId="1">
      <formula>AND(COUNT(C31:H31)=6,G31&lt;7*0.4)</formula>
    </cfRule>
    <cfRule type="expression" priority="435" dxfId="2">
      <formula>AND(COUNT(C31:H31)=6,G31&gt;=7*0.4,G31&lt;7)</formula>
    </cfRule>
  </conditionalFormatting>
  <conditionalFormatting sqref="G32">
    <cfRule type="expression" priority="436" dxfId="0">
      <formula>AND(COUNT(C32:H32)=6,G32=7)</formula>
    </cfRule>
    <cfRule type="expression" priority="437" dxfId="1">
      <formula>AND(COUNT(C32:H32)=6,G32&lt;7*0.4)</formula>
    </cfRule>
    <cfRule type="expression" priority="438" dxfId="2">
      <formula>AND(COUNT(C32:H32)=6,G32&gt;=7*0.4,G32&lt;7)</formula>
    </cfRule>
  </conditionalFormatting>
  <conditionalFormatting sqref="G33">
    <cfRule type="expression" priority="439" dxfId="0">
      <formula>AND(COUNT(C33:H33)=6,G33=7)</formula>
    </cfRule>
    <cfRule type="expression" priority="440" dxfId="1">
      <formula>AND(COUNT(C33:H33)=6,G33&lt;7*0.4)</formula>
    </cfRule>
    <cfRule type="expression" priority="441" dxfId="2">
      <formula>AND(COUNT(C33:H33)=6,G33&gt;=7*0.4,G33&lt;7)</formula>
    </cfRule>
  </conditionalFormatting>
  <conditionalFormatting sqref="G34">
    <cfRule type="expression" priority="442" dxfId="0">
      <formula>AND(COUNT(C34:H34)=6,G34=7)</formula>
    </cfRule>
    <cfRule type="expression" priority="443" dxfId="1">
      <formula>AND(COUNT(C34:H34)=6,G34&lt;7*0.4)</formula>
    </cfRule>
    <cfRule type="expression" priority="444" dxfId="2">
      <formula>AND(COUNT(C34:H34)=6,G34&gt;=7*0.4,G34&lt;7)</formula>
    </cfRule>
  </conditionalFormatting>
  <conditionalFormatting sqref="G35">
    <cfRule type="expression" priority="445" dxfId="0">
      <formula>AND(COUNT(C35:H35)=6,G35=7)</formula>
    </cfRule>
    <cfRule type="expression" priority="446" dxfId="1">
      <formula>AND(COUNT(C35:H35)=6,G35&lt;7*0.4)</formula>
    </cfRule>
    <cfRule type="expression" priority="447" dxfId="2">
      <formula>AND(COUNT(C35:H35)=6,G35&gt;=7*0.4,G35&lt;7)</formula>
    </cfRule>
  </conditionalFormatting>
  <conditionalFormatting sqref="G36">
    <cfRule type="expression" priority="448" dxfId="0">
      <formula>AND(COUNT(C36:H36)=6,G36=7)</formula>
    </cfRule>
    <cfRule type="expression" priority="449" dxfId="1">
      <formula>AND(COUNT(C36:H36)=6,G36&lt;7*0.4)</formula>
    </cfRule>
    <cfRule type="expression" priority="450" dxfId="2">
      <formula>AND(COUNT(C36:H36)=6,G36&gt;=7*0.4,G36&lt;7)</formula>
    </cfRule>
  </conditionalFormatting>
  <conditionalFormatting sqref="G37">
    <cfRule type="expression" priority="451" dxfId="0">
      <formula>AND(COUNT(C37:H37)=6,G37=7)</formula>
    </cfRule>
    <cfRule type="expression" priority="452" dxfId="1">
      <formula>AND(COUNT(C37:H37)=6,G37&lt;7*0.4)</formula>
    </cfRule>
    <cfRule type="expression" priority="453" dxfId="2">
      <formula>AND(COUNT(C37:H37)=6,G37&gt;=7*0.4,G37&lt;7)</formula>
    </cfRule>
  </conditionalFormatting>
  <conditionalFormatting sqref="G38">
    <cfRule type="expression" priority="454" dxfId="0">
      <formula>AND(COUNT(C38:H38)=6,G38=7)</formula>
    </cfRule>
    <cfRule type="expression" priority="455" dxfId="1">
      <formula>AND(COUNT(C38:H38)=6,G38&lt;7*0.4)</formula>
    </cfRule>
    <cfRule type="expression" priority="456" dxfId="2">
      <formula>AND(COUNT(C38:H38)=6,G38&gt;=7*0.4,G38&lt;7)</formula>
    </cfRule>
  </conditionalFormatting>
  <conditionalFormatting sqref="G39">
    <cfRule type="expression" priority="457" dxfId="0">
      <formula>AND(COUNT(C39:H39)=6,G39=7)</formula>
    </cfRule>
    <cfRule type="expression" priority="458" dxfId="1">
      <formula>AND(COUNT(C39:H39)=6,G39&lt;7*0.4)</formula>
    </cfRule>
    <cfRule type="expression" priority="459" dxfId="2">
      <formula>AND(COUNT(C39:H39)=6,G39&gt;=7*0.4,G39&lt;7)</formula>
    </cfRule>
  </conditionalFormatting>
  <conditionalFormatting sqref="G40">
    <cfRule type="expression" priority="460" dxfId="0">
      <formula>AND(COUNT(C40:H40)=6,G40=7)</formula>
    </cfRule>
    <cfRule type="expression" priority="461" dxfId="1">
      <formula>AND(COUNT(C40:H40)=6,G40&lt;7*0.4)</formula>
    </cfRule>
    <cfRule type="expression" priority="462" dxfId="2">
      <formula>AND(COUNT(C40:H40)=6,G40&gt;=7*0.4,G40&lt;7)</formula>
    </cfRule>
  </conditionalFormatting>
  <conditionalFormatting sqref="G41">
    <cfRule type="expression" priority="463" dxfId="0">
      <formula>AND(COUNT(C41:H41)=6,G41=7)</formula>
    </cfRule>
    <cfRule type="expression" priority="464" dxfId="1">
      <formula>AND(COUNT(C41:H41)=6,G41&lt;7*0.4)</formula>
    </cfRule>
    <cfRule type="expression" priority="465" dxfId="2">
      <formula>AND(COUNT(C41:H41)=6,G41&gt;=7*0.4,G41&lt;7)</formula>
    </cfRule>
  </conditionalFormatting>
  <conditionalFormatting sqref="H11">
    <cfRule type="expression" priority="466" dxfId="0">
      <formula>AND(COUNT(C11:H11)=6,H11=8)</formula>
    </cfRule>
    <cfRule type="expression" priority="467" dxfId="1">
      <formula>AND(COUNT(C11:H11)=6,H11&lt;8*0.4)</formula>
    </cfRule>
    <cfRule type="expression" priority="468" dxfId="2">
      <formula>AND(COUNT(C11:H11)=6,H11&gt;=8*0.4,H11&lt;8)</formula>
    </cfRule>
  </conditionalFormatting>
  <conditionalFormatting sqref="H12">
    <cfRule type="expression" priority="469" dxfId="0">
      <formula>AND(COUNT(C12:H12)=6,H12=8)</formula>
    </cfRule>
    <cfRule type="expression" priority="470" dxfId="1">
      <formula>AND(COUNT(C12:H12)=6,H12&lt;8*0.4)</formula>
    </cfRule>
    <cfRule type="expression" priority="471" dxfId="2">
      <formula>AND(COUNT(C12:H12)=6,H12&gt;=8*0.4,H12&lt;8)</formula>
    </cfRule>
  </conditionalFormatting>
  <conditionalFormatting sqref="H13">
    <cfRule type="expression" priority="472" dxfId="0">
      <formula>AND(COUNT(C13:H13)=6,H13=8)</formula>
    </cfRule>
    <cfRule type="expression" priority="473" dxfId="1">
      <formula>AND(COUNT(C13:H13)=6,H13&lt;8*0.4)</formula>
    </cfRule>
    <cfRule type="expression" priority="474" dxfId="2">
      <formula>AND(COUNT(C13:H13)=6,H13&gt;=8*0.4,H13&lt;8)</formula>
    </cfRule>
  </conditionalFormatting>
  <conditionalFormatting sqref="H14">
    <cfRule type="expression" priority="475" dxfId="0">
      <formula>AND(COUNT(C14:H14)=6,H14=8)</formula>
    </cfRule>
    <cfRule type="expression" priority="476" dxfId="1">
      <formula>AND(COUNT(C14:H14)=6,H14&lt;8*0.4)</formula>
    </cfRule>
    <cfRule type="expression" priority="477" dxfId="2">
      <formula>AND(COUNT(C14:H14)=6,H14&gt;=8*0.4,H14&lt;8)</formula>
    </cfRule>
  </conditionalFormatting>
  <conditionalFormatting sqref="H15">
    <cfRule type="expression" priority="478" dxfId="0">
      <formula>AND(COUNT(C15:H15)=6,H15=8)</formula>
    </cfRule>
    <cfRule type="expression" priority="479" dxfId="1">
      <formula>AND(COUNT(C15:H15)=6,H15&lt;8*0.4)</formula>
    </cfRule>
    <cfRule type="expression" priority="480" dxfId="2">
      <formula>AND(COUNT(C15:H15)=6,H15&gt;=8*0.4,H15&lt;8)</formula>
    </cfRule>
  </conditionalFormatting>
  <conditionalFormatting sqref="H16">
    <cfRule type="expression" priority="481" dxfId="0">
      <formula>AND(COUNT(C16:H16)=6,H16=8)</formula>
    </cfRule>
    <cfRule type="expression" priority="482" dxfId="1">
      <formula>AND(COUNT(C16:H16)=6,H16&lt;8*0.4)</formula>
    </cfRule>
    <cfRule type="expression" priority="483" dxfId="2">
      <formula>AND(COUNT(C16:H16)=6,H16&gt;=8*0.4,H16&lt;8)</formula>
    </cfRule>
  </conditionalFormatting>
  <conditionalFormatting sqref="H17">
    <cfRule type="expression" priority="484" dxfId="0">
      <formula>AND(COUNT(C17:H17)=6,H17=8)</formula>
    </cfRule>
    <cfRule type="expression" priority="485" dxfId="1">
      <formula>AND(COUNT(C17:H17)=6,H17&lt;8*0.4)</formula>
    </cfRule>
    <cfRule type="expression" priority="486" dxfId="2">
      <formula>AND(COUNT(C17:H17)=6,H17&gt;=8*0.4,H17&lt;8)</formula>
    </cfRule>
  </conditionalFormatting>
  <conditionalFormatting sqref="H18">
    <cfRule type="expression" priority="487" dxfId="0">
      <formula>AND(COUNT(C18:H18)=6,H18=8)</formula>
    </cfRule>
    <cfRule type="expression" priority="488" dxfId="1">
      <formula>AND(COUNT(C18:H18)=6,H18&lt;8*0.4)</formula>
    </cfRule>
    <cfRule type="expression" priority="489" dxfId="2">
      <formula>AND(COUNT(C18:H18)=6,H18&gt;=8*0.4,H18&lt;8)</formula>
    </cfRule>
  </conditionalFormatting>
  <conditionalFormatting sqref="H19">
    <cfRule type="expression" priority="490" dxfId="0">
      <formula>AND(COUNT(C19:H19)=6,H19=8)</formula>
    </cfRule>
    <cfRule type="expression" priority="491" dxfId="1">
      <formula>AND(COUNT(C19:H19)=6,H19&lt;8*0.4)</formula>
    </cfRule>
    <cfRule type="expression" priority="492" dxfId="2">
      <formula>AND(COUNT(C19:H19)=6,H19&gt;=8*0.4,H19&lt;8)</formula>
    </cfRule>
  </conditionalFormatting>
  <conditionalFormatting sqref="H20">
    <cfRule type="expression" priority="493" dxfId="0">
      <formula>AND(COUNT(C20:H20)=6,H20=8)</formula>
    </cfRule>
    <cfRule type="expression" priority="494" dxfId="1">
      <formula>AND(COUNT(C20:H20)=6,H20&lt;8*0.4)</formula>
    </cfRule>
    <cfRule type="expression" priority="495" dxfId="2">
      <formula>AND(COUNT(C20:H20)=6,H20&gt;=8*0.4,H20&lt;8)</formula>
    </cfRule>
  </conditionalFormatting>
  <conditionalFormatting sqref="H21">
    <cfRule type="expression" priority="496" dxfId="0">
      <formula>AND(COUNT(C21:H21)=6,H21=8)</formula>
    </cfRule>
    <cfRule type="expression" priority="497" dxfId="1">
      <formula>AND(COUNT(C21:H21)=6,H21&lt;8*0.4)</formula>
    </cfRule>
    <cfRule type="expression" priority="498" dxfId="2">
      <formula>AND(COUNT(C21:H21)=6,H21&gt;=8*0.4,H21&lt;8)</formula>
    </cfRule>
  </conditionalFormatting>
  <conditionalFormatting sqref="H22">
    <cfRule type="expression" priority="499" dxfId="0">
      <formula>AND(COUNT(C22:H22)=6,H22=8)</formula>
    </cfRule>
    <cfRule type="expression" priority="500" dxfId="1">
      <formula>AND(COUNT(C22:H22)=6,H22&lt;8*0.4)</formula>
    </cfRule>
    <cfRule type="expression" priority="501" dxfId="2">
      <formula>AND(COUNT(C22:H22)=6,H22&gt;=8*0.4,H22&lt;8)</formula>
    </cfRule>
  </conditionalFormatting>
  <conditionalFormatting sqref="H23">
    <cfRule type="expression" priority="502" dxfId="0">
      <formula>AND(COUNT(C23:H23)=6,H23=8)</formula>
    </cfRule>
    <cfRule type="expression" priority="503" dxfId="1">
      <formula>AND(COUNT(C23:H23)=6,H23&lt;8*0.4)</formula>
    </cfRule>
    <cfRule type="expression" priority="504" dxfId="2">
      <formula>AND(COUNT(C23:H23)=6,H23&gt;=8*0.4,H23&lt;8)</formula>
    </cfRule>
  </conditionalFormatting>
  <conditionalFormatting sqref="H24">
    <cfRule type="expression" priority="505" dxfId="0">
      <formula>AND(COUNT(C24:H24)=6,H24=8)</formula>
    </cfRule>
    <cfRule type="expression" priority="506" dxfId="1">
      <formula>AND(COUNT(C24:H24)=6,H24&lt;8*0.4)</formula>
    </cfRule>
    <cfRule type="expression" priority="507" dxfId="2">
      <formula>AND(COUNT(C24:H24)=6,H24&gt;=8*0.4,H24&lt;8)</formula>
    </cfRule>
  </conditionalFormatting>
  <conditionalFormatting sqref="H25">
    <cfRule type="expression" priority="508" dxfId="0">
      <formula>AND(COUNT(C25:H25)=6,H25=8)</formula>
    </cfRule>
    <cfRule type="expression" priority="509" dxfId="1">
      <formula>AND(COUNT(C25:H25)=6,H25&lt;8*0.4)</formula>
    </cfRule>
    <cfRule type="expression" priority="510" dxfId="2">
      <formula>AND(COUNT(C25:H25)=6,H25&gt;=8*0.4,H25&lt;8)</formula>
    </cfRule>
  </conditionalFormatting>
  <conditionalFormatting sqref="H26">
    <cfRule type="expression" priority="511" dxfId="0">
      <formula>AND(COUNT(C26:H26)=6,H26=8)</formula>
    </cfRule>
    <cfRule type="expression" priority="512" dxfId="1">
      <formula>AND(COUNT(C26:H26)=6,H26&lt;8*0.4)</formula>
    </cfRule>
    <cfRule type="expression" priority="513" dxfId="2">
      <formula>AND(COUNT(C26:H26)=6,H26&gt;=8*0.4,H26&lt;8)</formula>
    </cfRule>
  </conditionalFormatting>
  <conditionalFormatting sqref="H27">
    <cfRule type="expression" priority="514" dxfId="0">
      <formula>AND(COUNT(C27:H27)=6,H27=8)</formula>
    </cfRule>
    <cfRule type="expression" priority="515" dxfId="1">
      <formula>AND(COUNT(C27:H27)=6,H27&lt;8*0.4)</formula>
    </cfRule>
    <cfRule type="expression" priority="516" dxfId="2">
      <formula>AND(COUNT(C27:H27)=6,H27&gt;=8*0.4,H27&lt;8)</formula>
    </cfRule>
  </conditionalFormatting>
  <conditionalFormatting sqref="H28">
    <cfRule type="expression" priority="517" dxfId="0">
      <formula>AND(COUNT(C28:H28)=6,H28=8)</formula>
    </cfRule>
    <cfRule type="expression" priority="518" dxfId="1">
      <formula>AND(COUNT(C28:H28)=6,H28&lt;8*0.4)</formula>
    </cfRule>
    <cfRule type="expression" priority="519" dxfId="2">
      <formula>AND(COUNT(C28:H28)=6,H28&gt;=8*0.4,H28&lt;8)</formula>
    </cfRule>
  </conditionalFormatting>
  <conditionalFormatting sqref="H29">
    <cfRule type="expression" priority="520" dxfId="0">
      <formula>AND(COUNT(C29:H29)=6,H29=8)</formula>
    </cfRule>
    <cfRule type="expression" priority="521" dxfId="1">
      <formula>AND(COUNT(C29:H29)=6,H29&lt;8*0.4)</formula>
    </cfRule>
    <cfRule type="expression" priority="522" dxfId="2">
      <formula>AND(COUNT(C29:H29)=6,H29&gt;=8*0.4,H29&lt;8)</formula>
    </cfRule>
  </conditionalFormatting>
  <conditionalFormatting sqref="H30">
    <cfRule type="expression" priority="523" dxfId="0">
      <formula>AND(COUNT(C30:H30)=6,H30=8)</formula>
    </cfRule>
    <cfRule type="expression" priority="524" dxfId="1">
      <formula>AND(COUNT(C30:H30)=6,H30&lt;8*0.4)</formula>
    </cfRule>
    <cfRule type="expression" priority="525" dxfId="2">
      <formula>AND(COUNT(C30:H30)=6,H30&gt;=8*0.4,H30&lt;8)</formula>
    </cfRule>
  </conditionalFormatting>
  <conditionalFormatting sqref="H31">
    <cfRule type="expression" priority="526" dxfId="0">
      <formula>AND(COUNT(C31:H31)=6,H31=8)</formula>
    </cfRule>
    <cfRule type="expression" priority="527" dxfId="1">
      <formula>AND(COUNT(C31:H31)=6,H31&lt;8*0.4)</formula>
    </cfRule>
    <cfRule type="expression" priority="528" dxfId="2">
      <formula>AND(COUNT(C31:H31)=6,H31&gt;=8*0.4,H31&lt;8)</formula>
    </cfRule>
  </conditionalFormatting>
  <conditionalFormatting sqref="H32">
    <cfRule type="expression" priority="529" dxfId="0">
      <formula>AND(COUNT(C32:H32)=6,H32=8)</formula>
    </cfRule>
    <cfRule type="expression" priority="530" dxfId="1">
      <formula>AND(COUNT(C32:H32)=6,H32&lt;8*0.4)</formula>
    </cfRule>
    <cfRule type="expression" priority="531" dxfId="2">
      <formula>AND(COUNT(C32:H32)=6,H32&gt;=8*0.4,H32&lt;8)</formula>
    </cfRule>
  </conditionalFormatting>
  <conditionalFormatting sqref="H33">
    <cfRule type="expression" priority="532" dxfId="0">
      <formula>AND(COUNT(C33:H33)=6,H33=8)</formula>
    </cfRule>
    <cfRule type="expression" priority="533" dxfId="1">
      <formula>AND(COUNT(C33:H33)=6,H33&lt;8*0.4)</formula>
    </cfRule>
    <cfRule type="expression" priority="534" dxfId="2">
      <formula>AND(COUNT(C33:H33)=6,H33&gt;=8*0.4,H33&lt;8)</formula>
    </cfRule>
  </conditionalFormatting>
  <conditionalFormatting sqref="H34">
    <cfRule type="expression" priority="535" dxfId="0">
      <formula>AND(COUNT(C34:H34)=6,H34=8)</formula>
    </cfRule>
    <cfRule type="expression" priority="536" dxfId="1">
      <formula>AND(COUNT(C34:H34)=6,H34&lt;8*0.4)</formula>
    </cfRule>
    <cfRule type="expression" priority="537" dxfId="2">
      <formula>AND(COUNT(C34:H34)=6,H34&gt;=8*0.4,H34&lt;8)</formula>
    </cfRule>
  </conditionalFormatting>
  <conditionalFormatting sqref="H35">
    <cfRule type="expression" priority="538" dxfId="0">
      <formula>AND(COUNT(C35:H35)=6,H35=8)</formula>
    </cfRule>
    <cfRule type="expression" priority="539" dxfId="1">
      <formula>AND(COUNT(C35:H35)=6,H35&lt;8*0.4)</formula>
    </cfRule>
    <cfRule type="expression" priority="540" dxfId="2">
      <formula>AND(COUNT(C35:H35)=6,H35&gt;=8*0.4,H35&lt;8)</formula>
    </cfRule>
  </conditionalFormatting>
  <conditionalFormatting sqref="H36">
    <cfRule type="expression" priority="541" dxfId="0">
      <formula>AND(COUNT(C36:H36)=6,H36=8)</formula>
    </cfRule>
    <cfRule type="expression" priority="542" dxfId="1">
      <formula>AND(COUNT(C36:H36)=6,H36&lt;8*0.4)</formula>
    </cfRule>
    <cfRule type="expression" priority="543" dxfId="2">
      <formula>AND(COUNT(C36:H36)=6,H36&gt;=8*0.4,H36&lt;8)</formula>
    </cfRule>
  </conditionalFormatting>
  <conditionalFormatting sqref="H37">
    <cfRule type="expression" priority="544" dxfId="0">
      <formula>AND(COUNT(C37:H37)=6,H37=8)</formula>
    </cfRule>
    <cfRule type="expression" priority="545" dxfId="1">
      <formula>AND(COUNT(C37:H37)=6,H37&lt;8*0.4)</formula>
    </cfRule>
    <cfRule type="expression" priority="546" dxfId="2">
      <formula>AND(COUNT(C37:H37)=6,H37&gt;=8*0.4,H37&lt;8)</formula>
    </cfRule>
  </conditionalFormatting>
  <conditionalFormatting sqref="H38">
    <cfRule type="expression" priority="547" dxfId="0">
      <formula>AND(COUNT(C38:H38)=6,H38=8)</formula>
    </cfRule>
    <cfRule type="expression" priority="548" dxfId="1">
      <formula>AND(COUNT(C38:H38)=6,H38&lt;8*0.4)</formula>
    </cfRule>
    <cfRule type="expression" priority="549" dxfId="2">
      <formula>AND(COUNT(C38:H38)=6,H38&gt;=8*0.4,H38&lt;8)</formula>
    </cfRule>
  </conditionalFormatting>
  <conditionalFormatting sqref="H39">
    <cfRule type="expression" priority="550" dxfId="0">
      <formula>AND(COUNT(C39:H39)=6,H39=8)</formula>
    </cfRule>
    <cfRule type="expression" priority="551" dxfId="1">
      <formula>AND(COUNT(C39:H39)=6,H39&lt;8*0.4)</formula>
    </cfRule>
    <cfRule type="expression" priority="552" dxfId="2">
      <formula>AND(COUNT(C39:H39)=6,H39&gt;=8*0.4,H39&lt;8)</formula>
    </cfRule>
  </conditionalFormatting>
  <conditionalFormatting sqref="H40">
    <cfRule type="expression" priority="553" dxfId="0">
      <formula>AND(COUNT(C40:H40)=6,H40=8)</formula>
    </cfRule>
    <cfRule type="expression" priority="554" dxfId="1">
      <formula>AND(COUNT(C40:H40)=6,H40&lt;8*0.4)</formula>
    </cfRule>
    <cfRule type="expression" priority="555" dxfId="2">
      <formula>AND(COUNT(C40:H40)=6,H40&gt;=8*0.4,H40&lt;8)</formula>
    </cfRule>
  </conditionalFormatting>
  <conditionalFormatting sqref="H41">
    <cfRule type="expression" priority="556" dxfId="0">
      <formula>AND(COUNT(C41:H41)=6,H41=8)</formula>
    </cfRule>
    <cfRule type="expression" priority="557" dxfId="1">
      <formula>AND(COUNT(C41:H41)=6,H41&lt;8*0.4)</formula>
    </cfRule>
    <cfRule type="expression" priority="558" dxfId="2">
      <formula>AND(COUNT(C41:H41)=6,H41&gt;=8*0.4,H41&lt;8)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243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Chapter 4 End of Topic Test — Critical Analysis of Data &amp; Models</t>
        </is>
      </c>
    </row>
    <row r="2">
      <c r="A2" s="2" t="inlineStr">
        <is>
          <t>Every block below pulls live from 'Ch4 EOT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SUMPRODUCT(--ISNUMBER('Ch4 EOT Results'!K12:K41))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IF('Ch4 EOT Results'!K12="","","Chapter 4 End of Topic Test — Critical Analysis of Data &amp; Models")</f>
        <v/>
      </c>
      <c r="K5">
        <f>IF('Ch4 EOT Results'!K13="","","Chapter 4 End of Topic Test — Critical Analysis of Data &amp; Models")</f>
        <v/>
      </c>
    </row>
    <row r="6">
      <c r="A6">
        <f>IF('Ch4 EOT Results'!K12="","","Name: "&amp;'Ch4 EOT Results'!B12&amp;"   Class: "&amp;'Ch4 EOT Results'!$B$3&amp;"   Date: "&amp;TEXT('Ch4 EOT Results'!$B$5,"DD/MM/YY"))</f>
        <v/>
      </c>
      <c r="K6">
        <f>IF('Ch4 EOT Results'!K13="","","Name: "&amp;'Ch4 EOT Results'!B13&amp;"   Class: "&amp;'Ch4 EOT Results'!$B$3&amp;"   Date: "&amp;TEXT('Ch4 EOT Results'!$B$5,"DD/MM/YY"))</f>
        <v/>
      </c>
    </row>
    <row r="7">
      <c r="A7">
        <f>IF('Ch4 EOT Results'!K12="","","Total: "&amp;'Ch4 EOT Results'!I12&amp;"/51 ("&amp;TEXT('Ch4 EOT Results'!J12,"0%")&amp;")   Overall: "&amp;'Ch4 EOT Results'!K12)</f>
        <v/>
      </c>
      <c r="K7">
        <f>IF('Ch4 EOT Results'!K13="","","Total: "&amp;'Ch4 EOT Results'!I13&amp;"/51 ("&amp;TEXT('Ch4 EOT Results'!J13,"0%")&amp;")   Overall: "&amp;'Ch4 EOT Results'!K13)</f>
        <v/>
      </c>
    </row>
    <row r="8">
      <c r="A8">
        <f>IF('Ch4 EOT Results'!K12="","",IF('Ch4 EOT Results'!K12="Green",Parameters!$C$259,IF('Ch4 EOT Results'!K12="Yellow",Parameters!$C$258,Parameters!$C$257)))</f>
        <v/>
      </c>
      <c r="K8">
        <f>IF('Ch4 EOT Results'!K13="","",IF('Ch4 EOT Results'!K13="Green",Parameters!$C$259,IF('Ch4 EOT Results'!K13="Yellow",Parameters!$C$258,Parameters!$C$257)))</f>
        <v/>
      </c>
    </row>
    <row r="10">
      <c r="A10">
        <f>IF('Ch4 EOT Results'!K12="","","Breakdown:")</f>
        <v/>
      </c>
      <c r="K10">
        <f>IF('Ch4 EOT Results'!K13="","","Breakdown:")</f>
        <v/>
      </c>
    </row>
    <row r="11">
      <c r="A11">
        <f>IF('Ch4 EOT Results'!K12="","","Q1 Identifying &amp; criticising an argument (cycling lanes): "&amp;'Ch4 EOT Results'!C12&amp;"/9")</f>
        <v/>
      </c>
      <c r="K11">
        <f>IF('Ch4 EOT Results'!K13="","","Q1 Identifying &amp; criticising an argument (cycling lanes): "&amp;'Ch4 EOT Results'!C13&amp;"/9")</f>
        <v/>
      </c>
    </row>
    <row r="12">
      <c r="A12">
        <f>IF('Ch4 EOT Results'!K12="","","Q2 Evaluating a claim using two sources: "&amp;'Ch4 EOT Results'!D12&amp;"/10")</f>
        <v/>
      </c>
      <c r="K12">
        <f>IF('Ch4 EOT Results'!K13="","","Q2 Evaluating a claim using two sources: "&amp;'Ch4 EOT Results'!D13&amp;"/10")</f>
        <v/>
      </c>
    </row>
    <row r="13">
      <c r="A13">
        <f>IF('Ch4 EOT Results'!K12="","","Q3 Short-term headline vs long-term trend: "&amp;'Ch4 EOT Results'!E12&amp;"/9")</f>
        <v/>
      </c>
      <c r="K13">
        <f>IF('Ch4 EOT Results'!K13="","","Q3 Short-term headline vs long-term trend: "&amp;'Ch4 EOT Results'!E13&amp;"/9")</f>
        <v/>
      </c>
    </row>
    <row r="14">
      <c r="A14">
        <f>IF('Ch4 EOT Results'!K12="","","Q4 Sampling method, bias &amp; a better alternative: "&amp;'Ch4 EOT Results'!F12&amp;"/8")</f>
        <v/>
      </c>
      <c r="K14">
        <f>IF('Ch4 EOT Results'!K13="","","Q4 Sampling method, bias &amp; a better alternative: "&amp;'Ch4 EOT Results'!F13&amp;"/8")</f>
        <v/>
      </c>
    </row>
    <row r="15">
      <c r="A15">
        <f>IF('Ch4 EOT Results'!K12="","","Q5 Correlation vs causation (social media &amp; anxiety): "&amp;'Ch4 EOT Results'!G12&amp;"/7")</f>
        <v/>
      </c>
      <c r="K15">
        <f>IF('Ch4 EOT Results'!K13="","","Q5 Correlation vs causation (social media &amp; anxiety): "&amp;'Ch4 EOT Results'!G13&amp;"/7")</f>
        <v/>
      </c>
    </row>
    <row r="16">
      <c r="A16">
        <f>IF('Ch4 EOT Results'!K12="","","Q6 Reasoning flaws in a marketing claim: "&amp;'Ch4 EOT Results'!H12&amp;"/8")</f>
        <v/>
      </c>
      <c r="K16">
        <f>IF('Ch4 EOT Results'!K13="","","Q6 Reasoning flaws in a marketing claim: "&amp;'Ch4 EOT Results'!H13&amp;"/8")</f>
        <v/>
      </c>
    </row>
    <row r="17">
      <c r="A17">
        <f>IF(OR('Ch4 EOT Results'!K12="",'Ch4 EOT Results'!L12=""),"",'Ch4 EOT Results'!L12)</f>
        <v/>
      </c>
      <c r="K17">
        <f>IF(OR('Ch4 EOT Results'!K13="",'Ch4 EOT Results'!L13=""),"",'Ch4 EOT Results'!L13)</f>
        <v/>
      </c>
    </row>
    <row r="19">
      <c r="A19">
        <f>IF('Ch4 EOT Results'!K12="","","Comments:")</f>
        <v/>
      </c>
      <c r="K19">
        <f>IF('Ch4 EOT Results'!K13="","","Comments:")</f>
        <v/>
      </c>
    </row>
    <row r="21">
      <c r="A21">
        <f>IF('Ch4 EOT Results'!K14="","","Chapter 4 End of Topic Test — Critical Analysis of Data &amp; Models")</f>
        <v/>
      </c>
      <c r="K21">
        <f>IF('Ch4 EOT Results'!K15="","","Chapter 4 End of Topic Test — Critical Analysis of Data &amp; Models")</f>
        <v/>
      </c>
    </row>
    <row r="22">
      <c r="A22">
        <f>IF('Ch4 EOT Results'!K14="","","Name: "&amp;'Ch4 EOT Results'!B14&amp;"   Class: "&amp;'Ch4 EOT Results'!$B$3&amp;"   Date: "&amp;TEXT('Ch4 EOT Results'!$B$5,"DD/MM/YY"))</f>
        <v/>
      </c>
      <c r="K22">
        <f>IF('Ch4 EOT Results'!K15="","","Name: "&amp;'Ch4 EOT Results'!B15&amp;"   Class: "&amp;'Ch4 EOT Results'!$B$3&amp;"   Date: "&amp;TEXT('Ch4 EOT Results'!$B$5,"DD/MM/YY"))</f>
        <v/>
      </c>
    </row>
    <row r="23">
      <c r="A23">
        <f>IF('Ch4 EOT Results'!K14="","","Total: "&amp;'Ch4 EOT Results'!I14&amp;"/51 ("&amp;TEXT('Ch4 EOT Results'!J14,"0%")&amp;")   Overall: "&amp;'Ch4 EOT Results'!K14)</f>
        <v/>
      </c>
      <c r="K23">
        <f>IF('Ch4 EOT Results'!K15="","","Total: "&amp;'Ch4 EOT Results'!I15&amp;"/51 ("&amp;TEXT('Ch4 EOT Results'!J15,"0%")&amp;")   Overall: "&amp;'Ch4 EOT Results'!K15)</f>
        <v/>
      </c>
    </row>
    <row r="24">
      <c r="A24">
        <f>IF('Ch4 EOT Results'!K14="","",IF('Ch4 EOT Results'!K14="Green",Parameters!$C$259,IF('Ch4 EOT Results'!K14="Yellow",Parameters!$C$258,Parameters!$C$257)))</f>
        <v/>
      </c>
      <c r="K24">
        <f>IF('Ch4 EOT Results'!K15="","",IF('Ch4 EOT Results'!K15="Green",Parameters!$C$259,IF('Ch4 EOT Results'!K15="Yellow",Parameters!$C$258,Parameters!$C$257)))</f>
        <v/>
      </c>
    </row>
    <row r="26">
      <c r="A26">
        <f>IF('Ch4 EOT Results'!K14="","","Breakdown:")</f>
        <v/>
      </c>
      <c r="K26">
        <f>IF('Ch4 EOT Results'!K15="","","Breakdown:")</f>
        <v/>
      </c>
    </row>
    <row r="27">
      <c r="A27">
        <f>IF('Ch4 EOT Results'!K14="","","Q1 Identifying &amp; criticising an argument (cycling lanes): "&amp;'Ch4 EOT Results'!C14&amp;"/9")</f>
        <v/>
      </c>
      <c r="K27">
        <f>IF('Ch4 EOT Results'!K15="","","Q1 Identifying &amp; criticising an argument (cycling lanes): "&amp;'Ch4 EOT Results'!C15&amp;"/9")</f>
        <v/>
      </c>
    </row>
    <row r="28">
      <c r="A28">
        <f>IF('Ch4 EOT Results'!K14="","","Q2 Evaluating a claim using two sources: "&amp;'Ch4 EOT Results'!D14&amp;"/10")</f>
        <v/>
      </c>
      <c r="K28">
        <f>IF('Ch4 EOT Results'!K15="","","Q2 Evaluating a claim using two sources: "&amp;'Ch4 EOT Results'!D15&amp;"/10")</f>
        <v/>
      </c>
    </row>
    <row r="29">
      <c r="A29">
        <f>IF('Ch4 EOT Results'!K14="","","Q3 Short-term headline vs long-term trend: "&amp;'Ch4 EOT Results'!E14&amp;"/9")</f>
        <v/>
      </c>
      <c r="K29">
        <f>IF('Ch4 EOT Results'!K15="","","Q3 Short-term headline vs long-term trend: "&amp;'Ch4 EOT Results'!E15&amp;"/9")</f>
        <v/>
      </c>
    </row>
    <row r="30">
      <c r="A30">
        <f>IF('Ch4 EOT Results'!K14="","","Q4 Sampling method, bias &amp; a better alternative: "&amp;'Ch4 EOT Results'!F14&amp;"/8")</f>
        <v/>
      </c>
      <c r="K30">
        <f>IF('Ch4 EOT Results'!K15="","","Q4 Sampling method, bias &amp; a better alternative: "&amp;'Ch4 EOT Results'!F15&amp;"/8")</f>
        <v/>
      </c>
    </row>
    <row r="31">
      <c r="A31">
        <f>IF('Ch4 EOT Results'!K14="","","Q5 Correlation vs causation (social media &amp; anxiety): "&amp;'Ch4 EOT Results'!G14&amp;"/7")</f>
        <v/>
      </c>
      <c r="K31">
        <f>IF('Ch4 EOT Results'!K15="","","Q5 Correlation vs causation (social media &amp; anxiety): "&amp;'Ch4 EOT Results'!G15&amp;"/7")</f>
        <v/>
      </c>
    </row>
    <row r="32">
      <c r="A32">
        <f>IF('Ch4 EOT Results'!K14="","","Q6 Reasoning flaws in a marketing claim: "&amp;'Ch4 EOT Results'!H14&amp;"/8")</f>
        <v/>
      </c>
      <c r="K32">
        <f>IF('Ch4 EOT Results'!K15="","","Q6 Reasoning flaws in a marketing claim: "&amp;'Ch4 EOT Results'!H15&amp;"/8")</f>
        <v/>
      </c>
    </row>
    <row r="33">
      <c r="A33">
        <f>IF(OR('Ch4 EOT Results'!K14="",'Ch4 EOT Results'!L14=""),"",'Ch4 EOT Results'!L14)</f>
        <v/>
      </c>
      <c r="K33">
        <f>IF(OR('Ch4 EOT Results'!K15="",'Ch4 EOT Results'!L15=""),"",'Ch4 EOT Results'!L15)</f>
        <v/>
      </c>
    </row>
    <row r="35">
      <c r="A35">
        <f>IF('Ch4 EOT Results'!K14="","","Comments:")</f>
        <v/>
      </c>
      <c r="K35">
        <f>IF('Ch4 EOT Results'!K15="","","Comments:")</f>
        <v/>
      </c>
    </row>
    <row r="37">
      <c r="A37">
        <f>IF('Ch4 EOT Results'!K16="","","Chapter 4 End of Topic Test — Critical Analysis of Data &amp; Models")</f>
        <v/>
      </c>
      <c r="K37">
        <f>IF('Ch4 EOT Results'!K17="","","Chapter 4 End of Topic Test — Critical Analysis of Data &amp; Models")</f>
        <v/>
      </c>
    </row>
    <row r="38">
      <c r="A38">
        <f>IF('Ch4 EOT Results'!K16="","","Name: "&amp;'Ch4 EOT Results'!B16&amp;"   Class: "&amp;'Ch4 EOT Results'!$B$3&amp;"   Date: "&amp;TEXT('Ch4 EOT Results'!$B$5,"DD/MM/YY"))</f>
        <v/>
      </c>
      <c r="K38">
        <f>IF('Ch4 EOT Results'!K17="","","Name: "&amp;'Ch4 EOT Results'!B17&amp;"   Class: "&amp;'Ch4 EOT Results'!$B$3&amp;"   Date: "&amp;TEXT('Ch4 EOT Results'!$B$5,"DD/MM/YY"))</f>
        <v/>
      </c>
    </row>
    <row r="39">
      <c r="A39">
        <f>IF('Ch4 EOT Results'!K16="","","Total: "&amp;'Ch4 EOT Results'!I16&amp;"/51 ("&amp;TEXT('Ch4 EOT Results'!J16,"0%")&amp;")   Overall: "&amp;'Ch4 EOT Results'!K16)</f>
        <v/>
      </c>
      <c r="K39">
        <f>IF('Ch4 EOT Results'!K17="","","Total: "&amp;'Ch4 EOT Results'!I17&amp;"/51 ("&amp;TEXT('Ch4 EOT Results'!J17,"0%")&amp;")   Overall: "&amp;'Ch4 EOT Results'!K17)</f>
        <v/>
      </c>
    </row>
    <row r="40">
      <c r="A40">
        <f>IF('Ch4 EOT Results'!K16="","",IF('Ch4 EOT Results'!K16="Green",Parameters!$C$259,IF('Ch4 EOT Results'!K16="Yellow",Parameters!$C$258,Parameters!$C$257)))</f>
        <v/>
      </c>
      <c r="K40">
        <f>IF('Ch4 EOT Results'!K17="","",IF('Ch4 EOT Results'!K17="Green",Parameters!$C$259,IF('Ch4 EOT Results'!K17="Yellow",Parameters!$C$258,Parameters!$C$257)))</f>
        <v/>
      </c>
    </row>
    <row r="42">
      <c r="A42">
        <f>IF('Ch4 EOT Results'!K16="","","Breakdown:")</f>
        <v/>
      </c>
      <c r="K42">
        <f>IF('Ch4 EOT Results'!K17="","","Breakdown:")</f>
        <v/>
      </c>
    </row>
    <row r="43">
      <c r="A43">
        <f>IF('Ch4 EOT Results'!K16="","","Q1 Identifying &amp; criticising an argument (cycling lanes): "&amp;'Ch4 EOT Results'!C16&amp;"/9")</f>
        <v/>
      </c>
      <c r="K43">
        <f>IF('Ch4 EOT Results'!K17="","","Q1 Identifying &amp; criticising an argument (cycling lanes): "&amp;'Ch4 EOT Results'!C17&amp;"/9")</f>
        <v/>
      </c>
    </row>
    <row r="44">
      <c r="A44">
        <f>IF('Ch4 EOT Results'!K16="","","Q2 Evaluating a claim using two sources: "&amp;'Ch4 EOT Results'!D16&amp;"/10")</f>
        <v/>
      </c>
      <c r="K44">
        <f>IF('Ch4 EOT Results'!K17="","","Q2 Evaluating a claim using two sources: "&amp;'Ch4 EOT Results'!D17&amp;"/10")</f>
        <v/>
      </c>
    </row>
    <row r="45">
      <c r="A45">
        <f>IF('Ch4 EOT Results'!K16="","","Q3 Short-term headline vs long-term trend: "&amp;'Ch4 EOT Results'!E16&amp;"/9")</f>
        <v/>
      </c>
      <c r="K45">
        <f>IF('Ch4 EOT Results'!K17="","","Q3 Short-term headline vs long-term trend: "&amp;'Ch4 EOT Results'!E17&amp;"/9")</f>
        <v/>
      </c>
    </row>
    <row r="46">
      <c r="A46">
        <f>IF('Ch4 EOT Results'!K16="","","Q4 Sampling method, bias &amp; a better alternative: "&amp;'Ch4 EOT Results'!F16&amp;"/8")</f>
        <v/>
      </c>
      <c r="K46">
        <f>IF('Ch4 EOT Results'!K17="","","Q4 Sampling method, bias &amp; a better alternative: "&amp;'Ch4 EOT Results'!F17&amp;"/8")</f>
        <v/>
      </c>
    </row>
    <row r="47">
      <c r="A47">
        <f>IF('Ch4 EOT Results'!K16="","","Q5 Correlation vs causation (social media &amp; anxiety): "&amp;'Ch4 EOT Results'!G16&amp;"/7")</f>
        <v/>
      </c>
      <c r="K47">
        <f>IF('Ch4 EOT Results'!K17="","","Q5 Correlation vs causation (social media &amp; anxiety): "&amp;'Ch4 EOT Results'!G17&amp;"/7")</f>
        <v/>
      </c>
    </row>
    <row r="48">
      <c r="A48">
        <f>IF('Ch4 EOT Results'!K16="","","Q6 Reasoning flaws in a marketing claim: "&amp;'Ch4 EOT Results'!H16&amp;"/8")</f>
        <v/>
      </c>
      <c r="K48">
        <f>IF('Ch4 EOT Results'!K17="","","Q6 Reasoning flaws in a marketing claim: "&amp;'Ch4 EOT Results'!H17&amp;"/8")</f>
        <v/>
      </c>
    </row>
    <row r="49">
      <c r="A49">
        <f>IF(OR('Ch4 EOT Results'!K16="",'Ch4 EOT Results'!L16=""),"",'Ch4 EOT Results'!L16)</f>
        <v/>
      </c>
      <c r="K49">
        <f>IF(OR('Ch4 EOT Results'!K17="",'Ch4 EOT Results'!L17=""),"",'Ch4 EOT Results'!L17)</f>
        <v/>
      </c>
    </row>
    <row r="51">
      <c r="A51">
        <f>IF('Ch4 EOT Results'!K16="","","Comments:")</f>
        <v/>
      </c>
      <c r="K51">
        <f>IF('Ch4 EOT Results'!K17="","","Comments:")</f>
        <v/>
      </c>
    </row>
    <row r="53">
      <c r="A53">
        <f>IF('Ch4 EOT Results'!K18="","","Chapter 4 End of Topic Test — Critical Analysis of Data &amp; Models")</f>
        <v/>
      </c>
      <c r="K53">
        <f>IF('Ch4 EOT Results'!K19="","","Chapter 4 End of Topic Test — Critical Analysis of Data &amp; Models")</f>
        <v/>
      </c>
    </row>
    <row r="54">
      <c r="A54">
        <f>IF('Ch4 EOT Results'!K18="","","Name: "&amp;'Ch4 EOT Results'!B18&amp;"   Class: "&amp;'Ch4 EOT Results'!$B$3&amp;"   Date: "&amp;TEXT('Ch4 EOT Results'!$B$5,"DD/MM/YY"))</f>
        <v/>
      </c>
      <c r="K54">
        <f>IF('Ch4 EOT Results'!K19="","","Name: "&amp;'Ch4 EOT Results'!B19&amp;"   Class: "&amp;'Ch4 EOT Results'!$B$3&amp;"   Date: "&amp;TEXT('Ch4 EOT Results'!$B$5,"DD/MM/YY"))</f>
        <v/>
      </c>
    </row>
    <row r="55">
      <c r="A55">
        <f>IF('Ch4 EOT Results'!K18="","","Total: "&amp;'Ch4 EOT Results'!I18&amp;"/51 ("&amp;TEXT('Ch4 EOT Results'!J18,"0%")&amp;")   Overall: "&amp;'Ch4 EOT Results'!K18)</f>
        <v/>
      </c>
      <c r="K55">
        <f>IF('Ch4 EOT Results'!K19="","","Total: "&amp;'Ch4 EOT Results'!I19&amp;"/51 ("&amp;TEXT('Ch4 EOT Results'!J19,"0%")&amp;")   Overall: "&amp;'Ch4 EOT Results'!K19)</f>
        <v/>
      </c>
    </row>
    <row r="56">
      <c r="A56">
        <f>IF('Ch4 EOT Results'!K18="","",IF('Ch4 EOT Results'!K18="Green",Parameters!$C$259,IF('Ch4 EOT Results'!K18="Yellow",Parameters!$C$258,Parameters!$C$257)))</f>
        <v/>
      </c>
      <c r="K56">
        <f>IF('Ch4 EOT Results'!K19="","",IF('Ch4 EOT Results'!K19="Green",Parameters!$C$259,IF('Ch4 EOT Results'!K19="Yellow",Parameters!$C$258,Parameters!$C$257)))</f>
        <v/>
      </c>
    </row>
    <row r="58">
      <c r="A58">
        <f>IF('Ch4 EOT Results'!K18="","","Breakdown:")</f>
        <v/>
      </c>
      <c r="K58">
        <f>IF('Ch4 EOT Results'!K19="","","Breakdown:")</f>
        <v/>
      </c>
    </row>
    <row r="59">
      <c r="A59">
        <f>IF('Ch4 EOT Results'!K18="","","Q1 Identifying &amp; criticising an argument (cycling lanes): "&amp;'Ch4 EOT Results'!C18&amp;"/9")</f>
        <v/>
      </c>
      <c r="K59">
        <f>IF('Ch4 EOT Results'!K19="","","Q1 Identifying &amp; criticising an argument (cycling lanes): "&amp;'Ch4 EOT Results'!C19&amp;"/9")</f>
        <v/>
      </c>
    </row>
    <row r="60">
      <c r="A60">
        <f>IF('Ch4 EOT Results'!K18="","","Q2 Evaluating a claim using two sources: "&amp;'Ch4 EOT Results'!D18&amp;"/10")</f>
        <v/>
      </c>
      <c r="K60">
        <f>IF('Ch4 EOT Results'!K19="","","Q2 Evaluating a claim using two sources: "&amp;'Ch4 EOT Results'!D19&amp;"/10")</f>
        <v/>
      </c>
    </row>
    <row r="61">
      <c r="A61">
        <f>IF('Ch4 EOT Results'!K18="","","Q3 Short-term headline vs long-term trend: "&amp;'Ch4 EOT Results'!E18&amp;"/9")</f>
        <v/>
      </c>
      <c r="K61">
        <f>IF('Ch4 EOT Results'!K19="","","Q3 Short-term headline vs long-term trend: "&amp;'Ch4 EOT Results'!E19&amp;"/9")</f>
        <v/>
      </c>
    </row>
    <row r="62">
      <c r="A62">
        <f>IF('Ch4 EOT Results'!K18="","","Q4 Sampling method, bias &amp; a better alternative: "&amp;'Ch4 EOT Results'!F18&amp;"/8")</f>
        <v/>
      </c>
      <c r="K62">
        <f>IF('Ch4 EOT Results'!K19="","","Q4 Sampling method, bias &amp; a better alternative: "&amp;'Ch4 EOT Results'!F19&amp;"/8")</f>
        <v/>
      </c>
    </row>
    <row r="63">
      <c r="A63">
        <f>IF('Ch4 EOT Results'!K18="","","Q5 Correlation vs causation (social media &amp; anxiety): "&amp;'Ch4 EOT Results'!G18&amp;"/7")</f>
        <v/>
      </c>
      <c r="K63">
        <f>IF('Ch4 EOT Results'!K19="","","Q5 Correlation vs causation (social media &amp; anxiety): "&amp;'Ch4 EOT Results'!G19&amp;"/7")</f>
        <v/>
      </c>
    </row>
    <row r="64">
      <c r="A64">
        <f>IF('Ch4 EOT Results'!K18="","","Q6 Reasoning flaws in a marketing claim: "&amp;'Ch4 EOT Results'!H18&amp;"/8")</f>
        <v/>
      </c>
      <c r="K64">
        <f>IF('Ch4 EOT Results'!K19="","","Q6 Reasoning flaws in a marketing claim: "&amp;'Ch4 EOT Results'!H19&amp;"/8")</f>
        <v/>
      </c>
    </row>
    <row r="65">
      <c r="A65">
        <f>IF(OR('Ch4 EOT Results'!K18="",'Ch4 EOT Results'!L18=""),"",'Ch4 EOT Results'!L18)</f>
        <v/>
      </c>
      <c r="K65">
        <f>IF(OR('Ch4 EOT Results'!K19="",'Ch4 EOT Results'!L19=""),"",'Ch4 EOT Results'!L19)</f>
        <v/>
      </c>
    </row>
    <row r="67">
      <c r="A67">
        <f>IF('Ch4 EOT Results'!K18="","","Comments:")</f>
        <v/>
      </c>
      <c r="K67">
        <f>IF('Ch4 EOT Results'!K19="","","Comments:")</f>
        <v/>
      </c>
    </row>
    <row r="69">
      <c r="A69">
        <f>IF('Ch4 EOT Results'!K20="","","Chapter 4 End of Topic Test — Critical Analysis of Data &amp; Models")</f>
        <v/>
      </c>
      <c r="K69">
        <f>IF('Ch4 EOT Results'!K21="","","Chapter 4 End of Topic Test — Critical Analysis of Data &amp; Models")</f>
        <v/>
      </c>
    </row>
    <row r="70">
      <c r="A70">
        <f>IF('Ch4 EOT Results'!K20="","","Name: "&amp;'Ch4 EOT Results'!B20&amp;"   Class: "&amp;'Ch4 EOT Results'!$B$3&amp;"   Date: "&amp;TEXT('Ch4 EOT Results'!$B$5,"DD/MM/YY"))</f>
        <v/>
      </c>
      <c r="K70">
        <f>IF('Ch4 EOT Results'!K21="","","Name: "&amp;'Ch4 EOT Results'!B21&amp;"   Class: "&amp;'Ch4 EOT Results'!$B$3&amp;"   Date: "&amp;TEXT('Ch4 EOT Results'!$B$5,"DD/MM/YY"))</f>
        <v/>
      </c>
    </row>
    <row r="71">
      <c r="A71">
        <f>IF('Ch4 EOT Results'!K20="","","Total: "&amp;'Ch4 EOT Results'!I20&amp;"/51 ("&amp;TEXT('Ch4 EOT Results'!J20,"0%")&amp;")   Overall: "&amp;'Ch4 EOT Results'!K20)</f>
        <v/>
      </c>
      <c r="K71">
        <f>IF('Ch4 EOT Results'!K21="","","Total: "&amp;'Ch4 EOT Results'!I21&amp;"/51 ("&amp;TEXT('Ch4 EOT Results'!J21,"0%")&amp;")   Overall: "&amp;'Ch4 EOT Results'!K21)</f>
        <v/>
      </c>
    </row>
    <row r="72">
      <c r="A72">
        <f>IF('Ch4 EOT Results'!K20="","",IF('Ch4 EOT Results'!K20="Green",Parameters!$C$259,IF('Ch4 EOT Results'!K20="Yellow",Parameters!$C$258,Parameters!$C$257)))</f>
        <v/>
      </c>
      <c r="K72">
        <f>IF('Ch4 EOT Results'!K21="","",IF('Ch4 EOT Results'!K21="Green",Parameters!$C$259,IF('Ch4 EOT Results'!K21="Yellow",Parameters!$C$258,Parameters!$C$257)))</f>
        <v/>
      </c>
    </row>
    <row r="74">
      <c r="A74">
        <f>IF('Ch4 EOT Results'!K20="","","Breakdown:")</f>
        <v/>
      </c>
      <c r="K74">
        <f>IF('Ch4 EOT Results'!K21="","","Breakdown:")</f>
        <v/>
      </c>
    </row>
    <row r="75">
      <c r="A75">
        <f>IF('Ch4 EOT Results'!K20="","","Q1 Identifying &amp; criticising an argument (cycling lanes): "&amp;'Ch4 EOT Results'!C20&amp;"/9")</f>
        <v/>
      </c>
      <c r="K75">
        <f>IF('Ch4 EOT Results'!K21="","","Q1 Identifying &amp; criticising an argument (cycling lanes): "&amp;'Ch4 EOT Results'!C21&amp;"/9")</f>
        <v/>
      </c>
    </row>
    <row r="76">
      <c r="A76">
        <f>IF('Ch4 EOT Results'!K20="","","Q2 Evaluating a claim using two sources: "&amp;'Ch4 EOT Results'!D20&amp;"/10")</f>
        <v/>
      </c>
      <c r="K76">
        <f>IF('Ch4 EOT Results'!K21="","","Q2 Evaluating a claim using two sources: "&amp;'Ch4 EOT Results'!D21&amp;"/10")</f>
        <v/>
      </c>
    </row>
    <row r="77">
      <c r="A77">
        <f>IF('Ch4 EOT Results'!K20="","","Q3 Short-term headline vs long-term trend: "&amp;'Ch4 EOT Results'!E20&amp;"/9")</f>
        <v/>
      </c>
      <c r="K77">
        <f>IF('Ch4 EOT Results'!K21="","","Q3 Short-term headline vs long-term trend: "&amp;'Ch4 EOT Results'!E21&amp;"/9")</f>
        <v/>
      </c>
    </row>
    <row r="78">
      <c r="A78">
        <f>IF('Ch4 EOT Results'!K20="","","Q4 Sampling method, bias &amp; a better alternative: "&amp;'Ch4 EOT Results'!F20&amp;"/8")</f>
        <v/>
      </c>
      <c r="K78">
        <f>IF('Ch4 EOT Results'!K21="","","Q4 Sampling method, bias &amp; a better alternative: "&amp;'Ch4 EOT Results'!F21&amp;"/8")</f>
        <v/>
      </c>
    </row>
    <row r="79">
      <c r="A79">
        <f>IF('Ch4 EOT Results'!K20="","","Q5 Correlation vs causation (social media &amp; anxiety): "&amp;'Ch4 EOT Results'!G20&amp;"/7")</f>
        <v/>
      </c>
      <c r="K79">
        <f>IF('Ch4 EOT Results'!K21="","","Q5 Correlation vs causation (social media &amp; anxiety): "&amp;'Ch4 EOT Results'!G21&amp;"/7")</f>
        <v/>
      </c>
    </row>
    <row r="80">
      <c r="A80">
        <f>IF('Ch4 EOT Results'!K20="","","Q6 Reasoning flaws in a marketing claim: "&amp;'Ch4 EOT Results'!H20&amp;"/8")</f>
        <v/>
      </c>
      <c r="K80">
        <f>IF('Ch4 EOT Results'!K21="","","Q6 Reasoning flaws in a marketing claim: "&amp;'Ch4 EOT Results'!H21&amp;"/8")</f>
        <v/>
      </c>
    </row>
    <row r="81">
      <c r="A81">
        <f>IF(OR('Ch4 EOT Results'!K20="",'Ch4 EOT Results'!L20=""),"",'Ch4 EOT Results'!L20)</f>
        <v/>
      </c>
      <c r="K81">
        <f>IF(OR('Ch4 EOT Results'!K21="",'Ch4 EOT Results'!L21=""),"",'Ch4 EOT Results'!L21)</f>
        <v/>
      </c>
    </row>
    <row r="83">
      <c r="A83">
        <f>IF('Ch4 EOT Results'!K20="","","Comments:")</f>
        <v/>
      </c>
      <c r="K83">
        <f>IF('Ch4 EOT Results'!K21="","","Comments:")</f>
        <v/>
      </c>
    </row>
    <row r="85">
      <c r="A85">
        <f>IF('Ch4 EOT Results'!K22="","","Chapter 4 End of Topic Test — Critical Analysis of Data &amp; Models")</f>
        <v/>
      </c>
      <c r="K85">
        <f>IF('Ch4 EOT Results'!K23="","","Chapter 4 End of Topic Test — Critical Analysis of Data &amp; Models")</f>
        <v/>
      </c>
    </row>
    <row r="86">
      <c r="A86">
        <f>IF('Ch4 EOT Results'!K22="","","Name: "&amp;'Ch4 EOT Results'!B22&amp;"   Class: "&amp;'Ch4 EOT Results'!$B$3&amp;"   Date: "&amp;TEXT('Ch4 EOT Results'!$B$5,"DD/MM/YY"))</f>
        <v/>
      </c>
      <c r="K86">
        <f>IF('Ch4 EOT Results'!K23="","","Name: "&amp;'Ch4 EOT Results'!B23&amp;"   Class: "&amp;'Ch4 EOT Results'!$B$3&amp;"   Date: "&amp;TEXT('Ch4 EOT Results'!$B$5,"DD/MM/YY"))</f>
        <v/>
      </c>
    </row>
    <row r="87">
      <c r="A87">
        <f>IF('Ch4 EOT Results'!K22="","","Total: "&amp;'Ch4 EOT Results'!I22&amp;"/51 ("&amp;TEXT('Ch4 EOT Results'!J22,"0%")&amp;")   Overall: "&amp;'Ch4 EOT Results'!K22)</f>
        <v/>
      </c>
      <c r="K87">
        <f>IF('Ch4 EOT Results'!K23="","","Total: "&amp;'Ch4 EOT Results'!I23&amp;"/51 ("&amp;TEXT('Ch4 EOT Results'!J23,"0%")&amp;")   Overall: "&amp;'Ch4 EOT Results'!K23)</f>
        <v/>
      </c>
    </row>
    <row r="88">
      <c r="A88">
        <f>IF('Ch4 EOT Results'!K22="","",IF('Ch4 EOT Results'!K22="Green",Parameters!$C$259,IF('Ch4 EOT Results'!K22="Yellow",Parameters!$C$258,Parameters!$C$257)))</f>
        <v/>
      </c>
      <c r="K88">
        <f>IF('Ch4 EOT Results'!K23="","",IF('Ch4 EOT Results'!K23="Green",Parameters!$C$259,IF('Ch4 EOT Results'!K23="Yellow",Parameters!$C$258,Parameters!$C$257)))</f>
        <v/>
      </c>
    </row>
    <row r="90">
      <c r="A90">
        <f>IF('Ch4 EOT Results'!K22="","","Breakdown:")</f>
        <v/>
      </c>
      <c r="K90">
        <f>IF('Ch4 EOT Results'!K23="","","Breakdown:")</f>
        <v/>
      </c>
    </row>
    <row r="91">
      <c r="A91">
        <f>IF('Ch4 EOT Results'!K22="","","Q1 Identifying &amp; criticising an argument (cycling lanes): "&amp;'Ch4 EOT Results'!C22&amp;"/9")</f>
        <v/>
      </c>
      <c r="K91">
        <f>IF('Ch4 EOT Results'!K23="","","Q1 Identifying &amp; criticising an argument (cycling lanes): "&amp;'Ch4 EOT Results'!C23&amp;"/9")</f>
        <v/>
      </c>
    </row>
    <row r="92">
      <c r="A92">
        <f>IF('Ch4 EOT Results'!K22="","","Q2 Evaluating a claim using two sources: "&amp;'Ch4 EOT Results'!D22&amp;"/10")</f>
        <v/>
      </c>
      <c r="K92">
        <f>IF('Ch4 EOT Results'!K23="","","Q2 Evaluating a claim using two sources: "&amp;'Ch4 EOT Results'!D23&amp;"/10")</f>
        <v/>
      </c>
    </row>
    <row r="93">
      <c r="A93">
        <f>IF('Ch4 EOT Results'!K22="","","Q3 Short-term headline vs long-term trend: "&amp;'Ch4 EOT Results'!E22&amp;"/9")</f>
        <v/>
      </c>
      <c r="K93">
        <f>IF('Ch4 EOT Results'!K23="","","Q3 Short-term headline vs long-term trend: "&amp;'Ch4 EOT Results'!E23&amp;"/9")</f>
        <v/>
      </c>
    </row>
    <row r="94">
      <c r="A94">
        <f>IF('Ch4 EOT Results'!K22="","","Q4 Sampling method, bias &amp; a better alternative: "&amp;'Ch4 EOT Results'!F22&amp;"/8")</f>
        <v/>
      </c>
      <c r="K94">
        <f>IF('Ch4 EOT Results'!K23="","","Q4 Sampling method, bias &amp; a better alternative: "&amp;'Ch4 EOT Results'!F23&amp;"/8")</f>
        <v/>
      </c>
    </row>
    <row r="95">
      <c r="A95">
        <f>IF('Ch4 EOT Results'!K22="","","Q5 Correlation vs causation (social media &amp; anxiety): "&amp;'Ch4 EOT Results'!G22&amp;"/7")</f>
        <v/>
      </c>
      <c r="K95">
        <f>IF('Ch4 EOT Results'!K23="","","Q5 Correlation vs causation (social media &amp; anxiety): "&amp;'Ch4 EOT Results'!G23&amp;"/7")</f>
        <v/>
      </c>
    </row>
    <row r="96">
      <c r="A96">
        <f>IF('Ch4 EOT Results'!K22="","","Q6 Reasoning flaws in a marketing claim: "&amp;'Ch4 EOT Results'!H22&amp;"/8")</f>
        <v/>
      </c>
      <c r="K96">
        <f>IF('Ch4 EOT Results'!K23="","","Q6 Reasoning flaws in a marketing claim: "&amp;'Ch4 EOT Results'!H23&amp;"/8")</f>
        <v/>
      </c>
    </row>
    <row r="97">
      <c r="A97">
        <f>IF(OR('Ch4 EOT Results'!K22="",'Ch4 EOT Results'!L22=""),"",'Ch4 EOT Results'!L22)</f>
        <v/>
      </c>
      <c r="K97">
        <f>IF(OR('Ch4 EOT Results'!K23="",'Ch4 EOT Results'!L23=""),"",'Ch4 EOT Results'!L23)</f>
        <v/>
      </c>
    </row>
    <row r="99">
      <c r="A99">
        <f>IF('Ch4 EOT Results'!K22="","","Comments:")</f>
        <v/>
      </c>
      <c r="K99">
        <f>IF('Ch4 EOT Results'!K23="","","Comments:")</f>
        <v/>
      </c>
    </row>
    <row r="101">
      <c r="A101">
        <f>IF('Ch4 EOT Results'!K24="","","Chapter 4 End of Topic Test — Critical Analysis of Data &amp; Models")</f>
        <v/>
      </c>
      <c r="K101">
        <f>IF('Ch4 EOT Results'!K25="","","Chapter 4 End of Topic Test — Critical Analysis of Data &amp; Models")</f>
        <v/>
      </c>
    </row>
    <row r="102">
      <c r="A102">
        <f>IF('Ch4 EOT Results'!K24="","","Name: "&amp;'Ch4 EOT Results'!B24&amp;"   Class: "&amp;'Ch4 EOT Results'!$B$3&amp;"   Date: "&amp;TEXT('Ch4 EOT Results'!$B$5,"DD/MM/YY"))</f>
        <v/>
      </c>
      <c r="K102">
        <f>IF('Ch4 EOT Results'!K25="","","Name: "&amp;'Ch4 EOT Results'!B25&amp;"   Class: "&amp;'Ch4 EOT Results'!$B$3&amp;"   Date: "&amp;TEXT('Ch4 EOT Results'!$B$5,"DD/MM/YY"))</f>
        <v/>
      </c>
    </row>
    <row r="103">
      <c r="A103">
        <f>IF('Ch4 EOT Results'!K24="","","Total: "&amp;'Ch4 EOT Results'!I24&amp;"/51 ("&amp;TEXT('Ch4 EOT Results'!J24,"0%")&amp;")   Overall: "&amp;'Ch4 EOT Results'!K24)</f>
        <v/>
      </c>
      <c r="K103">
        <f>IF('Ch4 EOT Results'!K25="","","Total: "&amp;'Ch4 EOT Results'!I25&amp;"/51 ("&amp;TEXT('Ch4 EOT Results'!J25,"0%")&amp;")   Overall: "&amp;'Ch4 EOT Results'!K25)</f>
        <v/>
      </c>
    </row>
    <row r="104">
      <c r="A104">
        <f>IF('Ch4 EOT Results'!K24="","",IF('Ch4 EOT Results'!K24="Green",Parameters!$C$259,IF('Ch4 EOT Results'!K24="Yellow",Parameters!$C$258,Parameters!$C$257)))</f>
        <v/>
      </c>
      <c r="K104">
        <f>IF('Ch4 EOT Results'!K25="","",IF('Ch4 EOT Results'!K25="Green",Parameters!$C$259,IF('Ch4 EOT Results'!K25="Yellow",Parameters!$C$258,Parameters!$C$257)))</f>
        <v/>
      </c>
    </row>
    <row r="106">
      <c r="A106">
        <f>IF('Ch4 EOT Results'!K24="","","Breakdown:")</f>
        <v/>
      </c>
      <c r="K106">
        <f>IF('Ch4 EOT Results'!K25="","","Breakdown:")</f>
        <v/>
      </c>
    </row>
    <row r="107">
      <c r="A107">
        <f>IF('Ch4 EOT Results'!K24="","","Q1 Identifying &amp; criticising an argument (cycling lanes): "&amp;'Ch4 EOT Results'!C24&amp;"/9")</f>
        <v/>
      </c>
      <c r="K107">
        <f>IF('Ch4 EOT Results'!K25="","","Q1 Identifying &amp; criticising an argument (cycling lanes): "&amp;'Ch4 EOT Results'!C25&amp;"/9")</f>
        <v/>
      </c>
    </row>
    <row r="108">
      <c r="A108">
        <f>IF('Ch4 EOT Results'!K24="","","Q2 Evaluating a claim using two sources: "&amp;'Ch4 EOT Results'!D24&amp;"/10")</f>
        <v/>
      </c>
      <c r="K108">
        <f>IF('Ch4 EOT Results'!K25="","","Q2 Evaluating a claim using two sources: "&amp;'Ch4 EOT Results'!D25&amp;"/10")</f>
        <v/>
      </c>
    </row>
    <row r="109">
      <c r="A109">
        <f>IF('Ch4 EOT Results'!K24="","","Q3 Short-term headline vs long-term trend: "&amp;'Ch4 EOT Results'!E24&amp;"/9")</f>
        <v/>
      </c>
      <c r="K109">
        <f>IF('Ch4 EOT Results'!K25="","","Q3 Short-term headline vs long-term trend: "&amp;'Ch4 EOT Results'!E25&amp;"/9")</f>
        <v/>
      </c>
    </row>
    <row r="110">
      <c r="A110">
        <f>IF('Ch4 EOT Results'!K24="","","Q4 Sampling method, bias &amp; a better alternative: "&amp;'Ch4 EOT Results'!F24&amp;"/8")</f>
        <v/>
      </c>
      <c r="K110">
        <f>IF('Ch4 EOT Results'!K25="","","Q4 Sampling method, bias &amp; a better alternative: "&amp;'Ch4 EOT Results'!F25&amp;"/8")</f>
        <v/>
      </c>
    </row>
    <row r="111">
      <c r="A111">
        <f>IF('Ch4 EOT Results'!K24="","","Q5 Correlation vs causation (social media &amp; anxiety): "&amp;'Ch4 EOT Results'!G24&amp;"/7")</f>
        <v/>
      </c>
      <c r="K111">
        <f>IF('Ch4 EOT Results'!K25="","","Q5 Correlation vs causation (social media &amp; anxiety): "&amp;'Ch4 EOT Results'!G25&amp;"/7")</f>
        <v/>
      </c>
    </row>
    <row r="112">
      <c r="A112">
        <f>IF('Ch4 EOT Results'!K24="","","Q6 Reasoning flaws in a marketing claim: "&amp;'Ch4 EOT Results'!H24&amp;"/8")</f>
        <v/>
      </c>
      <c r="K112">
        <f>IF('Ch4 EOT Results'!K25="","","Q6 Reasoning flaws in a marketing claim: "&amp;'Ch4 EOT Results'!H25&amp;"/8")</f>
        <v/>
      </c>
    </row>
    <row r="113">
      <c r="A113">
        <f>IF(OR('Ch4 EOT Results'!K24="",'Ch4 EOT Results'!L24=""),"",'Ch4 EOT Results'!L24)</f>
        <v/>
      </c>
      <c r="K113">
        <f>IF(OR('Ch4 EOT Results'!K25="",'Ch4 EOT Results'!L25=""),"",'Ch4 EOT Results'!L25)</f>
        <v/>
      </c>
    </row>
    <row r="115">
      <c r="A115">
        <f>IF('Ch4 EOT Results'!K24="","","Comments:")</f>
        <v/>
      </c>
      <c r="K115">
        <f>IF('Ch4 EOT Results'!K25="","","Comments:")</f>
        <v/>
      </c>
    </row>
    <row r="117">
      <c r="A117">
        <f>IF('Ch4 EOT Results'!K26="","","Chapter 4 End of Topic Test — Critical Analysis of Data &amp; Models")</f>
        <v/>
      </c>
      <c r="K117">
        <f>IF('Ch4 EOT Results'!K27="","","Chapter 4 End of Topic Test — Critical Analysis of Data &amp; Models")</f>
        <v/>
      </c>
    </row>
    <row r="118">
      <c r="A118">
        <f>IF('Ch4 EOT Results'!K26="","","Name: "&amp;'Ch4 EOT Results'!B26&amp;"   Class: "&amp;'Ch4 EOT Results'!$B$3&amp;"   Date: "&amp;TEXT('Ch4 EOT Results'!$B$5,"DD/MM/YY"))</f>
        <v/>
      </c>
      <c r="K118">
        <f>IF('Ch4 EOT Results'!K27="","","Name: "&amp;'Ch4 EOT Results'!B27&amp;"   Class: "&amp;'Ch4 EOT Results'!$B$3&amp;"   Date: "&amp;TEXT('Ch4 EOT Results'!$B$5,"DD/MM/YY"))</f>
        <v/>
      </c>
    </row>
    <row r="119">
      <c r="A119">
        <f>IF('Ch4 EOT Results'!K26="","","Total: "&amp;'Ch4 EOT Results'!I26&amp;"/51 ("&amp;TEXT('Ch4 EOT Results'!J26,"0%")&amp;")   Overall: "&amp;'Ch4 EOT Results'!K26)</f>
        <v/>
      </c>
      <c r="K119">
        <f>IF('Ch4 EOT Results'!K27="","","Total: "&amp;'Ch4 EOT Results'!I27&amp;"/51 ("&amp;TEXT('Ch4 EOT Results'!J27,"0%")&amp;")   Overall: "&amp;'Ch4 EOT Results'!K27)</f>
        <v/>
      </c>
    </row>
    <row r="120">
      <c r="A120">
        <f>IF('Ch4 EOT Results'!K26="","",IF('Ch4 EOT Results'!K26="Green",Parameters!$C$259,IF('Ch4 EOT Results'!K26="Yellow",Parameters!$C$258,Parameters!$C$257)))</f>
        <v/>
      </c>
      <c r="K120">
        <f>IF('Ch4 EOT Results'!K27="","",IF('Ch4 EOT Results'!K27="Green",Parameters!$C$259,IF('Ch4 EOT Results'!K27="Yellow",Parameters!$C$258,Parameters!$C$257)))</f>
        <v/>
      </c>
    </row>
    <row r="122">
      <c r="A122">
        <f>IF('Ch4 EOT Results'!K26="","","Breakdown:")</f>
        <v/>
      </c>
      <c r="K122">
        <f>IF('Ch4 EOT Results'!K27="","","Breakdown:")</f>
        <v/>
      </c>
    </row>
    <row r="123">
      <c r="A123">
        <f>IF('Ch4 EOT Results'!K26="","","Q1 Identifying &amp; criticising an argument (cycling lanes): "&amp;'Ch4 EOT Results'!C26&amp;"/9")</f>
        <v/>
      </c>
      <c r="K123">
        <f>IF('Ch4 EOT Results'!K27="","","Q1 Identifying &amp; criticising an argument (cycling lanes): "&amp;'Ch4 EOT Results'!C27&amp;"/9")</f>
        <v/>
      </c>
    </row>
    <row r="124">
      <c r="A124">
        <f>IF('Ch4 EOT Results'!K26="","","Q2 Evaluating a claim using two sources: "&amp;'Ch4 EOT Results'!D26&amp;"/10")</f>
        <v/>
      </c>
      <c r="K124">
        <f>IF('Ch4 EOT Results'!K27="","","Q2 Evaluating a claim using two sources: "&amp;'Ch4 EOT Results'!D27&amp;"/10")</f>
        <v/>
      </c>
    </row>
    <row r="125">
      <c r="A125">
        <f>IF('Ch4 EOT Results'!K26="","","Q3 Short-term headline vs long-term trend: "&amp;'Ch4 EOT Results'!E26&amp;"/9")</f>
        <v/>
      </c>
      <c r="K125">
        <f>IF('Ch4 EOT Results'!K27="","","Q3 Short-term headline vs long-term trend: "&amp;'Ch4 EOT Results'!E27&amp;"/9")</f>
        <v/>
      </c>
    </row>
    <row r="126">
      <c r="A126">
        <f>IF('Ch4 EOT Results'!K26="","","Q4 Sampling method, bias &amp; a better alternative: "&amp;'Ch4 EOT Results'!F26&amp;"/8")</f>
        <v/>
      </c>
      <c r="K126">
        <f>IF('Ch4 EOT Results'!K27="","","Q4 Sampling method, bias &amp; a better alternative: "&amp;'Ch4 EOT Results'!F27&amp;"/8")</f>
        <v/>
      </c>
    </row>
    <row r="127">
      <c r="A127">
        <f>IF('Ch4 EOT Results'!K26="","","Q5 Correlation vs causation (social media &amp; anxiety): "&amp;'Ch4 EOT Results'!G26&amp;"/7")</f>
        <v/>
      </c>
      <c r="K127">
        <f>IF('Ch4 EOT Results'!K27="","","Q5 Correlation vs causation (social media &amp; anxiety): "&amp;'Ch4 EOT Results'!G27&amp;"/7")</f>
        <v/>
      </c>
    </row>
    <row r="128">
      <c r="A128">
        <f>IF('Ch4 EOT Results'!K26="","","Q6 Reasoning flaws in a marketing claim: "&amp;'Ch4 EOT Results'!H26&amp;"/8")</f>
        <v/>
      </c>
      <c r="K128">
        <f>IF('Ch4 EOT Results'!K27="","","Q6 Reasoning flaws in a marketing claim: "&amp;'Ch4 EOT Results'!H27&amp;"/8")</f>
        <v/>
      </c>
    </row>
    <row r="129">
      <c r="A129">
        <f>IF(OR('Ch4 EOT Results'!K26="",'Ch4 EOT Results'!L26=""),"",'Ch4 EOT Results'!L26)</f>
        <v/>
      </c>
      <c r="K129">
        <f>IF(OR('Ch4 EOT Results'!K27="",'Ch4 EOT Results'!L27=""),"",'Ch4 EOT Results'!L27)</f>
        <v/>
      </c>
    </row>
    <row r="131">
      <c r="A131">
        <f>IF('Ch4 EOT Results'!K26="","","Comments:")</f>
        <v/>
      </c>
      <c r="K131">
        <f>IF('Ch4 EOT Results'!K27="","","Comments:")</f>
        <v/>
      </c>
    </row>
    <row r="133">
      <c r="A133">
        <f>IF('Ch4 EOT Results'!K28="","","Chapter 4 End of Topic Test — Critical Analysis of Data &amp; Models")</f>
        <v/>
      </c>
      <c r="K133">
        <f>IF('Ch4 EOT Results'!K29="","","Chapter 4 End of Topic Test — Critical Analysis of Data &amp; Models")</f>
        <v/>
      </c>
    </row>
    <row r="134">
      <c r="A134">
        <f>IF('Ch4 EOT Results'!K28="","","Name: "&amp;'Ch4 EOT Results'!B28&amp;"   Class: "&amp;'Ch4 EOT Results'!$B$3&amp;"   Date: "&amp;TEXT('Ch4 EOT Results'!$B$5,"DD/MM/YY"))</f>
        <v/>
      </c>
      <c r="K134">
        <f>IF('Ch4 EOT Results'!K29="","","Name: "&amp;'Ch4 EOT Results'!B29&amp;"   Class: "&amp;'Ch4 EOT Results'!$B$3&amp;"   Date: "&amp;TEXT('Ch4 EOT Results'!$B$5,"DD/MM/YY"))</f>
        <v/>
      </c>
    </row>
    <row r="135">
      <c r="A135">
        <f>IF('Ch4 EOT Results'!K28="","","Total: "&amp;'Ch4 EOT Results'!I28&amp;"/51 ("&amp;TEXT('Ch4 EOT Results'!J28,"0%")&amp;")   Overall: "&amp;'Ch4 EOT Results'!K28)</f>
        <v/>
      </c>
      <c r="K135">
        <f>IF('Ch4 EOT Results'!K29="","","Total: "&amp;'Ch4 EOT Results'!I29&amp;"/51 ("&amp;TEXT('Ch4 EOT Results'!J29,"0%")&amp;")   Overall: "&amp;'Ch4 EOT Results'!K29)</f>
        <v/>
      </c>
    </row>
    <row r="136">
      <c r="A136">
        <f>IF('Ch4 EOT Results'!K28="","",IF('Ch4 EOT Results'!K28="Green",Parameters!$C$259,IF('Ch4 EOT Results'!K28="Yellow",Parameters!$C$258,Parameters!$C$257)))</f>
        <v/>
      </c>
      <c r="K136">
        <f>IF('Ch4 EOT Results'!K29="","",IF('Ch4 EOT Results'!K29="Green",Parameters!$C$259,IF('Ch4 EOT Results'!K29="Yellow",Parameters!$C$258,Parameters!$C$257)))</f>
        <v/>
      </c>
    </row>
    <row r="138">
      <c r="A138">
        <f>IF('Ch4 EOT Results'!K28="","","Breakdown:")</f>
        <v/>
      </c>
      <c r="K138">
        <f>IF('Ch4 EOT Results'!K29="","","Breakdown:")</f>
        <v/>
      </c>
    </row>
    <row r="139">
      <c r="A139">
        <f>IF('Ch4 EOT Results'!K28="","","Q1 Identifying &amp; criticising an argument (cycling lanes): "&amp;'Ch4 EOT Results'!C28&amp;"/9")</f>
        <v/>
      </c>
      <c r="K139">
        <f>IF('Ch4 EOT Results'!K29="","","Q1 Identifying &amp; criticising an argument (cycling lanes): "&amp;'Ch4 EOT Results'!C29&amp;"/9")</f>
        <v/>
      </c>
    </row>
    <row r="140">
      <c r="A140">
        <f>IF('Ch4 EOT Results'!K28="","","Q2 Evaluating a claim using two sources: "&amp;'Ch4 EOT Results'!D28&amp;"/10")</f>
        <v/>
      </c>
      <c r="K140">
        <f>IF('Ch4 EOT Results'!K29="","","Q2 Evaluating a claim using two sources: "&amp;'Ch4 EOT Results'!D29&amp;"/10")</f>
        <v/>
      </c>
    </row>
    <row r="141">
      <c r="A141">
        <f>IF('Ch4 EOT Results'!K28="","","Q3 Short-term headline vs long-term trend: "&amp;'Ch4 EOT Results'!E28&amp;"/9")</f>
        <v/>
      </c>
      <c r="K141">
        <f>IF('Ch4 EOT Results'!K29="","","Q3 Short-term headline vs long-term trend: "&amp;'Ch4 EOT Results'!E29&amp;"/9")</f>
        <v/>
      </c>
    </row>
    <row r="142">
      <c r="A142">
        <f>IF('Ch4 EOT Results'!K28="","","Q4 Sampling method, bias &amp; a better alternative: "&amp;'Ch4 EOT Results'!F28&amp;"/8")</f>
        <v/>
      </c>
      <c r="K142">
        <f>IF('Ch4 EOT Results'!K29="","","Q4 Sampling method, bias &amp; a better alternative: "&amp;'Ch4 EOT Results'!F29&amp;"/8")</f>
        <v/>
      </c>
    </row>
    <row r="143">
      <c r="A143">
        <f>IF('Ch4 EOT Results'!K28="","","Q5 Correlation vs causation (social media &amp; anxiety): "&amp;'Ch4 EOT Results'!G28&amp;"/7")</f>
        <v/>
      </c>
      <c r="K143">
        <f>IF('Ch4 EOT Results'!K29="","","Q5 Correlation vs causation (social media &amp; anxiety): "&amp;'Ch4 EOT Results'!G29&amp;"/7")</f>
        <v/>
      </c>
    </row>
    <row r="144">
      <c r="A144">
        <f>IF('Ch4 EOT Results'!K28="","","Q6 Reasoning flaws in a marketing claim: "&amp;'Ch4 EOT Results'!H28&amp;"/8")</f>
        <v/>
      </c>
      <c r="K144">
        <f>IF('Ch4 EOT Results'!K29="","","Q6 Reasoning flaws in a marketing claim: "&amp;'Ch4 EOT Results'!H29&amp;"/8")</f>
        <v/>
      </c>
    </row>
    <row r="145">
      <c r="A145">
        <f>IF(OR('Ch4 EOT Results'!K28="",'Ch4 EOT Results'!L28=""),"",'Ch4 EOT Results'!L28)</f>
        <v/>
      </c>
      <c r="K145">
        <f>IF(OR('Ch4 EOT Results'!K29="",'Ch4 EOT Results'!L29=""),"",'Ch4 EOT Results'!L29)</f>
        <v/>
      </c>
    </row>
    <row r="147">
      <c r="A147">
        <f>IF('Ch4 EOT Results'!K28="","","Comments:")</f>
        <v/>
      </c>
      <c r="K147">
        <f>IF('Ch4 EOT Results'!K29="","","Comments:")</f>
        <v/>
      </c>
    </row>
    <row r="149">
      <c r="A149">
        <f>IF('Ch4 EOT Results'!K30="","","Chapter 4 End of Topic Test — Critical Analysis of Data &amp; Models")</f>
        <v/>
      </c>
      <c r="K149">
        <f>IF('Ch4 EOT Results'!K31="","","Chapter 4 End of Topic Test — Critical Analysis of Data &amp; Models")</f>
        <v/>
      </c>
    </row>
    <row r="150">
      <c r="A150">
        <f>IF('Ch4 EOT Results'!K30="","","Name: "&amp;'Ch4 EOT Results'!B30&amp;"   Class: "&amp;'Ch4 EOT Results'!$B$3&amp;"   Date: "&amp;TEXT('Ch4 EOT Results'!$B$5,"DD/MM/YY"))</f>
        <v/>
      </c>
      <c r="K150">
        <f>IF('Ch4 EOT Results'!K31="","","Name: "&amp;'Ch4 EOT Results'!B31&amp;"   Class: "&amp;'Ch4 EOT Results'!$B$3&amp;"   Date: "&amp;TEXT('Ch4 EOT Results'!$B$5,"DD/MM/YY"))</f>
        <v/>
      </c>
    </row>
    <row r="151">
      <c r="A151">
        <f>IF('Ch4 EOT Results'!K30="","","Total: "&amp;'Ch4 EOT Results'!I30&amp;"/51 ("&amp;TEXT('Ch4 EOT Results'!J30,"0%")&amp;")   Overall: "&amp;'Ch4 EOT Results'!K30)</f>
        <v/>
      </c>
      <c r="K151">
        <f>IF('Ch4 EOT Results'!K31="","","Total: "&amp;'Ch4 EOT Results'!I31&amp;"/51 ("&amp;TEXT('Ch4 EOT Results'!J31,"0%")&amp;")   Overall: "&amp;'Ch4 EOT Results'!K31)</f>
        <v/>
      </c>
    </row>
    <row r="152">
      <c r="A152">
        <f>IF('Ch4 EOT Results'!K30="","",IF('Ch4 EOT Results'!K30="Green",Parameters!$C$259,IF('Ch4 EOT Results'!K30="Yellow",Parameters!$C$258,Parameters!$C$257)))</f>
        <v/>
      </c>
      <c r="K152">
        <f>IF('Ch4 EOT Results'!K31="","",IF('Ch4 EOT Results'!K31="Green",Parameters!$C$259,IF('Ch4 EOT Results'!K31="Yellow",Parameters!$C$258,Parameters!$C$257)))</f>
        <v/>
      </c>
    </row>
    <row r="154">
      <c r="A154">
        <f>IF('Ch4 EOT Results'!K30="","","Breakdown:")</f>
        <v/>
      </c>
      <c r="K154">
        <f>IF('Ch4 EOT Results'!K31="","","Breakdown:")</f>
        <v/>
      </c>
    </row>
    <row r="155">
      <c r="A155">
        <f>IF('Ch4 EOT Results'!K30="","","Q1 Identifying &amp; criticising an argument (cycling lanes): "&amp;'Ch4 EOT Results'!C30&amp;"/9")</f>
        <v/>
      </c>
      <c r="K155">
        <f>IF('Ch4 EOT Results'!K31="","","Q1 Identifying &amp; criticising an argument (cycling lanes): "&amp;'Ch4 EOT Results'!C31&amp;"/9")</f>
        <v/>
      </c>
    </row>
    <row r="156">
      <c r="A156">
        <f>IF('Ch4 EOT Results'!K30="","","Q2 Evaluating a claim using two sources: "&amp;'Ch4 EOT Results'!D30&amp;"/10")</f>
        <v/>
      </c>
      <c r="K156">
        <f>IF('Ch4 EOT Results'!K31="","","Q2 Evaluating a claim using two sources: "&amp;'Ch4 EOT Results'!D31&amp;"/10")</f>
        <v/>
      </c>
    </row>
    <row r="157">
      <c r="A157">
        <f>IF('Ch4 EOT Results'!K30="","","Q3 Short-term headline vs long-term trend: "&amp;'Ch4 EOT Results'!E30&amp;"/9")</f>
        <v/>
      </c>
      <c r="K157">
        <f>IF('Ch4 EOT Results'!K31="","","Q3 Short-term headline vs long-term trend: "&amp;'Ch4 EOT Results'!E31&amp;"/9")</f>
        <v/>
      </c>
    </row>
    <row r="158">
      <c r="A158">
        <f>IF('Ch4 EOT Results'!K30="","","Q4 Sampling method, bias &amp; a better alternative: "&amp;'Ch4 EOT Results'!F30&amp;"/8")</f>
        <v/>
      </c>
      <c r="K158">
        <f>IF('Ch4 EOT Results'!K31="","","Q4 Sampling method, bias &amp; a better alternative: "&amp;'Ch4 EOT Results'!F31&amp;"/8")</f>
        <v/>
      </c>
    </row>
    <row r="159">
      <c r="A159">
        <f>IF('Ch4 EOT Results'!K30="","","Q5 Correlation vs causation (social media &amp; anxiety): "&amp;'Ch4 EOT Results'!G30&amp;"/7")</f>
        <v/>
      </c>
      <c r="K159">
        <f>IF('Ch4 EOT Results'!K31="","","Q5 Correlation vs causation (social media &amp; anxiety): "&amp;'Ch4 EOT Results'!G31&amp;"/7")</f>
        <v/>
      </c>
    </row>
    <row r="160">
      <c r="A160">
        <f>IF('Ch4 EOT Results'!K30="","","Q6 Reasoning flaws in a marketing claim: "&amp;'Ch4 EOT Results'!H30&amp;"/8")</f>
        <v/>
      </c>
      <c r="K160">
        <f>IF('Ch4 EOT Results'!K31="","","Q6 Reasoning flaws in a marketing claim: "&amp;'Ch4 EOT Results'!H31&amp;"/8")</f>
        <v/>
      </c>
    </row>
    <row r="161">
      <c r="A161">
        <f>IF(OR('Ch4 EOT Results'!K30="",'Ch4 EOT Results'!L30=""),"",'Ch4 EOT Results'!L30)</f>
        <v/>
      </c>
      <c r="K161">
        <f>IF(OR('Ch4 EOT Results'!K31="",'Ch4 EOT Results'!L31=""),"",'Ch4 EOT Results'!L31)</f>
        <v/>
      </c>
    </row>
    <row r="163">
      <c r="A163">
        <f>IF('Ch4 EOT Results'!K30="","","Comments:")</f>
        <v/>
      </c>
      <c r="K163">
        <f>IF('Ch4 EOT Results'!K31="","","Comments:")</f>
        <v/>
      </c>
    </row>
    <row r="165">
      <c r="A165">
        <f>IF('Ch4 EOT Results'!K32="","","Chapter 4 End of Topic Test — Critical Analysis of Data &amp; Models")</f>
        <v/>
      </c>
      <c r="K165">
        <f>IF('Ch4 EOT Results'!K33="","","Chapter 4 End of Topic Test — Critical Analysis of Data &amp; Models")</f>
        <v/>
      </c>
    </row>
    <row r="166">
      <c r="A166">
        <f>IF('Ch4 EOT Results'!K32="","","Name: "&amp;'Ch4 EOT Results'!B32&amp;"   Class: "&amp;'Ch4 EOT Results'!$B$3&amp;"   Date: "&amp;TEXT('Ch4 EOT Results'!$B$5,"DD/MM/YY"))</f>
        <v/>
      </c>
      <c r="K166">
        <f>IF('Ch4 EOT Results'!K33="","","Name: "&amp;'Ch4 EOT Results'!B33&amp;"   Class: "&amp;'Ch4 EOT Results'!$B$3&amp;"   Date: "&amp;TEXT('Ch4 EOT Results'!$B$5,"DD/MM/YY"))</f>
        <v/>
      </c>
    </row>
    <row r="167">
      <c r="A167">
        <f>IF('Ch4 EOT Results'!K32="","","Total: "&amp;'Ch4 EOT Results'!I32&amp;"/51 ("&amp;TEXT('Ch4 EOT Results'!J32,"0%")&amp;")   Overall: "&amp;'Ch4 EOT Results'!K32)</f>
        <v/>
      </c>
      <c r="K167">
        <f>IF('Ch4 EOT Results'!K33="","","Total: "&amp;'Ch4 EOT Results'!I33&amp;"/51 ("&amp;TEXT('Ch4 EOT Results'!J33,"0%")&amp;")   Overall: "&amp;'Ch4 EOT Results'!K33)</f>
        <v/>
      </c>
    </row>
    <row r="168">
      <c r="A168">
        <f>IF('Ch4 EOT Results'!K32="","",IF('Ch4 EOT Results'!K32="Green",Parameters!$C$259,IF('Ch4 EOT Results'!K32="Yellow",Parameters!$C$258,Parameters!$C$257)))</f>
        <v/>
      </c>
      <c r="K168">
        <f>IF('Ch4 EOT Results'!K33="","",IF('Ch4 EOT Results'!K33="Green",Parameters!$C$259,IF('Ch4 EOT Results'!K33="Yellow",Parameters!$C$258,Parameters!$C$257)))</f>
        <v/>
      </c>
    </row>
    <row r="170">
      <c r="A170">
        <f>IF('Ch4 EOT Results'!K32="","","Breakdown:")</f>
        <v/>
      </c>
      <c r="K170">
        <f>IF('Ch4 EOT Results'!K33="","","Breakdown:")</f>
        <v/>
      </c>
    </row>
    <row r="171">
      <c r="A171">
        <f>IF('Ch4 EOT Results'!K32="","","Q1 Identifying &amp; criticising an argument (cycling lanes): "&amp;'Ch4 EOT Results'!C32&amp;"/9")</f>
        <v/>
      </c>
      <c r="K171">
        <f>IF('Ch4 EOT Results'!K33="","","Q1 Identifying &amp; criticising an argument (cycling lanes): "&amp;'Ch4 EOT Results'!C33&amp;"/9")</f>
        <v/>
      </c>
    </row>
    <row r="172">
      <c r="A172">
        <f>IF('Ch4 EOT Results'!K32="","","Q2 Evaluating a claim using two sources: "&amp;'Ch4 EOT Results'!D32&amp;"/10")</f>
        <v/>
      </c>
      <c r="K172">
        <f>IF('Ch4 EOT Results'!K33="","","Q2 Evaluating a claim using two sources: "&amp;'Ch4 EOT Results'!D33&amp;"/10")</f>
        <v/>
      </c>
    </row>
    <row r="173">
      <c r="A173">
        <f>IF('Ch4 EOT Results'!K32="","","Q3 Short-term headline vs long-term trend: "&amp;'Ch4 EOT Results'!E32&amp;"/9")</f>
        <v/>
      </c>
      <c r="K173">
        <f>IF('Ch4 EOT Results'!K33="","","Q3 Short-term headline vs long-term trend: "&amp;'Ch4 EOT Results'!E33&amp;"/9")</f>
        <v/>
      </c>
    </row>
    <row r="174">
      <c r="A174">
        <f>IF('Ch4 EOT Results'!K32="","","Q4 Sampling method, bias &amp; a better alternative: "&amp;'Ch4 EOT Results'!F32&amp;"/8")</f>
        <v/>
      </c>
      <c r="K174">
        <f>IF('Ch4 EOT Results'!K33="","","Q4 Sampling method, bias &amp; a better alternative: "&amp;'Ch4 EOT Results'!F33&amp;"/8")</f>
        <v/>
      </c>
    </row>
    <row r="175">
      <c r="A175">
        <f>IF('Ch4 EOT Results'!K32="","","Q5 Correlation vs causation (social media &amp; anxiety): "&amp;'Ch4 EOT Results'!G32&amp;"/7")</f>
        <v/>
      </c>
      <c r="K175">
        <f>IF('Ch4 EOT Results'!K33="","","Q5 Correlation vs causation (social media &amp; anxiety): "&amp;'Ch4 EOT Results'!G33&amp;"/7")</f>
        <v/>
      </c>
    </row>
    <row r="176">
      <c r="A176">
        <f>IF('Ch4 EOT Results'!K32="","","Q6 Reasoning flaws in a marketing claim: "&amp;'Ch4 EOT Results'!H32&amp;"/8")</f>
        <v/>
      </c>
      <c r="K176">
        <f>IF('Ch4 EOT Results'!K33="","","Q6 Reasoning flaws in a marketing claim: "&amp;'Ch4 EOT Results'!H33&amp;"/8")</f>
        <v/>
      </c>
    </row>
    <row r="177">
      <c r="A177">
        <f>IF(OR('Ch4 EOT Results'!K32="",'Ch4 EOT Results'!L32=""),"",'Ch4 EOT Results'!L32)</f>
        <v/>
      </c>
      <c r="K177">
        <f>IF(OR('Ch4 EOT Results'!K33="",'Ch4 EOT Results'!L33=""),"",'Ch4 EOT Results'!L33)</f>
        <v/>
      </c>
    </row>
    <row r="179">
      <c r="A179">
        <f>IF('Ch4 EOT Results'!K32="","","Comments:")</f>
        <v/>
      </c>
      <c r="K179">
        <f>IF('Ch4 EOT Results'!K33="","","Comments:")</f>
        <v/>
      </c>
    </row>
    <row r="181">
      <c r="A181">
        <f>IF('Ch4 EOT Results'!K34="","","Chapter 4 End of Topic Test — Critical Analysis of Data &amp; Models")</f>
        <v/>
      </c>
      <c r="K181">
        <f>IF('Ch4 EOT Results'!K35="","","Chapter 4 End of Topic Test — Critical Analysis of Data &amp; Models")</f>
        <v/>
      </c>
    </row>
    <row r="182">
      <c r="A182">
        <f>IF('Ch4 EOT Results'!K34="","","Name: "&amp;'Ch4 EOT Results'!B34&amp;"   Class: "&amp;'Ch4 EOT Results'!$B$3&amp;"   Date: "&amp;TEXT('Ch4 EOT Results'!$B$5,"DD/MM/YY"))</f>
        <v/>
      </c>
      <c r="K182">
        <f>IF('Ch4 EOT Results'!K35="","","Name: "&amp;'Ch4 EOT Results'!B35&amp;"   Class: "&amp;'Ch4 EOT Results'!$B$3&amp;"   Date: "&amp;TEXT('Ch4 EOT Results'!$B$5,"DD/MM/YY"))</f>
        <v/>
      </c>
    </row>
    <row r="183">
      <c r="A183">
        <f>IF('Ch4 EOT Results'!K34="","","Total: "&amp;'Ch4 EOT Results'!I34&amp;"/51 ("&amp;TEXT('Ch4 EOT Results'!J34,"0%")&amp;")   Overall: "&amp;'Ch4 EOT Results'!K34)</f>
        <v/>
      </c>
      <c r="K183">
        <f>IF('Ch4 EOT Results'!K35="","","Total: "&amp;'Ch4 EOT Results'!I35&amp;"/51 ("&amp;TEXT('Ch4 EOT Results'!J35,"0%")&amp;")   Overall: "&amp;'Ch4 EOT Results'!K35)</f>
        <v/>
      </c>
    </row>
    <row r="184">
      <c r="A184">
        <f>IF('Ch4 EOT Results'!K34="","",IF('Ch4 EOT Results'!K34="Green",Parameters!$C$259,IF('Ch4 EOT Results'!K34="Yellow",Parameters!$C$258,Parameters!$C$257)))</f>
        <v/>
      </c>
      <c r="K184">
        <f>IF('Ch4 EOT Results'!K35="","",IF('Ch4 EOT Results'!K35="Green",Parameters!$C$259,IF('Ch4 EOT Results'!K35="Yellow",Parameters!$C$258,Parameters!$C$257)))</f>
        <v/>
      </c>
    </row>
    <row r="186">
      <c r="A186">
        <f>IF('Ch4 EOT Results'!K34="","","Breakdown:")</f>
        <v/>
      </c>
      <c r="K186">
        <f>IF('Ch4 EOT Results'!K35="","","Breakdown:")</f>
        <v/>
      </c>
    </row>
    <row r="187">
      <c r="A187">
        <f>IF('Ch4 EOT Results'!K34="","","Q1 Identifying &amp; criticising an argument (cycling lanes): "&amp;'Ch4 EOT Results'!C34&amp;"/9")</f>
        <v/>
      </c>
      <c r="K187">
        <f>IF('Ch4 EOT Results'!K35="","","Q1 Identifying &amp; criticising an argument (cycling lanes): "&amp;'Ch4 EOT Results'!C35&amp;"/9")</f>
        <v/>
      </c>
    </row>
    <row r="188">
      <c r="A188">
        <f>IF('Ch4 EOT Results'!K34="","","Q2 Evaluating a claim using two sources: "&amp;'Ch4 EOT Results'!D34&amp;"/10")</f>
        <v/>
      </c>
      <c r="K188">
        <f>IF('Ch4 EOT Results'!K35="","","Q2 Evaluating a claim using two sources: "&amp;'Ch4 EOT Results'!D35&amp;"/10")</f>
        <v/>
      </c>
    </row>
    <row r="189">
      <c r="A189">
        <f>IF('Ch4 EOT Results'!K34="","","Q3 Short-term headline vs long-term trend: "&amp;'Ch4 EOT Results'!E34&amp;"/9")</f>
        <v/>
      </c>
      <c r="K189">
        <f>IF('Ch4 EOT Results'!K35="","","Q3 Short-term headline vs long-term trend: "&amp;'Ch4 EOT Results'!E35&amp;"/9")</f>
        <v/>
      </c>
    </row>
    <row r="190">
      <c r="A190">
        <f>IF('Ch4 EOT Results'!K34="","","Q4 Sampling method, bias &amp; a better alternative: "&amp;'Ch4 EOT Results'!F34&amp;"/8")</f>
        <v/>
      </c>
      <c r="K190">
        <f>IF('Ch4 EOT Results'!K35="","","Q4 Sampling method, bias &amp; a better alternative: "&amp;'Ch4 EOT Results'!F35&amp;"/8")</f>
        <v/>
      </c>
    </row>
    <row r="191">
      <c r="A191">
        <f>IF('Ch4 EOT Results'!K34="","","Q5 Correlation vs causation (social media &amp; anxiety): "&amp;'Ch4 EOT Results'!G34&amp;"/7")</f>
        <v/>
      </c>
      <c r="K191">
        <f>IF('Ch4 EOT Results'!K35="","","Q5 Correlation vs causation (social media &amp; anxiety): "&amp;'Ch4 EOT Results'!G35&amp;"/7")</f>
        <v/>
      </c>
    </row>
    <row r="192">
      <c r="A192">
        <f>IF('Ch4 EOT Results'!K34="","","Q6 Reasoning flaws in a marketing claim: "&amp;'Ch4 EOT Results'!H34&amp;"/8")</f>
        <v/>
      </c>
      <c r="K192">
        <f>IF('Ch4 EOT Results'!K35="","","Q6 Reasoning flaws in a marketing claim: "&amp;'Ch4 EOT Results'!H35&amp;"/8")</f>
        <v/>
      </c>
    </row>
    <row r="193">
      <c r="A193">
        <f>IF(OR('Ch4 EOT Results'!K34="",'Ch4 EOT Results'!L34=""),"",'Ch4 EOT Results'!L34)</f>
        <v/>
      </c>
      <c r="K193">
        <f>IF(OR('Ch4 EOT Results'!K35="",'Ch4 EOT Results'!L35=""),"",'Ch4 EOT Results'!L35)</f>
        <v/>
      </c>
    </row>
    <row r="195">
      <c r="A195">
        <f>IF('Ch4 EOT Results'!K34="","","Comments:")</f>
        <v/>
      </c>
      <c r="K195">
        <f>IF('Ch4 EOT Results'!K35="","","Comments:")</f>
        <v/>
      </c>
    </row>
    <row r="197">
      <c r="A197">
        <f>IF('Ch4 EOT Results'!K36="","","Chapter 4 End of Topic Test — Critical Analysis of Data &amp; Models")</f>
        <v/>
      </c>
      <c r="K197">
        <f>IF('Ch4 EOT Results'!K37="","","Chapter 4 End of Topic Test — Critical Analysis of Data &amp; Models")</f>
        <v/>
      </c>
    </row>
    <row r="198">
      <c r="A198">
        <f>IF('Ch4 EOT Results'!K36="","","Name: "&amp;'Ch4 EOT Results'!B36&amp;"   Class: "&amp;'Ch4 EOT Results'!$B$3&amp;"   Date: "&amp;TEXT('Ch4 EOT Results'!$B$5,"DD/MM/YY"))</f>
        <v/>
      </c>
      <c r="K198">
        <f>IF('Ch4 EOT Results'!K37="","","Name: "&amp;'Ch4 EOT Results'!B37&amp;"   Class: "&amp;'Ch4 EOT Results'!$B$3&amp;"   Date: "&amp;TEXT('Ch4 EOT Results'!$B$5,"DD/MM/YY"))</f>
        <v/>
      </c>
    </row>
    <row r="199">
      <c r="A199">
        <f>IF('Ch4 EOT Results'!K36="","","Total: "&amp;'Ch4 EOT Results'!I36&amp;"/51 ("&amp;TEXT('Ch4 EOT Results'!J36,"0%")&amp;")   Overall: "&amp;'Ch4 EOT Results'!K36)</f>
        <v/>
      </c>
      <c r="K199">
        <f>IF('Ch4 EOT Results'!K37="","","Total: "&amp;'Ch4 EOT Results'!I37&amp;"/51 ("&amp;TEXT('Ch4 EOT Results'!J37,"0%")&amp;")   Overall: "&amp;'Ch4 EOT Results'!K37)</f>
        <v/>
      </c>
    </row>
    <row r="200">
      <c r="A200">
        <f>IF('Ch4 EOT Results'!K36="","",IF('Ch4 EOT Results'!K36="Green",Parameters!$C$259,IF('Ch4 EOT Results'!K36="Yellow",Parameters!$C$258,Parameters!$C$257)))</f>
        <v/>
      </c>
      <c r="K200">
        <f>IF('Ch4 EOT Results'!K37="","",IF('Ch4 EOT Results'!K37="Green",Parameters!$C$259,IF('Ch4 EOT Results'!K37="Yellow",Parameters!$C$258,Parameters!$C$257)))</f>
        <v/>
      </c>
    </row>
    <row r="202">
      <c r="A202">
        <f>IF('Ch4 EOT Results'!K36="","","Breakdown:")</f>
        <v/>
      </c>
      <c r="K202">
        <f>IF('Ch4 EOT Results'!K37="","","Breakdown:")</f>
        <v/>
      </c>
    </row>
    <row r="203">
      <c r="A203">
        <f>IF('Ch4 EOT Results'!K36="","","Q1 Identifying &amp; criticising an argument (cycling lanes): "&amp;'Ch4 EOT Results'!C36&amp;"/9")</f>
        <v/>
      </c>
      <c r="K203">
        <f>IF('Ch4 EOT Results'!K37="","","Q1 Identifying &amp; criticising an argument (cycling lanes): "&amp;'Ch4 EOT Results'!C37&amp;"/9")</f>
        <v/>
      </c>
    </row>
    <row r="204">
      <c r="A204">
        <f>IF('Ch4 EOT Results'!K36="","","Q2 Evaluating a claim using two sources: "&amp;'Ch4 EOT Results'!D36&amp;"/10")</f>
        <v/>
      </c>
      <c r="K204">
        <f>IF('Ch4 EOT Results'!K37="","","Q2 Evaluating a claim using two sources: "&amp;'Ch4 EOT Results'!D37&amp;"/10")</f>
        <v/>
      </c>
    </row>
    <row r="205">
      <c r="A205">
        <f>IF('Ch4 EOT Results'!K36="","","Q3 Short-term headline vs long-term trend: "&amp;'Ch4 EOT Results'!E36&amp;"/9")</f>
        <v/>
      </c>
      <c r="K205">
        <f>IF('Ch4 EOT Results'!K37="","","Q3 Short-term headline vs long-term trend: "&amp;'Ch4 EOT Results'!E37&amp;"/9")</f>
        <v/>
      </c>
    </row>
    <row r="206">
      <c r="A206">
        <f>IF('Ch4 EOT Results'!K36="","","Q4 Sampling method, bias &amp; a better alternative: "&amp;'Ch4 EOT Results'!F36&amp;"/8")</f>
        <v/>
      </c>
      <c r="K206">
        <f>IF('Ch4 EOT Results'!K37="","","Q4 Sampling method, bias &amp; a better alternative: "&amp;'Ch4 EOT Results'!F37&amp;"/8")</f>
        <v/>
      </c>
    </row>
    <row r="207">
      <c r="A207">
        <f>IF('Ch4 EOT Results'!K36="","","Q5 Correlation vs causation (social media &amp; anxiety): "&amp;'Ch4 EOT Results'!G36&amp;"/7")</f>
        <v/>
      </c>
      <c r="K207">
        <f>IF('Ch4 EOT Results'!K37="","","Q5 Correlation vs causation (social media &amp; anxiety): "&amp;'Ch4 EOT Results'!G37&amp;"/7")</f>
        <v/>
      </c>
    </row>
    <row r="208">
      <c r="A208">
        <f>IF('Ch4 EOT Results'!K36="","","Q6 Reasoning flaws in a marketing claim: "&amp;'Ch4 EOT Results'!H36&amp;"/8")</f>
        <v/>
      </c>
      <c r="K208">
        <f>IF('Ch4 EOT Results'!K37="","","Q6 Reasoning flaws in a marketing claim: "&amp;'Ch4 EOT Results'!H37&amp;"/8")</f>
        <v/>
      </c>
    </row>
    <row r="209">
      <c r="A209">
        <f>IF(OR('Ch4 EOT Results'!K36="",'Ch4 EOT Results'!L36=""),"",'Ch4 EOT Results'!L36)</f>
        <v/>
      </c>
      <c r="K209">
        <f>IF(OR('Ch4 EOT Results'!K37="",'Ch4 EOT Results'!L37=""),"",'Ch4 EOT Results'!L37)</f>
        <v/>
      </c>
    </row>
    <row r="211">
      <c r="A211">
        <f>IF('Ch4 EOT Results'!K36="","","Comments:")</f>
        <v/>
      </c>
      <c r="K211">
        <f>IF('Ch4 EOT Results'!K37="","","Comments:")</f>
        <v/>
      </c>
    </row>
    <row r="213">
      <c r="A213">
        <f>IF('Ch4 EOT Results'!K38="","","Chapter 4 End of Topic Test — Critical Analysis of Data &amp; Models")</f>
        <v/>
      </c>
      <c r="K213">
        <f>IF('Ch4 EOT Results'!K39="","","Chapter 4 End of Topic Test — Critical Analysis of Data &amp; Models")</f>
        <v/>
      </c>
    </row>
    <row r="214">
      <c r="A214">
        <f>IF('Ch4 EOT Results'!K38="","","Name: "&amp;'Ch4 EOT Results'!B38&amp;"   Class: "&amp;'Ch4 EOT Results'!$B$3&amp;"   Date: "&amp;TEXT('Ch4 EOT Results'!$B$5,"DD/MM/YY"))</f>
        <v/>
      </c>
      <c r="K214">
        <f>IF('Ch4 EOT Results'!K39="","","Name: "&amp;'Ch4 EOT Results'!B39&amp;"   Class: "&amp;'Ch4 EOT Results'!$B$3&amp;"   Date: "&amp;TEXT('Ch4 EOT Results'!$B$5,"DD/MM/YY"))</f>
        <v/>
      </c>
    </row>
    <row r="215">
      <c r="A215">
        <f>IF('Ch4 EOT Results'!K38="","","Total: "&amp;'Ch4 EOT Results'!I38&amp;"/51 ("&amp;TEXT('Ch4 EOT Results'!J38,"0%")&amp;")   Overall: "&amp;'Ch4 EOT Results'!K38)</f>
        <v/>
      </c>
      <c r="K215">
        <f>IF('Ch4 EOT Results'!K39="","","Total: "&amp;'Ch4 EOT Results'!I39&amp;"/51 ("&amp;TEXT('Ch4 EOT Results'!J39,"0%")&amp;")   Overall: "&amp;'Ch4 EOT Results'!K39)</f>
        <v/>
      </c>
    </row>
    <row r="216">
      <c r="A216">
        <f>IF('Ch4 EOT Results'!K38="","",IF('Ch4 EOT Results'!K38="Green",Parameters!$C$259,IF('Ch4 EOT Results'!K38="Yellow",Parameters!$C$258,Parameters!$C$257)))</f>
        <v/>
      </c>
      <c r="K216">
        <f>IF('Ch4 EOT Results'!K39="","",IF('Ch4 EOT Results'!K39="Green",Parameters!$C$259,IF('Ch4 EOT Results'!K39="Yellow",Parameters!$C$258,Parameters!$C$257)))</f>
        <v/>
      </c>
    </row>
    <row r="218">
      <c r="A218">
        <f>IF('Ch4 EOT Results'!K38="","","Breakdown:")</f>
        <v/>
      </c>
      <c r="K218">
        <f>IF('Ch4 EOT Results'!K39="","","Breakdown:")</f>
        <v/>
      </c>
    </row>
    <row r="219">
      <c r="A219">
        <f>IF('Ch4 EOT Results'!K38="","","Q1 Identifying &amp; criticising an argument (cycling lanes): "&amp;'Ch4 EOT Results'!C38&amp;"/9")</f>
        <v/>
      </c>
      <c r="K219">
        <f>IF('Ch4 EOT Results'!K39="","","Q1 Identifying &amp; criticising an argument (cycling lanes): "&amp;'Ch4 EOT Results'!C39&amp;"/9")</f>
        <v/>
      </c>
    </row>
    <row r="220">
      <c r="A220">
        <f>IF('Ch4 EOT Results'!K38="","","Q2 Evaluating a claim using two sources: "&amp;'Ch4 EOT Results'!D38&amp;"/10")</f>
        <v/>
      </c>
      <c r="K220">
        <f>IF('Ch4 EOT Results'!K39="","","Q2 Evaluating a claim using two sources: "&amp;'Ch4 EOT Results'!D39&amp;"/10")</f>
        <v/>
      </c>
    </row>
    <row r="221">
      <c r="A221">
        <f>IF('Ch4 EOT Results'!K38="","","Q3 Short-term headline vs long-term trend: "&amp;'Ch4 EOT Results'!E38&amp;"/9")</f>
        <v/>
      </c>
      <c r="K221">
        <f>IF('Ch4 EOT Results'!K39="","","Q3 Short-term headline vs long-term trend: "&amp;'Ch4 EOT Results'!E39&amp;"/9")</f>
        <v/>
      </c>
    </row>
    <row r="222">
      <c r="A222">
        <f>IF('Ch4 EOT Results'!K38="","","Q4 Sampling method, bias &amp; a better alternative: "&amp;'Ch4 EOT Results'!F38&amp;"/8")</f>
        <v/>
      </c>
      <c r="K222">
        <f>IF('Ch4 EOT Results'!K39="","","Q4 Sampling method, bias &amp; a better alternative: "&amp;'Ch4 EOT Results'!F39&amp;"/8")</f>
        <v/>
      </c>
    </row>
    <row r="223">
      <c r="A223">
        <f>IF('Ch4 EOT Results'!K38="","","Q5 Correlation vs causation (social media &amp; anxiety): "&amp;'Ch4 EOT Results'!G38&amp;"/7")</f>
        <v/>
      </c>
      <c r="K223">
        <f>IF('Ch4 EOT Results'!K39="","","Q5 Correlation vs causation (social media &amp; anxiety): "&amp;'Ch4 EOT Results'!G39&amp;"/7")</f>
        <v/>
      </c>
    </row>
    <row r="224">
      <c r="A224">
        <f>IF('Ch4 EOT Results'!K38="","","Q6 Reasoning flaws in a marketing claim: "&amp;'Ch4 EOT Results'!H38&amp;"/8")</f>
        <v/>
      </c>
      <c r="K224">
        <f>IF('Ch4 EOT Results'!K39="","","Q6 Reasoning flaws in a marketing claim: "&amp;'Ch4 EOT Results'!H39&amp;"/8")</f>
        <v/>
      </c>
    </row>
    <row r="225">
      <c r="A225">
        <f>IF(OR('Ch4 EOT Results'!K38="",'Ch4 EOT Results'!L38=""),"",'Ch4 EOT Results'!L38)</f>
        <v/>
      </c>
      <c r="K225">
        <f>IF(OR('Ch4 EOT Results'!K39="",'Ch4 EOT Results'!L39=""),"",'Ch4 EOT Results'!L39)</f>
        <v/>
      </c>
    </row>
    <row r="227">
      <c r="A227">
        <f>IF('Ch4 EOT Results'!K38="","","Comments:")</f>
        <v/>
      </c>
      <c r="K227">
        <f>IF('Ch4 EOT Results'!K39="","","Comments:")</f>
        <v/>
      </c>
    </row>
    <row r="229">
      <c r="A229">
        <f>IF('Ch4 EOT Results'!K40="","","Chapter 4 End of Topic Test — Critical Analysis of Data &amp; Models")</f>
        <v/>
      </c>
      <c r="K229">
        <f>IF('Ch4 EOT Results'!K41="","","Chapter 4 End of Topic Test — Critical Analysis of Data &amp; Models")</f>
        <v/>
      </c>
    </row>
    <row r="230">
      <c r="A230">
        <f>IF('Ch4 EOT Results'!K40="","","Name: "&amp;'Ch4 EOT Results'!B40&amp;"   Class: "&amp;'Ch4 EOT Results'!$B$3&amp;"   Date: "&amp;TEXT('Ch4 EOT Results'!$B$5,"DD/MM/YY"))</f>
        <v/>
      </c>
      <c r="K230">
        <f>IF('Ch4 EOT Results'!K41="","","Name: "&amp;'Ch4 EOT Results'!B41&amp;"   Class: "&amp;'Ch4 EOT Results'!$B$3&amp;"   Date: "&amp;TEXT('Ch4 EOT Results'!$B$5,"DD/MM/YY"))</f>
        <v/>
      </c>
    </row>
    <row r="231">
      <c r="A231">
        <f>IF('Ch4 EOT Results'!K40="","","Total: "&amp;'Ch4 EOT Results'!I40&amp;"/51 ("&amp;TEXT('Ch4 EOT Results'!J40,"0%")&amp;")   Overall: "&amp;'Ch4 EOT Results'!K40)</f>
        <v/>
      </c>
      <c r="K231">
        <f>IF('Ch4 EOT Results'!K41="","","Total: "&amp;'Ch4 EOT Results'!I41&amp;"/51 ("&amp;TEXT('Ch4 EOT Results'!J41,"0%")&amp;")   Overall: "&amp;'Ch4 EOT Results'!K41)</f>
        <v/>
      </c>
    </row>
    <row r="232">
      <c r="A232">
        <f>IF('Ch4 EOT Results'!K40="","",IF('Ch4 EOT Results'!K40="Green",Parameters!$C$259,IF('Ch4 EOT Results'!K40="Yellow",Parameters!$C$258,Parameters!$C$257)))</f>
        <v/>
      </c>
      <c r="K232">
        <f>IF('Ch4 EOT Results'!K41="","",IF('Ch4 EOT Results'!K41="Green",Parameters!$C$259,IF('Ch4 EOT Results'!K41="Yellow",Parameters!$C$258,Parameters!$C$257)))</f>
        <v/>
      </c>
    </row>
    <row r="234">
      <c r="A234">
        <f>IF('Ch4 EOT Results'!K40="","","Breakdown:")</f>
        <v/>
      </c>
      <c r="K234">
        <f>IF('Ch4 EOT Results'!K41="","","Breakdown:")</f>
        <v/>
      </c>
    </row>
    <row r="235">
      <c r="A235">
        <f>IF('Ch4 EOT Results'!K40="","","Q1 Identifying &amp; criticising an argument (cycling lanes): "&amp;'Ch4 EOT Results'!C40&amp;"/9")</f>
        <v/>
      </c>
      <c r="K235">
        <f>IF('Ch4 EOT Results'!K41="","","Q1 Identifying &amp; criticising an argument (cycling lanes): "&amp;'Ch4 EOT Results'!C41&amp;"/9")</f>
        <v/>
      </c>
    </row>
    <row r="236">
      <c r="A236">
        <f>IF('Ch4 EOT Results'!K40="","","Q2 Evaluating a claim using two sources: "&amp;'Ch4 EOT Results'!D40&amp;"/10")</f>
        <v/>
      </c>
      <c r="K236">
        <f>IF('Ch4 EOT Results'!K41="","","Q2 Evaluating a claim using two sources: "&amp;'Ch4 EOT Results'!D41&amp;"/10")</f>
        <v/>
      </c>
    </row>
    <row r="237">
      <c r="A237">
        <f>IF('Ch4 EOT Results'!K40="","","Q3 Short-term headline vs long-term trend: "&amp;'Ch4 EOT Results'!E40&amp;"/9")</f>
        <v/>
      </c>
      <c r="K237">
        <f>IF('Ch4 EOT Results'!K41="","","Q3 Short-term headline vs long-term trend: "&amp;'Ch4 EOT Results'!E41&amp;"/9")</f>
        <v/>
      </c>
    </row>
    <row r="238">
      <c r="A238">
        <f>IF('Ch4 EOT Results'!K40="","","Q4 Sampling method, bias &amp; a better alternative: "&amp;'Ch4 EOT Results'!F40&amp;"/8")</f>
        <v/>
      </c>
      <c r="K238">
        <f>IF('Ch4 EOT Results'!K41="","","Q4 Sampling method, bias &amp; a better alternative: "&amp;'Ch4 EOT Results'!F41&amp;"/8")</f>
        <v/>
      </c>
    </row>
    <row r="239">
      <c r="A239">
        <f>IF('Ch4 EOT Results'!K40="","","Q5 Correlation vs causation (social media &amp; anxiety): "&amp;'Ch4 EOT Results'!G40&amp;"/7")</f>
        <v/>
      </c>
      <c r="K239">
        <f>IF('Ch4 EOT Results'!K41="","","Q5 Correlation vs causation (social media &amp; anxiety): "&amp;'Ch4 EOT Results'!G41&amp;"/7")</f>
        <v/>
      </c>
    </row>
    <row r="240">
      <c r="A240">
        <f>IF('Ch4 EOT Results'!K40="","","Q6 Reasoning flaws in a marketing claim: "&amp;'Ch4 EOT Results'!H40&amp;"/8")</f>
        <v/>
      </c>
      <c r="K240">
        <f>IF('Ch4 EOT Results'!K41="","","Q6 Reasoning flaws in a marketing claim: "&amp;'Ch4 EOT Results'!H41&amp;"/8")</f>
        <v/>
      </c>
    </row>
    <row r="241">
      <c r="A241">
        <f>IF(OR('Ch4 EOT Results'!K40="",'Ch4 EOT Results'!L40=""),"",'Ch4 EOT Results'!L40)</f>
        <v/>
      </c>
      <c r="K241">
        <f>IF(OR('Ch4 EOT Results'!K41="",'Ch4 EOT Results'!L41=""),"",'Ch4 EOT Results'!L41)</f>
        <v/>
      </c>
    </row>
    <row r="243">
      <c r="A243">
        <f>IF('Ch4 EOT Results'!K40="","","Comments:")</f>
        <v/>
      </c>
      <c r="K243">
        <f>IF('Ch4 EOT Results'!K41="","","Comments:")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8" customWidth="1" min="10" max="10"/>
    <col width="10" customWidth="1" min="11" max="11"/>
    <col width="45" customWidth="1" min="12" max="12"/>
  </cols>
  <sheetData>
    <row r="1">
      <c r="A1" s="11" t="inlineStr">
        <is>
          <t>Chapter 4 End of Topic Test 2 — Critical Analysis of Data &amp; Models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Evidence, reasoning, conclusion
(/9)</t>
        </is>
      </c>
      <c r="D9" s="12" t="inlineStr">
        <is>
          <t>Q2
Evaluating conflicting claims
(/10)</t>
        </is>
      </c>
      <c r="E9" s="12" t="inlineStr">
        <is>
          <t>Q3
Misleading headline vs long-term data
(/9)</t>
        </is>
      </c>
      <c r="F9" s="12" t="inlineStr">
        <is>
          <t>Q4
Sampling &amp; bias
(/8)</t>
        </is>
      </c>
      <c r="G9" s="12" t="inlineStr">
        <is>
          <t>Q5
Correlation vs causation
(/7)</t>
        </is>
      </c>
      <c r="H9" s="12" t="inlineStr">
        <is>
          <t>Q6
Reasoning flaws
(/8)</t>
        </is>
      </c>
      <c r="I9" s="12" t="inlineStr">
        <is>
          <t>Total
(/51)</t>
        </is>
      </c>
      <c r="J9" s="12" t="inlineStr">
        <is>
          <t>%</t>
        </is>
      </c>
      <c r="K9" s="12" t="inlineStr">
        <is>
          <t>Overall</t>
        </is>
      </c>
      <c r="L9" s="12" t="inlineStr">
        <is>
          <t>Focus for next steps</t>
        </is>
      </c>
      <c r="M9" s="12" t="inlineStr">
        <is>
          <t>Q1%</t>
        </is>
      </c>
      <c r="N9" s="12" t="inlineStr">
        <is>
          <t>Q2%</t>
        </is>
      </c>
      <c r="O9" s="12" t="inlineStr">
        <is>
          <t>Q3%</t>
        </is>
      </c>
      <c r="P9" s="12" t="inlineStr">
        <is>
          <t>Q4%</t>
        </is>
      </c>
      <c r="Q9" s="12" t="inlineStr">
        <is>
          <t>Q5%</t>
        </is>
      </c>
      <c r="R9" s="12" t="inlineStr">
        <is>
          <t>Q6%</t>
        </is>
      </c>
    </row>
    <row r="10">
      <c r="A10" s="3" t="n"/>
      <c r="B10" s="3" t="inlineStr">
        <is>
          <t>Max marks</t>
        </is>
      </c>
      <c r="C10" s="3" t="n">
        <v>9</v>
      </c>
      <c r="D10" s="3" t="n">
        <v>10</v>
      </c>
      <c r="E10" s="3" t="n">
        <v>9</v>
      </c>
      <c r="F10" s="3" t="n">
        <v>8</v>
      </c>
      <c r="G10" s="3" t="n">
        <v>7</v>
      </c>
      <c r="H10" s="3" t="n">
        <v>8</v>
      </c>
      <c r="I10" s="3" t="n">
        <v>51</v>
      </c>
      <c r="J10" s="3" t="inlineStr">
        <is>
          <t>100%</t>
        </is>
      </c>
      <c r="K10" s="3" t="n"/>
      <c r="L10" s="3" t="n"/>
      <c r="M10" s="3" t="n"/>
      <c r="N10" s="3" t="n"/>
      <c r="O10" s="3" t="n"/>
      <c r="P10" s="3" t="n"/>
      <c r="Q10" s="3" t="n"/>
      <c r="R10" s="3" t="n"/>
    </row>
    <row r="11">
      <c r="A11" s="13" t="n">
        <v>1</v>
      </c>
      <c r="B11" s="13" t="inlineStr">
        <is>
          <t>Example pupil (edit me)</t>
        </is>
      </c>
      <c r="C11" s="13" t="n">
        <v>7</v>
      </c>
      <c r="D11" s="13" t="n">
        <v>8</v>
      </c>
      <c r="E11" s="13" t="n">
        <v>7</v>
      </c>
      <c r="F11" s="13" t="n">
        <v>6</v>
      </c>
      <c r="G11" s="13" t="n">
        <v>6</v>
      </c>
      <c r="H11" s="13" t="n">
        <v>6</v>
      </c>
      <c r="I11" s="13">
        <f>IF(COUNT(C11:H11)&lt;6,"",SUM(C11:H11))</f>
        <v/>
      </c>
      <c r="J11" s="13">
        <f>IF(COUNT(C11:H11)&lt;6,"",I11/51)</f>
        <v/>
      </c>
      <c r="K11" s="13">
        <f>IF(COUNT(C11:H11)&lt;6,"",IF(J11&gt;=0.8,"Green",IF(J11&gt;=0.5,"Yellow","Red")))</f>
        <v/>
      </c>
      <c r="L11" s="13">
        <f>IF(COUNT(C11:H11)&lt;6,"",IF(K11="Green","Well done! "&amp;Parameters!$C$276,"Revise: "&amp;_xlfn.TEXTJOIN(", ",TRUE(),IF(M11&lt;1,Parameters!$A$265,""),IF(N11&lt;1,Parameters!$A$266,""),IF(O11&lt;1,Parameters!$A$267,""),IF(P11&lt;1,Parameters!$A$268,""),IF(Q11&lt;1,Parameters!$A$269,""),IF(R11&lt;1,Parameters!$A$270,""))))</f>
        <v/>
      </c>
      <c r="M11" s="13">
        <f>IF(C11="","",C11/9)</f>
        <v/>
      </c>
      <c r="N11" s="13">
        <f>IF(D11="","",D11/10)</f>
        <v/>
      </c>
      <c r="O11" s="13">
        <f>IF(E11="","",E11/9)</f>
        <v/>
      </c>
      <c r="P11" s="13">
        <f>IF(F11="","",F11/8)</f>
        <v/>
      </c>
      <c r="Q11" s="13">
        <f>IF(G11="","",G11/7)</f>
        <v/>
      </c>
      <c r="R11" s="13">
        <f>IF(H11="","",H11/8)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4" t="n"/>
      <c r="H12" s="14" t="n"/>
      <c r="I12" s="13">
        <f>IF(COUNT(C12:H12)&lt;6,"",SUM(C12:H12))</f>
        <v/>
      </c>
      <c r="J12" s="13">
        <f>IF(COUNT(C12:H12)&lt;6,"",I12/51)</f>
        <v/>
      </c>
      <c r="K12" s="13">
        <f>IF(COUNT(C12:H12)&lt;6,"",IF(J12&gt;=0.8,"Green",IF(J12&gt;=0.5,"Yellow","Red")))</f>
        <v/>
      </c>
      <c r="L12" s="13">
        <f>IF(COUNT(C12:H12)&lt;6,"",IF(K12="Green","Well done! "&amp;Parameters!$C$276,"Revise: "&amp;_xlfn.TEXTJOIN(", ",TRUE(),IF(M12&lt;1,Parameters!$A$265,""),IF(N12&lt;1,Parameters!$A$266,""),IF(O12&lt;1,Parameters!$A$267,""),IF(P12&lt;1,Parameters!$A$268,""),IF(Q12&lt;1,Parameters!$A$269,""),IF(R12&lt;1,Parameters!$A$270,""))))</f>
        <v/>
      </c>
      <c r="M12" s="13">
        <f>IF(C12="","",C12/9)</f>
        <v/>
      </c>
      <c r="N12" s="13">
        <f>IF(D12="","",D12/10)</f>
        <v/>
      </c>
      <c r="O12" s="13">
        <f>IF(E12="","",E12/9)</f>
        <v/>
      </c>
      <c r="P12" s="13">
        <f>IF(F12="","",F12/8)</f>
        <v/>
      </c>
      <c r="Q12" s="13">
        <f>IF(G12="","",G12/7)</f>
        <v/>
      </c>
      <c r="R12" s="13">
        <f>IF(H12="","",H12/8)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4" t="n"/>
      <c r="H13" s="14" t="n"/>
      <c r="I13" s="13">
        <f>IF(COUNT(C13:H13)&lt;6,"",SUM(C13:H13))</f>
        <v/>
      </c>
      <c r="J13" s="13">
        <f>IF(COUNT(C13:H13)&lt;6,"",I13/51)</f>
        <v/>
      </c>
      <c r="K13" s="13">
        <f>IF(COUNT(C13:H13)&lt;6,"",IF(J13&gt;=0.8,"Green",IF(J13&gt;=0.5,"Yellow","Red")))</f>
        <v/>
      </c>
      <c r="L13" s="13">
        <f>IF(COUNT(C13:H13)&lt;6,"",IF(K13="Green","Well done! "&amp;Parameters!$C$276,"Revise: "&amp;_xlfn.TEXTJOIN(", ",TRUE(),IF(M13&lt;1,Parameters!$A$265,""),IF(N13&lt;1,Parameters!$A$266,""),IF(O13&lt;1,Parameters!$A$267,""),IF(P13&lt;1,Parameters!$A$268,""),IF(Q13&lt;1,Parameters!$A$269,""),IF(R13&lt;1,Parameters!$A$270,""))))</f>
        <v/>
      </c>
      <c r="M13" s="13">
        <f>IF(C13="","",C13/9)</f>
        <v/>
      </c>
      <c r="N13" s="13">
        <f>IF(D13="","",D13/10)</f>
        <v/>
      </c>
      <c r="O13" s="13">
        <f>IF(E13="","",E13/9)</f>
        <v/>
      </c>
      <c r="P13" s="13">
        <f>IF(F13="","",F13/8)</f>
        <v/>
      </c>
      <c r="Q13" s="13">
        <f>IF(G13="","",G13/7)</f>
        <v/>
      </c>
      <c r="R13" s="13">
        <f>IF(H13="","",H13/8)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4" t="n"/>
      <c r="H14" s="14" t="n"/>
      <c r="I14" s="13">
        <f>IF(COUNT(C14:H14)&lt;6,"",SUM(C14:H14))</f>
        <v/>
      </c>
      <c r="J14" s="13">
        <f>IF(COUNT(C14:H14)&lt;6,"",I14/51)</f>
        <v/>
      </c>
      <c r="K14" s="13">
        <f>IF(COUNT(C14:H14)&lt;6,"",IF(J14&gt;=0.8,"Green",IF(J14&gt;=0.5,"Yellow","Red")))</f>
        <v/>
      </c>
      <c r="L14" s="13">
        <f>IF(COUNT(C14:H14)&lt;6,"",IF(K14="Green","Well done! "&amp;Parameters!$C$276,"Revise: "&amp;_xlfn.TEXTJOIN(", ",TRUE(),IF(M14&lt;1,Parameters!$A$265,""),IF(N14&lt;1,Parameters!$A$266,""),IF(O14&lt;1,Parameters!$A$267,""),IF(P14&lt;1,Parameters!$A$268,""),IF(Q14&lt;1,Parameters!$A$269,""),IF(R14&lt;1,Parameters!$A$270,""))))</f>
        <v/>
      </c>
      <c r="M14" s="13">
        <f>IF(C14="","",C14/9)</f>
        <v/>
      </c>
      <c r="N14" s="13">
        <f>IF(D14="","",D14/10)</f>
        <v/>
      </c>
      <c r="O14" s="13">
        <f>IF(E14="","",E14/9)</f>
        <v/>
      </c>
      <c r="P14" s="13">
        <f>IF(F14="","",F14/8)</f>
        <v/>
      </c>
      <c r="Q14" s="13">
        <f>IF(G14="","",G14/7)</f>
        <v/>
      </c>
      <c r="R14" s="13">
        <f>IF(H14="","",H14/8)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4" t="n"/>
      <c r="H15" s="14" t="n"/>
      <c r="I15" s="13">
        <f>IF(COUNT(C15:H15)&lt;6,"",SUM(C15:H15))</f>
        <v/>
      </c>
      <c r="J15" s="13">
        <f>IF(COUNT(C15:H15)&lt;6,"",I15/51)</f>
        <v/>
      </c>
      <c r="K15" s="13">
        <f>IF(COUNT(C15:H15)&lt;6,"",IF(J15&gt;=0.8,"Green",IF(J15&gt;=0.5,"Yellow","Red")))</f>
        <v/>
      </c>
      <c r="L15" s="13">
        <f>IF(COUNT(C15:H15)&lt;6,"",IF(K15="Green","Well done! "&amp;Parameters!$C$276,"Revise: "&amp;_xlfn.TEXTJOIN(", ",TRUE(),IF(M15&lt;1,Parameters!$A$265,""),IF(N15&lt;1,Parameters!$A$266,""),IF(O15&lt;1,Parameters!$A$267,""),IF(P15&lt;1,Parameters!$A$268,""),IF(Q15&lt;1,Parameters!$A$269,""),IF(R15&lt;1,Parameters!$A$270,""))))</f>
        <v/>
      </c>
      <c r="M15" s="13">
        <f>IF(C15="","",C15/9)</f>
        <v/>
      </c>
      <c r="N15" s="13">
        <f>IF(D15="","",D15/10)</f>
        <v/>
      </c>
      <c r="O15" s="13">
        <f>IF(E15="","",E15/9)</f>
        <v/>
      </c>
      <c r="P15" s="13">
        <f>IF(F15="","",F15/8)</f>
        <v/>
      </c>
      <c r="Q15" s="13">
        <f>IF(G15="","",G15/7)</f>
        <v/>
      </c>
      <c r="R15" s="13">
        <f>IF(H15="","",H15/8)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4" t="n"/>
      <c r="H16" s="14" t="n"/>
      <c r="I16" s="13">
        <f>IF(COUNT(C16:H16)&lt;6,"",SUM(C16:H16))</f>
        <v/>
      </c>
      <c r="J16" s="13">
        <f>IF(COUNT(C16:H16)&lt;6,"",I16/51)</f>
        <v/>
      </c>
      <c r="K16" s="13">
        <f>IF(COUNT(C16:H16)&lt;6,"",IF(J16&gt;=0.8,"Green",IF(J16&gt;=0.5,"Yellow","Red")))</f>
        <v/>
      </c>
      <c r="L16" s="13">
        <f>IF(COUNT(C16:H16)&lt;6,"",IF(K16="Green","Well done! "&amp;Parameters!$C$276,"Revise: "&amp;_xlfn.TEXTJOIN(", ",TRUE(),IF(M16&lt;1,Parameters!$A$265,""),IF(N16&lt;1,Parameters!$A$266,""),IF(O16&lt;1,Parameters!$A$267,""),IF(P16&lt;1,Parameters!$A$268,""),IF(Q16&lt;1,Parameters!$A$269,""),IF(R16&lt;1,Parameters!$A$270,""))))</f>
        <v/>
      </c>
      <c r="M16" s="13">
        <f>IF(C16="","",C16/9)</f>
        <v/>
      </c>
      <c r="N16" s="13">
        <f>IF(D16="","",D16/10)</f>
        <v/>
      </c>
      <c r="O16" s="13">
        <f>IF(E16="","",E16/9)</f>
        <v/>
      </c>
      <c r="P16" s="13">
        <f>IF(F16="","",F16/8)</f>
        <v/>
      </c>
      <c r="Q16" s="13">
        <f>IF(G16="","",G16/7)</f>
        <v/>
      </c>
      <c r="R16" s="13">
        <f>IF(H16="","",H16/8)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4" t="n"/>
      <c r="H17" s="14" t="n"/>
      <c r="I17" s="13">
        <f>IF(COUNT(C17:H17)&lt;6,"",SUM(C17:H17))</f>
        <v/>
      </c>
      <c r="J17" s="13">
        <f>IF(COUNT(C17:H17)&lt;6,"",I17/51)</f>
        <v/>
      </c>
      <c r="K17" s="13">
        <f>IF(COUNT(C17:H17)&lt;6,"",IF(J17&gt;=0.8,"Green",IF(J17&gt;=0.5,"Yellow","Red")))</f>
        <v/>
      </c>
      <c r="L17" s="13">
        <f>IF(COUNT(C17:H17)&lt;6,"",IF(K17="Green","Well done! "&amp;Parameters!$C$276,"Revise: "&amp;_xlfn.TEXTJOIN(", ",TRUE(),IF(M17&lt;1,Parameters!$A$265,""),IF(N17&lt;1,Parameters!$A$266,""),IF(O17&lt;1,Parameters!$A$267,""),IF(P17&lt;1,Parameters!$A$268,""),IF(Q17&lt;1,Parameters!$A$269,""),IF(R17&lt;1,Parameters!$A$270,""))))</f>
        <v/>
      </c>
      <c r="M17" s="13">
        <f>IF(C17="","",C17/9)</f>
        <v/>
      </c>
      <c r="N17" s="13">
        <f>IF(D17="","",D17/10)</f>
        <v/>
      </c>
      <c r="O17" s="13">
        <f>IF(E17="","",E17/9)</f>
        <v/>
      </c>
      <c r="P17" s="13">
        <f>IF(F17="","",F17/8)</f>
        <v/>
      </c>
      <c r="Q17" s="13">
        <f>IF(G17="","",G17/7)</f>
        <v/>
      </c>
      <c r="R17" s="13">
        <f>IF(H17="","",H17/8)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4" t="n"/>
      <c r="H18" s="14" t="n"/>
      <c r="I18" s="13">
        <f>IF(COUNT(C18:H18)&lt;6,"",SUM(C18:H18))</f>
        <v/>
      </c>
      <c r="J18" s="13">
        <f>IF(COUNT(C18:H18)&lt;6,"",I18/51)</f>
        <v/>
      </c>
      <c r="K18" s="13">
        <f>IF(COUNT(C18:H18)&lt;6,"",IF(J18&gt;=0.8,"Green",IF(J18&gt;=0.5,"Yellow","Red")))</f>
        <v/>
      </c>
      <c r="L18" s="13">
        <f>IF(COUNT(C18:H18)&lt;6,"",IF(K18="Green","Well done! "&amp;Parameters!$C$276,"Revise: "&amp;_xlfn.TEXTJOIN(", ",TRUE(),IF(M18&lt;1,Parameters!$A$265,""),IF(N18&lt;1,Parameters!$A$266,""),IF(O18&lt;1,Parameters!$A$267,""),IF(P18&lt;1,Parameters!$A$268,""),IF(Q18&lt;1,Parameters!$A$269,""),IF(R18&lt;1,Parameters!$A$270,""))))</f>
        <v/>
      </c>
      <c r="M18" s="13">
        <f>IF(C18="","",C18/9)</f>
        <v/>
      </c>
      <c r="N18" s="13">
        <f>IF(D18="","",D18/10)</f>
        <v/>
      </c>
      <c r="O18" s="13">
        <f>IF(E18="","",E18/9)</f>
        <v/>
      </c>
      <c r="P18" s="13">
        <f>IF(F18="","",F18/8)</f>
        <v/>
      </c>
      <c r="Q18" s="13">
        <f>IF(G18="","",G18/7)</f>
        <v/>
      </c>
      <c r="R18" s="13">
        <f>IF(H18="","",H18/8)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4" t="n"/>
      <c r="H19" s="14" t="n"/>
      <c r="I19" s="13">
        <f>IF(COUNT(C19:H19)&lt;6,"",SUM(C19:H19))</f>
        <v/>
      </c>
      <c r="J19" s="13">
        <f>IF(COUNT(C19:H19)&lt;6,"",I19/51)</f>
        <v/>
      </c>
      <c r="K19" s="13">
        <f>IF(COUNT(C19:H19)&lt;6,"",IF(J19&gt;=0.8,"Green",IF(J19&gt;=0.5,"Yellow","Red")))</f>
        <v/>
      </c>
      <c r="L19" s="13">
        <f>IF(COUNT(C19:H19)&lt;6,"",IF(K19="Green","Well done! "&amp;Parameters!$C$276,"Revise: "&amp;_xlfn.TEXTJOIN(", ",TRUE(),IF(M19&lt;1,Parameters!$A$265,""),IF(N19&lt;1,Parameters!$A$266,""),IF(O19&lt;1,Parameters!$A$267,""),IF(P19&lt;1,Parameters!$A$268,""),IF(Q19&lt;1,Parameters!$A$269,""),IF(R19&lt;1,Parameters!$A$270,""))))</f>
        <v/>
      </c>
      <c r="M19" s="13">
        <f>IF(C19="","",C19/9)</f>
        <v/>
      </c>
      <c r="N19" s="13">
        <f>IF(D19="","",D19/10)</f>
        <v/>
      </c>
      <c r="O19" s="13">
        <f>IF(E19="","",E19/9)</f>
        <v/>
      </c>
      <c r="P19" s="13">
        <f>IF(F19="","",F19/8)</f>
        <v/>
      </c>
      <c r="Q19" s="13">
        <f>IF(G19="","",G19/7)</f>
        <v/>
      </c>
      <c r="R19" s="13">
        <f>IF(H19="","",H19/8)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4" t="n"/>
      <c r="H20" s="14" t="n"/>
      <c r="I20" s="13">
        <f>IF(COUNT(C20:H20)&lt;6,"",SUM(C20:H20))</f>
        <v/>
      </c>
      <c r="J20" s="13">
        <f>IF(COUNT(C20:H20)&lt;6,"",I20/51)</f>
        <v/>
      </c>
      <c r="K20" s="13">
        <f>IF(COUNT(C20:H20)&lt;6,"",IF(J20&gt;=0.8,"Green",IF(J20&gt;=0.5,"Yellow","Red")))</f>
        <v/>
      </c>
      <c r="L20" s="13">
        <f>IF(COUNT(C20:H20)&lt;6,"",IF(K20="Green","Well done! "&amp;Parameters!$C$276,"Revise: "&amp;_xlfn.TEXTJOIN(", ",TRUE(),IF(M20&lt;1,Parameters!$A$265,""),IF(N20&lt;1,Parameters!$A$266,""),IF(O20&lt;1,Parameters!$A$267,""),IF(P20&lt;1,Parameters!$A$268,""),IF(Q20&lt;1,Parameters!$A$269,""),IF(R20&lt;1,Parameters!$A$270,""))))</f>
        <v/>
      </c>
      <c r="M20" s="13">
        <f>IF(C20="","",C20/9)</f>
        <v/>
      </c>
      <c r="N20" s="13">
        <f>IF(D20="","",D20/10)</f>
        <v/>
      </c>
      <c r="O20" s="13">
        <f>IF(E20="","",E20/9)</f>
        <v/>
      </c>
      <c r="P20" s="13">
        <f>IF(F20="","",F20/8)</f>
        <v/>
      </c>
      <c r="Q20" s="13">
        <f>IF(G20="","",G20/7)</f>
        <v/>
      </c>
      <c r="R20" s="13">
        <f>IF(H20="","",H20/8)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4" t="n"/>
      <c r="H21" s="14" t="n"/>
      <c r="I21" s="13">
        <f>IF(COUNT(C21:H21)&lt;6,"",SUM(C21:H21))</f>
        <v/>
      </c>
      <c r="J21" s="13">
        <f>IF(COUNT(C21:H21)&lt;6,"",I21/51)</f>
        <v/>
      </c>
      <c r="K21" s="13">
        <f>IF(COUNT(C21:H21)&lt;6,"",IF(J21&gt;=0.8,"Green",IF(J21&gt;=0.5,"Yellow","Red")))</f>
        <v/>
      </c>
      <c r="L21" s="13">
        <f>IF(COUNT(C21:H21)&lt;6,"",IF(K21="Green","Well done! "&amp;Parameters!$C$276,"Revise: "&amp;_xlfn.TEXTJOIN(", ",TRUE(),IF(M21&lt;1,Parameters!$A$265,""),IF(N21&lt;1,Parameters!$A$266,""),IF(O21&lt;1,Parameters!$A$267,""),IF(P21&lt;1,Parameters!$A$268,""),IF(Q21&lt;1,Parameters!$A$269,""),IF(R21&lt;1,Parameters!$A$270,""))))</f>
        <v/>
      </c>
      <c r="M21" s="13">
        <f>IF(C21="","",C21/9)</f>
        <v/>
      </c>
      <c r="N21" s="13">
        <f>IF(D21="","",D21/10)</f>
        <v/>
      </c>
      <c r="O21" s="13">
        <f>IF(E21="","",E21/9)</f>
        <v/>
      </c>
      <c r="P21" s="13">
        <f>IF(F21="","",F21/8)</f>
        <v/>
      </c>
      <c r="Q21" s="13">
        <f>IF(G21="","",G21/7)</f>
        <v/>
      </c>
      <c r="R21" s="13">
        <f>IF(H21="","",H21/8)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4" t="n"/>
      <c r="H22" s="14" t="n"/>
      <c r="I22" s="13">
        <f>IF(COUNT(C22:H22)&lt;6,"",SUM(C22:H22))</f>
        <v/>
      </c>
      <c r="J22" s="13">
        <f>IF(COUNT(C22:H22)&lt;6,"",I22/51)</f>
        <v/>
      </c>
      <c r="K22" s="13">
        <f>IF(COUNT(C22:H22)&lt;6,"",IF(J22&gt;=0.8,"Green",IF(J22&gt;=0.5,"Yellow","Red")))</f>
        <v/>
      </c>
      <c r="L22" s="13">
        <f>IF(COUNT(C22:H22)&lt;6,"",IF(K22="Green","Well done! "&amp;Parameters!$C$276,"Revise: "&amp;_xlfn.TEXTJOIN(", ",TRUE(),IF(M22&lt;1,Parameters!$A$265,""),IF(N22&lt;1,Parameters!$A$266,""),IF(O22&lt;1,Parameters!$A$267,""),IF(P22&lt;1,Parameters!$A$268,""),IF(Q22&lt;1,Parameters!$A$269,""),IF(R22&lt;1,Parameters!$A$270,""))))</f>
        <v/>
      </c>
      <c r="M22" s="13">
        <f>IF(C22="","",C22/9)</f>
        <v/>
      </c>
      <c r="N22" s="13">
        <f>IF(D22="","",D22/10)</f>
        <v/>
      </c>
      <c r="O22" s="13">
        <f>IF(E22="","",E22/9)</f>
        <v/>
      </c>
      <c r="P22" s="13">
        <f>IF(F22="","",F22/8)</f>
        <v/>
      </c>
      <c r="Q22" s="13">
        <f>IF(G22="","",G22/7)</f>
        <v/>
      </c>
      <c r="R22" s="13">
        <f>IF(H22="","",H22/8)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4" t="n"/>
      <c r="H23" s="14" t="n"/>
      <c r="I23" s="13">
        <f>IF(COUNT(C23:H23)&lt;6,"",SUM(C23:H23))</f>
        <v/>
      </c>
      <c r="J23" s="13">
        <f>IF(COUNT(C23:H23)&lt;6,"",I23/51)</f>
        <v/>
      </c>
      <c r="K23" s="13">
        <f>IF(COUNT(C23:H23)&lt;6,"",IF(J23&gt;=0.8,"Green",IF(J23&gt;=0.5,"Yellow","Red")))</f>
        <v/>
      </c>
      <c r="L23" s="13">
        <f>IF(COUNT(C23:H23)&lt;6,"",IF(K23="Green","Well done! "&amp;Parameters!$C$276,"Revise: "&amp;_xlfn.TEXTJOIN(", ",TRUE(),IF(M23&lt;1,Parameters!$A$265,""),IF(N23&lt;1,Parameters!$A$266,""),IF(O23&lt;1,Parameters!$A$267,""),IF(P23&lt;1,Parameters!$A$268,""),IF(Q23&lt;1,Parameters!$A$269,""),IF(R23&lt;1,Parameters!$A$270,""))))</f>
        <v/>
      </c>
      <c r="M23" s="13">
        <f>IF(C23="","",C23/9)</f>
        <v/>
      </c>
      <c r="N23" s="13">
        <f>IF(D23="","",D23/10)</f>
        <v/>
      </c>
      <c r="O23" s="13">
        <f>IF(E23="","",E23/9)</f>
        <v/>
      </c>
      <c r="P23" s="13">
        <f>IF(F23="","",F23/8)</f>
        <v/>
      </c>
      <c r="Q23" s="13">
        <f>IF(G23="","",G23/7)</f>
        <v/>
      </c>
      <c r="R23" s="13">
        <f>IF(H23="","",H23/8)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4" t="n"/>
      <c r="H24" s="14" t="n"/>
      <c r="I24" s="13">
        <f>IF(COUNT(C24:H24)&lt;6,"",SUM(C24:H24))</f>
        <v/>
      </c>
      <c r="J24" s="13">
        <f>IF(COUNT(C24:H24)&lt;6,"",I24/51)</f>
        <v/>
      </c>
      <c r="K24" s="13">
        <f>IF(COUNT(C24:H24)&lt;6,"",IF(J24&gt;=0.8,"Green",IF(J24&gt;=0.5,"Yellow","Red")))</f>
        <v/>
      </c>
      <c r="L24" s="13">
        <f>IF(COUNT(C24:H24)&lt;6,"",IF(K24="Green","Well done! "&amp;Parameters!$C$276,"Revise: "&amp;_xlfn.TEXTJOIN(", ",TRUE(),IF(M24&lt;1,Parameters!$A$265,""),IF(N24&lt;1,Parameters!$A$266,""),IF(O24&lt;1,Parameters!$A$267,""),IF(P24&lt;1,Parameters!$A$268,""),IF(Q24&lt;1,Parameters!$A$269,""),IF(R24&lt;1,Parameters!$A$270,""))))</f>
        <v/>
      </c>
      <c r="M24" s="13">
        <f>IF(C24="","",C24/9)</f>
        <v/>
      </c>
      <c r="N24" s="13">
        <f>IF(D24="","",D24/10)</f>
        <v/>
      </c>
      <c r="O24" s="13">
        <f>IF(E24="","",E24/9)</f>
        <v/>
      </c>
      <c r="P24" s="13">
        <f>IF(F24="","",F24/8)</f>
        <v/>
      </c>
      <c r="Q24" s="13">
        <f>IF(G24="","",G24/7)</f>
        <v/>
      </c>
      <c r="R24" s="13">
        <f>IF(H24="","",H24/8)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4" t="n"/>
      <c r="H25" s="14" t="n"/>
      <c r="I25" s="13">
        <f>IF(COUNT(C25:H25)&lt;6,"",SUM(C25:H25))</f>
        <v/>
      </c>
      <c r="J25" s="13">
        <f>IF(COUNT(C25:H25)&lt;6,"",I25/51)</f>
        <v/>
      </c>
      <c r="K25" s="13">
        <f>IF(COUNT(C25:H25)&lt;6,"",IF(J25&gt;=0.8,"Green",IF(J25&gt;=0.5,"Yellow","Red")))</f>
        <v/>
      </c>
      <c r="L25" s="13">
        <f>IF(COUNT(C25:H25)&lt;6,"",IF(K25="Green","Well done! "&amp;Parameters!$C$276,"Revise: "&amp;_xlfn.TEXTJOIN(", ",TRUE(),IF(M25&lt;1,Parameters!$A$265,""),IF(N25&lt;1,Parameters!$A$266,""),IF(O25&lt;1,Parameters!$A$267,""),IF(P25&lt;1,Parameters!$A$268,""),IF(Q25&lt;1,Parameters!$A$269,""),IF(R25&lt;1,Parameters!$A$270,""))))</f>
        <v/>
      </c>
      <c r="M25" s="13">
        <f>IF(C25="","",C25/9)</f>
        <v/>
      </c>
      <c r="N25" s="13">
        <f>IF(D25="","",D25/10)</f>
        <v/>
      </c>
      <c r="O25" s="13">
        <f>IF(E25="","",E25/9)</f>
        <v/>
      </c>
      <c r="P25" s="13">
        <f>IF(F25="","",F25/8)</f>
        <v/>
      </c>
      <c r="Q25" s="13">
        <f>IF(G25="","",G25/7)</f>
        <v/>
      </c>
      <c r="R25" s="13">
        <f>IF(H25="","",H25/8)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4" t="n"/>
      <c r="H26" s="14" t="n"/>
      <c r="I26" s="13">
        <f>IF(COUNT(C26:H26)&lt;6,"",SUM(C26:H26))</f>
        <v/>
      </c>
      <c r="J26" s="13">
        <f>IF(COUNT(C26:H26)&lt;6,"",I26/51)</f>
        <v/>
      </c>
      <c r="K26" s="13">
        <f>IF(COUNT(C26:H26)&lt;6,"",IF(J26&gt;=0.8,"Green",IF(J26&gt;=0.5,"Yellow","Red")))</f>
        <v/>
      </c>
      <c r="L26" s="13">
        <f>IF(COUNT(C26:H26)&lt;6,"",IF(K26="Green","Well done! "&amp;Parameters!$C$276,"Revise: "&amp;_xlfn.TEXTJOIN(", ",TRUE(),IF(M26&lt;1,Parameters!$A$265,""),IF(N26&lt;1,Parameters!$A$266,""),IF(O26&lt;1,Parameters!$A$267,""),IF(P26&lt;1,Parameters!$A$268,""),IF(Q26&lt;1,Parameters!$A$269,""),IF(R26&lt;1,Parameters!$A$270,""))))</f>
        <v/>
      </c>
      <c r="M26" s="13">
        <f>IF(C26="","",C26/9)</f>
        <v/>
      </c>
      <c r="N26" s="13">
        <f>IF(D26="","",D26/10)</f>
        <v/>
      </c>
      <c r="O26" s="13">
        <f>IF(E26="","",E26/9)</f>
        <v/>
      </c>
      <c r="P26" s="13">
        <f>IF(F26="","",F26/8)</f>
        <v/>
      </c>
      <c r="Q26" s="13">
        <f>IF(G26="","",G26/7)</f>
        <v/>
      </c>
      <c r="R26" s="13">
        <f>IF(H26="","",H26/8)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4" t="n"/>
      <c r="H27" s="14" t="n"/>
      <c r="I27" s="13">
        <f>IF(COUNT(C27:H27)&lt;6,"",SUM(C27:H27))</f>
        <v/>
      </c>
      <c r="J27" s="13">
        <f>IF(COUNT(C27:H27)&lt;6,"",I27/51)</f>
        <v/>
      </c>
      <c r="K27" s="13">
        <f>IF(COUNT(C27:H27)&lt;6,"",IF(J27&gt;=0.8,"Green",IF(J27&gt;=0.5,"Yellow","Red")))</f>
        <v/>
      </c>
      <c r="L27" s="13">
        <f>IF(COUNT(C27:H27)&lt;6,"",IF(K27="Green","Well done! "&amp;Parameters!$C$276,"Revise: "&amp;_xlfn.TEXTJOIN(", ",TRUE(),IF(M27&lt;1,Parameters!$A$265,""),IF(N27&lt;1,Parameters!$A$266,""),IF(O27&lt;1,Parameters!$A$267,""),IF(P27&lt;1,Parameters!$A$268,""),IF(Q27&lt;1,Parameters!$A$269,""),IF(R27&lt;1,Parameters!$A$270,""))))</f>
        <v/>
      </c>
      <c r="M27" s="13">
        <f>IF(C27="","",C27/9)</f>
        <v/>
      </c>
      <c r="N27" s="13">
        <f>IF(D27="","",D27/10)</f>
        <v/>
      </c>
      <c r="O27" s="13">
        <f>IF(E27="","",E27/9)</f>
        <v/>
      </c>
      <c r="P27" s="13">
        <f>IF(F27="","",F27/8)</f>
        <v/>
      </c>
      <c r="Q27" s="13">
        <f>IF(G27="","",G27/7)</f>
        <v/>
      </c>
      <c r="R27" s="13">
        <f>IF(H27="","",H27/8)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4" t="n"/>
      <c r="H28" s="14" t="n"/>
      <c r="I28" s="13">
        <f>IF(COUNT(C28:H28)&lt;6,"",SUM(C28:H28))</f>
        <v/>
      </c>
      <c r="J28" s="13">
        <f>IF(COUNT(C28:H28)&lt;6,"",I28/51)</f>
        <v/>
      </c>
      <c r="K28" s="13">
        <f>IF(COUNT(C28:H28)&lt;6,"",IF(J28&gt;=0.8,"Green",IF(J28&gt;=0.5,"Yellow","Red")))</f>
        <v/>
      </c>
      <c r="L28" s="13">
        <f>IF(COUNT(C28:H28)&lt;6,"",IF(K28="Green","Well done! "&amp;Parameters!$C$276,"Revise: "&amp;_xlfn.TEXTJOIN(", ",TRUE(),IF(M28&lt;1,Parameters!$A$265,""),IF(N28&lt;1,Parameters!$A$266,""),IF(O28&lt;1,Parameters!$A$267,""),IF(P28&lt;1,Parameters!$A$268,""),IF(Q28&lt;1,Parameters!$A$269,""),IF(R28&lt;1,Parameters!$A$270,""))))</f>
        <v/>
      </c>
      <c r="M28" s="13">
        <f>IF(C28="","",C28/9)</f>
        <v/>
      </c>
      <c r="N28" s="13">
        <f>IF(D28="","",D28/10)</f>
        <v/>
      </c>
      <c r="O28" s="13">
        <f>IF(E28="","",E28/9)</f>
        <v/>
      </c>
      <c r="P28" s="13">
        <f>IF(F28="","",F28/8)</f>
        <v/>
      </c>
      <c r="Q28" s="13">
        <f>IF(G28="","",G28/7)</f>
        <v/>
      </c>
      <c r="R28" s="13">
        <f>IF(H28="","",H28/8)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4" t="n"/>
      <c r="H29" s="14" t="n"/>
      <c r="I29" s="13">
        <f>IF(COUNT(C29:H29)&lt;6,"",SUM(C29:H29))</f>
        <v/>
      </c>
      <c r="J29" s="13">
        <f>IF(COUNT(C29:H29)&lt;6,"",I29/51)</f>
        <v/>
      </c>
      <c r="K29" s="13">
        <f>IF(COUNT(C29:H29)&lt;6,"",IF(J29&gt;=0.8,"Green",IF(J29&gt;=0.5,"Yellow","Red")))</f>
        <v/>
      </c>
      <c r="L29" s="13">
        <f>IF(COUNT(C29:H29)&lt;6,"",IF(K29="Green","Well done! "&amp;Parameters!$C$276,"Revise: "&amp;_xlfn.TEXTJOIN(", ",TRUE(),IF(M29&lt;1,Parameters!$A$265,""),IF(N29&lt;1,Parameters!$A$266,""),IF(O29&lt;1,Parameters!$A$267,""),IF(P29&lt;1,Parameters!$A$268,""),IF(Q29&lt;1,Parameters!$A$269,""),IF(R29&lt;1,Parameters!$A$270,""))))</f>
        <v/>
      </c>
      <c r="M29" s="13">
        <f>IF(C29="","",C29/9)</f>
        <v/>
      </c>
      <c r="N29" s="13">
        <f>IF(D29="","",D29/10)</f>
        <v/>
      </c>
      <c r="O29" s="13">
        <f>IF(E29="","",E29/9)</f>
        <v/>
      </c>
      <c r="P29" s="13">
        <f>IF(F29="","",F29/8)</f>
        <v/>
      </c>
      <c r="Q29" s="13">
        <f>IF(G29="","",G29/7)</f>
        <v/>
      </c>
      <c r="R29" s="13">
        <f>IF(H29="","",H29/8)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4" t="n"/>
      <c r="H30" s="14" t="n"/>
      <c r="I30" s="13">
        <f>IF(COUNT(C30:H30)&lt;6,"",SUM(C30:H30))</f>
        <v/>
      </c>
      <c r="J30" s="13">
        <f>IF(COUNT(C30:H30)&lt;6,"",I30/51)</f>
        <v/>
      </c>
      <c r="K30" s="13">
        <f>IF(COUNT(C30:H30)&lt;6,"",IF(J30&gt;=0.8,"Green",IF(J30&gt;=0.5,"Yellow","Red")))</f>
        <v/>
      </c>
      <c r="L30" s="13">
        <f>IF(COUNT(C30:H30)&lt;6,"",IF(K30="Green","Well done! "&amp;Parameters!$C$276,"Revise: "&amp;_xlfn.TEXTJOIN(", ",TRUE(),IF(M30&lt;1,Parameters!$A$265,""),IF(N30&lt;1,Parameters!$A$266,""),IF(O30&lt;1,Parameters!$A$267,""),IF(P30&lt;1,Parameters!$A$268,""),IF(Q30&lt;1,Parameters!$A$269,""),IF(R30&lt;1,Parameters!$A$270,""))))</f>
        <v/>
      </c>
      <c r="M30" s="13">
        <f>IF(C30="","",C30/9)</f>
        <v/>
      </c>
      <c r="N30" s="13">
        <f>IF(D30="","",D30/10)</f>
        <v/>
      </c>
      <c r="O30" s="13">
        <f>IF(E30="","",E30/9)</f>
        <v/>
      </c>
      <c r="P30" s="13">
        <f>IF(F30="","",F30/8)</f>
        <v/>
      </c>
      <c r="Q30" s="13">
        <f>IF(G30="","",G30/7)</f>
        <v/>
      </c>
      <c r="R30" s="13">
        <f>IF(H30="","",H30/8)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4" t="n"/>
      <c r="H31" s="14" t="n"/>
      <c r="I31" s="13">
        <f>IF(COUNT(C31:H31)&lt;6,"",SUM(C31:H31))</f>
        <v/>
      </c>
      <c r="J31" s="13">
        <f>IF(COUNT(C31:H31)&lt;6,"",I31/51)</f>
        <v/>
      </c>
      <c r="K31" s="13">
        <f>IF(COUNT(C31:H31)&lt;6,"",IF(J31&gt;=0.8,"Green",IF(J31&gt;=0.5,"Yellow","Red")))</f>
        <v/>
      </c>
      <c r="L31" s="13">
        <f>IF(COUNT(C31:H31)&lt;6,"",IF(K31="Green","Well done! "&amp;Parameters!$C$276,"Revise: "&amp;_xlfn.TEXTJOIN(", ",TRUE(),IF(M31&lt;1,Parameters!$A$265,""),IF(N31&lt;1,Parameters!$A$266,""),IF(O31&lt;1,Parameters!$A$267,""),IF(P31&lt;1,Parameters!$A$268,""),IF(Q31&lt;1,Parameters!$A$269,""),IF(R31&lt;1,Parameters!$A$270,""))))</f>
        <v/>
      </c>
      <c r="M31" s="13">
        <f>IF(C31="","",C31/9)</f>
        <v/>
      </c>
      <c r="N31" s="13">
        <f>IF(D31="","",D31/10)</f>
        <v/>
      </c>
      <c r="O31" s="13">
        <f>IF(E31="","",E31/9)</f>
        <v/>
      </c>
      <c r="P31" s="13">
        <f>IF(F31="","",F31/8)</f>
        <v/>
      </c>
      <c r="Q31" s="13">
        <f>IF(G31="","",G31/7)</f>
        <v/>
      </c>
      <c r="R31" s="13">
        <f>IF(H31="","",H31/8)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4" t="n"/>
      <c r="H32" s="14" t="n"/>
      <c r="I32" s="13">
        <f>IF(COUNT(C32:H32)&lt;6,"",SUM(C32:H32))</f>
        <v/>
      </c>
      <c r="J32" s="13">
        <f>IF(COUNT(C32:H32)&lt;6,"",I32/51)</f>
        <v/>
      </c>
      <c r="K32" s="13">
        <f>IF(COUNT(C32:H32)&lt;6,"",IF(J32&gt;=0.8,"Green",IF(J32&gt;=0.5,"Yellow","Red")))</f>
        <v/>
      </c>
      <c r="L32" s="13">
        <f>IF(COUNT(C32:H32)&lt;6,"",IF(K32="Green","Well done! "&amp;Parameters!$C$276,"Revise: "&amp;_xlfn.TEXTJOIN(", ",TRUE(),IF(M32&lt;1,Parameters!$A$265,""),IF(N32&lt;1,Parameters!$A$266,""),IF(O32&lt;1,Parameters!$A$267,""),IF(P32&lt;1,Parameters!$A$268,""),IF(Q32&lt;1,Parameters!$A$269,""),IF(R32&lt;1,Parameters!$A$270,""))))</f>
        <v/>
      </c>
      <c r="M32" s="13">
        <f>IF(C32="","",C32/9)</f>
        <v/>
      </c>
      <c r="N32" s="13">
        <f>IF(D32="","",D32/10)</f>
        <v/>
      </c>
      <c r="O32" s="13">
        <f>IF(E32="","",E32/9)</f>
        <v/>
      </c>
      <c r="P32" s="13">
        <f>IF(F32="","",F32/8)</f>
        <v/>
      </c>
      <c r="Q32" s="13">
        <f>IF(G32="","",G32/7)</f>
        <v/>
      </c>
      <c r="R32" s="13">
        <f>IF(H32="","",H32/8)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4" t="n"/>
      <c r="H33" s="14" t="n"/>
      <c r="I33" s="13">
        <f>IF(COUNT(C33:H33)&lt;6,"",SUM(C33:H33))</f>
        <v/>
      </c>
      <c r="J33" s="13">
        <f>IF(COUNT(C33:H33)&lt;6,"",I33/51)</f>
        <v/>
      </c>
      <c r="K33" s="13">
        <f>IF(COUNT(C33:H33)&lt;6,"",IF(J33&gt;=0.8,"Green",IF(J33&gt;=0.5,"Yellow","Red")))</f>
        <v/>
      </c>
      <c r="L33" s="13">
        <f>IF(COUNT(C33:H33)&lt;6,"",IF(K33="Green","Well done! "&amp;Parameters!$C$276,"Revise: "&amp;_xlfn.TEXTJOIN(", ",TRUE(),IF(M33&lt;1,Parameters!$A$265,""),IF(N33&lt;1,Parameters!$A$266,""),IF(O33&lt;1,Parameters!$A$267,""),IF(P33&lt;1,Parameters!$A$268,""),IF(Q33&lt;1,Parameters!$A$269,""),IF(R33&lt;1,Parameters!$A$270,""))))</f>
        <v/>
      </c>
      <c r="M33" s="13">
        <f>IF(C33="","",C33/9)</f>
        <v/>
      </c>
      <c r="N33" s="13">
        <f>IF(D33="","",D33/10)</f>
        <v/>
      </c>
      <c r="O33" s="13">
        <f>IF(E33="","",E33/9)</f>
        <v/>
      </c>
      <c r="P33" s="13">
        <f>IF(F33="","",F33/8)</f>
        <v/>
      </c>
      <c r="Q33" s="13">
        <f>IF(G33="","",G33/7)</f>
        <v/>
      </c>
      <c r="R33" s="13">
        <f>IF(H33="","",H33/8)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4" t="n"/>
      <c r="H34" s="14" t="n"/>
      <c r="I34" s="13">
        <f>IF(COUNT(C34:H34)&lt;6,"",SUM(C34:H34))</f>
        <v/>
      </c>
      <c r="J34" s="13">
        <f>IF(COUNT(C34:H34)&lt;6,"",I34/51)</f>
        <v/>
      </c>
      <c r="K34" s="13">
        <f>IF(COUNT(C34:H34)&lt;6,"",IF(J34&gt;=0.8,"Green",IF(J34&gt;=0.5,"Yellow","Red")))</f>
        <v/>
      </c>
      <c r="L34" s="13">
        <f>IF(COUNT(C34:H34)&lt;6,"",IF(K34="Green","Well done! "&amp;Parameters!$C$276,"Revise: "&amp;_xlfn.TEXTJOIN(", ",TRUE(),IF(M34&lt;1,Parameters!$A$265,""),IF(N34&lt;1,Parameters!$A$266,""),IF(O34&lt;1,Parameters!$A$267,""),IF(P34&lt;1,Parameters!$A$268,""),IF(Q34&lt;1,Parameters!$A$269,""),IF(R34&lt;1,Parameters!$A$270,""))))</f>
        <v/>
      </c>
      <c r="M34" s="13">
        <f>IF(C34="","",C34/9)</f>
        <v/>
      </c>
      <c r="N34" s="13">
        <f>IF(D34="","",D34/10)</f>
        <v/>
      </c>
      <c r="O34" s="13">
        <f>IF(E34="","",E34/9)</f>
        <v/>
      </c>
      <c r="P34" s="13">
        <f>IF(F34="","",F34/8)</f>
        <v/>
      </c>
      <c r="Q34" s="13">
        <f>IF(G34="","",G34/7)</f>
        <v/>
      </c>
      <c r="R34" s="13">
        <f>IF(H34="","",H34/8)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4" t="n"/>
      <c r="H35" s="14" t="n"/>
      <c r="I35" s="13">
        <f>IF(COUNT(C35:H35)&lt;6,"",SUM(C35:H35))</f>
        <v/>
      </c>
      <c r="J35" s="13">
        <f>IF(COUNT(C35:H35)&lt;6,"",I35/51)</f>
        <v/>
      </c>
      <c r="K35" s="13">
        <f>IF(COUNT(C35:H35)&lt;6,"",IF(J35&gt;=0.8,"Green",IF(J35&gt;=0.5,"Yellow","Red")))</f>
        <v/>
      </c>
      <c r="L35" s="13">
        <f>IF(COUNT(C35:H35)&lt;6,"",IF(K35="Green","Well done! "&amp;Parameters!$C$276,"Revise: "&amp;_xlfn.TEXTJOIN(", ",TRUE(),IF(M35&lt;1,Parameters!$A$265,""),IF(N35&lt;1,Parameters!$A$266,""),IF(O35&lt;1,Parameters!$A$267,""),IF(P35&lt;1,Parameters!$A$268,""),IF(Q35&lt;1,Parameters!$A$269,""),IF(R35&lt;1,Parameters!$A$270,""))))</f>
        <v/>
      </c>
      <c r="M35" s="13">
        <f>IF(C35="","",C35/9)</f>
        <v/>
      </c>
      <c r="N35" s="13">
        <f>IF(D35="","",D35/10)</f>
        <v/>
      </c>
      <c r="O35" s="13">
        <f>IF(E35="","",E35/9)</f>
        <v/>
      </c>
      <c r="P35" s="13">
        <f>IF(F35="","",F35/8)</f>
        <v/>
      </c>
      <c r="Q35" s="13">
        <f>IF(G35="","",G35/7)</f>
        <v/>
      </c>
      <c r="R35" s="13">
        <f>IF(H35="","",H35/8)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4" t="n"/>
      <c r="H36" s="14" t="n"/>
      <c r="I36" s="13">
        <f>IF(COUNT(C36:H36)&lt;6,"",SUM(C36:H36))</f>
        <v/>
      </c>
      <c r="J36" s="13">
        <f>IF(COUNT(C36:H36)&lt;6,"",I36/51)</f>
        <v/>
      </c>
      <c r="K36" s="13">
        <f>IF(COUNT(C36:H36)&lt;6,"",IF(J36&gt;=0.8,"Green",IF(J36&gt;=0.5,"Yellow","Red")))</f>
        <v/>
      </c>
      <c r="L36" s="13">
        <f>IF(COUNT(C36:H36)&lt;6,"",IF(K36="Green","Well done! "&amp;Parameters!$C$276,"Revise: "&amp;_xlfn.TEXTJOIN(", ",TRUE(),IF(M36&lt;1,Parameters!$A$265,""),IF(N36&lt;1,Parameters!$A$266,""),IF(O36&lt;1,Parameters!$A$267,""),IF(P36&lt;1,Parameters!$A$268,""),IF(Q36&lt;1,Parameters!$A$269,""),IF(R36&lt;1,Parameters!$A$270,""))))</f>
        <v/>
      </c>
      <c r="M36" s="13">
        <f>IF(C36="","",C36/9)</f>
        <v/>
      </c>
      <c r="N36" s="13">
        <f>IF(D36="","",D36/10)</f>
        <v/>
      </c>
      <c r="O36" s="13">
        <f>IF(E36="","",E36/9)</f>
        <v/>
      </c>
      <c r="P36" s="13">
        <f>IF(F36="","",F36/8)</f>
        <v/>
      </c>
      <c r="Q36" s="13">
        <f>IF(G36="","",G36/7)</f>
        <v/>
      </c>
      <c r="R36" s="13">
        <f>IF(H36="","",H36/8)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4" t="n"/>
      <c r="H37" s="14" t="n"/>
      <c r="I37" s="13">
        <f>IF(COUNT(C37:H37)&lt;6,"",SUM(C37:H37))</f>
        <v/>
      </c>
      <c r="J37" s="13">
        <f>IF(COUNT(C37:H37)&lt;6,"",I37/51)</f>
        <v/>
      </c>
      <c r="K37" s="13">
        <f>IF(COUNT(C37:H37)&lt;6,"",IF(J37&gt;=0.8,"Green",IF(J37&gt;=0.5,"Yellow","Red")))</f>
        <v/>
      </c>
      <c r="L37" s="13">
        <f>IF(COUNT(C37:H37)&lt;6,"",IF(K37="Green","Well done! "&amp;Parameters!$C$276,"Revise: "&amp;_xlfn.TEXTJOIN(", ",TRUE(),IF(M37&lt;1,Parameters!$A$265,""),IF(N37&lt;1,Parameters!$A$266,""),IF(O37&lt;1,Parameters!$A$267,""),IF(P37&lt;1,Parameters!$A$268,""),IF(Q37&lt;1,Parameters!$A$269,""),IF(R37&lt;1,Parameters!$A$270,""))))</f>
        <v/>
      </c>
      <c r="M37" s="13">
        <f>IF(C37="","",C37/9)</f>
        <v/>
      </c>
      <c r="N37" s="13">
        <f>IF(D37="","",D37/10)</f>
        <v/>
      </c>
      <c r="O37" s="13">
        <f>IF(E37="","",E37/9)</f>
        <v/>
      </c>
      <c r="P37" s="13">
        <f>IF(F37="","",F37/8)</f>
        <v/>
      </c>
      <c r="Q37" s="13">
        <f>IF(G37="","",G37/7)</f>
        <v/>
      </c>
      <c r="R37" s="13">
        <f>IF(H37="","",H37/8)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4" t="n"/>
      <c r="H38" s="14" t="n"/>
      <c r="I38" s="13">
        <f>IF(COUNT(C38:H38)&lt;6,"",SUM(C38:H38))</f>
        <v/>
      </c>
      <c r="J38" s="13">
        <f>IF(COUNT(C38:H38)&lt;6,"",I38/51)</f>
        <v/>
      </c>
      <c r="K38" s="13">
        <f>IF(COUNT(C38:H38)&lt;6,"",IF(J38&gt;=0.8,"Green",IF(J38&gt;=0.5,"Yellow","Red")))</f>
        <v/>
      </c>
      <c r="L38" s="13">
        <f>IF(COUNT(C38:H38)&lt;6,"",IF(K38="Green","Well done! "&amp;Parameters!$C$276,"Revise: "&amp;_xlfn.TEXTJOIN(", ",TRUE(),IF(M38&lt;1,Parameters!$A$265,""),IF(N38&lt;1,Parameters!$A$266,""),IF(O38&lt;1,Parameters!$A$267,""),IF(P38&lt;1,Parameters!$A$268,""),IF(Q38&lt;1,Parameters!$A$269,""),IF(R38&lt;1,Parameters!$A$270,""))))</f>
        <v/>
      </c>
      <c r="M38" s="13">
        <f>IF(C38="","",C38/9)</f>
        <v/>
      </c>
      <c r="N38" s="13">
        <f>IF(D38="","",D38/10)</f>
        <v/>
      </c>
      <c r="O38" s="13">
        <f>IF(E38="","",E38/9)</f>
        <v/>
      </c>
      <c r="P38" s="13">
        <f>IF(F38="","",F38/8)</f>
        <v/>
      </c>
      <c r="Q38" s="13">
        <f>IF(G38="","",G38/7)</f>
        <v/>
      </c>
      <c r="R38" s="13">
        <f>IF(H38="","",H38/8)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4" t="n"/>
      <c r="H39" s="14" t="n"/>
      <c r="I39" s="13">
        <f>IF(COUNT(C39:H39)&lt;6,"",SUM(C39:H39))</f>
        <v/>
      </c>
      <c r="J39" s="13">
        <f>IF(COUNT(C39:H39)&lt;6,"",I39/51)</f>
        <v/>
      </c>
      <c r="K39" s="13">
        <f>IF(COUNT(C39:H39)&lt;6,"",IF(J39&gt;=0.8,"Green",IF(J39&gt;=0.5,"Yellow","Red")))</f>
        <v/>
      </c>
      <c r="L39" s="13">
        <f>IF(COUNT(C39:H39)&lt;6,"",IF(K39="Green","Well done! "&amp;Parameters!$C$276,"Revise: "&amp;_xlfn.TEXTJOIN(", ",TRUE(),IF(M39&lt;1,Parameters!$A$265,""),IF(N39&lt;1,Parameters!$A$266,""),IF(O39&lt;1,Parameters!$A$267,""),IF(P39&lt;1,Parameters!$A$268,""),IF(Q39&lt;1,Parameters!$A$269,""),IF(R39&lt;1,Parameters!$A$270,""))))</f>
        <v/>
      </c>
      <c r="M39" s="13">
        <f>IF(C39="","",C39/9)</f>
        <v/>
      </c>
      <c r="N39" s="13">
        <f>IF(D39="","",D39/10)</f>
        <v/>
      </c>
      <c r="O39" s="13">
        <f>IF(E39="","",E39/9)</f>
        <v/>
      </c>
      <c r="P39" s="13">
        <f>IF(F39="","",F39/8)</f>
        <v/>
      </c>
      <c r="Q39" s="13">
        <f>IF(G39="","",G39/7)</f>
        <v/>
      </c>
      <c r="R39" s="13">
        <f>IF(H39="","",H39/8)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4" t="n"/>
      <c r="H40" s="14" t="n"/>
      <c r="I40" s="13">
        <f>IF(COUNT(C40:H40)&lt;6,"",SUM(C40:H40))</f>
        <v/>
      </c>
      <c r="J40" s="13">
        <f>IF(COUNT(C40:H40)&lt;6,"",I40/51)</f>
        <v/>
      </c>
      <c r="K40" s="13">
        <f>IF(COUNT(C40:H40)&lt;6,"",IF(J40&gt;=0.8,"Green",IF(J40&gt;=0.5,"Yellow","Red")))</f>
        <v/>
      </c>
      <c r="L40" s="13">
        <f>IF(COUNT(C40:H40)&lt;6,"",IF(K40="Green","Well done! "&amp;Parameters!$C$276,"Revise: "&amp;_xlfn.TEXTJOIN(", ",TRUE(),IF(M40&lt;1,Parameters!$A$265,""),IF(N40&lt;1,Parameters!$A$266,""),IF(O40&lt;1,Parameters!$A$267,""),IF(P40&lt;1,Parameters!$A$268,""),IF(Q40&lt;1,Parameters!$A$269,""),IF(R40&lt;1,Parameters!$A$270,""))))</f>
        <v/>
      </c>
      <c r="M40" s="13">
        <f>IF(C40="","",C40/9)</f>
        <v/>
      </c>
      <c r="N40" s="13">
        <f>IF(D40="","",D40/10)</f>
        <v/>
      </c>
      <c r="O40" s="13">
        <f>IF(E40="","",E40/9)</f>
        <v/>
      </c>
      <c r="P40" s="13">
        <f>IF(F40="","",F40/8)</f>
        <v/>
      </c>
      <c r="Q40" s="13">
        <f>IF(G40="","",G40/7)</f>
        <v/>
      </c>
      <c r="R40" s="13">
        <f>IF(H40="","",H40/8)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4" t="n"/>
      <c r="H41" s="14" t="n"/>
      <c r="I41" s="13">
        <f>IF(COUNT(C41:H41)&lt;6,"",SUM(C41:H41))</f>
        <v/>
      </c>
      <c r="J41" s="13">
        <f>IF(COUNT(C41:H41)&lt;6,"",I41/51)</f>
        <v/>
      </c>
      <c r="K41" s="13">
        <f>IF(COUNT(C41:H41)&lt;6,"",IF(J41&gt;=0.8,"Green",IF(J41&gt;=0.5,"Yellow","Red")))</f>
        <v/>
      </c>
      <c r="L41" s="13">
        <f>IF(COUNT(C41:H41)&lt;6,"",IF(K41="Green","Well done! "&amp;Parameters!$C$276,"Revise: "&amp;_xlfn.TEXTJOIN(", ",TRUE(),IF(M41&lt;1,Parameters!$A$265,""),IF(N41&lt;1,Parameters!$A$266,""),IF(O41&lt;1,Parameters!$A$267,""),IF(P41&lt;1,Parameters!$A$268,""),IF(Q41&lt;1,Parameters!$A$269,""),IF(R41&lt;1,Parameters!$A$270,""))))</f>
        <v/>
      </c>
      <c r="M41" s="13">
        <f>IF(C41="","",C41/9)</f>
        <v/>
      </c>
      <c r="N41" s="13">
        <f>IF(D41="","",D41/10)</f>
        <v/>
      </c>
      <c r="O41" s="13">
        <f>IF(E41="","",E41/9)</f>
        <v/>
      </c>
      <c r="P41" s="13">
        <f>IF(F41="","",F41/8)</f>
        <v/>
      </c>
      <c r="Q41" s="13">
        <f>IF(G41="","",G41/7)</f>
        <v/>
      </c>
      <c r="R41" s="13">
        <f>IF(H41="","",H41/8)</f>
        <v/>
      </c>
    </row>
  </sheetData>
  <conditionalFormatting sqref="C11">
    <cfRule type="expression" priority="1" dxfId="0">
      <formula>AND(COUNT(C11:H11)=6,C11=9)</formula>
    </cfRule>
    <cfRule type="expression" priority="2" dxfId="1">
      <formula>AND(COUNT(C11:H11)=6,C11&lt;9*0.4)</formula>
    </cfRule>
    <cfRule type="expression" priority="3" dxfId="2">
      <formula>AND(COUNT(C11:H11)=6,C11&gt;=9*0.4,C11&lt;9)</formula>
    </cfRule>
  </conditionalFormatting>
  <conditionalFormatting sqref="C12">
    <cfRule type="expression" priority="4" dxfId="0">
      <formula>AND(COUNT(C12:H12)=6,C12=9)</formula>
    </cfRule>
    <cfRule type="expression" priority="5" dxfId="1">
      <formula>AND(COUNT(C12:H12)=6,C12&lt;9*0.4)</formula>
    </cfRule>
    <cfRule type="expression" priority="6" dxfId="2">
      <formula>AND(COUNT(C12:H12)=6,C12&gt;=9*0.4,C12&lt;9)</formula>
    </cfRule>
  </conditionalFormatting>
  <conditionalFormatting sqref="C13">
    <cfRule type="expression" priority="7" dxfId="0">
      <formula>AND(COUNT(C13:H13)=6,C13=9)</formula>
    </cfRule>
    <cfRule type="expression" priority="8" dxfId="1">
      <formula>AND(COUNT(C13:H13)=6,C13&lt;9*0.4)</formula>
    </cfRule>
    <cfRule type="expression" priority="9" dxfId="2">
      <formula>AND(COUNT(C13:H13)=6,C13&gt;=9*0.4,C13&lt;9)</formula>
    </cfRule>
  </conditionalFormatting>
  <conditionalFormatting sqref="C14">
    <cfRule type="expression" priority="10" dxfId="0">
      <formula>AND(COUNT(C14:H14)=6,C14=9)</formula>
    </cfRule>
    <cfRule type="expression" priority="11" dxfId="1">
      <formula>AND(COUNT(C14:H14)=6,C14&lt;9*0.4)</formula>
    </cfRule>
    <cfRule type="expression" priority="12" dxfId="2">
      <formula>AND(COUNT(C14:H14)=6,C14&gt;=9*0.4,C14&lt;9)</formula>
    </cfRule>
  </conditionalFormatting>
  <conditionalFormatting sqref="C15">
    <cfRule type="expression" priority="13" dxfId="0">
      <formula>AND(COUNT(C15:H15)=6,C15=9)</formula>
    </cfRule>
    <cfRule type="expression" priority="14" dxfId="1">
      <formula>AND(COUNT(C15:H15)=6,C15&lt;9*0.4)</formula>
    </cfRule>
    <cfRule type="expression" priority="15" dxfId="2">
      <formula>AND(COUNT(C15:H15)=6,C15&gt;=9*0.4,C15&lt;9)</formula>
    </cfRule>
  </conditionalFormatting>
  <conditionalFormatting sqref="C16">
    <cfRule type="expression" priority="16" dxfId="0">
      <formula>AND(COUNT(C16:H16)=6,C16=9)</formula>
    </cfRule>
    <cfRule type="expression" priority="17" dxfId="1">
      <formula>AND(COUNT(C16:H16)=6,C16&lt;9*0.4)</formula>
    </cfRule>
    <cfRule type="expression" priority="18" dxfId="2">
      <formula>AND(COUNT(C16:H16)=6,C16&gt;=9*0.4,C16&lt;9)</formula>
    </cfRule>
  </conditionalFormatting>
  <conditionalFormatting sqref="C17">
    <cfRule type="expression" priority="19" dxfId="0">
      <formula>AND(COUNT(C17:H17)=6,C17=9)</formula>
    </cfRule>
    <cfRule type="expression" priority="20" dxfId="1">
      <formula>AND(COUNT(C17:H17)=6,C17&lt;9*0.4)</formula>
    </cfRule>
    <cfRule type="expression" priority="21" dxfId="2">
      <formula>AND(COUNT(C17:H17)=6,C17&gt;=9*0.4,C17&lt;9)</formula>
    </cfRule>
  </conditionalFormatting>
  <conditionalFormatting sqref="C18">
    <cfRule type="expression" priority="22" dxfId="0">
      <formula>AND(COUNT(C18:H18)=6,C18=9)</formula>
    </cfRule>
    <cfRule type="expression" priority="23" dxfId="1">
      <formula>AND(COUNT(C18:H18)=6,C18&lt;9*0.4)</formula>
    </cfRule>
    <cfRule type="expression" priority="24" dxfId="2">
      <formula>AND(COUNT(C18:H18)=6,C18&gt;=9*0.4,C18&lt;9)</formula>
    </cfRule>
  </conditionalFormatting>
  <conditionalFormatting sqref="C19">
    <cfRule type="expression" priority="25" dxfId="0">
      <formula>AND(COUNT(C19:H19)=6,C19=9)</formula>
    </cfRule>
    <cfRule type="expression" priority="26" dxfId="1">
      <formula>AND(COUNT(C19:H19)=6,C19&lt;9*0.4)</formula>
    </cfRule>
    <cfRule type="expression" priority="27" dxfId="2">
      <formula>AND(COUNT(C19:H19)=6,C19&gt;=9*0.4,C19&lt;9)</formula>
    </cfRule>
  </conditionalFormatting>
  <conditionalFormatting sqref="C20">
    <cfRule type="expression" priority="28" dxfId="0">
      <formula>AND(COUNT(C20:H20)=6,C20=9)</formula>
    </cfRule>
    <cfRule type="expression" priority="29" dxfId="1">
      <formula>AND(COUNT(C20:H20)=6,C20&lt;9*0.4)</formula>
    </cfRule>
    <cfRule type="expression" priority="30" dxfId="2">
      <formula>AND(COUNT(C20:H20)=6,C20&gt;=9*0.4,C20&lt;9)</formula>
    </cfRule>
  </conditionalFormatting>
  <conditionalFormatting sqref="C21">
    <cfRule type="expression" priority="31" dxfId="0">
      <formula>AND(COUNT(C21:H21)=6,C21=9)</formula>
    </cfRule>
    <cfRule type="expression" priority="32" dxfId="1">
      <formula>AND(COUNT(C21:H21)=6,C21&lt;9*0.4)</formula>
    </cfRule>
    <cfRule type="expression" priority="33" dxfId="2">
      <formula>AND(COUNT(C21:H21)=6,C21&gt;=9*0.4,C21&lt;9)</formula>
    </cfRule>
  </conditionalFormatting>
  <conditionalFormatting sqref="C22">
    <cfRule type="expression" priority="34" dxfId="0">
      <formula>AND(COUNT(C22:H22)=6,C22=9)</formula>
    </cfRule>
    <cfRule type="expression" priority="35" dxfId="1">
      <formula>AND(COUNT(C22:H22)=6,C22&lt;9*0.4)</formula>
    </cfRule>
    <cfRule type="expression" priority="36" dxfId="2">
      <formula>AND(COUNT(C22:H22)=6,C22&gt;=9*0.4,C22&lt;9)</formula>
    </cfRule>
  </conditionalFormatting>
  <conditionalFormatting sqref="C23">
    <cfRule type="expression" priority="37" dxfId="0">
      <formula>AND(COUNT(C23:H23)=6,C23=9)</formula>
    </cfRule>
    <cfRule type="expression" priority="38" dxfId="1">
      <formula>AND(COUNT(C23:H23)=6,C23&lt;9*0.4)</formula>
    </cfRule>
    <cfRule type="expression" priority="39" dxfId="2">
      <formula>AND(COUNT(C23:H23)=6,C23&gt;=9*0.4,C23&lt;9)</formula>
    </cfRule>
  </conditionalFormatting>
  <conditionalFormatting sqref="C24">
    <cfRule type="expression" priority="40" dxfId="0">
      <formula>AND(COUNT(C24:H24)=6,C24=9)</formula>
    </cfRule>
    <cfRule type="expression" priority="41" dxfId="1">
      <formula>AND(COUNT(C24:H24)=6,C24&lt;9*0.4)</formula>
    </cfRule>
    <cfRule type="expression" priority="42" dxfId="2">
      <formula>AND(COUNT(C24:H24)=6,C24&gt;=9*0.4,C24&lt;9)</formula>
    </cfRule>
  </conditionalFormatting>
  <conditionalFormatting sqref="C25">
    <cfRule type="expression" priority="43" dxfId="0">
      <formula>AND(COUNT(C25:H25)=6,C25=9)</formula>
    </cfRule>
    <cfRule type="expression" priority="44" dxfId="1">
      <formula>AND(COUNT(C25:H25)=6,C25&lt;9*0.4)</formula>
    </cfRule>
    <cfRule type="expression" priority="45" dxfId="2">
      <formula>AND(COUNT(C25:H25)=6,C25&gt;=9*0.4,C25&lt;9)</formula>
    </cfRule>
  </conditionalFormatting>
  <conditionalFormatting sqref="C26">
    <cfRule type="expression" priority="46" dxfId="0">
      <formula>AND(COUNT(C26:H26)=6,C26=9)</formula>
    </cfRule>
    <cfRule type="expression" priority="47" dxfId="1">
      <formula>AND(COUNT(C26:H26)=6,C26&lt;9*0.4)</formula>
    </cfRule>
    <cfRule type="expression" priority="48" dxfId="2">
      <formula>AND(COUNT(C26:H26)=6,C26&gt;=9*0.4,C26&lt;9)</formula>
    </cfRule>
  </conditionalFormatting>
  <conditionalFormatting sqref="C27">
    <cfRule type="expression" priority="49" dxfId="0">
      <formula>AND(COUNT(C27:H27)=6,C27=9)</formula>
    </cfRule>
    <cfRule type="expression" priority="50" dxfId="1">
      <formula>AND(COUNT(C27:H27)=6,C27&lt;9*0.4)</formula>
    </cfRule>
    <cfRule type="expression" priority="51" dxfId="2">
      <formula>AND(COUNT(C27:H27)=6,C27&gt;=9*0.4,C27&lt;9)</formula>
    </cfRule>
  </conditionalFormatting>
  <conditionalFormatting sqref="C28">
    <cfRule type="expression" priority="52" dxfId="0">
      <formula>AND(COUNT(C28:H28)=6,C28=9)</formula>
    </cfRule>
    <cfRule type="expression" priority="53" dxfId="1">
      <formula>AND(COUNT(C28:H28)=6,C28&lt;9*0.4)</formula>
    </cfRule>
    <cfRule type="expression" priority="54" dxfId="2">
      <formula>AND(COUNT(C28:H28)=6,C28&gt;=9*0.4,C28&lt;9)</formula>
    </cfRule>
  </conditionalFormatting>
  <conditionalFormatting sqref="C29">
    <cfRule type="expression" priority="55" dxfId="0">
      <formula>AND(COUNT(C29:H29)=6,C29=9)</formula>
    </cfRule>
    <cfRule type="expression" priority="56" dxfId="1">
      <formula>AND(COUNT(C29:H29)=6,C29&lt;9*0.4)</formula>
    </cfRule>
    <cfRule type="expression" priority="57" dxfId="2">
      <formula>AND(COUNT(C29:H29)=6,C29&gt;=9*0.4,C29&lt;9)</formula>
    </cfRule>
  </conditionalFormatting>
  <conditionalFormatting sqref="C30">
    <cfRule type="expression" priority="58" dxfId="0">
      <formula>AND(COUNT(C30:H30)=6,C30=9)</formula>
    </cfRule>
    <cfRule type="expression" priority="59" dxfId="1">
      <formula>AND(COUNT(C30:H30)=6,C30&lt;9*0.4)</formula>
    </cfRule>
    <cfRule type="expression" priority="60" dxfId="2">
      <formula>AND(COUNT(C30:H30)=6,C30&gt;=9*0.4,C30&lt;9)</formula>
    </cfRule>
  </conditionalFormatting>
  <conditionalFormatting sqref="C31">
    <cfRule type="expression" priority="61" dxfId="0">
      <formula>AND(COUNT(C31:H31)=6,C31=9)</formula>
    </cfRule>
    <cfRule type="expression" priority="62" dxfId="1">
      <formula>AND(COUNT(C31:H31)=6,C31&lt;9*0.4)</formula>
    </cfRule>
    <cfRule type="expression" priority="63" dxfId="2">
      <formula>AND(COUNT(C31:H31)=6,C31&gt;=9*0.4,C31&lt;9)</formula>
    </cfRule>
  </conditionalFormatting>
  <conditionalFormatting sqref="C32">
    <cfRule type="expression" priority="64" dxfId="0">
      <formula>AND(COUNT(C32:H32)=6,C32=9)</formula>
    </cfRule>
    <cfRule type="expression" priority="65" dxfId="1">
      <formula>AND(COUNT(C32:H32)=6,C32&lt;9*0.4)</formula>
    </cfRule>
    <cfRule type="expression" priority="66" dxfId="2">
      <formula>AND(COUNT(C32:H32)=6,C32&gt;=9*0.4,C32&lt;9)</formula>
    </cfRule>
  </conditionalFormatting>
  <conditionalFormatting sqref="C33">
    <cfRule type="expression" priority="67" dxfId="0">
      <formula>AND(COUNT(C33:H33)=6,C33=9)</formula>
    </cfRule>
    <cfRule type="expression" priority="68" dxfId="1">
      <formula>AND(COUNT(C33:H33)=6,C33&lt;9*0.4)</formula>
    </cfRule>
    <cfRule type="expression" priority="69" dxfId="2">
      <formula>AND(COUNT(C33:H33)=6,C33&gt;=9*0.4,C33&lt;9)</formula>
    </cfRule>
  </conditionalFormatting>
  <conditionalFormatting sqref="C34">
    <cfRule type="expression" priority="70" dxfId="0">
      <formula>AND(COUNT(C34:H34)=6,C34=9)</formula>
    </cfRule>
    <cfRule type="expression" priority="71" dxfId="1">
      <formula>AND(COUNT(C34:H34)=6,C34&lt;9*0.4)</formula>
    </cfRule>
    <cfRule type="expression" priority="72" dxfId="2">
      <formula>AND(COUNT(C34:H34)=6,C34&gt;=9*0.4,C34&lt;9)</formula>
    </cfRule>
  </conditionalFormatting>
  <conditionalFormatting sqref="C35">
    <cfRule type="expression" priority="73" dxfId="0">
      <formula>AND(COUNT(C35:H35)=6,C35=9)</formula>
    </cfRule>
    <cfRule type="expression" priority="74" dxfId="1">
      <formula>AND(COUNT(C35:H35)=6,C35&lt;9*0.4)</formula>
    </cfRule>
    <cfRule type="expression" priority="75" dxfId="2">
      <formula>AND(COUNT(C35:H35)=6,C35&gt;=9*0.4,C35&lt;9)</formula>
    </cfRule>
  </conditionalFormatting>
  <conditionalFormatting sqref="C36">
    <cfRule type="expression" priority="76" dxfId="0">
      <formula>AND(COUNT(C36:H36)=6,C36=9)</formula>
    </cfRule>
    <cfRule type="expression" priority="77" dxfId="1">
      <formula>AND(COUNT(C36:H36)=6,C36&lt;9*0.4)</formula>
    </cfRule>
    <cfRule type="expression" priority="78" dxfId="2">
      <formula>AND(COUNT(C36:H36)=6,C36&gt;=9*0.4,C36&lt;9)</formula>
    </cfRule>
  </conditionalFormatting>
  <conditionalFormatting sqref="C37">
    <cfRule type="expression" priority="79" dxfId="0">
      <formula>AND(COUNT(C37:H37)=6,C37=9)</formula>
    </cfRule>
    <cfRule type="expression" priority="80" dxfId="1">
      <formula>AND(COUNT(C37:H37)=6,C37&lt;9*0.4)</formula>
    </cfRule>
    <cfRule type="expression" priority="81" dxfId="2">
      <formula>AND(COUNT(C37:H37)=6,C37&gt;=9*0.4,C37&lt;9)</formula>
    </cfRule>
  </conditionalFormatting>
  <conditionalFormatting sqref="C38">
    <cfRule type="expression" priority="82" dxfId="0">
      <formula>AND(COUNT(C38:H38)=6,C38=9)</formula>
    </cfRule>
    <cfRule type="expression" priority="83" dxfId="1">
      <formula>AND(COUNT(C38:H38)=6,C38&lt;9*0.4)</formula>
    </cfRule>
    <cfRule type="expression" priority="84" dxfId="2">
      <formula>AND(COUNT(C38:H38)=6,C38&gt;=9*0.4,C38&lt;9)</formula>
    </cfRule>
  </conditionalFormatting>
  <conditionalFormatting sqref="C39">
    <cfRule type="expression" priority="85" dxfId="0">
      <formula>AND(COUNT(C39:H39)=6,C39=9)</formula>
    </cfRule>
    <cfRule type="expression" priority="86" dxfId="1">
      <formula>AND(COUNT(C39:H39)=6,C39&lt;9*0.4)</formula>
    </cfRule>
    <cfRule type="expression" priority="87" dxfId="2">
      <formula>AND(COUNT(C39:H39)=6,C39&gt;=9*0.4,C39&lt;9)</formula>
    </cfRule>
  </conditionalFormatting>
  <conditionalFormatting sqref="C40">
    <cfRule type="expression" priority="88" dxfId="0">
      <formula>AND(COUNT(C40:H40)=6,C40=9)</formula>
    </cfRule>
    <cfRule type="expression" priority="89" dxfId="1">
      <formula>AND(COUNT(C40:H40)=6,C40&lt;9*0.4)</formula>
    </cfRule>
    <cfRule type="expression" priority="90" dxfId="2">
      <formula>AND(COUNT(C40:H40)=6,C40&gt;=9*0.4,C40&lt;9)</formula>
    </cfRule>
  </conditionalFormatting>
  <conditionalFormatting sqref="C41">
    <cfRule type="expression" priority="91" dxfId="0">
      <formula>AND(COUNT(C41:H41)=6,C41=9)</formula>
    </cfRule>
    <cfRule type="expression" priority="92" dxfId="1">
      <formula>AND(COUNT(C41:H41)=6,C41&lt;9*0.4)</formula>
    </cfRule>
    <cfRule type="expression" priority="93" dxfId="2">
      <formula>AND(COUNT(C41:H41)=6,C41&gt;=9*0.4,C41&lt;9)</formula>
    </cfRule>
  </conditionalFormatting>
  <conditionalFormatting sqref="D11">
    <cfRule type="expression" priority="94" dxfId="0">
      <formula>AND(COUNT(C11:H11)=6,D11=10)</formula>
    </cfRule>
    <cfRule type="expression" priority="95" dxfId="1">
      <formula>AND(COUNT(C11:H11)=6,D11&lt;10*0.4)</formula>
    </cfRule>
    <cfRule type="expression" priority="96" dxfId="2">
      <formula>AND(COUNT(C11:H11)=6,D11&gt;=10*0.4,D11&lt;10)</formula>
    </cfRule>
  </conditionalFormatting>
  <conditionalFormatting sqref="D12">
    <cfRule type="expression" priority="97" dxfId="0">
      <formula>AND(COUNT(C12:H12)=6,D12=10)</formula>
    </cfRule>
    <cfRule type="expression" priority="98" dxfId="1">
      <formula>AND(COUNT(C12:H12)=6,D12&lt;10*0.4)</formula>
    </cfRule>
    <cfRule type="expression" priority="99" dxfId="2">
      <formula>AND(COUNT(C12:H12)=6,D12&gt;=10*0.4,D12&lt;10)</formula>
    </cfRule>
  </conditionalFormatting>
  <conditionalFormatting sqref="D13">
    <cfRule type="expression" priority="100" dxfId="0">
      <formula>AND(COUNT(C13:H13)=6,D13=10)</formula>
    </cfRule>
    <cfRule type="expression" priority="101" dxfId="1">
      <formula>AND(COUNT(C13:H13)=6,D13&lt;10*0.4)</formula>
    </cfRule>
    <cfRule type="expression" priority="102" dxfId="2">
      <formula>AND(COUNT(C13:H13)=6,D13&gt;=10*0.4,D13&lt;10)</formula>
    </cfRule>
  </conditionalFormatting>
  <conditionalFormatting sqref="D14">
    <cfRule type="expression" priority="103" dxfId="0">
      <formula>AND(COUNT(C14:H14)=6,D14=10)</formula>
    </cfRule>
    <cfRule type="expression" priority="104" dxfId="1">
      <formula>AND(COUNT(C14:H14)=6,D14&lt;10*0.4)</formula>
    </cfRule>
    <cfRule type="expression" priority="105" dxfId="2">
      <formula>AND(COUNT(C14:H14)=6,D14&gt;=10*0.4,D14&lt;10)</formula>
    </cfRule>
  </conditionalFormatting>
  <conditionalFormatting sqref="D15">
    <cfRule type="expression" priority="106" dxfId="0">
      <formula>AND(COUNT(C15:H15)=6,D15=10)</formula>
    </cfRule>
    <cfRule type="expression" priority="107" dxfId="1">
      <formula>AND(COUNT(C15:H15)=6,D15&lt;10*0.4)</formula>
    </cfRule>
    <cfRule type="expression" priority="108" dxfId="2">
      <formula>AND(COUNT(C15:H15)=6,D15&gt;=10*0.4,D15&lt;10)</formula>
    </cfRule>
  </conditionalFormatting>
  <conditionalFormatting sqref="D16">
    <cfRule type="expression" priority="109" dxfId="0">
      <formula>AND(COUNT(C16:H16)=6,D16=10)</formula>
    </cfRule>
    <cfRule type="expression" priority="110" dxfId="1">
      <formula>AND(COUNT(C16:H16)=6,D16&lt;10*0.4)</formula>
    </cfRule>
    <cfRule type="expression" priority="111" dxfId="2">
      <formula>AND(COUNT(C16:H16)=6,D16&gt;=10*0.4,D16&lt;10)</formula>
    </cfRule>
  </conditionalFormatting>
  <conditionalFormatting sqref="D17">
    <cfRule type="expression" priority="112" dxfId="0">
      <formula>AND(COUNT(C17:H17)=6,D17=10)</formula>
    </cfRule>
    <cfRule type="expression" priority="113" dxfId="1">
      <formula>AND(COUNT(C17:H17)=6,D17&lt;10*0.4)</formula>
    </cfRule>
    <cfRule type="expression" priority="114" dxfId="2">
      <formula>AND(COUNT(C17:H17)=6,D17&gt;=10*0.4,D17&lt;10)</formula>
    </cfRule>
  </conditionalFormatting>
  <conditionalFormatting sqref="D18">
    <cfRule type="expression" priority="115" dxfId="0">
      <formula>AND(COUNT(C18:H18)=6,D18=10)</formula>
    </cfRule>
    <cfRule type="expression" priority="116" dxfId="1">
      <formula>AND(COUNT(C18:H18)=6,D18&lt;10*0.4)</formula>
    </cfRule>
    <cfRule type="expression" priority="117" dxfId="2">
      <formula>AND(COUNT(C18:H18)=6,D18&gt;=10*0.4,D18&lt;10)</formula>
    </cfRule>
  </conditionalFormatting>
  <conditionalFormatting sqref="D19">
    <cfRule type="expression" priority="118" dxfId="0">
      <formula>AND(COUNT(C19:H19)=6,D19=10)</formula>
    </cfRule>
    <cfRule type="expression" priority="119" dxfId="1">
      <formula>AND(COUNT(C19:H19)=6,D19&lt;10*0.4)</formula>
    </cfRule>
    <cfRule type="expression" priority="120" dxfId="2">
      <formula>AND(COUNT(C19:H19)=6,D19&gt;=10*0.4,D19&lt;10)</formula>
    </cfRule>
  </conditionalFormatting>
  <conditionalFormatting sqref="D20">
    <cfRule type="expression" priority="121" dxfId="0">
      <formula>AND(COUNT(C20:H20)=6,D20=10)</formula>
    </cfRule>
    <cfRule type="expression" priority="122" dxfId="1">
      <formula>AND(COUNT(C20:H20)=6,D20&lt;10*0.4)</formula>
    </cfRule>
    <cfRule type="expression" priority="123" dxfId="2">
      <formula>AND(COUNT(C20:H20)=6,D20&gt;=10*0.4,D20&lt;10)</formula>
    </cfRule>
  </conditionalFormatting>
  <conditionalFormatting sqref="D21">
    <cfRule type="expression" priority="124" dxfId="0">
      <formula>AND(COUNT(C21:H21)=6,D21=10)</formula>
    </cfRule>
    <cfRule type="expression" priority="125" dxfId="1">
      <formula>AND(COUNT(C21:H21)=6,D21&lt;10*0.4)</formula>
    </cfRule>
    <cfRule type="expression" priority="126" dxfId="2">
      <formula>AND(COUNT(C21:H21)=6,D21&gt;=10*0.4,D21&lt;10)</formula>
    </cfRule>
  </conditionalFormatting>
  <conditionalFormatting sqref="D22">
    <cfRule type="expression" priority="127" dxfId="0">
      <formula>AND(COUNT(C22:H22)=6,D22=10)</formula>
    </cfRule>
    <cfRule type="expression" priority="128" dxfId="1">
      <formula>AND(COUNT(C22:H22)=6,D22&lt;10*0.4)</formula>
    </cfRule>
    <cfRule type="expression" priority="129" dxfId="2">
      <formula>AND(COUNT(C22:H22)=6,D22&gt;=10*0.4,D22&lt;10)</formula>
    </cfRule>
  </conditionalFormatting>
  <conditionalFormatting sqref="D23">
    <cfRule type="expression" priority="130" dxfId="0">
      <formula>AND(COUNT(C23:H23)=6,D23=10)</formula>
    </cfRule>
    <cfRule type="expression" priority="131" dxfId="1">
      <formula>AND(COUNT(C23:H23)=6,D23&lt;10*0.4)</formula>
    </cfRule>
    <cfRule type="expression" priority="132" dxfId="2">
      <formula>AND(COUNT(C23:H23)=6,D23&gt;=10*0.4,D23&lt;10)</formula>
    </cfRule>
  </conditionalFormatting>
  <conditionalFormatting sqref="D24">
    <cfRule type="expression" priority="133" dxfId="0">
      <formula>AND(COUNT(C24:H24)=6,D24=10)</formula>
    </cfRule>
    <cfRule type="expression" priority="134" dxfId="1">
      <formula>AND(COUNT(C24:H24)=6,D24&lt;10*0.4)</formula>
    </cfRule>
    <cfRule type="expression" priority="135" dxfId="2">
      <formula>AND(COUNT(C24:H24)=6,D24&gt;=10*0.4,D24&lt;10)</formula>
    </cfRule>
  </conditionalFormatting>
  <conditionalFormatting sqref="D25">
    <cfRule type="expression" priority="136" dxfId="0">
      <formula>AND(COUNT(C25:H25)=6,D25=10)</formula>
    </cfRule>
    <cfRule type="expression" priority="137" dxfId="1">
      <formula>AND(COUNT(C25:H25)=6,D25&lt;10*0.4)</formula>
    </cfRule>
    <cfRule type="expression" priority="138" dxfId="2">
      <formula>AND(COUNT(C25:H25)=6,D25&gt;=10*0.4,D25&lt;10)</formula>
    </cfRule>
  </conditionalFormatting>
  <conditionalFormatting sqref="D26">
    <cfRule type="expression" priority="139" dxfId="0">
      <formula>AND(COUNT(C26:H26)=6,D26=10)</formula>
    </cfRule>
    <cfRule type="expression" priority="140" dxfId="1">
      <formula>AND(COUNT(C26:H26)=6,D26&lt;10*0.4)</formula>
    </cfRule>
    <cfRule type="expression" priority="141" dxfId="2">
      <formula>AND(COUNT(C26:H26)=6,D26&gt;=10*0.4,D26&lt;10)</formula>
    </cfRule>
  </conditionalFormatting>
  <conditionalFormatting sqref="D27">
    <cfRule type="expression" priority="142" dxfId="0">
      <formula>AND(COUNT(C27:H27)=6,D27=10)</formula>
    </cfRule>
    <cfRule type="expression" priority="143" dxfId="1">
      <formula>AND(COUNT(C27:H27)=6,D27&lt;10*0.4)</formula>
    </cfRule>
    <cfRule type="expression" priority="144" dxfId="2">
      <formula>AND(COUNT(C27:H27)=6,D27&gt;=10*0.4,D27&lt;10)</formula>
    </cfRule>
  </conditionalFormatting>
  <conditionalFormatting sqref="D28">
    <cfRule type="expression" priority="145" dxfId="0">
      <formula>AND(COUNT(C28:H28)=6,D28=10)</formula>
    </cfRule>
    <cfRule type="expression" priority="146" dxfId="1">
      <formula>AND(COUNT(C28:H28)=6,D28&lt;10*0.4)</formula>
    </cfRule>
    <cfRule type="expression" priority="147" dxfId="2">
      <formula>AND(COUNT(C28:H28)=6,D28&gt;=10*0.4,D28&lt;10)</formula>
    </cfRule>
  </conditionalFormatting>
  <conditionalFormatting sqref="D29">
    <cfRule type="expression" priority="148" dxfId="0">
      <formula>AND(COUNT(C29:H29)=6,D29=10)</formula>
    </cfRule>
    <cfRule type="expression" priority="149" dxfId="1">
      <formula>AND(COUNT(C29:H29)=6,D29&lt;10*0.4)</formula>
    </cfRule>
    <cfRule type="expression" priority="150" dxfId="2">
      <formula>AND(COUNT(C29:H29)=6,D29&gt;=10*0.4,D29&lt;10)</formula>
    </cfRule>
  </conditionalFormatting>
  <conditionalFormatting sqref="D30">
    <cfRule type="expression" priority="151" dxfId="0">
      <formula>AND(COUNT(C30:H30)=6,D30=10)</formula>
    </cfRule>
    <cfRule type="expression" priority="152" dxfId="1">
      <formula>AND(COUNT(C30:H30)=6,D30&lt;10*0.4)</formula>
    </cfRule>
    <cfRule type="expression" priority="153" dxfId="2">
      <formula>AND(COUNT(C30:H30)=6,D30&gt;=10*0.4,D30&lt;10)</formula>
    </cfRule>
  </conditionalFormatting>
  <conditionalFormatting sqref="D31">
    <cfRule type="expression" priority="154" dxfId="0">
      <formula>AND(COUNT(C31:H31)=6,D31=10)</formula>
    </cfRule>
    <cfRule type="expression" priority="155" dxfId="1">
      <formula>AND(COUNT(C31:H31)=6,D31&lt;10*0.4)</formula>
    </cfRule>
    <cfRule type="expression" priority="156" dxfId="2">
      <formula>AND(COUNT(C31:H31)=6,D31&gt;=10*0.4,D31&lt;10)</formula>
    </cfRule>
  </conditionalFormatting>
  <conditionalFormatting sqref="D32">
    <cfRule type="expression" priority="157" dxfId="0">
      <formula>AND(COUNT(C32:H32)=6,D32=10)</formula>
    </cfRule>
    <cfRule type="expression" priority="158" dxfId="1">
      <formula>AND(COUNT(C32:H32)=6,D32&lt;10*0.4)</formula>
    </cfRule>
    <cfRule type="expression" priority="159" dxfId="2">
      <formula>AND(COUNT(C32:H32)=6,D32&gt;=10*0.4,D32&lt;10)</formula>
    </cfRule>
  </conditionalFormatting>
  <conditionalFormatting sqref="D33">
    <cfRule type="expression" priority="160" dxfId="0">
      <formula>AND(COUNT(C33:H33)=6,D33=10)</formula>
    </cfRule>
    <cfRule type="expression" priority="161" dxfId="1">
      <formula>AND(COUNT(C33:H33)=6,D33&lt;10*0.4)</formula>
    </cfRule>
    <cfRule type="expression" priority="162" dxfId="2">
      <formula>AND(COUNT(C33:H33)=6,D33&gt;=10*0.4,D33&lt;10)</formula>
    </cfRule>
  </conditionalFormatting>
  <conditionalFormatting sqref="D34">
    <cfRule type="expression" priority="163" dxfId="0">
      <formula>AND(COUNT(C34:H34)=6,D34=10)</formula>
    </cfRule>
    <cfRule type="expression" priority="164" dxfId="1">
      <formula>AND(COUNT(C34:H34)=6,D34&lt;10*0.4)</formula>
    </cfRule>
    <cfRule type="expression" priority="165" dxfId="2">
      <formula>AND(COUNT(C34:H34)=6,D34&gt;=10*0.4,D34&lt;10)</formula>
    </cfRule>
  </conditionalFormatting>
  <conditionalFormatting sqref="D35">
    <cfRule type="expression" priority="166" dxfId="0">
      <formula>AND(COUNT(C35:H35)=6,D35=10)</formula>
    </cfRule>
    <cfRule type="expression" priority="167" dxfId="1">
      <formula>AND(COUNT(C35:H35)=6,D35&lt;10*0.4)</formula>
    </cfRule>
    <cfRule type="expression" priority="168" dxfId="2">
      <formula>AND(COUNT(C35:H35)=6,D35&gt;=10*0.4,D35&lt;10)</formula>
    </cfRule>
  </conditionalFormatting>
  <conditionalFormatting sqref="D36">
    <cfRule type="expression" priority="169" dxfId="0">
      <formula>AND(COUNT(C36:H36)=6,D36=10)</formula>
    </cfRule>
    <cfRule type="expression" priority="170" dxfId="1">
      <formula>AND(COUNT(C36:H36)=6,D36&lt;10*0.4)</formula>
    </cfRule>
    <cfRule type="expression" priority="171" dxfId="2">
      <formula>AND(COUNT(C36:H36)=6,D36&gt;=10*0.4,D36&lt;10)</formula>
    </cfRule>
  </conditionalFormatting>
  <conditionalFormatting sqref="D37">
    <cfRule type="expression" priority="172" dxfId="0">
      <formula>AND(COUNT(C37:H37)=6,D37=10)</formula>
    </cfRule>
    <cfRule type="expression" priority="173" dxfId="1">
      <formula>AND(COUNT(C37:H37)=6,D37&lt;10*0.4)</formula>
    </cfRule>
    <cfRule type="expression" priority="174" dxfId="2">
      <formula>AND(COUNT(C37:H37)=6,D37&gt;=10*0.4,D37&lt;10)</formula>
    </cfRule>
  </conditionalFormatting>
  <conditionalFormatting sqref="D38">
    <cfRule type="expression" priority="175" dxfId="0">
      <formula>AND(COUNT(C38:H38)=6,D38=10)</formula>
    </cfRule>
    <cfRule type="expression" priority="176" dxfId="1">
      <formula>AND(COUNT(C38:H38)=6,D38&lt;10*0.4)</formula>
    </cfRule>
    <cfRule type="expression" priority="177" dxfId="2">
      <formula>AND(COUNT(C38:H38)=6,D38&gt;=10*0.4,D38&lt;10)</formula>
    </cfRule>
  </conditionalFormatting>
  <conditionalFormatting sqref="D39">
    <cfRule type="expression" priority="178" dxfId="0">
      <formula>AND(COUNT(C39:H39)=6,D39=10)</formula>
    </cfRule>
    <cfRule type="expression" priority="179" dxfId="1">
      <formula>AND(COUNT(C39:H39)=6,D39&lt;10*0.4)</formula>
    </cfRule>
    <cfRule type="expression" priority="180" dxfId="2">
      <formula>AND(COUNT(C39:H39)=6,D39&gt;=10*0.4,D39&lt;10)</formula>
    </cfRule>
  </conditionalFormatting>
  <conditionalFormatting sqref="D40">
    <cfRule type="expression" priority="181" dxfId="0">
      <formula>AND(COUNT(C40:H40)=6,D40=10)</formula>
    </cfRule>
    <cfRule type="expression" priority="182" dxfId="1">
      <formula>AND(COUNT(C40:H40)=6,D40&lt;10*0.4)</formula>
    </cfRule>
    <cfRule type="expression" priority="183" dxfId="2">
      <formula>AND(COUNT(C40:H40)=6,D40&gt;=10*0.4,D40&lt;10)</formula>
    </cfRule>
  </conditionalFormatting>
  <conditionalFormatting sqref="D41">
    <cfRule type="expression" priority="184" dxfId="0">
      <formula>AND(COUNT(C41:H41)=6,D41=10)</formula>
    </cfRule>
    <cfRule type="expression" priority="185" dxfId="1">
      <formula>AND(COUNT(C41:H41)=6,D41&lt;10*0.4)</formula>
    </cfRule>
    <cfRule type="expression" priority="186" dxfId="2">
      <formula>AND(COUNT(C41:H41)=6,D41&gt;=10*0.4,D41&lt;10)</formula>
    </cfRule>
  </conditionalFormatting>
  <conditionalFormatting sqref="E11">
    <cfRule type="expression" priority="187" dxfId="0">
      <formula>AND(COUNT(C11:H11)=6,E11=9)</formula>
    </cfRule>
    <cfRule type="expression" priority="188" dxfId="1">
      <formula>AND(COUNT(C11:H11)=6,E11&lt;9*0.4)</formula>
    </cfRule>
    <cfRule type="expression" priority="189" dxfId="2">
      <formula>AND(COUNT(C11:H11)=6,E11&gt;=9*0.4,E11&lt;9)</formula>
    </cfRule>
  </conditionalFormatting>
  <conditionalFormatting sqref="E12">
    <cfRule type="expression" priority="190" dxfId="0">
      <formula>AND(COUNT(C12:H12)=6,E12=9)</formula>
    </cfRule>
    <cfRule type="expression" priority="191" dxfId="1">
      <formula>AND(COUNT(C12:H12)=6,E12&lt;9*0.4)</formula>
    </cfRule>
    <cfRule type="expression" priority="192" dxfId="2">
      <formula>AND(COUNT(C12:H12)=6,E12&gt;=9*0.4,E12&lt;9)</formula>
    </cfRule>
  </conditionalFormatting>
  <conditionalFormatting sqref="E13">
    <cfRule type="expression" priority="193" dxfId="0">
      <formula>AND(COUNT(C13:H13)=6,E13=9)</formula>
    </cfRule>
    <cfRule type="expression" priority="194" dxfId="1">
      <formula>AND(COUNT(C13:H13)=6,E13&lt;9*0.4)</formula>
    </cfRule>
    <cfRule type="expression" priority="195" dxfId="2">
      <formula>AND(COUNT(C13:H13)=6,E13&gt;=9*0.4,E13&lt;9)</formula>
    </cfRule>
  </conditionalFormatting>
  <conditionalFormatting sqref="E14">
    <cfRule type="expression" priority="196" dxfId="0">
      <formula>AND(COUNT(C14:H14)=6,E14=9)</formula>
    </cfRule>
    <cfRule type="expression" priority="197" dxfId="1">
      <formula>AND(COUNT(C14:H14)=6,E14&lt;9*0.4)</formula>
    </cfRule>
    <cfRule type="expression" priority="198" dxfId="2">
      <formula>AND(COUNT(C14:H14)=6,E14&gt;=9*0.4,E14&lt;9)</formula>
    </cfRule>
  </conditionalFormatting>
  <conditionalFormatting sqref="E15">
    <cfRule type="expression" priority="199" dxfId="0">
      <formula>AND(COUNT(C15:H15)=6,E15=9)</formula>
    </cfRule>
    <cfRule type="expression" priority="200" dxfId="1">
      <formula>AND(COUNT(C15:H15)=6,E15&lt;9*0.4)</formula>
    </cfRule>
    <cfRule type="expression" priority="201" dxfId="2">
      <formula>AND(COUNT(C15:H15)=6,E15&gt;=9*0.4,E15&lt;9)</formula>
    </cfRule>
  </conditionalFormatting>
  <conditionalFormatting sqref="E16">
    <cfRule type="expression" priority="202" dxfId="0">
      <formula>AND(COUNT(C16:H16)=6,E16=9)</formula>
    </cfRule>
    <cfRule type="expression" priority="203" dxfId="1">
      <formula>AND(COUNT(C16:H16)=6,E16&lt;9*0.4)</formula>
    </cfRule>
    <cfRule type="expression" priority="204" dxfId="2">
      <formula>AND(COUNT(C16:H16)=6,E16&gt;=9*0.4,E16&lt;9)</formula>
    </cfRule>
  </conditionalFormatting>
  <conditionalFormatting sqref="E17">
    <cfRule type="expression" priority="205" dxfId="0">
      <formula>AND(COUNT(C17:H17)=6,E17=9)</formula>
    </cfRule>
    <cfRule type="expression" priority="206" dxfId="1">
      <formula>AND(COUNT(C17:H17)=6,E17&lt;9*0.4)</formula>
    </cfRule>
    <cfRule type="expression" priority="207" dxfId="2">
      <formula>AND(COUNT(C17:H17)=6,E17&gt;=9*0.4,E17&lt;9)</formula>
    </cfRule>
  </conditionalFormatting>
  <conditionalFormatting sqref="E18">
    <cfRule type="expression" priority="208" dxfId="0">
      <formula>AND(COUNT(C18:H18)=6,E18=9)</formula>
    </cfRule>
    <cfRule type="expression" priority="209" dxfId="1">
      <formula>AND(COUNT(C18:H18)=6,E18&lt;9*0.4)</formula>
    </cfRule>
    <cfRule type="expression" priority="210" dxfId="2">
      <formula>AND(COUNT(C18:H18)=6,E18&gt;=9*0.4,E18&lt;9)</formula>
    </cfRule>
  </conditionalFormatting>
  <conditionalFormatting sqref="E19">
    <cfRule type="expression" priority="211" dxfId="0">
      <formula>AND(COUNT(C19:H19)=6,E19=9)</formula>
    </cfRule>
    <cfRule type="expression" priority="212" dxfId="1">
      <formula>AND(COUNT(C19:H19)=6,E19&lt;9*0.4)</formula>
    </cfRule>
    <cfRule type="expression" priority="213" dxfId="2">
      <formula>AND(COUNT(C19:H19)=6,E19&gt;=9*0.4,E19&lt;9)</formula>
    </cfRule>
  </conditionalFormatting>
  <conditionalFormatting sqref="E20">
    <cfRule type="expression" priority="214" dxfId="0">
      <formula>AND(COUNT(C20:H20)=6,E20=9)</formula>
    </cfRule>
    <cfRule type="expression" priority="215" dxfId="1">
      <formula>AND(COUNT(C20:H20)=6,E20&lt;9*0.4)</formula>
    </cfRule>
    <cfRule type="expression" priority="216" dxfId="2">
      <formula>AND(COUNT(C20:H20)=6,E20&gt;=9*0.4,E20&lt;9)</formula>
    </cfRule>
  </conditionalFormatting>
  <conditionalFormatting sqref="E21">
    <cfRule type="expression" priority="217" dxfId="0">
      <formula>AND(COUNT(C21:H21)=6,E21=9)</formula>
    </cfRule>
    <cfRule type="expression" priority="218" dxfId="1">
      <formula>AND(COUNT(C21:H21)=6,E21&lt;9*0.4)</formula>
    </cfRule>
    <cfRule type="expression" priority="219" dxfId="2">
      <formula>AND(COUNT(C21:H21)=6,E21&gt;=9*0.4,E21&lt;9)</formula>
    </cfRule>
  </conditionalFormatting>
  <conditionalFormatting sqref="E22">
    <cfRule type="expression" priority="220" dxfId="0">
      <formula>AND(COUNT(C22:H22)=6,E22=9)</formula>
    </cfRule>
    <cfRule type="expression" priority="221" dxfId="1">
      <formula>AND(COUNT(C22:H22)=6,E22&lt;9*0.4)</formula>
    </cfRule>
    <cfRule type="expression" priority="222" dxfId="2">
      <formula>AND(COUNT(C22:H22)=6,E22&gt;=9*0.4,E22&lt;9)</formula>
    </cfRule>
  </conditionalFormatting>
  <conditionalFormatting sqref="E23">
    <cfRule type="expression" priority="223" dxfId="0">
      <formula>AND(COUNT(C23:H23)=6,E23=9)</formula>
    </cfRule>
    <cfRule type="expression" priority="224" dxfId="1">
      <formula>AND(COUNT(C23:H23)=6,E23&lt;9*0.4)</formula>
    </cfRule>
    <cfRule type="expression" priority="225" dxfId="2">
      <formula>AND(COUNT(C23:H23)=6,E23&gt;=9*0.4,E23&lt;9)</formula>
    </cfRule>
  </conditionalFormatting>
  <conditionalFormatting sqref="E24">
    <cfRule type="expression" priority="226" dxfId="0">
      <formula>AND(COUNT(C24:H24)=6,E24=9)</formula>
    </cfRule>
    <cfRule type="expression" priority="227" dxfId="1">
      <formula>AND(COUNT(C24:H24)=6,E24&lt;9*0.4)</formula>
    </cfRule>
    <cfRule type="expression" priority="228" dxfId="2">
      <formula>AND(COUNT(C24:H24)=6,E24&gt;=9*0.4,E24&lt;9)</formula>
    </cfRule>
  </conditionalFormatting>
  <conditionalFormatting sqref="E25">
    <cfRule type="expression" priority="229" dxfId="0">
      <formula>AND(COUNT(C25:H25)=6,E25=9)</formula>
    </cfRule>
    <cfRule type="expression" priority="230" dxfId="1">
      <formula>AND(COUNT(C25:H25)=6,E25&lt;9*0.4)</formula>
    </cfRule>
    <cfRule type="expression" priority="231" dxfId="2">
      <formula>AND(COUNT(C25:H25)=6,E25&gt;=9*0.4,E25&lt;9)</formula>
    </cfRule>
  </conditionalFormatting>
  <conditionalFormatting sqref="E26">
    <cfRule type="expression" priority="232" dxfId="0">
      <formula>AND(COUNT(C26:H26)=6,E26=9)</formula>
    </cfRule>
    <cfRule type="expression" priority="233" dxfId="1">
      <formula>AND(COUNT(C26:H26)=6,E26&lt;9*0.4)</formula>
    </cfRule>
    <cfRule type="expression" priority="234" dxfId="2">
      <formula>AND(COUNT(C26:H26)=6,E26&gt;=9*0.4,E26&lt;9)</formula>
    </cfRule>
  </conditionalFormatting>
  <conditionalFormatting sqref="E27">
    <cfRule type="expression" priority="235" dxfId="0">
      <formula>AND(COUNT(C27:H27)=6,E27=9)</formula>
    </cfRule>
    <cfRule type="expression" priority="236" dxfId="1">
      <formula>AND(COUNT(C27:H27)=6,E27&lt;9*0.4)</formula>
    </cfRule>
    <cfRule type="expression" priority="237" dxfId="2">
      <formula>AND(COUNT(C27:H27)=6,E27&gt;=9*0.4,E27&lt;9)</formula>
    </cfRule>
  </conditionalFormatting>
  <conditionalFormatting sqref="E28">
    <cfRule type="expression" priority="238" dxfId="0">
      <formula>AND(COUNT(C28:H28)=6,E28=9)</formula>
    </cfRule>
    <cfRule type="expression" priority="239" dxfId="1">
      <formula>AND(COUNT(C28:H28)=6,E28&lt;9*0.4)</formula>
    </cfRule>
    <cfRule type="expression" priority="240" dxfId="2">
      <formula>AND(COUNT(C28:H28)=6,E28&gt;=9*0.4,E28&lt;9)</formula>
    </cfRule>
  </conditionalFormatting>
  <conditionalFormatting sqref="E29">
    <cfRule type="expression" priority="241" dxfId="0">
      <formula>AND(COUNT(C29:H29)=6,E29=9)</formula>
    </cfRule>
    <cfRule type="expression" priority="242" dxfId="1">
      <formula>AND(COUNT(C29:H29)=6,E29&lt;9*0.4)</formula>
    </cfRule>
    <cfRule type="expression" priority="243" dxfId="2">
      <formula>AND(COUNT(C29:H29)=6,E29&gt;=9*0.4,E29&lt;9)</formula>
    </cfRule>
  </conditionalFormatting>
  <conditionalFormatting sqref="E30">
    <cfRule type="expression" priority="244" dxfId="0">
      <formula>AND(COUNT(C30:H30)=6,E30=9)</formula>
    </cfRule>
    <cfRule type="expression" priority="245" dxfId="1">
      <formula>AND(COUNT(C30:H30)=6,E30&lt;9*0.4)</formula>
    </cfRule>
    <cfRule type="expression" priority="246" dxfId="2">
      <formula>AND(COUNT(C30:H30)=6,E30&gt;=9*0.4,E30&lt;9)</formula>
    </cfRule>
  </conditionalFormatting>
  <conditionalFormatting sqref="E31">
    <cfRule type="expression" priority="247" dxfId="0">
      <formula>AND(COUNT(C31:H31)=6,E31=9)</formula>
    </cfRule>
    <cfRule type="expression" priority="248" dxfId="1">
      <formula>AND(COUNT(C31:H31)=6,E31&lt;9*0.4)</formula>
    </cfRule>
    <cfRule type="expression" priority="249" dxfId="2">
      <formula>AND(COUNT(C31:H31)=6,E31&gt;=9*0.4,E31&lt;9)</formula>
    </cfRule>
  </conditionalFormatting>
  <conditionalFormatting sqref="E32">
    <cfRule type="expression" priority="250" dxfId="0">
      <formula>AND(COUNT(C32:H32)=6,E32=9)</formula>
    </cfRule>
    <cfRule type="expression" priority="251" dxfId="1">
      <formula>AND(COUNT(C32:H32)=6,E32&lt;9*0.4)</formula>
    </cfRule>
    <cfRule type="expression" priority="252" dxfId="2">
      <formula>AND(COUNT(C32:H32)=6,E32&gt;=9*0.4,E32&lt;9)</formula>
    </cfRule>
  </conditionalFormatting>
  <conditionalFormatting sqref="E33">
    <cfRule type="expression" priority="253" dxfId="0">
      <formula>AND(COUNT(C33:H33)=6,E33=9)</formula>
    </cfRule>
    <cfRule type="expression" priority="254" dxfId="1">
      <formula>AND(COUNT(C33:H33)=6,E33&lt;9*0.4)</formula>
    </cfRule>
    <cfRule type="expression" priority="255" dxfId="2">
      <formula>AND(COUNT(C33:H33)=6,E33&gt;=9*0.4,E33&lt;9)</formula>
    </cfRule>
  </conditionalFormatting>
  <conditionalFormatting sqref="E34">
    <cfRule type="expression" priority="256" dxfId="0">
      <formula>AND(COUNT(C34:H34)=6,E34=9)</formula>
    </cfRule>
    <cfRule type="expression" priority="257" dxfId="1">
      <formula>AND(COUNT(C34:H34)=6,E34&lt;9*0.4)</formula>
    </cfRule>
    <cfRule type="expression" priority="258" dxfId="2">
      <formula>AND(COUNT(C34:H34)=6,E34&gt;=9*0.4,E34&lt;9)</formula>
    </cfRule>
  </conditionalFormatting>
  <conditionalFormatting sqref="E35">
    <cfRule type="expression" priority="259" dxfId="0">
      <formula>AND(COUNT(C35:H35)=6,E35=9)</formula>
    </cfRule>
    <cfRule type="expression" priority="260" dxfId="1">
      <formula>AND(COUNT(C35:H35)=6,E35&lt;9*0.4)</formula>
    </cfRule>
    <cfRule type="expression" priority="261" dxfId="2">
      <formula>AND(COUNT(C35:H35)=6,E35&gt;=9*0.4,E35&lt;9)</formula>
    </cfRule>
  </conditionalFormatting>
  <conditionalFormatting sqref="E36">
    <cfRule type="expression" priority="262" dxfId="0">
      <formula>AND(COUNT(C36:H36)=6,E36=9)</formula>
    </cfRule>
    <cfRule type="expression" priority="263" dxfId="1">
      <formula>AND(COUNT(C36:H36)=6,E36&lt;9*0.4)</formula>
    </cfRule>
    <cfRule type="expression" priority="264" dxfId="2">
      <formula>AND(COUNT(C36:H36)=6,E36&gt;=9*0.4,E36&lt;9)</formula>
    </cfRule>
  </conditionalFormatting>
  <conditionalFormatting sqref="E37">
    <cfRule type="expression" priority="265" dxfId="0">
      <formula>AND(COUNT(C37:H37)=6,E37=9)</formula>
    </cfRule>
    <cfRule type="expression" priority="266" dxfId="1">
      <formula>AND(COUNT(C37:H37)=6,E37&lt;9*0.4)</formula>
    </cfRule>
    <cfRule type="expression" priority="267" dxfId="2">
      <formula>AND(COUNT(C37:H37)=6,E37&gt;=9*0.4,E37&lt;9)</formula>
    </cfRule>
  </conditionalFormatting>
  <conditionalFormatting sqref="E38">
    <cfRule type="expression" priority="268" dxfId="0">
      <formula>AND(COUNT(C38:H38)=6,E38=9)</formula>
    </cfRule>
    <cfRule type="expression" priority="269" dxfId="1">
      <formula>AND(COUNT(C38:H38)=6,E38&lt;9*0.4)</formula>
    </cfRule>
    <cfRule type="expression" priority="270" dxfId="2">
      <formula>AND(COUNT(C38:H38)=6,E38&gt;=9*0.4,E38&lt;9)</formula>
    </cfRule>
  </conditionalFormatting>
  <conditionalFormatting sqref="E39">
    <cfRule type="expression" priority="271" dxfId="0">
      <formula>AND(COUNT(C39:H39)=6,E39=9)</formula>
    </cfRule>
    <cfRule type="expression" priority="272" dxfId="1">
      <formula>AND(COUNT(C39:H39)=6,E39&lt;9*0.4)</formula>
    </cfRule>
    <cfRule type="expression" priority="273" dxfId="2">
      <formula>AND(COUNT(C39:H39)=6,E39&gt;=9*0.4,E39&lt;9)</formula>
    </cfRule>
  </conditionalFormatting>
  <conditionalFormatting sqref="E40">
    <cfRule type="expression" priority="274" dxfId="0">
      <formula>AND(COUNT(C40:H40)=6,E40=9)</formula>
    </cfRule>
    <cfRule type="expression" priority="275" dxfId="1">
      <formula>AND(COUNT(C40:H40)=6,E40&lt;9*0.4)</formula>
    </cfRule>
    <cfRule type="expression" priority="276" dxfId="2">
      <formula>AND(COUNT(C40:H40)=6,E40&gt;=9*0.4,E40&lt;9)</formula>
    </cfRule>
  </conditionalFormatting>
  <conditionalFormatting sqref="E41">
    <cfRule type="expression" priority="277" dxfId="0">
      <formula>AND(COUNT(C41:H41)=6,E41=9)</formula>
    </cfRule>
    <cfRule type="expression" priority="278" dxfId="1">
      <formula>AND(COUNT(C41:H41)=6,E41&lt;9*0.4)</formula>
    </cfRule>
    <cfRule type="expression" priority="279" dxfId="2">
      <formula>AND(COUNT(C41:H41)=6,E41&gt;=9*0.4,E41&lt;9)</formula>
    </cfRule>
  </conditionalFormatting>
  <conditionalFormatting sqref="F11">
    <cfRule type="expression" priority="280" dxfId="0">
      <formula>AND(COUNT(C11:H11)=6,F11=8)</formula>
    </cfRule>
    <cfRule type="expression" priority="281" dxfId="1">
      <formula>AND(COUNT(C11:H11)=6,F11&lt;8*0.4)</formula>
    </cfRule>
    <cfRule type="expression" priority="282" dxfId="2">
      <formula>AND(COUNT(C11:H11)=6,F11&gt;=8*0.4,F11&lt;8)</formula>
    </cfRule>
  </conditionalFormatting>
  <conditionalFormatting sqref="F12">
    <cfRule type="expression" priority="283" dxfId="0">
      <formula>AND(COUNT(C12:H12)=6,F12=8)</formula>
    </cfRule>
    <cfRule type="expression" priority="284" dxfId="1">
      <formula>AND(COUNT(C12:H12)=6,F12&lt;8*0.4)</formula>
    </cfRule>
    <cfRule type="expression" priority="285" dxfId="2">
      <formula>AND(COUNT(C12:H12)=6,F12&gt;=8*0.4,F12&lt;8)</formula>
    </cfRule>
  </conditionalFormatting>
  <conditionalFormatting sqref="F13">
    <cfRule type="expression" priority="286" dxfId="0">
      <formula>AND(COUNT(C13:H13)=6,F13=8)</formula>
    </cfRule>
    <cfRule type="expression" priority="287" dxfId="1">
      <formula>AND(COUNT(C13:H13)=6,F13&lt;8*0.4)</formula>
    </cfRule>
    <cfRule type="expression" priority="288" dxfId="2">
      <formula>AND(COUNT(C13:H13)=6,F13&gt;=8*0.4,F13&lt;8)</formula>
    </cfRule>
  </conditionalFormatting>
  <conditionalFormatting sqref="F14">
    <cfRule type="expression" priority="289" dxfId="0">
      <formula>AND(COUNT(C14:H14)=6,F14=8)</formula>
    </cfRule>
    <cfRule type="expression" priority="290" dxfId="1">
      <formula>AND(COUNT(C14:H14)=6,F14&lt;8*0.4)</formula>
    </cfRule>
    <cfRule type="expression" priority="291" dxfId="2">
      <formula>AND(COUNT(C14:H14)=6,F14&gt;=8*0.4,F14&lt;8)</formula>
    </cfRule>
  </conditionalFormatting>
  <conditionalFormatting sqref="F15">
    <cfRule type="expression" priority="292" dxfId="0">
      <formula>AND(COUNT(C15:H15)=6,F15=8)</formula>
    </cfRule>
    <cfRule type="expression" priority="293" dxfId="1">
      <formula>AND(COUNT(C15:H15)=6,F15&lt;8*0.4)</formula>
    </cfRule>
    <cfRule type="expression" priority="294" dxfId="2">
      <formula>AND(COUNT(C15:H15)=6,F15&gt;=8*0.4,F15&lt;8)</formula>
    </cfRule>
  </conditionalFormatting>
  <conditionalFormatting sqref="F16">
    <cfRule type="expression" priority="295" dxfId="0">
      <formula>AND(COUNT(C16:H16)=6,F16=8)</formula>
    </cfRule>
    <cfRule type="expression" priority="296" dxfId="1">
      <formula>AND(COUNT(C16:H16)=6,F16&lt;8*0.4)</formula>
    </cfRule>
    <cfRule type="expression" priority="297" dxfId="2">
      <formula>AND(COUNT(C16:H16)=6,F16&gt;=8*0.4,F16&lt;8)</formula>
    </cfRule>
  </conditionalFormatting>
  <conditionalFormatting sqref="F17">
    <cfRule type="expression" priority="298" dxfId="0">
      <formula>AND(COUNT(C17:H17)=6,F17=8)</formula>
    </cfRule>
    <cfRule type="expression" priority="299" dxfId="1">
      <formula>AND(COUNT(C17:H17)=6,F17&lt;8*0.4)</formula>
    </cfRule>
    <cfRule type="expression" priority="300" dxfId="2">
      <formula>AND(COUNT(C17:H17)=6,F17&gt;=8*0.4,F17&lt;8)</formula>
    </cfRule>
  </conditionalFormatting>
  <conditionalFormatting sqref="F18">
    <cfRule type="expression" priority="301" dxfId="0">
      <formula>AND(COUNT(C18:H18)=6,F18=8)</formula>
    </cfRule>
    <cfRule type="expression" priority="302" dxfId="1">
      <formula>AND(COUNT(C18:H18)=6,F18&lt;8*0.4)</formula>
    </cfRule>
    <cfRule type="expression" priority="303" dxfId="2">
      <formula>AND(COUNT(C18:H18)=6,F18&gt;=8*0.4,F18&lt;8)</formula>
    </cfRule>
  </conditionalFormatting>
  <conditionalFormatting sqref="F19">
    <cfRule type="expression" priority="304" dxfId="0">
      <formula>AND(COUNT(C19:H19)=6,F19=8)</formula>
    </cfRule>
    <cfRule type="expression" priority="305" dxfId="1">
      <formula>AND(COUNT(C19:H19)=6,F19&lt;8*0.4)</formula>
    </cfRule>
    <cfRule type="expression" priority="306" dxfId="2">
      <formula>AND(COUNT(C19:H19)=6,F19&gt;=8*0.4,F19&lt;8)</formula>
    </cfRule>
  </conditionalFormatting>
  <conditionalFormatting sqref="F20">
    <cfRule type="expression" priority="307" dxfId="0">
      <formula>AND(COUNT(C20:H20)=6,F20=8)</formula>
    </cfRule>
    <cfRule type="expression" priority="308" dxfId="1">
      <formula>AND(COUNT(C20:H20)=6,F20&lt;8*0.4)</formula>
    </cfRule>
    <cfRule type="expression" priority="309" dxfId="2">
      <formula>AND(COUNT(C20:H20)=6,F20&gt;=8*0.4,F20&lt;8)</formula>
    </cfRule>
  </conditionalFormatting>
  <conditionalFormatting sqref="F21">
    <cfRule type="expression" priority="310" dxfId="0">
      <formula>AND(COUNT(C21:H21)=6,F21=8)</formula>
    </cfRule>
    <cfRule type="expression" priority="311" dxfId="1">
      <formula>AND(COUNT(C21:H21)=6,F21&lt;8*0.4)</formula>
    </cfRule>
    <cfRule type="expression" priority="312" dxfId="2">
      <formula>AND(COUNT(C21:H21)=6,F21&gt;=8*0.4,F21&lt;8)</formula>
    </cfRule>
  </conditionalFormatting>
  <conditionalFormatting sqref="F22">
    <cfRule type="expression" priority="313" dxfId="0">
      <formula>AND(COUNT(C22:H22)=6,F22=8)</formula>
    </cfRule>
    <cfRule type="expression" priority="314" dxfId="1">
      <formula>AND(COUNT(C22:H22)=6,F22&lt;8*0.4)</formula>
    </cfRule>
    <cfRule type="expression" priority="315" dxfId="2">
      <formula>AND(COUNT(C22:H22)=6,F22&gt;=8*0.4,F22&lt;8)</formula>
    </cfRule>
  </conditionalFormatting>
  <conditionalFormatting sqref="F23">
    <cfRule type="expression" priority="316" dxfId="0">
      <formula>AND(COUNT(C23:H23)=6,F23=8)</formula>
    </cfRule>
    <cfRule type="expression" priority="317" dxfId="1">
      <formula>AND(COUNT(C23:H23)=6,F23&lt;8*0.4)</formula>
    </cfRule>
    <cfRule type="expression" priority="318" dxfId="2">
      <formula>AND(COUNT(C23:H23)=6,F23&gt;=8*0.4,F23&lt;8)</formula>
    </cfRule>
  </conditionalFormatting>
  <conditionalFormatting sqref="F24">
    <cfRule type="expression" priority="319" dxfId="0">
      <formula>AND(COUNT(C24:H24)=6,F24=8)</formula>
    </cfRule>
    <cfRule type="expression" priority="320" dxfId="1">
      <formula>AND(COUNT(C24:H24)=6,F24&lt;8*0.4)</formula>
    </cfRule>
    <cfRule type="expression" priority="321" dxfId="2">
      <formula>AND(COUNT(C24:H24)=6,F24&gt;=8*0.4,F24&lt;8)</formula>
    </cfRule>
  </conditionalFormatting>
  <conditionalFormatting sqref="F25">
    <cfRule type="expression" priority="322" dxfId="0">
      <formula>AND(COUNT(C25:H25)=6,F25=8)</formula>
    </cfRule>
    <cfRule type="expression" priority="323" dxfId="1">
      <formula>AND(COUNT(C25:H25)=6,F25&lt;8*0.4)</formula>
    </cfRule>
    <cfRule type="expression" priority="324" dxfId="2">
      <formula>AND(COUNT(C25:H25)=6,F25&gt;=8*0.4,F25&lt;8)</formula>
    </cfRule>
  </conditionalFormatting>
  <conditionalFormatting sqref="F26">
    <cfRule type="expression" priority="325" dxfId="0">
      <formula>AND(COUNT(C26:H26)=6,F26=8)</formula>
    </cfRule>
    <cfRule type="expression" priority="326" dxfId="1">
      <formula>AND(COUNT(C26:H26)=6,F26&lt;8*0.4)</formula>
    </cfRule>
    <cfRule type="expression" priority="327" dxfId="2">
      <formula>AND(COUNT(C26:H26)=6,F26&gt;=8*0.4,F26&lt;8)</formula>
    </cfRule>
  </conditionalFormatting>
  <conditionalFormatting sqref="F27">
    <cfRule type="expression" priority="328" dxfId="0">
      <formula>AND(COUNT(C27:H27)=6,F27=8)</formula>
    </cfRule>
    <cfRule type="expression" priority="329" dxfId="1">
      <formula>AND(COUNT(C27:H27)=6,F27&lt;8*0.4)</formula>
    </cfRule>
    <cfRule type="expression" priority="330" dxfId="2">
      <formula>AND(COUNT(C27:H27)=6,F27&gt;=8*0.4,F27&lt;8)</formula>
    </cfRule>
  </conditionalFormatting>
  <conditionalFormatting sqref="F28">
    <cfRule type="expression" priority="331" dxfId="0">
      <formula>AND(COUNT(C28:H28)=6,F28=8)</formula>
    </cfRule>
    <cfRule type="expression" priority="332" dxfId="1">
      <formula>AND(COUNT(C28:H28)=6,F28&lt;8*0.4)</formula>
    </cfRule>
    <cfRule type="expression" priority="333" dxfId="2">
      <formula>AND(COUNT(C28:H28)=6,F28&gt;=8*0.4,F28&lt;8)</formula>
    </cfRule>
  </conditionalFormatting>
  <conditionalFormatting sqref="F29">
    <cfRule type="expression" priority="334" dxfId="0">
      <formula>AND(COUNT(C29:H29)=6,F29=8)</formula>
    </cfRule>
    <cfRule type="expression" priority="335" dxfId="1">
      <formula>AND(COUNT(C29:H29)=6,F29&lt;8*0.4)</formula>
    </cfRule>
    <cfRule type="expression" priority="336" dxfId="2">
      <formula>AND(COUNT(C29:H29)=6,F29&gt;=8*0.4,F29&lt;8)</formula>
    </cfRule>
  </conditionalFormatting>
  <conditionalFormatting sqref="F30">
    <cfRule type="expression" priority="337" dxfId="0">
      <formula>AND(COUNT(C30:H30)=6,F30=8)</formula>
    </cfRule>
    <cfRule type="expression" priority="338" dxfId="1">
      <formula>AND(COUNT(C30:H30)=6,F30&lt;8*0.4)</formula>
    </cfRule>
    <cfRule type="expression" priority="339" dxfId="2">
      <formula>AND(COUNT(C30:H30)=6,F30&gt;=8*0.4,F30&lt;8)</formula>
    </cfRule>
  </conditionalFormatting>
  <conditionalFormatting sqref="F31">
    <cfRule type="expression" priority="340" dxfId="0">
      <formula>AND(COUNT(C31:H31)=6,F31=8)</formula>
    </cfRule>
    <cfRule type="expression" priority="341" dxfId="1">
      <formula>AND(COUNT(C31:H31)=6,F31&lt;8*0.4)</formula>
    </cfRule>
    <cfRule type="expression" priority="342" dxfId="2">
      <formula>AND(COUNT(C31:H31)=6,F31&gt;=8*0.4,F31&lt;8)</formula>
    </cfRule>
  </conditionalFormatting>
  <conditionalFormatting sqref="F32">
    <cfRule type="expression" priority="343" dxfId="0">
      <formula>AND(COUNT(C32:H32)=6,F32=8)</formula>
    </cfRule>
    <cfRule type="expression" priority="344" dxfId="1">
      <formula>AND(COUNT(C32:H32)=6,F32&lt;8*0.4)</formula>
    </cfRule>
    <cfRule type="expression" priority="345" dxfId="2">
      <formula>AND(COUNT(C32:H32)=6,F32&gt;=8*0.4,F32&lt;8)</formula>
    </cfRule>
  </conditionalFormatting>
  <conditionalFormatting sqref="F33">
    <cfRule type="expression" priority="346" dxfId="0">
      <formula>AND(COUNT(C33:H33)=6,F33=8)</formula>
    </cfRule>
    <cfRule type="expression" priority="347" dxfId="1">
      <formula>AND(COUNT(C33:H33)=6,F33&lt;8*0.4)</formula>
    </cfRule>
    <cfRule type="expression" priority="348" dxfId="2">
      <formula>AND(COUNT(C33:H33)=6,F33&gt;=8*0.4,F33&lt;8)</formula>
    </cfRule>
  </conditionalFormatting>
  <conditionalFormatting sqref="F34">
    <cfRule type="expression" priority="349" dxfId="0">
      <formula>AND(COUNT(C34:H34)=6,F34=8)</formula>
    </cfRule>
    <cfRule type="expression" priority="350" dxfId="1">
      <formula>AND(COUNT(C34:H34)=6,F34&lt;8*0.4)</formula>
    </cfRule>
    <cfRule type="expression" priority="351" dxfId="2">
      <formula>AND(COUNT(C34:H34)=6,F34&gt;=8*0.4,F34&lt;8)</formula>
    </cfRule>
  </conditionalFormatting>
  <conditionalFormatting sqref="F35">
    <cfRule type="expression" priority="352" dxfId="0">
      <formula>AND(COUNT(C35:H35)=6,F35=8)</formula>
    </cfRule>
    <cfRule type="expression" priority="353" dxfId="1">
      <formula>AND(COUNT(C35:H35)=6,F35&lt;8*0.4)</formula>
    </cfRule>
    <cfRule type="expression" priority="354" dxfId="2">
      <formula>AND(COUNT(C35:H35)=6,F35&gt;=8*0.4,F35&lt;8)</formula>
    </cfRule>
  </conditionalFormatting>
  <conditionalFormatting sqref="F36">
    <cfRule type="expression" priority="355" dxfId="0">
      <formula>AND(COUNT(C36:H36)=6,F36=8)</formula>
    </cfRule>
    <cfRule type="expression" priority="356" dxfId="1">
      <formula>AND(COUNT(C36:H36)=6,F36&lt;8*0.4)</formula>
    </cfRule>
    <cfRule type="expression" priority="357" dxfId="2">
      <formula>AND(COUNT(C36:H36)=6,F36&gt;=8*0.4,F36&lt;8)</formula>
    </cfRule>
  </conditionalFormatting>
  <conditionalFormatting sqref="F37">
    <cfRule type="expression" priority="358" dxfId="0">
      <formula>AND(COUNT(C37:H37)=6,F37=8)</formula>
    </cfRule>
    <cfRule type="expression" priority="359" dxfId="1">
      <formula>AND(COUNT(C37:H37)=6,F37&lt;8*0.4)</formula>
    </cfRule>
    <cfRule type="expression" priority="360" dxfId="2">
      <formula>AND(COUNT(C37:H37)=6,F37&gt;=8*0.4,F37&lt;8)</formula>
    </cfRule>
  </conditionalFormatting>
  <conditionalFormatting sqref="F38">
    <cfRule type="expression" priority="361" dxfId="0">
      <formula>AND(COUNT(C38:H38)=6,F38=8)</formula>
    </cfRule>
    <cfRule type="expression" priority="362" dxfId="1">
      <formula>AND(COUNT(C38:H38)=6,F38&lt;8*0.4)</formula>
    </cfRule>
    <cfRule type="expression" priority="363" dxfId="2">
      <formula>AND(COUNT(C38:H38)=6,F38&gt;=8*0.4,F38&lt;8)</formula>
    </cfRule>
  </conditionalFormatting>
  <conditionalFormatting sqref="F39">
    <cfRule type="expression" priority="364" dxfId="0">
      <formula>AND(COUNT(C39:H39)=6,F39=8)</formula>
    </cfRule>
    <cfRule type="expression" priority="365" dxfId="1">
      <formula>AND(COUNT(C39:H39)=6,F39&lt;8*0.4)</formula>
    </cfRule>
    <cfRule type="expression" priority="366" dxfId="2">
      <formula>AND(COUNT(C39:H39)=6,F39&gt;=8*0.4,F39&lt;8)</formula>
    </cfRule>
  </conditionalFormatting>
  <conditionalFormatting sqref="F40">
    <cfRule type="expression" priority="367" dxfId="0">
      <formula>AND(COUNT(C40:H40)=6,F40=8)</formula>
    </cfRule>
    <cfRule type="expression" priority="368" dxfId="1">
      <formula>AND(COUNT(C40:H40)=6,F40&lt;8*0.4)</formula>
    </cfRule>
    <cfRule type="expression" priority="369" dxfId="2">
      <formula>AND(COUNT(C40:H40)=6,F40&gt;=8*0.4,F40&lt;8)</formula>
    </cfRule>
  </conditionalFormatting>
  <conditionalFormatting sqref="F41">
    <cfRule type="expression" priority="370" dxfId="0">
      <formula>AND(COUNT(C41:H41)=6,F41=8)</formula>
    </cfRule>
    <cfRule type="expression" priority="371" dxfId="1">
      <formula>AND(COUNT(C41:H41)=6,F41&lt;8*0.4)</formula>
    </cfRule>
    <cfRule type="expression" priority="372" dxfId="2">
      <formula>AND(COUNT(C41:H41)=6,F41&gt;=8*0.4,F41&lt;8)</formula>
    </cfRule>
  </conditionalFormatting>
  <conditionalFormatting sqref="G11">
    <cfRule type="expression" priority="373" dxfId="0">
      <formula>AND(COUNT(C11:H11)=6,G11=7)</formula>
    </cfRule>
    <cfRule type="expression" priority="374" dxfId="1">
      <formula>AND(COUNT(C11:H11)=6,G11&lt;7*0.4)</formula>
    </cfRule>
    <cfRule type="expression" priority="375" dxfId="2">
      <formula>AND(COUNT(C11:H11)=6,G11&gt;=7*0.4,G11&lt;7)</formula>
    </cfRule>
  </conditionalFormatting>
  <conditionalFormatting sqref="G12">
    <cfRule type="expression" priority="376" dxfId="0">
      <formula>AND(COUNT(C12:H12)=6,G12=7)</formula>
    </cfRule>
    <cfRule type="expression" priority="377" dxfId="1">
      <formula>AND(COUNT(C12:H12)=6,G12&lt;7*0.4)</formula>
    </cfRule>
    <cfRule type="expression" priority="378" dxfId="2">
      <formula>AND(COUNT(C12:H12)=6,G12&gt;=7*0.4,G12&lt;7)</formula>
    </cfRule>
  </conditionalFormatting>
  <conditionalFormatting sqref="G13">
    <cfRule type="expression" priority="379" dxfId="0">
      <formula>AND(COUNT(C13:H13)=6,G13=7)</formula>
    </cfRule>
    <cfRule type="expression" priority="380" dxfId="1">
      <formula>AND(COUNT(C13:H13)=6,G13&lt;7*0.4)</formula>
    </cfRule>
    <cfRule type="expression" priority="381" dxfId="2">
      <formula>AND(COUNT(C13:H13)=6,G13&gt;=7*0.4,G13&lt;7)</formula>
    </cfRule>
  </conditionalFormatting>
  <conditionalFormatting sqref="G14">
    <cfRule type="expression" priority="382" dxfId="0">
      <formula>AND(COUNT(C14:H14)=6,G14=7)</formula>
    </cfRule>
    <cfRule type="expression" priority="383" dxfId="1">
      <formula>AND(COUNT(C14:H14)=6,G14&lt;7*0.4)</formula>
    </cfRule>
    <cfRule type="expression" priority="384" dxfId="2">
      <formula>AND(COUNT(C14:H14)=6,G14&gt;=7*0.4,G14&lt;7)</formula>
    </cfRule>
  </conditionalFormatting>
  <conditionalFormatting sqref="G15">
    <cfRule type="expression" priority="385" dxfId="0">
      <formula>AND(COUNT(C15:H15)=6,G15=7)</formula>
    </cfRule>
    <cfRule type="expression" priority="386" dxfId="1">
      <formula>AND(COUNT(C15:H15)=6,G15&lt;7*0.4)</formula>
    </cfRule>
    <cfRule type="expression" priority="387" dxfId="2">
      <formula>AND(COUNT(C15:H15)=6,G15&gt;=7*0.4,G15&lt;7)</formula>
    </cfRule>
  </conditionalFormatting>
  <conditionalFormatting sqref="G16">
    <cfRule type="expression" priority="388" dxfId="0">
      <formula>AND(COUNT(C16:H16)=6,G16=7)</formula>
    </cfRule>
    <cfRule type="expression" priority="389" dxfId="1">
      <formula>AND(COUNT(C16:H16)=6,G16&lt;7*0.4)</formula>
    </cfRule>
    <cfRule type="expression" priority="390" dxfId="2">
      <formula>AND(COUNT(C16:H16)=6,G16&gt;=7*0.4,G16&lt;7)</formula>
    </cfRule>
  </conditionalFormatting>
  <conditionalFormatting sqref="G17">
    <cfRule type="expression" priority="391" dxfId="0">
      <formula>AND(COUNT(C17:H17)=6,G17=7)</formula>
    </cfRule>
    <cfRule type="expression" priority="392" dxfId="1">
      <formula>AND(COUNT(C17:H17)=6,G17&lt;7*0.4)</formula>
    </cfRule>
    <cfRule type="expression" priority="393" dxfId="2">
      <formula>AND(COUNT(C17:H17)=6,G17&gt;=7*0.4,G17&lt;7)</formula>
    </cfRule>
  </conditionalFormatting>
  <conditionalFormatting sqref="G18">
    <cfRule type="expression" priority="394" dxfId="0">
      <formula>AND(COUNT(C18:H18)=6,G18=7)</formula>
    </cfRule>
    <cfRule type="expression" priority="395" dxfId="1">
      <formula>AND(COUNT(C18:H18)=6,G18&lt;7*0.4)</formula>
    </cfRule>
    <cfRule type="expression" priority="396" dxfId="2">
      <formula>AND(COUNT(C18:H18)=6,G18&gt;=7*0.4,G18&lt;7)</formula>
    </cfRule>
  </conditionalFormatting>
  <conditionalFormatting sqref="G19">
    <cfRule type="expression" priority="397" dxfId="0">
      <formula>AND(COUNT(C19:H19)=6,G19=7)</formula>
    </cfRule>
    <cfRule type="expression" priority="398" dxfId="1">
      <formula>AND(COUNT(C19:H19)=6,G19&lt;7*0.4)</formula>
    </cfRule>
    <cfRule type="expression" priority="399" dxfId="2">
      <formula>AND(COUNT(C19:H19)=6,G19&gt;=7*0.4,G19&lt;7)</formula>
    </cfRule>
  </conditionalFormatting>
  <conditionalFormatting sqref="G20">
    <cfRule type="expression" priority="400" dxfId="0">
      <formula>AND(COUNT(C20:H20)=6,G20=7)</formula>
    </cfRule>
    <cfRule type="expression" priority="401" dxfId="1">
      <formula>AND(COUNT(C20:H20)=6,G20&lt;7*0.4)</formula>
    </cfRule>
    <cfRule type="expression" priority="402" dxfId="2">
      <formula>AND(COUNT(C20:H20)=6,G20&gt;=7*0.4,G20&lt;7)</formula>
    </cfRule>
  </conditionalFormatting>
  <conditionalFormatting sqref="G21">
    <cfRule type="expression" priority="403" dxfId="0">
      <formula>AND(COUNT(C21:H21)=6,G21=7)</formula>
    </cfRule>
    <cfRule type="expression" priority="404" dxfId="1">
      <formula>AND(COUNT(C21:H21)=6,G21&lt;7*0.4)</formula>
    </cfRule>
    <cfRule type="expression" priority="405" dxfId="2">
      <formula>AND(COUNT(C21:H21)=6,G21&gt;=7*0.4,G21&lt;7)</formula>
    </cfRule>
  </conditionalFormatting>
  <conditionalFormatting sqref="G22">
    <cfRule type="expression" priority="406" dxfId="0">
      <formula>AND(COUNT(C22:H22)=6,G22=7)</formula>
    </cfRule>
    <cfRule type="expression" priority="407" dxfId="1">
      <formula>AND(COUNT(C22:H22)=6,G22&lt;7*0.4)</formula>
    </cfRule>
    <cfRule type="expression" priority="408" dxfId="2">
      <formula>AND(COUNT(C22:H22)=6,G22&gt;=7*0.4,G22&lt;7)</formula>
    </cfRule>
  </conditionalFormatting>
  <conditionalFormatting sqref="G23">
    <cfRule type="expression" priority="409" dxfId="0">
      <formula>AND(COUNT(C23:H23)=6,G23=7)</formula>
    </cfRule>
    <cfRule type="expression" priority="410" dxfId="1">
      <formula>AND(COUNT(C23:H23)=6,G23&lt;7*0.4)</formula>
    </cfRule>
    <cfRule type="expression" priority="411" dxfId="2">
      <formula>AND(COUNT(C23:H23)=6,G23&gt;=7*0.4,G23&lt;7)</formula>
    </cfRule>
  </conditionalFormatting>
  <conditionalFormatting sqref="G24">
    <cfRule type="expression" priority="412" dxfId="0">
      <formula>AND(COUNT(C24:H24)=6,G24=7)</formula>
    </cfRule>
    <cfRule type="expression" priority="413" dxfId="1">
      <formula>AND(COUNT(C24:H24)=6,G24&lt;7*0.4)</formula>
    </cfRule>
    <cfRule type="expression" priority="414" dxfId="2">
      <formula>AND(COUNT(C24:H24)=6,G24&gt;=7*0.4,G24&lt;7)</formula>
    </cfRule>
  </conditionalFormatting>
  <conditionalFormatting sqref="G25">
    <cfRule type="expression" priority="415" dxfId="0">
      <formula>AND(COUNT(C25:H25)=6,G25=7)</formula>
    </cfRule>
    <cfRule type="expression" priority="416" dxfId="1">
      <formula>AND(COUNT(C25:H25)=6,G25&lt;7*0.4)</formula>
    </cfRule>
    <cfRule type="expression" priority="417" dxfId="2">
      <formula>AND(COUNT(C25:H25)=6,G25&gt;=7*0.4,G25&lt;7)</formula>
    </cfRule>
  </conditionalFormatting>
  <conditionalFormatting sqref="G26">
    <cfRule type="expression" priority="418" dxfId="0">
      <formula>AND(COUNT(C26:H26)=6,G26=7)</formula>
    </cfRule>
    <cfRule type="expression" priority="419" dxfId="1">
      <formula>AND(COUNT(C26:H26)=6,G26&lt;7*0.4)</formula>
    </cfRule>
    <cfRule type="expression" priority="420" dxfId="2">
      <formula>AND(COUNT(C26:H26)=6,G26&gt;=7*0.4,G26&lt;7)</formula>
    </cfRule>
  </conditionalFormatting>
  <conditionalFormatting sqref="G27">
    <cfRule type="expression" priority="421" dxfId="0">
      <formula>AND(COUNT(C27:H27)=6,G27=7)</formula>
    </cfRule>
    <cfRule type="expression" priority="422" dxfId="1">
      <formula>AND(COUNT(C27:H27)=6,G27&lt;7*0.4)</formula>
    </cfRule>
    <cfRule type="expression" priority="423" dxfId="2">
      <formula>AND(COUNT(C27:H27)=6,G27&gt;=7*0.4,G27&lt;7)</formula>
    </cfRule>
  </conditionalFormatting>
  <conditionalFormatting sqref="G28">
    <cfRule type="expression" priority="424" dxfId="0">
      <formula>AND(COUNT(C28:H28)=6,G28=7)</formula>
    </cfRule>
    <cfRule type="expression" priority="425" dxfId="1">
      <formula>AND(COUNT(C28:H28)=6,G28&lt;7*0.4)</formula>
    </cfRule>
    <cfRule type="expression" priority="426" dxfId="2">
      <formula>AND(COUNT(C28:H28)=6,G28&gt;=7*0.4,G28&lt;7)</formula>
    </cfRule>
  </conditionalFormatting>
  <conditionalFormatting sqref="G29">
    <cfRule type="expression" priority="427" dxfId="0">
      <formula>AND(COUNT(C29:H29)=6,G29=7)</formula>
    </cfRule>
    <cfRule type="expression" priority="428" dxfId="1">
      <formula>AND(COUNT(C29:H29)=6,G29&lt;7*0.4)</formula>
    </cfRule>
    <cfRule type="expression" priority="429" dxfId="2">
      <formula>AND(COUNT(C29:H29)=6,G29&gt;=7*0.4,G29&lt;7)</formula>
    </cfRule>
  </conditionalFormatting>
  <conditionalFormatting sqref="G30">
    <cfRule type="expression" priority="430" dxfId="0">
      <formula>AND(COUNT(C30:H30)=6,G30=7)</formula>
    </cfRule>
    <cfRule type="expression" priority="431" dxfId="1">
      <formula>AND(COUNT(C30:H30)=6,G30&lt;7*0.4)</formula>
    </cfRule>
    <cfRule type="expression" priority="432" dxfId="2">
      <formula>AND(COUNT(C30:H30)=6,G30&gt;=7*0.4,G30&lt;7)</formula>
    </cfRule>
  </conditionalFormatting>
  <conditionalFormatting sqref="G31">
    <cfRule type="expression" priority="433" dxfId="0">
      <formula>AND(COUNT(C31:H31)=6,G31=7)</formula>
    </cfRule>
    <cfRule type="expression" priority="434" dxfId="1">
      <formula>AND(COUNT(C31:H31)=6,G31&lt;7*0.4)</formula>
    </cfRule>
    <cfRule type="expression" priority="435" dxfId="2">
      <formula>AND(COUNT(C31:H31)=6,G31&gt;=7*0.4,G31&lt;7)</formula>
    </cfRule>
  </conditionalFormatting>
  <conditionalFormatting sqref="G32">
    <cfRule type="expression" priority="436" dxfId="0">
      <formula>AND(COUNT(C32:H32)=6,G32=7)</formula>
    </cfRule>
    <cfRule type="expression" priority="437" dxfId="1">
      <formula>AND(COUNT(C32:H32)=6,G32&lt;7*0.4)</formula>
    </cfRule>
    <cfRule type="expression" priority="438" dxfId="2">
      <formula>AND(COUNT(C32:H32)=6,G32&gt;=7*0.4,G32&lt;7)</formula>
    </cfRule>
  </conditionalFormatting>
  <conditionalFormatting sqref="G33">
    <cfRule type="expression" priority="439" dxfId="0">
      <formula>AND(COUNT(C33:H33)=6,G33=7)</formula>
    </cfRule>
    <cfRule type="expression" priority="440" dxfId="1">
      <formula>AND(COUNT(C33:H33)=6,G33&lt;7*0.4)</formula>
    </cfRule>
    <cfRule type="expression" priority="441" dxfId="2">
      <formula>AND(COUNT(C33:H33)=6,G33&gt;=7*0.4,G33&lt;7)</formula>
    </cfRule>
  </conditionalFormatting>
  <conditionalFormatting sqref="G34">
    <cfRule type="expression" priority="442" dxfId="0">
      <formula>AND(COUNT(C34:H34)=6,G34=7)</formula>
    </cfRule>
    <cfRule type="expression" priority="443" dxfId="1">
      <formula>AND(COUNT(C34:H34)=6,G34&lt;7*0.4)</formula>
    </cfRule>
    <cfRule type="expression" priority="444" dxfId="2">
      <formula>AND(COUNT(C34:H34)=6,G34&gt;=7*0.4,G34&lt;7)</formula>
    </cfRule>
  </conditionalFormatting>
  <conditionalFormatting sqref="G35">
    <cfRule type="expression" priority="445" dxfId="0">
      <formula>AND(COUNT(C35:H35)=6,G35=7)</formula>
    </cfRule>
    <cfRule type="expression" priority="446" dxfId="1">
      <formula>AND(COUNT(C35:H35)=6,G35&lt;7*0.4)</formula>
    </cfRule>
    <cfRule type="expression" priority="447" dxfId="2">
      <formula>AND(COUNT(C35:H35)=6,G35&gt;=7*0.4,G35&lt;7)</formula>
    </cfRule>
  </conditionalFormatting>
  <conditionalFormatting sqref="G36">
    <cfRule type="expression" priority="448" dxfId="0">
      <formula>AND(COUNT(C36:H36)=6,G36=7)</formula>
    </cfRule>
    <cfRule type="expression" priority="449" dxfId="1">
      <formula>AND(COUNT(C36:H36)=6,G36&lt;7*0.4)</formula>
    </cfRule>
    <cfRule type="expression" priority="450" dxfId="2">
      <formula>AND(COUNT(C36:H36)=6,G36&gt;=7*0.4,G36&lt;7)</formula>
    </cfRule>
  </conditionalFormatting>
  <conditionalFormatting sqref="G37">
    <cfRule type="expression" priority="451" dxfId="0">
      <formula>AND(COUNT(C37:H37)=6,G37=7)</formula>
    </cfRule>
    <cfRule type="expression" priority="452" dxfId="1">
      <formula>AND(COUNT(C37:H37)=6,G37&lt;7*0.4)</formula>
    </cfRule>
    <cfRule type="expression" priority="453" dxfId="2">
      <formula>AND(COUNT(C37:H37)=6,G37&gt;=7*0.4,G37&lt;7)</formula>
    </cfRule>
  </conditionalFormatting>
  <conditionalFormatting sqref="G38">
    <cfRule type="expression" priority="454" dxfId="0">
      <formula>AND(COUNT(C38:H38)=6,G38=7)</formula>
    </cfRule>
    <cfRule type="expression" priority="455" dxfId="1">
      <formula>AND(COUNT(C38:H38)=6,G38&lt;7*0.4)</formula>
    </cfRule>
    <cfRule type="expression" priority="456" dxfId="2">
      <formula>AND(COUNT(C38:H38)=6,G38&gt;=7*0.4,G38&lt;7)</formula>
    </cfRule>
  </conditionalFormatting>
  <conditionalFormatting sqref="G39">
    <cfRule type="expression" priority="457" dxfId="0">
      <formula>AND(COUNT(C39:H39)=6,G39=7)</formula>
    </cfRule>
    <cfRule type="expression" priority="458" dxfId="1">
      <formula>AND(COUNT(C39:H39)=6,G39&lt;7*0.4)</formula>
    </cfRule>
    <cfRule type="expression" priority="459" dxfId="2">
      <formula>AND(COUNT(C39:H39)=6,G39&gt;=7*0.4,G39&lt;7)</formula>
    </cfRule>
  </conditionalFormatting>
  <conditionalFormatting sqref="G40">
    <cfRule type="expression" priority="460" dxfId="0">
      <formula>AND(COUNT(C40:H40)=6,G40=7)</formula>
    </cfRule>
    <cfRule type="expression" priority="461" dxfId="1">
      <formula>AND(COUNT(C40:H40)=6,G40&lt;7*0.4)</formula>
    </cfRule>
    <cfRule type="expression" priority="462" dxfId="2">
      <formula>AND(COUNT(C40:H40)=6,G40&gt;=7*0.4,G40&lt;7)</formula>
    </cfRule>
  </conditionalFormatting>
  <conditionalFormatting sqref="G41">
    <cfRule type="expression" priority="463" dxfId="0">
      <formula>AND(COUNT(C41:H41)=6,G41=7)</formula>
    </cfRule>
    <cfRule type="expression" priority="464" dxfId="1">
      <formula>AND(COUNT(C41:H41)=6,G41&lt;7*0.4)</formula>
    </cfRule>
    <cfRule type="expression" priority="465" dxfId="2">
      <formula>AND(COUNT(C41:H41)=6,G41&gt;=7*0.4,G41&lt;7)</formula>
    </cfRule>
  </conditionalFormatting>
  <conditionalFormatting sqref="H11">
    <cfRule type="expression" priority="466" dxfId="0">
      <formula>AND(COUNT(C11:H11)=6,H11=8)</formula>
    </cfRule>
    <cfRule type="expression" priority="467" dxfId="1">
      <formula>AND(COUNT(C11:H11)=6,H11&lt;8*0.4)</formula>
    </cfRule>
    <cfRule type="expression" priority="468" dxfId="2">
      <formula>AND(COUNT(C11:H11)=6,H11&gt;=8*0.4,H11&lt;8)</formula>
    </cfRule>
  </conditionalFormatting>
  <conditionalFormatting sqref="H12">
    <cfRule type="expression" priority="469" dxfId="0">
      <formula>AND(COUNT(C12:H12)=6,H12=8)</formula>
    </cfRule>
    <cfRule type="expression" priority="470" dxfId="1">
      <formula>AND(COUNT(C12:H12)=6,H12&lt;8*0.4)</formula>
    </cfRule>
    <cfRule type="expression" priority="471" dxfId="2">
      <formula>AND(COUNT(C12:H12)=6,H12&gt;=8*0.4,H12&lt;8)</formula>
    </cfRule>
  </conditionalFormatting>
  <conditionalFormatting sqref="H13">
    <cfRule type="expression" priority="472" dxfId="0">
      <formula>AND(COUNT(C13:H13)=6,H13=8)</formula>
    </cfRule>
    <cfRule type="expression" priority="473" dxfId="1">
      <formula>AND(COUNT(C13:H13)=6,H13&lt;8*0.4)</formula>
    </cfRule>
    <cfRule type="expression" priority="474" dxfId="2">
      <formula>AND(COUNT(C13:H13)=6,H13&gt;=8*0.4,H13&lt;8)</formula>
    </cfRule>
  </conditionalFormatting>
  <conditionalFormatting sqref="H14">
    <cfRule type="expression" priority="475" dxfId="0">
      <formula>AND(COUNT(C14:H14)=6,H14=8)</formula>
    </cfRule>
    <cfRule type="expression" priority="476" dxfId="1">
      <formula>AND(COUNT(C14:H14)=6,H14&lt;8*0.4)</formula>
    </cfRule>
    <cfRule type="expression" priority="477" dxfId="2">
      <formula>AND(COUNT(C14:H14)=6,H14&gt;=8*0.4,H14&lt;8)</formula>
    </cfRule>
  </conditionalFormatting>
  <conditionalFormatting sqref="H15">
    <cfRule type="expression" priority="478" dxfId="0">
      <formula>AND(COUNT(C15:H15)=6,H15=8)</formula>
    </cfRule>
    <cfRule type="expression" priority="479" dxfId="1">
      <formula>AND(COUNT(C15:H15)=6,H15&lt;8*0.4)</formula>
    </cfRule>
    <cfRule type="expression" priority="480" dxfId="2">
      <formula>AND(COUNT(C15:H15)=6,H15&gt;=8*0.4,H15&lt;8)</formula>
    </cfRule>
  </conditionalFormatting>
  <conditionalFormatting sqref="H16">
    <cfRule type="expression" priority="481" dxfId="0">
      <formula>AND(COUNT(C16:H16)=6,H16=8)</formula>
    </cfRule>
    <cfRule type="expression" priority="482" dxfId="1">
      <formula>AND(COUNT(C16:H16)=6,H16&lt;8*0.4)</formula>
    </cfRule>
    <cfRule type="expression" priority="483" dxfId="2">
      <formula>AND(COUNT(C16:H16)=6,H16&gt;=8*0.4,H16&lt;8)</formula>
    </cfRule>
  </conditionalFormatting>
  <conditionalFormatting sqref="H17">
    <cfRule type="expression" priority="484" dxfId="0">
      <formula>AND(COUNT(C17:H17)=6,H17=8)</formula>
    </cfRule>
    <cfRule type="expression" priority="485" dxfId="1">
      <formula>AND(COUNT(C17:H17)=6,H17&lt;8*0.4)</formula>
    </cfRule>
    <cfRule type="expression" priority="486" dxfId="2">
      <formula>AND(COUNT(C17:H17)=6,H17&gt;=8*0.4,H17&lt;8)</formula>
    </cfRule>
  </conditionalFormatting>
  <conditionalFormatting sqref="H18">
    <cfRule type="expression" priority="487" dxfId="0">
      <formula>AND(COUNT(C18:H18)=6,H18=8)</formula>
    </cfRule>
    <cfRule type="expression" priority="488" dxfId="1">
      <formula>AND(COUNT(C18:H18)=6,H18&lt;8*0.4)</formula>
    </cfRule>
    <cfRule type="expression" priority="489" dxfId="2">
      <formula>AND(COUNT(C18:H18)=6,H18&gt;=8*0.4,H18&lt;8)</formula>
    </cfRule>
  </conditionalFormatting>
  <conditionalFormatting sqref="H19">
    <cfRule type="expression" priority="490" dxfId="0">
      <formula>AND(COUNT(C19:H19)=6,H19=8)</formula>
    </cfRule>
    <cfRule type="expression" priority="491" dxfId="1">
      <formula>AND(COUNT(C19:H19)=6,H19&lt;8*0.4)</formula>
    </cfRule>
    <cfRule type="expression" priority="492" dxfId="2">
      <formula>AND(COUNT(C19:H19)=6,H19&gt;=8*0.4,H19&lt;8)</formula>
    </cfRule>
  </conditionalFormatting>
  <conditionalFormatting sqref="H20">
    <cfRule type="expression" priority="493" dxfId="0">
      <formula>AND(COUNT(C20:H20)=6,H20=8)</formula>
    </cfRule>
    <cfRule type="expression" priority="494" dxfId="1">
      <formula>AND(COUNT(C20:H20)=6,H20&lt;8*0.4)</formula>
    </cfRule>
    <cfRule type="expression" priority="495" dxfId="2">
      <formula>AND(COUNT(C20:H20)=6,H20&gt;=8*0.4,H20&lt;8)</formula>
    </cfRule>
  </conditionalFormatting>
  <conditionalFormatting sqref="H21">
    <cfRule type="expression" priority="496" dxfId="0">
      <formula>AND(COUNT(C21:H21)=6,H21=8)</formula>
    </cfRule>
    <cfRule type="expression" priority="497" dxfId="1">
      <formula>AND(COUNT(C21:H21)=6,H21&lt;8*0.4)</formula>
    </cfRule>
    <cfRule type="expression" priority="498" dxfId="2">
      <formula>AND(COUNT(C21:H21)=6,H21&gt;=8*0.4,H21&lt;8)</formula>
    </cfRule>
  </conditionalFormatting>
  <conditionalFormatting sqref="H22">
    <cfRule type="expression" priority="499" dxfId="0">
      <formula>AND(COUNT(C22:H22)=6,H22=8)</formula>
    </cfRule>
    <cfRule type="expression" priority="500" dxfId="1">
      <formula>AND(COUNT(C22:H22)=6,H22&lt;8*0.4)</formula>
    </cfRule>
    <cfRule type="expression" priority="501" dxfId="2">
      <formula>AND(COUNT(C22:H22)=6,H22&gt;=8*0.4,H22&lt;8)</formula>
    </cfRule>
  </conditionalFormatting>
  <conditionalFormatting sqref="H23">
    <cfRule type="expression" priority="502" dxfId="0">
      <formula>AND(COUNT(C23:H23)=6,H23=8)</formula>
    </cfRule>
    <cfRule type="expression" priority="503" dxfId="1">
      <formula>AND(COUNT(C23:H23)=6,H23&lt;8*0.4)</formula>
    </cfRule>
    <cfRule type="expression" priority="504" dxfId="2">
      <formula>AND(COUNT(C23:H23)=6,H23&gt;=8*0.4,H23&lt;8)</formula>
    </cfRule>
  </conditionalFormatting>
  <conditionalFormatting sqref="H24">
    <cfRule type="expression" priority="505" dxfId="0">
      <formula>AND(COUNT(C24:H24)=6,H24=8)</formula>
    </cfRule>
    <cfRule type="expression" priority="506" dxfId="1">
      <formula>AND(COUNT(C24:H24)=6,H24&lt;8*0.4)</formula>
    </cfRule>
    <cfRule type="expression" priority="507" dxfId="2">
      <formula>AND(COUNT(C24:H24)=6,H24&gt;=8*0.4,H24&lt;8)</formula>
    </cfRule>
  </conditionalFormatting>
  <conditionalFormatting sqref="H25">
    <cfRule type="expression" priority="508" dxfId="0">
      <formula>AND(COUNT(C25:H25)=6,H25=8)</formula>
    </cfRule>
    <cfRule type="expression" priority="509" dxfId="1">
      <formula>AND(COUNT(C25:H25)=6,H25&lt;8*0.4)</formula>
    </cfRule>
    <cfRule type="expression" priority="510" dxfId="2">
      <formula>AND(COUNT(C25:H25)=6,H25&gt;=8*0.4,H25&lt;8)</formula>
    </cfRule>
  </conditionalFormatting>
  <conditionalFormatting sqref="H26">
    <cfRule type="expression" priority="511" dxfId="0">
      <formula>AND(COUNT(C26:H26)=6,H26=8)</formula>
    </cfRule>
    <cfRule type="expression" priority="512" dxfId="1">
      <formula>AND(COUNT(C26:H26)=6,H26&lt;8*0.4)</formula>
    </cfRule>
    <cfRule type="expression" priority="513" dxfId="2">
      <formula>AND(COUNT(C26:H26)=6,H26&gt;=8*0.4,H26&lt;8)</formula>
    </cfRule>
  </conditionalFormatting>
  <conditionalFormatting sqref="H27">
    <cfRule type="expression" priority="514" dxfId="0">
      <formula>AND(COUNT(C27:H27)=6,H27=8)</formula>
    </cfRule>
    <cfRule type="expression" priority="515" dxfId="1">
      <formula>AND(COUNT(C27:H27)=6,H27&lt;8*0.4)</formula>
    </cfRule>
    <cfRule type="expression" priority="516" dxfId="2">
      <formula>AND(COUNT(C27:H27)=6,H27&gt;=8*0.4,H27&lt;8)</formula>
    </cfRule>
  </conditionalFormatting>
  <conditionalFormatting sqref="H28">
    <cfRule type="expression" priority="517" dxfId="0">
      <formula>AND(COUNT(C28:H28)=6,H28=8)</formula>
    </cfRule>
    <cfRule type="expression" priority="518" dxfId="1">
      <formula>AND(COUNT(C28:H28)=6,H28&lt;8*0.4)</formula>
    </cfRule>
    <cfRule type="expression" priority="519" dxfId="2">
      <formula>AND(COUNT(C28:H28)=6,H28&gt;=8*0.4,H28&lt;8)</formula>
    </cfRule>
  </conditionalFormatting>
  <conditionalFormatting sqref="H29">
    <cfRule type="expression" priority="520" dxfId="0">
      <formula>AND(COUNT(C29:H29)=6,H29=8)</formula>
    </cfRule>
    <cfRule type="expression" priority="521" dxfId="1">
      <formula>AND(COUNT(C29:H29)=6,H29&lt;8*0.4)</formula>
    </cfRule>
    <cfRule type="expression" priority="522" dxfId="2">
      <formula>AND(COUNT(C29:H29)=6,H29&gt;=8*0.4,H29&lt;8)</formula>
    </cfRule>
  </conditionalFormatting>
  <conditionalFormatting sqref="H30">
    <cfRule type="expression" priority="523" dxfId="0">
      <formula>AND(COUNT(C30:H30)=6,H30=8)</formula>
    </cfRule>
    <cfRule type="expression" priority="524" dxfId="1">
      <formula>AND(COUNT(C30:H30)=6,H30&lt;8*0.4)</formula>
    </cfRule>
    <cfRule type="expression" priority="525" dxfId="2">
      <formula>AND(COUNT(C30:H30)=6,H30&gt;=8*0.4,H30&lt;8)</formula>
    </cfRule>
  </conditionalFormatting>
  <conditionalFormatting sqref="H31">
    <cfRule type="expression" priority="526" dxfId="0">
      <formula>AND(COUNT(C31:H31)=6,H31=8)</formula>
    </cfRule>
    <cfRule type="expression" priority="527" dxfId="1">
      <formula>AND(COUNT(C31:H31)=6,H31&lt;8*0.4)</formula>
    </cfRule>
    <cfRule type="expression" priority="528" dxfId="2">
      <formula>AND(COUNT(C31:H31)=6,H31&gt;=8*0.4,H31&lt;8)</formula>
    </cfRule>
  </conditionalFormatting>
  <conditionalFormatting sqref="H32">
    <cfRule type="expression" priority="529" dxfId="0">
      <formula>AND(COUNT(C32:H32)=6,H32=8)</formula>
    </cfRule>
    <cfRule type="expression" priority="530" dxfId="1">
      <formula>AND(COUNT(C32:H32)=6,H32&lt;8*0.4)</formula>
    </cfRule>
    <cfRule type="expression" priority="531" dxfId="2">
      <formula>AND(COUNT(C32:H32)=6,H32&gt;=8*0.4,H32&lt;8)</formula>
    </cfRule>
  </conditionalFormatting>
  <conditionalFormatting sqref="H33">
    <cfRule type="expression" priority="532" dxfId="0">
      <formula>AND(COUNT(C33:H33)=6,H33=8)</formula>
    </cfRule>
    <cfRule type="expression" priority="533" dxfId="1">
      <formula>AND(COUNT(C33:H33)=6,H33&lt;8*0.4)</formula>
    </cfRule>
    <cfRule type="expression" priority="534" dxfId="2">
      <formula>AND(COUNT(C33:H33)=6,H33&gt;=8*0.4,H33&lt;8)</formula>
    </cfRule>
  </conditionalFormatting>
  <conditionalFormatting sqref="H34">
    <cfRule type="expression" priority="535" dxfId="0">
      <formula>AND(COUNT(C34:H34)=6,H34=8)</formula>
    </cfRule>
    <cfRule type="expression" priority="536" dxfId="1">
      <formula>AND(COUNT(C34:H34)=6,H34&lt;8*0.4)</formula>
    </cfRule>
    <cfRule type="expression" priority="537" dxfId="2">
      <formula>AND(COUNT(C34:H34)=6,H34&gt;=8*0.4,H34&lt;8)</formula>
    </cfRule>
  </conditionalFormatting>
  <conditionalFormatting sqref="H35">
    <cfRule type="expression" priority="538" dxfId="0">
      <formula>AND(COUNT(C35:H35)=6,H35=8)</formula>
    </cfRule>
    <cfRule type="expression" priority="539" dxfId="1">
      <formula>AND(COUNT(C35:H35)=6,H35&lt;8*0.4)</formula>
    </cfRule>
    <cfRule type="expression" priority="540" dxfId="2">
      <formula>AND(COUNT(C35:H35)=6,H35&gt;=8*0.4,H35&lt;8)</formula>
    </cfRule>
  </conditionalFormatting>
  <conditionalFormatting sqref="H36">
    <cfRule type="expression" priority="541" dxfId="0">
      <formula>AND(COUNT(C36:H36)=6,H36=8)</formula>
    </cfRule>
    <cfRule type="expression" priority="542" dxfId="1">
      <formula>AND(COUNT(C36:H36)=6,H36&lt;8*0.4)</formula>
    </cfRule>
    <cfRule type="expression" priority="543" dxfId="2">
      <formula>AND(COUNT(C36:H36)=6,H36&gt;=8*0.4,H36&lt;8)</formula>
    </cfRule>
  </conditionalFormatting>
  <conditionalFormatting sqref="H37">
    <cfRule type="expression" priority="544" dxfId="0">
      <formula>AND(COUNT(C37:H37)=6,H37=8)</formula>
    </cfRule>
    <cfRule type="expression" priority="545" dxfId="1">
      <formula>AND(COUNT(C37:H37)=6,H37&lt;8*0.4)</formula>
    </cfRule>
    <cfRule type="expression" priority="546" dxfId="2">
      <formula>AND(COUNT(C37:H37)=6,H37&gt;=8*0.4,H37&lt;8)</formula>
    </cfRule>
  </conditionalFormatting>
  <conditionalFormatting sqref="H38">
    <cfRule type="expression" priority="547" dxfId="0">
      <formula>AND(COUNT(C38:H38)=6,H38=8)</formula>
    </cfRule>
    <cfRule type="expression" priority="548" dxfId="1">
      <formula>AND(COUNT(C38:H38)=6,H38&lt;8*0.4)</formula>
    </cfRule>
    <cfRule type="expression" priority="549" dxfId="2">
      <formula>AND(COUNT(C38:H38)=6,H38&gt;=8*0.4,H38&lt;8)</formula>
    </cfRule>
  </conditionalFormatting>
  <conditionalFormatting sqref="H39">
    <cfRule type="expression" priority="550" dxfId="0">
      <formula>AND(COUNT(C39:H39)=6,H39=8)</formula>
    </cfRule>
    <cfRule type="expression" priority="551" dxfId="1">
      <formula>AND(COUNT(C39:H39)=6,H39&lt;8*0.4)</formula>
    </cfRule>
    <cfRule type="expression" priority="552" dxfId="2">
      <formula>AND(COUNT(C39:H39)=6,H39&gt;=8*0.4,H39&lt;8)</formula>
    </cfRule>
  </conditionalFormatting>
  <conditionalFormatting sqref="H40">
    <cfRule type="expression" priority="553" dxfId="0">
      <formula>AND(COUNT(C40:H40)=6,H40=8)</formula>
    </cfRule>
    <cfRule type="expression" priority="554" dxfId="1">
      <formula>AND(COUNT(C40:H40)=6,H40&lt;8*0.4)</formula>
    </cfRule>
    <cfRule type="expression" priority="555" dxfId="2">
      <formula>AND(COUNT(C40:H40)=6,H40&gt;=8*0.4,H40&lt;8)</formula>
    </cfRule>
  </conditionalFormatting>
  <conditionalFormatting sqref="H41">
    <cfRule type="expression" priority="556" dxfId="0">
      <formula>AND(COUNT(C41:H41)=6,H41=8)</formula>
    </cfRule>
    <cfRule type="expression" priority="557" dxfId="1">
      <formula>AND(COUNT(C41:H41)=6,H41&lt;8*0.4)</formula>
    </cfRule>
    <cfRule type="expression" priority="558" dxfId="2">
      <formula>AND(COUNT(C41:H41)=6,H41&gt;=8*0.4,H41&lt;8)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43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Chapter 4 End of Topic Test 2 — Critical Analysis of Data &amp; Models</t>
        </is>
      </c>
    </row>
    <row r="2">
      <c r="A2" s="2" t="inlineStr">
        <is>
          <t>Every block below pulls live from 'Ch4 EOT2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SUMPRODUCT(--ISNUMBER('Ch4 EOT2 Results'!K12:K41))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IF('Ch4 EOT2 Results'!K12="","","Chapter 4 End of Topic Test 2 — Critical Analysis of Data &amp; Models")</f>
        <v/>
      </c>
      <c r="K5">
        <f>IF('Ch4 EOT2 Results'!K13="","","Chapter 4 End of Topic Test 2 — Critical Analysis of Data &amp; Models")</f>
        <v/>
      </c>
    </row>
    <row r="6">
      <c r="A6">
        <f>IF('Ch4 EOT2 Results'!K12="","","Name: "&amp;'Ch4 EOT2 Results'!B12&amp;"   Class: "&amp;'Ch4 EOT2 Results'!$B$3&amp;"   Date: "&amp;TEXT('Ch4 EOT2 Results'!$B$5,"DD/MM/YY"))</f>
        <v/>
      </c>
      <c r="K6">
        <f>IF('Ch4 EOT2 Results'!K13="","","Name: "&amp;'Ch4 EOT2 Results'!B13&amp;"   Class: "&amp;'Ch4 EOT2 Results'!$B$3&amp;"   Date: "&amp;TEXT('Ch4 EOT2 Results'!$B$5,"DD/MM/YY"))</f>
        <v/>
      </c>
    </row>
    <row r="7">
      <c r="A7">
        <f>IF('Ch4 EOT2 Results'!K12="","","Total: "&amp;'Ch4 EOT2 Results'!I12&amp;"/51 ("&amp;TEXT('Ch4 EOT2 Results'!J12,"0%")&amp;")   Overall: "&amp;'Ch4 EOT2 Results'!K12)</f>
        <v/>
      </c>
      <c r="K7">
        <f>IF('Ch4 EOT2 Results'!K13="","","Total: "&amp;'Ch4 EOT2 Results'!I13&amp;"/51 ("&amp;TEXT('Ch4 EOT2 Results'!J13,"0%")&amp;")   Overall: "&amp;'Ch4 EOT2 Results'!K13)</f>
        <v/>
      </c>
    </row>
    <row r="8">
      <c r="A8">
        <f>IF('Ch4 EOT2 Results'!K12="","",IF('Ch4 EOT2 Results'!K12="Green",Parameters!$C$276,IF('Ch4 EOT2 Results'!K12="Yellow",Parameters!$C$275,Parameters!$C$274)))</f>
        <v/>
      </c>
      <c r="K8">
        <f>IF('Ch4 EOT2 Results'!K13="","",IF('Ch4 EOT2 Results'!K13="Green",Parameters!$C$276,IF('Ch4 EOT2 Results'!K13="Yellow",Parameters!$C$275,Parameters!$C$274)))</f>
        <v/>
      </c>
    </row>
    <row r="10">
      <c r="A10">
        <f>IF('Ch4 EOT2 Results'!K12="","","Breakdown:")</f>
        <v/>
      </c>
      <c r="K10">
        <f>IF('Ch4 EOT2 Results'!K13="","","Breakdown:")</f>
        <v/>
      </c>
    </row>
    <row r="11">
      <c r="A11">
        <f>IF('Ch4 EOT2 Results'!K12="","","Q1 Identifying &amp; criticising an argument (speed cameras): "&amp;'Ch4 EOT2 Results'!C12&amp;"/9")</f>
        <v/>
      </c>
      <c r="K11">
        <f>IF('Ch4 EOT2 Results'!K13="","","Q1 Identifying &amp; criticising an argument (speed cameras): "&amp;'Ch4 EOT2 Results'!C13&amp;"/9")</f>
        <v/>
      </c>
    </row>
    <row r="12">
      <c r="A12">
        <f>IF('Ch4 EOT2 Results'!K12="","","Q2 Evaluating a claim using two sources: "&amp;'Ch4 EOT2 Results'!D12&amp;"/10")</f>
        <v/>
      </c>
      <c r="K12">
        <f>IF('Ch4 EOT2 Results'!K13="","","Q2 Evaluating a claim using two sources: "&amp;'Ch4 EOT2 Results'!D13&amp;"/10")</f>
        <v/>
      </c>
    </row>
    <row r="13">
      <c r="A13">
        <f>IF('Ch4 EOT2 Results'!K12="","","Q3 Short-term headline vs long-term trend: "&amp;'Ch4 EOT2 Results'!E12&amp;"/9")</f>
        <v/>
      </c>
      <c r="K13">
        <f>IF('Ch4 EOT2 Results'!K13="","","Q3 Short-term headline vs long-term trend: "&amp;'Ch4 EOT2 Results'!E13&amp;"/9")</f>
        <v/>
      </c>
    </row>
    <row r="14">
      <c r="A14">
        <f>IF('Ch4 EOT2 Results'!K12="","","Q4 Sampling method, bias &amp; a better alternative: "&amp;'Ch4 EOT2 Results'!F12&amp;"/8")</f>
        <v/>
      </c>
      <c r="K14">
        <f>IF('Ch4 EOT2 Results'!K13="","","Q4 Sampling method, bias &amp; a better alternative: "&amp;'Ch4 EOT2 Results'!F13&amp;"/8")</f>
        <v/>
      </c>
    </row>
    <row r="15">
      <c r="A15">
        <f>IF('Ch4 EOT2 Results'!K12="","","Q5 Correlation vs causation (ice cream sales &amp; drownings): "&amp;'Ch4 EOT2 Results'!G12&amp;"/7")</f>
        <v/>
      </c>
      <c r="K15">
        <f>IF('Ch4 EOT2 Results'!K13="","","Q5 Correlation vs causation (ice cream sales &amp; drownings): "&amp;'Ch4 EOT2 Results'!G13&amp;"/7")</f>
        <v/>
      </c>
    </row>
    <row r="16">
      <c r="A16">
        <f>IF('Ch4 EOT2 Results'!K12="","","Q6 Reasoning flaws in a marketing claim: "&amp;'Ch4 EOT2 Results'!H12&amp;"/8")</f>
        <v/>
      </c>
      <c r="K16">
        <f>IF('Ch4 EOT2 Results'!K13="","","Q6 Reasoning flaws in a marketing claim: "&amp;'Ch4 EOT2 Results'!H13&amp;"/8")</f>
        <v/>
      </c>
    </row>
    <row r="17">
      <c r="A17">
        <f>IF(OR('Ch4 EOT2 Results'!K12="",'Ch4 EOT2 Results'!L12=""),"",'Ch4 EOT2 Results'!L12)</f>
        <v/>
      </c>
      <c r="K17">
        <f>IF(OR('Ch4 EOT2 Results'!K13="",'Ch4 EOT2 Results'!L13=""),"",'Ch4 EOT2 Results'!L13)</f>
        <v/>
      </c>
    </row>
    <row r="19">
      <c r="A19">
        <f>IF('Ch4 EOT2 Results'!K12="","","Comments:")</f>
        <v/>
      </c>
      <c r="K19">
        <f>IF('Ch4 EOT2 Results'!K13="","","Comments:")</f>
        <v/>
      </c>
    </row>
    <row r="21">
      <c r="A21">
        <f>IF('Ch4 EOT2 Results'!K14="","","Chapter 4 End of Topic Test 2 — Critical Analysis of Data &amp; Models")</f>
        <v/>
      </c>
      <c r="K21">
        <f>IF('Ch4 EOT2 Results'!K15="","","Chapter 4 End of Topic Test 2 — Critical Analysis of Data &amp; Models")</f>
        <v/>
      </c>
    </row>
    <row r="22">
      <c r="A22">
        <f>IF('Ch4 EOT2 Results'!K14="","","Name: "&amp;'Ch4 EOT2 Results'!B14&amp;"   Class: "&amp;'Ch4 EOT2 Results'!$B$3&amp;"   Date: "&amp;TEXT('Ch4 EOT2 Results'!$B$5,"DD/MM/YY"))</f>
        <v/>
      </c>
      <c r="K22">
        <f>IF('Ch4 EOT2 Results'!K15="","","Name: "&amp;'Ch4 EOT2 Results'!B15&amp;"   Class: "&amp;'Ch4 EOT2 Results'!$B$3&amp;"   Date: "&amp;TEXT('Ch4 EOT2 Results'!$B$5,"DD/MM/YY"))</f>
        <v/>
      </c>
    </row>
    <row r="23">
      <c r="A23">
        <f>IF('Ch4 EOT2 Results'!K14="","","Total: "&amp;'Ch4 EOT2 Results'!I14&amp;"/51 ("&amp;TEXT('Ch4 EOT2 Results'!J14,"0%")&amp;")   Overall: "&amp;'Ch4 EOT2 Results'!K14)</f>
        <v/>
      </c>
      <c r="K23">
        <f>IF('Ch4 EOT2 Results'!K15="","","Total: "&amp;'Ch4 EOT2 Results'!I15&amp;"/51 ("&amp;TEXT('Ch4 EOT2 Results'!J15,"0%")&amp;")   Overall: "&amp;'Ch4 EOT2 Results'!K15)</f>
        <v/>
      </c>
    </row>
    <row r="24">
      <c r="A24">
        <f>IF('Ch4 EOT2 Results'!K14="","",IF('Ch4 EOT2 Results'!K14="Green",Parameters!$C$276,IF('Ch4 EOT2 Results'!K14="Yellow",Parameters!$C$275,Parameters!$C$274)))</f>
        <v/>
      </c>
      <c r="K24">
        <f>IF('Ch4 EOT2 Results'!K15="","",IF('Ch4 EOT2 Results'!K15="Green",Parameters!$C$276,IF('Ch4 EOT2 Results'!K15="Yellow",Parameters!$C$275,Parameters!$C$274)))</f>
        <v/>
      </c>
    </row>
    <row r="26">
      <c r="A26">
        <f>IF('Ch4 EOT2 Results'!K14="","","Breakdown:")</f>
        <v/>
      </c>
      <c r="K26">
        <f>IF('Ch4 EOT2 Results'!K15="","","Breakdown:")</f>
        <v/>
      </c>
    </row>
    <row r="27">
      <c r="A27">
        <f>IF('Ch4 EOT2 Results'!K14="","","Q1 Identifying &amp; criticising an argument (speed cameras): "&amp;'Ch4 EOT2 Results'!C14&amp;"/9")</f>
        <v/>
      </c>
      <c r="K27">
        <f>IF('Ch4 EOT2 Results'!K15="","","Q1 Identifying &amp; criticising an argument (speed cameras): "&amp;'Ch4 EOT2 Results'!C15&amp;"/9")</f>
        <v/>
      </c>
    </row>
    <row r="28">
      <c r="A28">
        <f>IF('Ch4 EOT2 Results'!K14="","","Q2 Evaluating a claim using two sources: "&amp;'Ch4 EOT2 Results'!D14&amp;"/10")</f>
        <v/>
      </c>
      <c r="K28">
        <f>IF('Ch4 EOT2 Results'!K15="","","Q2 Evaluating a claim using two sources: "&amp;'Ch4 EOT2 Results'!D15&amp;"/10")</f>
        <v/>
      </c>
    </row>
    <row r="29">
      <c r="A29">
        <f>IF('Ch4 EOT2 Results'!K14="","","Q3 Short-term headline vs long-term trend: "&amp;'Ch4 EOT2 Results'!E14&amp;"/9")</f>
        <v/>
      </c>
      <c r="K29">
        <f>IF('Ch4 EOT2 Results'!K15="","","Q3 Short-term headline vs long-term trend: "&amp;'Ch4 EOT2 Results'!E15&amp;"/9")</f>
        <v/>
      </c>
    </row>
    <row r="30">
      <c r="A30">
        <f>IF('Ch4 EOT2 Results'!K14="","","Q4 Sampling method, bias &amp; a better alternative: "&amp;'Ch4 EOT2 Results'!F14&amp;"/8")</f>
        <v/>
      </c>
      <c r="K30">
        <f>IF('Ch4 EOT2 Results'!K15="","","Q4 Sampling method, bias &amp; a better alternative: "&amp;'Ch4 EOT2 Results'!F15&amp;"/8")</f>
        <v/>
      </c>
    </row>
    <row r="31">
      <c r="A31">
        <f>IF('Ch4 EOT2 Results'!K14="","","Q5 Correlation vs causation (ice cream sales &amp; drownings): "&amp;'Ch4 EOT2 Results'!G14&amp;"/7")</f>
        <v/>
      </c>
      <c r="K31">
        <f>IF('Ch4 EOT2 Results'!K15="","","Q5 Correlation vs causation (ice cream sales &amp; drownings): "&amp;'Ch4 EOT2 Results'!G15&amp;"/7")</f>
        <v/>
      </c>
    </row>
    <row r="32">
      <c r="A32">
        <f>IF('Ch4 EOT2 Results'!K14="","","Q6 Reasoning flaws in a marketing claim: "&amp;'Ch4 EOT2 Results'!H14&amp;"/8")</f>
        <v/>
      </c>
      <c r="K32">
        <f>IF('Ch4 EOT2 Results'!K15="","","Q6 Reasoning flaws in a marketing claim: "&amp;'Ch4 EOT2 Results'!H15&amp;"/8")</f>
        <v/>
      </c>
    </row>
    <row r="33">
      <c r="A33">
        <f>IF(OR('Ch4 EOT2 Results'!K14="",'Ch4 EOT2 Results'!L14=""),"",'Ch4 EOT2 Results'!L14)</f>
        <v/>
      </c>
      <c r="K33">
        <f>IF(OR('Ch4 EOT2 Results'!K15="",'Ch4 EOT2 Results'!L15=""),"",'Ch4 EOT2 Results'!L15)</f>
        <v/>
      </c>
    </row>
    <row r="35">
      <c r="A35">
        <f>IF('Ch4 EOT2 Results'!K14="","","Comments:")</f>
        <v/>
      </c>
      <c r="K35">
        <f>IF('Ch4 EOT2 Results'!K15="","","Comments:")</f>
        <v/>
      </c>
    </row>
    <row r="37">
      <c r="A37">
        <f>IF('Ch4 EOT2 Results'!K16="","","Chapter 4 End of Topic Test 2 — Critical Analysis of Data &amp; Models")</f>
        <v/>
      </c>
      <c r="K37">
        <f>IF('Ch4 EOT2 Results'!K17="","","Chapter 4 End of Topic Test 2 — Critical Analysis of Data &amp; Models")</f>
        <v/>
      </c>
    </row>
    <row r="38">
      <c r="A38">
        <f>IF('Ch4 EOT2 Results'!K16="","","Name: "&amp;'Ch4 EOT2 Results'!B16&amp;"   Class: "&amp;'Ch4 EOT2 Results'!$B$3&amp;"   Date: "&amp;TEXT('Ch4 EOT2 Results'!$B$5,"DD/MM/YY"))</f>
        <v/>
      </c>
      <c r="K38">
        <f>IF('Ch4 EOT2 Results'!K17="","","Name: "&amp;'Ch4 EOT2 Results'!B17&amp;"   Class: "&amp;'Ch4 EOT2 Results'!$B$3&amp;"   Date: "&amp;TEXT('Ch4 EOT2 Results'!$B$5,"DD/MM/YY"))</f>
        <v/>
      </c>
    </row>
    <row r="39">
      <c r="A39">
        <f>IF('Ch4 EOT2 Results'!K16="","","Total: "&amp;'Ch4 EOT2 Results'!I16&amp;"/51 ("&amp;TEXT('Ch4 EOT2 Results'!J16,"0%")&amp;")   Overall: "&amp;'Ch4 EOT2 Results'!K16)</f>
        <v/>
      </c>
      <c r="K39">
        <f>IF('Ch4 EOT2 Results'!K17="","","Total: "&amp;'Ch4 EOT2 Results'!I17&amp;"/51 ("&amp;TEXT('Ch4 EOT2 Results'!J17,"0%")&amp;")   Overall: "&amp;'Ch4 EOT2 Results'!K17)</f>
        <v/>
      </c>
    </row>
    <row r="40">
      <c r="A40">
        <f>IF('Ch4 EOT2 Results'!K16="","",IF('Ch4 EOT2 Results'!K16="Green",Parameters!$C$276,IF('Ch4 EOT2 Results'!K16="Yellow",Parameters!$C$275,Parameters!$C$274)))</f>
        <v/>
      </c>
      <c r="K40">
        <f>IF('Ch4 EOT2 Results'!K17="","",IF('Ch4 EOT2 Results'!K17="Green",Parameters!$C$276,IF('Ch4 EOT2 Results'!K17="Yellow",Parameters!$C$275,Parameters!$C$274)))</f>
        <v/>
      </c>
    </row>
    <row r="42">
      <c r="A42">
        <f>IF('Ch4 EOT2 Results'!K16="","","Breakdown:")</f>
        <v/>
      </c>
      <c r="K42">
        <f>IF('Ch4 EOT2 Results'!K17="","","Breakdown:")</f>
        <v/>
      </c>
    </row>
    <row r="43">
      <c r="A43">
        <f>IF('Ch4 EOT2 Results'!K16="","","Q1 Identifying &amp; criticising an argument (speed cameras): "&amp;'Ch4 EOT2 Results'!C16&amp;"/9")</f>
        <v/>
      </c>
      <c r="K43">
        <f>IF('Ch4 EOT2 Results'!K17="","","Q1 Identifying &amp; criticising an argument (speed cameras): "&amp;'Ch4 EOT2 Results'!C17&amp;"/9")</f>
        <v/>
      </c>
    </row>
    <row r="44">
      <c r="A44">
        <f>IF('Ch4 EOT2 Results'!K16="","","Q2 Evaluating a claim using two sources: "&amp;'Ch4 EOT2 Results'!D16&amp;"/10")</f>
        <v/>
      </c>
      <c r="K44">
        <f>IF('Ch4 EOT2 Results'!K17="","","Q2 Evaluating a claim using two sources: "&amp;'Ch4 EOT2 Results'!D17&amp;"/10")</f>
        <v/>
      </c>
    </row>
    <row r="45">
      <c r="A45">
        <f>IF('Ch4 EOT2 Results'!K16="","","Q3 Short-term headline vs long-term trend: "&amp;'Ch4 EOT2 Results'!E16&amp;"/9")</f>
        <v/>
      </c>
      <c r="K45">
        <f>IF('Ch4 EOT2 Results'!K17="","","Q3 Short-term headline vs long-term trend: "&amp;'Ch4 EOT2 Results'!E17&amp;"/9")</f>
        <v/>
      </c>
    </row>
    <row r="46">
      <c r="A46">
        <f>IF('Ch4 EOT2 Results'!K16="","","Q4 Sampling method, bias &amp; a better alternative: "&amp;'Ch4 EOT2 Results'!F16&amp;"/8")</f>
        <v/>
      </c>
      <c r="K46">
        <f>IF('Ch4 EOT2 Results'!K17="","","Q4 Sampling method, bias &amp; a better alternative: "&amp;'Ch4 EOT2 Results'!F17&amp;"/8")</f>
        <v/>
      </c>
    </row>
    <row r="47">
      <c r="A47">
        <f>IF('Ch4 EOT2 Results'!K16="","","Q5 Correlation vs causation (ice cream sales &amp; drownings): "&amp;'Ch4 EOT2 Results'!G16&amp;"/7")</f>
        <v/>
      </c>
      <c r="K47">
        <f>IF('Ch4 EOT2 Results'!K17="","","Q5 Correlation vs causation (ice cream sales &amp; drownings): "&amp;'Ch4 EOT2 Results'!G17&amp;"/7")</f>
        <v/>
      </c>
    </row>
    <row r="48">
      <c r="A48">
        <f>IF('Ch4 EOT2 Results'!K16="","","Q6 Reasoning flaws in a marketing claim: "&amp;'Ch4 EOT2 Results'!H16&amp;"/8")</f>
        <v/>
      </c>
      <c r="K48">
        <f>IF('Ch4 EOT2 Results'!K17="","","Q6 Reasoning flaws in a marketing claim: "&amp;'Ch4 EOT2 Results'!H17&amp;"/8")</f>
        <v/>
      </c>
    </row>
    <row r="49">
      <c r="A49">
        <f>IF(OR('Ch4 EOT2 Results'!K16="",'Ch4 EOT2 Results'!L16=""),"",'Ch4 EOT2 Results'!L16)</f>
        <v/>
      </c>
      <c r="K49">
        <f>IF(OR('Ch4 EOT2 Results'!K17="",'Ch4 EOT2 Results'!L17=""),"",'Ch4 EOT2 Results'!L17)</f>
        <v/>
      </c>
    </row>
    <row r="51">
      <c r="A51">
        <f>IF('Ch4 EOT2 Results'!K16="","","Comments:")</f>
        <v/>
      </c>
      <c r="K51">
        <f>IF('Ch4 EOT2 Results'!K17="","","Comments:")</f>
        <v/>
      </c>
    </row>
    <row r="53">
      <c r="A53">
        <f>IF('Ch4 EOT2 Results'!K18="","","Chapter 4 End of Topic Test 2 — Critical Analysis of Data &amp; Models")</f>
        <v/>
      </c>
      <c r="K53">
        <f>IF('Ch4 EOT2 Results'!K19="","","Chapter 4 End of Topic Test 2 — Critical Analysis of Data &amp; Models")</f>
        <v/>
      </c>
    </row>
    <row r="54">
      <c r="A54">
        <f>IF('Ch4 EOT2 Results'!K18="","","Name: "&amp;'Ch4 EOT2 Results'!B18&amp;"   Class: "&amp;'Ch4 EOT2 Results'!$B$3&amp;"   Date: "&amp;TEXT('Ch4 EOT2 Results'!$B$5,"DD/MM/YY"))</f>
        <v/>
      </c>
      <c r="K54">
        <f>IF('Ch4 EOT2 Results'!K19="","","Name: "&amp;'Ch4 EOT2 Results'!B19&amp;"   Class: "&amp;'Ch4 EOT2 Results'!$B$3&amp;"   Date: "&amp;TEXT('Ch4 EOT2 Results'!$B$5,"DD/MM/YY"))</f>
        <v/>
      </c>
    </row>
    <row r="55">
      <c r="A55">
        <f>IF('Ch4 EOT2 Results'!K18="","","Total: "&amp;'Ch4 EOT2 Results'!I18&amp;"/51 ("&amp;TEXT('Ch4 EOT2 Results'!J18,"0%")&amp;")   Overall: "&amp;'Ch4 EOT2 Results'!K18)</f>
        <v/>
      </c>
      <c r="K55">
        <f>IF('Ch4 EOT2 Results'!K19="","","Total: "&amp;'Ch4 EOT2 Results'!I19&amp;"/51 ("&amp;TEXT('Ch4 EOT2 Results'!J19,"0%")&amp;")   Overall: "&amp;'Ch4 EOT2 Results'!K19)</f>
        <v/>
      </c>
    </row>
    <row r="56">
      <c r="A56">
        <f>IF('Ch4 EOT2 Results'!K18="","",IF('Ch4 EOT2 Results'!K18="Green",Parameters!$C$276,IF('Ch4 EOT2 Results'!K18="Yellow",Parameters!$C$275,Parameters!$C$274)))</f>
        <v/>
      </c>
      <c r="K56">
        <f>IF('Ch4 EOT2 Results'!K19="","",IF('Ch4 EOT2 Results'!K19="Green",Parameters!$C$276,IF('Ch4 EOT2 Results'!K19="Yellow",Parameters!$C$275,Parameters!$C$274)))</f>
        <v/>
      </c>
    </row>
    <row r="58">
      <c r="A58">
        <f>IF('Ch4 EOT2 Results'!K18="","","Breakdown:")</f>
        <v/>
      </c>
      <c r="K58">
        <f>IF('Ch4 EOT2 Results'!K19="","","Breakdown:")</f>
        <v/>
      </c>
    </row>
    <row r="59">
      <c r="A59">
        <f>IF('Ch4 EOT2 Results'!K18="","","Q1 Identifying &amp; criticising an argument (speed cameras): "&amp;'Ch4 EOT2 Results'!C18&amp;"/9")</f>
        <v/>
      </c>
      <c r="K59">
        <f>IF('Ch4 EOT2 Results'!K19="","","Q1 Identifying &amp; criticising an argument (speed cameras): "&amp;'Ch4 EOT2 Results'!C19&amp;"/9")</f>
        <v/>
      </c>
    </row>
    <row r="60">
      <c r="A60">
        <f>IF('Ch4 EOT2 Results'!K18="","","Q2 Evaluating a claim using two sources: "&amp;'Ch4 EOT2 Results'!D18&amp;"/10")</f>
        <v/>
      </c>
      <c r="K60">
        <f>IF('Ch4 EOT2 Results'!K19="","","Q2 Evaluating a claim using two sources: "&amp;'Ch4 EOT2 Results'!D19&amp;"/10")</f>
        <v/>
      </c>
    </row>
    <row r="61">
      <c r="A61">
        <f>IF('Ch4 EOT2 Results'!K18="","","Q3 Short-term headline vs long-term trend: "&amp;'Ch4 EOT2 Results'!E18&amp;"/9")</f>
        <v/>
      </c>
      <c r="K61">
        <f>IF('Ch4 EOT2 Results'!K19="","","Q3 Short-term headline vs long-term trend: "&amp;'Ch4 EOT2 Results'!E19&amp;"/9")</f>
        <v/>
      </c>
    </row>
    <row r="62">
      <c r="A62">
        <f>IF('Ch4 EOT2 Results'!K18="","","Q4 Sampling method, bias &amp; a better alternative: "&amp;'Ch4 EOT2 Results'!F18&amp;"/8")</f>
        <v/>
      </c>
      <c r="K62">
        <f>IF('Ch4 EOT2 Results'!K19="","","Q4 Sampling method, bias &amp; a better alternative: "&amp;'Ch4 EOT2 Results'!F19&amp;"/8")</f>
        <v/>
      </c>
    </row>
    <row r="63">
      <c r="A63">
        <f>IF('Ch4 EOT2 Results'!K18="","","Q5 Correlation vs causation (ice cream sales &amp; drownings): "&amp;'Ch4 EOT2 Results'!G18&amp;"/7")</f>
        <v/>
      </c>
      <c r="K63">
        <f>IF('Ch4 EOT2 Results'!K19="","","Q5 Correlation vs causation (ice cream sales &amp; drownings): "&amp;'Ch4 EOT2 Results'!G19&amp;"/7")</f>
        <v/>
      </c>
    </row>
    <row r="64">
      <c r="A64">
        <f>IF('Ch4 EOT2 Results'!K18="","","Q6 Reasoning flaws in a marketing claim: "&amp;'Ch4 EOT2 Results'!H18&amp;"/8")</f>
        <v/>
      </c>
      <c r="K64">
        <f>IF('Ch4 EOT2 Results'!K19="","","Q6 Reasoning flaws in a marketing claim: "&amp;'Ch4 EOT2 Results'!H19&amp;"/8")</f>
        <v/>
      </c>
    </row>
    <row r="65">
      <c r="A65">
        <f>IF(OR('Ch4 EOT2 Results'!K18="",'Ch4 EOT2 Results'!L18=""),"",'Ch4 EOT2 Results'!L18)</f>
        <v/>
      </c>
      <c r="K65">
        <f>IF(OR('Ch4 EOT2 Results'!K19="",'Ch4 EOT2 Results'!L19=""),"",'Ch4 EOT2 Results'!L19)</f>
        <v/>
      </c>
    </row>
    <row r="67">
      <c r="A67">
        <f>IF('Ch4 EOT2 Results'!K18="","","Comments:")</f>
        <v/>
      </c>
      <c r="K67">
        <f>IF('Ch4 EOT2 Results'!K19="","","Comments:")</f>
        <v/>
      </c>
    </row>
    <row r="69">
      <c r="A69">
        <f>IF('Ch4 EOT2 Results'!K20="","","Chapter 4 End of Topic Test 2 — Critical Analysis of Data &amp; Models")</f>
        <v/>
      </c>
      <c r="K69">
        <f>IF('Ch4 EOT2 Results'!K21="","","Chapter 4 End of Topic Test 2 — Critical Analysis of Data &amp; Models")</f>
        <v/>
      </c>
    </row>
    <row r="70">
      <c r="A70">
        <f>IF('Ch4 EOT2 Results'!K20="","","Name: "&amp;'Ch4 EOT2 Results'!B20&amp;"   Class: "&amp;'Ch4 EOT2 Results'!$B$3&amp;"   Date: "&amp;TEXT('Ch4 EOT2 Results'!$B$5,"DD/MM/YY"))</f>
        <v/>
      </c>
      <c r="K70">
        <f>IF('Ch4 EOT2 Results'!K21="","","Name: "&amp;'Ch4 EOT2 Results'!B21&amp;"   Class: "&amp;'Ch4 EOT2 Results'!$B$3&amp;"   Date: "&amp;TEXT('Ch4 EOT2 Results'!$B$5,"DD/MM/YY"))</f>
        <v/>
      </c>
    </row>
    <row r="71">
      <c r="A71">
        <f>IF('Ch4 EOT2 Results'!K20="","","Total: "&amp;'Ch4 EOT2 Results'!I20&amp;"/51 ("&amp;TEXT('Ch4 EOT2 Results'!J20,"0%")&amp;")   Overall: "&amp;'Ch4 EOT2 Results'!K20)</f>
        <v/>
      </c>
      <c r="K71">
        <f>IF('Ch4 EOT2 Results'!K21="","","Total: "&amp;'Ch4 EOT2 Results'!I21&amp;"/51 ("&amp;TEXT('Ch4 EOT2 Results'!J21,"0%")&amp;")   Overall: "&amp;'Ch4 EOT2 Results'!K21)</f>
        <v/>
      </c>
    </row>
    <row r="72">
      <c r="A72">
        <f>IF('Ch4 EOT2 Results'!K20="","",IF('Ch4 EOT2 Results'!K20="Green",Parameters!$C$276,IF('Ch4 EOT2 Results'!K20="Yellow",Parameters!$C$275,Parameters!$C$274)))</f>
        <v/>
      </c>
      <c r="K72">
        <f>IF('Ch4 EOT2 Results'!K21="","",IF('Ch4 EOT2 Results'!K21="Green",Parameters!$C$276,IF('Ch4 EOT2 Results'!K21="Yellow",Parameters!$C$275,Parameters!$C$274)))</f>
        <v/>
      </c>
    </row>
    <row r="74">
      <c r="A74">
        <f>IF('Ch4 EOT2 Results'!K20="","","Breakdown:")</f>
        <v/>
      </c>
      <c r="K74">
        <f>IF('Ch4 EOT2 Results'!K21="","","Breakdown:")</f>
        <v/>
      </c>
    </row>
    <row r="75">
      <c r="A75">
        <f>IF('Ch4 EOT2 Results'!K20="","","Q1 Identifying &amp; criticising an argument (speed cameras): "&amp;'Ch4 EOT2 Results'!C20&amp;"/9")</f>
        <v/>
      </c>
      <c r="K75">
        <f>IF('Ch4 EOT2 Results'!K21="","","Q1 Identifying &amp; criticising an argument (speed cameras): "&amp;'Ch4 EOT2 Results'!C21&amp;"/9")</f>
        <v/>
      </c>
    </row>
    <row r="76">
      <c r="A76">
        <f>IF('Ch4 EOT2 Results'!K20="","","Q2 Evaluating a claim using two sources: "&amp;'Ch4 EOT2 Results'!D20&amp;"/10")</f>
        <v/>
      </c>
      <c r="K76">
        <f>IF('Ch4 EOT2 Results'!K21="","","Q2 Evaluating a claim using two sources: "&amp;'Ch4 EOT2 Results'!D21&amp;"/10")</f>
        <v/>
      </c>
    </row>
    <row r="77">
      <c r="A77">
        <f>IF('Ch4 EOT2 Results'!K20="","","Q3 Short-term headline vs long-term trend: "&amp;'Ch4 EOT2 Results'!E20&amp;"/9")</f>
        <v/>
      </c>
      <c r="K77">
        <f>IF('Ch4 EOT2 Results'!K21="","","Q3 Short-term headline vs long-term trend: "&amp;'Ch4 EOT2 Results'!E21&amp;"/9")</f>
        <v/>
      </c>
    </row>
    <row r="78">
      <c r="A78">
        <f>IF('Ch4 EOT2 Results'!K20="","","Q4 Sampling method, bias &amp; a better alternative: "&amp;'Ch4 EOT2 Results'!F20&amp;"/8")</f>
        <v/>
      </c>
      <c r="K78">
        <f>IF('Ch4 EOT2 Results'!K21="","","Q4 Sampling method, bias &amp; a better alternative: "&amp;'Ch4 EOT2 Results'!F21&amp;"/8")</f>
        <v/>
      </c>
    </row>
    <row r="79">
      <c r="A79">
        <f>IF('Ch4 EOT2 Results'!K20="","","Q5 Correlation vs causation (ice cream sales &amp; drownings): "&amp;'Ch4 EOT2 Results'!G20&amp;"/7")</f>
        <v/>
      </c>
      <c r="K79">
        <f>IF('Ch4 EOT2 Results'!K21="","","Q5 Correlation vs causation (ice cream sales &amp; drownings): "&amp;'Ch4 EOT2 Results'!G21&amp;"/7")</f>
        <v/>
      </c>
    </row>
    <row r="80">
      <c r="A80">
        <f>IF('Ch4 EOT2 Results'!K20="","","Q6 Reasoning flaws in a marketing claim: "&amp;'Ch4 EOT2 Results'!H20&amp;"/8")</f>
        <v/>
      </c>
      <c r="K80">
        <f>IF('Ch4 EOT2 Results'!K21="","","Q6 Reasoning flaws in a marketing claim: "&amp;'Ch4 EOT2 Results'!H21&amp;"/8")</f>
        <v/>
      </c>
    </row>
    <row r="81">
      <c r="A81">
        <f>IF(OR('Ch4 EOT2 Results'!K20="",'Ch4 EOT2 Results'!L20=""),"",'Ch4 EOT2 Results'!L20)</f>
        <v/>
      </c>
      <c r="K81">
        <f>IF(OR('Ch4 EOT2 Results'!K21="",'Ch4 EOT2 Results'!L21=""),"",'Ch4 EOT2 Results'!L21)</f>
        <v/>
      </c>
    </row>
    <row r="83">
      <c r="A83">
        <f>IF('Ch4 EOT2 Results'!K20="","","Comments:")</f>
        <v/>
      </c>
      <c r="K83">
        <f>IF('Ch4 EOT2 Results'!K21="","","Comments:")</f>
        <v/>
      </c>
    </row>
    <row r="85">
      <c r="A85">
        <f>IF('Ch4 EOT2 Results'!K22="","","Chapter 4 End of Topic Test 2 — Critical Analysis of Data &amp; Models")</f>
        <v/>
      </c>
      <c r="K85">
        <f>IF('Ch4 EOT2 Results'!K23="","","Chapter 4 End of Topic Test 2 — Critical Analysis of Data &amp; Models")</f>
        <v/>
      </c>
    </row>
    <row r="86">
      <c r="A86">
        <f>IF('Ch4 EOT2 Results'!K22="","","Name: "&amp;'Ch4 EOT2 Results'!B22&amp;"   Class: "&amp;'Ch4 EOT2 Results'!$B$3&amp;"   Date: "&amp;TEXT('Ch4 EOT2 Results'!$B$5,"DD/MM/YY"))</f>
        <v/>
      </c>
      <c r="K86">
        <f>IF('Ch4 EOT2 Results'!K23="","","Name: "&amp;'Ch4 EOT2 Results'!B23&amp;"   Class: "&amp;'Ch4 EOT2 Results'!$B$3&amp;"   Date: "&amp;TEXT('Ch4 EOT2 Results'!$B$5,"DD/MM/YY"))</f>
        <v/>
      </c>
    </row>
    <row r="87">
      <c r="A87">
        <f>IF('Ch4 EOT2 Results'!K22="","","Total: "&amp;'Ch4 EOT2 Results'!I22&amp;"/51 ("&amp;TEXT('Ch4 EOT2 Results'!J22,"0%")&amp;")   Overall: "&amp;'Ch4 EOT2 Results'!K22)</f>
        <v/>
      </c>
      <c r="K87">
        <f>IF('Ch4 EOT2 Results'!K23="","","Total: "&amp;'Ch4 EOT2 Results'!I23&amp;"/51 ("&amp;TEXT('Ch4 EOT2 Results'!J23,"0%")&amp;")   Overall: "&amp;'Ch4 EOT2 Results'!K23)</f>
        <v/>
      </c>
    </row>
    <row r="88">
      <c r="A88">
        <f>IF('Ch4 EOT2 Results'!K22="","",IF('Ch4 EOT2 Results'!K22="Green",Parameters!$C$276,IF('Ch4 EOT2 Results'!K22="Yellow",Parameters!$C$275,Parameters!$C$274)))</f>
        <v/>
      </c>
      <c r="K88">
        <f>IF('Ch4 EOT2 Results'!K23="","",IF('Ch4 EOT2 Results'!K23="Green",Parameters!$C$276,IF('Ch4 EOT2 Results'!K23="Yellow",Parameters!$C$275,Parameters!$C$274)))</f>
        <v/>
      </c>
    </row>
    <row r="90">
      <c r="A90">
        <f>IF('Ch4 EOT2 Results'!K22="","","Breakdown:")</f>
        <v/>
      </c>
      <c r="K90">
        <f>IF('Ch4 EOT2 Results'!K23="","","Breakdown:")</f>
        <v/>
      </c>
    </row>
    <row r="91">
      <c r="A91">
        <f>IF('Ch4 EOT2 Results'!K22="","","Q1 Identifying &amp; criticising an argument (speed cameras): "&amp;'Ch4 EOT2 Results'!C22&amp;"/9")</f>
        <v/>
      </c>
      <c r="K91">
        <f>IF('Ch4 EOT2 Results'!K23="","","Q1 Identifying &amp; criticising an argument (speed cameras): "&amp;'Ch4 EOT2 Results'!C23&amp;"/9")</f>
        <v/>
      </c>
    </row>
    <row r="92">
      <c r="A92">
        <f>IF('Ch4 EOT2 Results'!K22="","","Q2 Evaluating a claim using two sources: "&amp;'Ch4 EOT2 Results'!D22&amp;"/10")</f>
        <v/>
      </c>
      <c r="K92">
        <f>IF('Ch4 EOT2 Results'!K23="","","Q2 Evaluating a claim using two sources: "&amp;'Ch4 EOT2 Results'!D23&amp;"/10")</f>
        <v/>
      </c>
    </row>
    <row r="93">
      <c r="A93">
        <f>IF('Ch4 EOT2 Results'!K22="","","Q3 Short-term headline vs long-term trend: "&amp;'Ch4 EOT2 Results'!E22&amp;"/9")</f>
        <v/>
      </c>
      <c r="K93">
        <f>IF('Ch4 EOT2 Results'!K23="","","Q3 Short-term headline vs long-term trend: "&amp;'Ch4 EOT2 Results'!E23&amp;"/9")</f>
        <v/>
      </c>
    </row>
    <row r="94">
      <c r="A94">
        <f>IF('Ch4 EOT2 Results'!K22="","","Q4 Sampling method, bias &amp; a better alternative: "&amp;'Ch4 EOT2 Results'!F22&amp;"/8")</f>
        <v/>
      </c>
      <c r="K94">
        <f>IF('Ch4 EOT2 Results'!K23="","","Q4 Sampling method, bias &amp; a better alternative: "&amp;'Ch4 EOT2 Results'!F23&amp;"/8")</f>
        <v/>
      </c>
    </row>
    <row r="95">
      <c r="A95">
        <f>IF('Ch4 EOT2 Results'!K22="","","Q5 Correlation vs causation (ice cream sales &amp; drownings): "&amp;'Ch4 EOT2 Results'!G22&amp;"/7")</f>
        <v/>
      </c>
      <c r="K95">
        <f>IF('Ch4 EOT2 Results'!K23="","","Q5 Correlation vs causation (ice cream sales &amp; drownings): "&amp;'Ch4 EOT2 Results'!G23&amp;"/7")</f>
        <v/>
      </c>
    </row>
    <row r="96">
      <c r="A96">
        <f>IF('Ch4 EOT2 Results'!K22="","","Q6 Reasoning flaws in a marketing claim: "&amp;'Ch4 EOT2 Results'!H22&amp;"/8")</f>
        <v/>
      </c>
      <c r="K96">
        <f>IF('Ch4 EOT2 Results'!K23="","","Q6 Reasoning flaws in a marketing claim: "&amp;'Ch4 EOT2 Results'!H23&amp;"/8")</f>
        <v/>
      </c>
    </row>
    <row r="97">
      <c r="A97">
        <f>IF(OR('Ch4 EOT2 Results'!K22="",'Ch4 EOT2 Results'!L22=""),"",'Ch4 EOT2 Results'!L22)</f>
        <v/>
      </c>
      <c r="K97">
        <f>IF(OR('Ch4 EOT2 Results'!K23="",'Ch4 EOT2 Results'!L23=""),"",'Ch4 EOT2 Results'!L23)</f>
        <v/>
      </c>
    </row>
    <row r="99">
      <c r="A99">
        <f>IF('Ch4 EOT2 Results'!K22="","","Comments:")</f>
        <v/>
      </c>
      <c r="K99">
        <f>IF('Ch4 EOT2 Results'!K23="","","Comments:")</f>
        <v/>
      </c>
    </row>
    <row r="101">
      <c r="A101">
        <f>IF('Ch4 EOT2 Results'!K24="","","Chapter 4 End of Topic Test 2 — Critical Analysis of Data &amp; Models")</f>
        <v/>
      </c>
      <c r="K101">
        <f>IF('Ch4 EOT2 Results'!K25="","","Chapter 4 End of Topic Test 2 — Critical Analysis of Data &amp; Models")</f>
        <v/>
      </c>
    </row>
    <row r="102">
      <c r="A102">
        <f>IF('Ch4 EOT2 Results'!K24="","","Name: "&amp;'Ch4 EOT2 Results'!B24&amp;"   Class: "&amp;'Ch4 EOT2 Results'!$B$3&amp;"   Date: "&amp;TEXT('Ch4 EOT2 Results'!$B$5,"DD/MM/YY"))</f>
        <v/>
      </c>
      <c r="K102">
        <f>IF('Ch4 EOT2 Results'!K25="","","Name: "&amp;'Ch4 EOT2 Results'!B25&amp;"   Class: "&amp;'Ch4 EOT2 Results'!$B$3&amp;"   Date: "&amp;TEXT('Ch4 EOT2 Results'!$B$5,"DD/MM/YY"))</f>
        <v/>
      </c>
    </row>
    <row r="103">
      <c r="A103">
        <f>IF('Ch4 EOT2 Results'!K24="","","Total: "&amp;'Ch4 EOT2 Results'!I24&amp;"/51 ("&amp;TEXT('Ch4 EOT2 Results'!J24,"0%")&amp;")   Overall: "&amp;'Ch4 EOT2 Results'!K24)</f>
        <v/>
      </c>
      <c r="K103">
        <f>IF('Ch4 EOT2 Results'!K25="","","Total: "&amp;'Ch4 EOT2 Results'!I25&amp;"/51 ("&amp;TEXT('Ch4 EOT2 Results'!J25,"0%")&amp;")   Overall: "&amp;'Ch4 EOT2 Results'!K25)</f>
        <v/>
      </c>
    </row>
    <row r="104">
      <c r="A104">
        <f>IF('Ch4 EOT2 Results'!K24="","",IF('Ch4 EOT2 Results'!K24="Green",Parameters!$C$276,IF('Ch4 EOT2 Results'!K24="Yellow",Parameters!$C$275,Parameters!$C$274)))</f>
        <v/>
      </c>
      <c r="K104">
        <f>IF('Ch4 EOT2 Results'!K25="","",IF('Ch4 EOT2 Results'!K25="Green",Parameters!$C$276,IF('Ch4 EOT2 Results'!K25="Yellow",Parameters!$C$275,Parameters!$C$274)))</f>
        <v/>
      </c>
    </row>
    <row r="106">
      <c r="A106">
        <f>IF('Ch4 EOT2 Results'!K24="","","Breakdown:")</f>
        <v/>
      </c>
      <c r="K106">
        <f>IF('Ch4 EOT2 Results'!K25="","","Breakdown:")</f>
        <v/>
      </c>
    </row>
    <row r="107">
      <c r="A107">
        <f>IF('Ch4 EOT2 Results'!K24="","","Q1 Identifying &amp; criticising an argument (speed cameras): "&amp;'Ch4 EOT2 Results'!C24&amp;"/9")</f>
        <v/>
      </c>
      <c r="K107">
        <f>IF('Ch4 EOT2 Results'!K25="","","Q1 Identifying &amp; criticising an argument (speed cameras): "&amp;'Ch4 EOT2 Results'!C25&amp;"/9")</f>
        <v/>
      </c>
    </row>
    <row r="108">
      <c r="A108">
        <f>IF('Ch4 EOT2 Results'!K24="","","Q2 Evaluating a claim using two sources: "&amp;'Ch4 EOT2 Results'!D24&amp;"/10")</f>
        <v/>
      </c>
      <c r="K108">
        <f>IF('Ch4 EOT2 Results'!K25="","","Q2 Evaluating a claim using two sources: "&amp;'Ch4 EOT2 Results'!D25&amp;"/10")</f>
        <v/>
      </c>
    </row>
    <row r="109">
      <c r="A109">
        <f>IF('Ch4 EOT2 Results'!K24="","","Q3 Short-term headline vs long-term trend: "&amp;'Ch4 EOT2 Results'!E24&amp;"/9")</f>
        <v/>
      </c>
      <c r="K109">
        <f>IF('Ch4 EOT2 Results'!K25="","","Q3 Short-term headline vs long-term trend: "&amp;'Ch4 EOT2 Results'!E25&amp;"/9")</f>
        <v/>
      </c>
    </row>
    <row r="110">
      <c r="A110">
        <f>IF('Ch4 EOT2 Results'!K24="","","Q4 Sampling method, bias &amp; a better alternative: "&amp;'Ch4 EOT2 Results'!F24&amp;"/8")</f>
        <v/>
      </c>
      <c r="K110">
        <f>IF('Ch4 EOT2 Results'!K25="","","Q4 Sampling method, bias &amp; a better alternative: "&amp;'Ch4 EOT2 Results'!F25&amp;"/8")</f>
        <v/>
      </c>
    </row>
    <row r="111">
      <c r="A111">
        <f>IF('Ch4 EOT2 Results'!K24="","","Q5 Correlation vs causation (ice cream sales &amp; drownings): "&amp;'Ch4 EOT2 Results'!G24&amp;"/7")</f>
        <v/>
      </c>
      <c r="K111">
        <f>IF('Ch4 EOT2 Results'!K25="","","Q5 Correlation vs causation (ice cream sales &amp; drownings): "&amp;'Ch4 EOT2 Results'!G25&amp;"/7")</f>
        <v/>
      </c>
    </row>
    <row r="112">
      <c r="A112">
        <f>IF('Ch4 EOT2 Results'!K24="","","Q6 Reasoning flaws in a marketing claim: "&amp;'Ch4 EOT2 Results'!H24&amp;"/8")</f>
        <v/>
      </c>
      <c r="K112">
        <f>IF('Ch4 EOT2 Results'!K25="","","Q6 Reasoning flaws in a marketing claim: "&amp;'Ch4 EOT2 Results'!H25&amp;"/8")</f>
        <v/>
      </c>
    </row>
    <row r="113">
      <c r="A113">
        <f>IF(OR('Ch4 EOT2 Results'!K24="",'Ch4 EOT2 Results'!L24=""),"",'Ch4 EOT2 Results'!L24)</f>
        <v/>
      </c>
      <c r="K113">
        <f>IF(OR('Ch4 EOT2 Results'!K25="",'Ch4 EOT2 Results'!L25=""),"",'Ch4 EOT2 Results'!L25)</f>
        <v/>
      </c>
    </row>
    <row r="115">
      <c r="A115">
        <f>IF('Ch4 EOT2 Results'!K24="","","Comments:")</f>
        <v/>
      </c>
      <c r="K115">
        <f>IF('Ch4 EOT2 Results'!K25="","","Comments:")</f>
        <v/>
      </c>
    </row>
    <row r="117">
      <c r="A117">
        <f>IF('Ch4 EOT2 Results'!K26="","","Chapter 4 End of Topic Test 2 — Critical Analysis of Data &amp; Models")</f>
        <v/>
      </c>
      <c r="K117">
        <f>IF('Ch4 EOT2 Results'!K27="","","Chapter 4 End of Topic Test 2 — Critical Analysis of Data &amp; Models")</f>
        <v/>
      </c>
    </row>
    <row r="118">
      <c r="A118">
        <f>IF('Ch4 EOT2 Results'!K26="","","Name: "&amp;'Ch4 EOT2 Results'!B26&amp;"   Class: "&amp;'Ch4 EOT2 Results'!$B$3&amp;"   Date: "&amp;TEXT('Ch4 EOT2 Results'!$B$5,"DD/MM/YY"))</f>
        <v/>
      </c>
      <c r="K118">
        <f>IF('Ch4 EOT2 Results'!K27="","","Name: "&amp;'Ch4 EOT2 Results'!B27&amp;"   Class: "&amp;'Ch4 EOT2 Results'!$B$3&amp;"   Date: "&amp;TEXT('Ch4 EOT2 Results'!$B$5,"DD/MM/YY"))</f>
        <v/>
      </c>
    </row>
    <row r="119">
      <c r="A119">
        <f>IF('Ch4 EOT2 Results'!K26="","","Total: "&amp;'Ch4 EOT2 Results'!I26&amp;"/51 ("&amp;TEXT('Ch4 EOT2 Results'!J26,"0%")&amp;")   Overall: "&amp;'Ch4 EOT2 Results'!K26)</f>
        <v/>
      </c>
      <c r="K119">
        <f>IF('Ch4 EOT2 Results'!K27="","","Total: "&amp;'Ch4 EOT2 Results'!I27&amp;"/51 ("&amp;TEXT('Ch4 EOT2 Results'!J27,"0%")&amp;")   Overall: "&amp;'Ch4 EOT2 Results'!K27)</f>
        <v/>
      </c>
    </row>
    <row r="120">
      <c r="A120">
        <f>IF('Ch4 EOT2 Results'!K26="","",IF('Ch4 EOT2 Results'!K26="Green",Parameters!$C$276,IF('Ch4 EOT2 Results'!K26="Yellow",Parameters!$C$275,Parameters!$C$274)))</f>
        <v/>
      </c>
      <c r="K120">
        <f>IF('Ch4 EOT2 Results'!K27="","",IF('Ch4 EOT2 Results'!K27="Green",Parameters!$C$276,IF('Ch4 EOT2 Results'!K27="Yellow",Parameters!$C$275,Parameters!$C$274)))</f>
        <v/>
      </c>
    </row>
    <row r="122">
      <c r="A122">
        <f>IF('Ch4 EOT2 Results'!K26="","","Breakdown:")</f>
        <v/>
      </c>
      <c r="K122">
        <f>IF('Ch4 EOT2 Results'!K27="","","Breakdown:")</f>
        <v/>
      </c>
    </row>
    <row r="123">
      <c r="A123">
        <f>IF('Ch4 EOT2 Results'!K26="","","Q1 Identifying &amp; criticising an argument (speed cameras): "&amp;'Ch4 EOT2 Results'!C26&amp;"/9")</f>
        <v/>
      </c>
      <c r="K123">
        <f>IF('Ch4 EOT2 Results'!K27="","","Q1 Identifying &amp; criticising an argument (speed cameras): "&amp;'Ch4 EOT2 Results'!C27&amp;"/9")</f>
        <v/>
      </c>
    </row>
    <row r="124">
      <c r="A124">
        <f>IF('Ch4 EOT2 Results'!K26="","","Q2 Evaluating a claim using two sources: "&amp;'Ch4 EOT2 Results'!D26&amp;"/10")</f>
        <v/>
      </c>
      <c r="K124">
        <f>IF('Ch4 EOT2 Results'!K27="","","Q2 Evaluating a claim using two sources: "&amp;'Ch4 EOT2 Results'!D27&amp;"/10")</f>
        <v/>
      </c>
    </row>
    <row r="125">
      <c r="A125">
        <f>IF('Ch4 EOT2 Results'!K26="","","Q3 Short-term headline vs long-term trend: "&amp;'Ch4 EOT2 Results'!E26&amp;"/9")</f>
        <v/>
      </c>
      <c r="K125">
        <f>IF('Ch4 EOT2 Results'!K27="","","Q3 Short-term headline vs long-term trend: "&amp;'Ch4 EOT2 Results'!E27&amp;"/9")</f>
        <v/>
      </c>
    </row>
    <row r="126">
      <c r="A126">
        <f>IF('Ch4 EOT2 Results'!K26="","","Q4 Sampling method, bias &amp; a better alternative: "&amp;'Ch4 EOT2 Results'!F26&amp;"/8")</f>
        <v/>
      </c>
      <c r="K126">
        <f>IF('Ch4 EOT2 Results'!K27="","","Q4 Sampling method, bias &amp; a better alternative: "&amp;'Ch4 EOT2 Results'!F27&amp;"/8")</f>
        <v/>
      </c>
    </row>
    <row r="127">
      <c r="A127">
        <f>IF('Ch4 EOT2 Results'!K26="","","Q5 Correlation vs causation (ice cream sales &amp; drownings): "&amp;'Ch4 EOT2 Results'!G26&amp;"/7")</f>
        <v/>
      </c>
      <c r="K127">
        <f>IF('Ch4 EOT2 Results'!K27="","","Q5 Correlation vs causation (ice cream sales &amp; drownings): "&amp;'Ch4 EOT2 Results'!G27&amp;"/7")</f>
        <v/>
      </c>
    </row>
    <row r="128">
      <c r="A128">
        <f>IF('Ch4 EOT2 Results'!K26="","","Q6 Reasoning flaws in a marketing claim: "&amp;'Ch4 EOT2 Results'!H26&amp;"/8")</f>
        <v/>
      </c>
      <c r="K128">
        <f>IF('Ch4 EOT2 Results'!K27="","","Q6 Reasoning flaws in a marketing claim: "&amp;'Ch4 EOT2 Results'!H27&amp;"/8")</f>
        <v/>
      </c>
    </row>
    <row r="129">
      <c r="A129">
        <f>IF(OR('Ch4 EOT2 Results'!K26="",'Ch4 EOT2 Results'!L26=""),"",'Ch4 EOT2 Results'!L26)</f>
        <v/>
      </c>
      <c r="K129">
        <f>IF(OR('Ch4 EOT2 Results'!K27="",'Ch4 EOT2 Results'!L27=""),"",'Ch4 EOT2 Results'!L27)</f>
        <v/>
      </c>
    </row>
    <row r="131">
      <c r="A131">
        <f>IF('Ch4 EOT2 Results'!K26="","","Comments:")</f>
        <v/>
      </c>
      <c r="K131">
        <f>IF('Ch4 EOT2 Results'!K27="","","Comments:")</f>
        <v/>
      </c>
    </row>
    <row r="133">
      <c r="A133">
        <f>IF('Ch4 EOT2 Results'!K28="","","Chapter 4 End of Topic Test 2 — Critical Analysis of Data &amp; Models")</f>
        <v/>
      </c>
      <c r="K133">
        <f>IF('Ch4 EOT2 Results'!K29="","","Chapter 4 End of Topic Test 2 — Critical Analysis of Data &amp; Models")</f>
        <v/>
      </c>
    </row>
    <row r="134">
      <c r="A134">
        <f>IF('Ch4 EOT2 Results'!K28="","","Name: "&amp;'Ch4 EOT2 Results'!B28&amp;"   Class: "&amp;'Ch4 EOT2 Results'!$B$3&amp;"   Date: "&amp;TEXT('Ch4 EOT2 Results'!$B$5,"DD/MM/YY"))</f>
        <v/>
      </c>
      <c r="K134">
        <f>IF('Ch4 EOT2 Results'!K29="","","Name: "&amp;'Ch4 EOT2 Results'!B29&amp;"   Class: "&amp;'Ch4 EOT2 Results'!$B$3&amp;"   Date: "&amp;TEXT('Ch4 EOT2 Results'!$B$5,"DD/MM/YY"))</f>
        <v/>
      </c>
    </row>
    <row r="135">
      <c r="A135">
        <f>IF('Ch4 EOT2 Results'!K28="","","Total: "&amp;'Ch4 EOT2 Results'!I28&amp;"/51 ("&amp;TEXT('Ch4 EOT2 Results'!J28,"0%")&amp;")   Overall: "&amp;'Ch4 EOT2 Results'!K28)</f>
        <v/>
      </c>
      <c r="K135">
        <f>IF('Ch4 EOT2 Results'!K29="","","Total: "&amp;'Ch4 EOT2 Results'!I29&amp;"/51 ("&amp;TEXT('Ch4 EOT2 Results'!J29,"0%")&amp;")   Overall: "&amp;'Ch4 EOT2 Results'!K29)</f>
        <v/>
      </c>
    </row>
    <row r="136">
      <c r="A136">
        <f>IF('Ch4 EOT2 Results'!K28="","",IF('Ch4 EOT2 Results'!K28="Green",Parameters!$C$276,IF('Ch4 EOT2 Results'!K28="Yellow",Parameters!$C$275,Parameters!$C$274)))</f>
        <v/>
      </c>
      <c r="K136">
        <f>IF('Ch4 EOT2 Results'!K29="","",IF('Ch4 EOT2 Results'!K29="Green",Parameters!$C$276,IF('Ch4 EOT2 Results'!K29="Yellow",Parameters!$C$275,Parameters!$C$274)))</f>
        <v/>
      </c>
    </row>
    <row r="138">
      <c r="A138">
        <f>IF('Ch4 EOT2 Results'!K28="","","Breakdown:")</f>
        <v/>
      </c>
      <c r="K138">
        <f>IF('Ch4 EOT2 Results'!K29="","","Breakdown:")</f>
        <v/>
      </c>
    </row>
    <row r="139">
      <c r="A139">
        <f>IF('Ch4 EOT2 Results'!K28="","","Q1 Identifying &amp; criticising an argument (speed cameras): "&amp;'Ch4 EOT2 Results'!C28&amp;"/9")</f>
        <v/>
      </c>
      <c r="K139">
        <f>IF('Ch4 EOT2 Results'!K29="","","Q1 Identifying &amp; criticising an argument (speed cameras): "&amp;'Ch4 EOT2 Results'!C29&amp;"/9")</f>
        <v/>
      </c>
    </row>
    <row r="140">
      <c r="A140">
        <f>IF('Ch4 EOT2 Results'!K28="","","Q2 Evaluating a claim using two sources: "&amp;'Ch4 EOT2 Results'!D28&amp;"/10")</f>
        <v/>
      </c>
      <c r="K140">
        <f>IF('Ch4 EOT2 Results'!K29="","","Q2 Evaluating a claim using two sources: "&amp;'Ch4 EOT2 Results'!D29&amp;"/10")</f>
        <v/>
      </c>
    </row>
    <row r="141">
      <c r="A141">
        <f>IF('Ch4 EOT2 Results'!K28="","","Q3 Short-term headline vs long-term trend: "&amp;'Ch4 EOT2 Results'!E28&amp;"/9")</f>
        <v/>
      </c>
      <c r="K141">
        <f>IF('Ch4 EOT2 Results'!K29="","","Q3 Short-term headline vs long-term trend: "&amp;'Ch4 EOT2 Results'!E29&amp;"/9")</f>
        <v/>
      </c>
    </row>
    <row r="142">
      <c r="A142">
        <f>IF('Ch4 EOT2 Results'!K28="","","Q4 Sampling method, bias &amp; a better alternative: "&amp;'Ch4 EOT2 Results'!F28&amp;"/8")</f>
        <v/>
      </c>
      <c r="K142">
        <f>IF('Ch4 EOT2 Results'!K29="","","Q4 Sampling method, bias &amp; a better alternative: "&amp;'Ch4 EOT2 Results'!F29&amp;"/8")</f>
        <v/>
      </c>
    </row>
    <row r="143">
      <c r="A143">
        <f>IF('Ch4 EOT2 Results'!K28="","","Q5 Correlation vs causation (ice cream sales &amp; drownings): "&amp;'Ch4 EOT2 Results'!G28&amp;"/7")</f>
        <v/>
      </c>
      <c r="K143">
        <f>IF('Ch4 EOT2 Results'!K29="","","Q5 Correlation vs causation (ice cream sales &amp; drownings): "&amp;'Ch4 EOT2 Results'!G29&amp;"/7")</f>
        <v/>
      </c>
    </row>
    <row r="144">
      <c r="A144">
        <f>IF('Ch4 EOT2 Results'!K28="","","Q6 Reasoning flaws in a marketing claim: "&amp;'Ch4 EOT2 Results'!H28&amp;"/8")</f>
        <v/>
      </c>
      <c r="K144">
        <f>IF('Ch4 EOT2 Results'!K29="","","Q6 Reasoning flaws in a marketing claim: "&amp;'Ch4 EOT2 Results'!H29&amp;"/8")</f>
        <v/>
      </c>
    </row>
    <row r="145">
      <c r="A145">
        <f>IF(OR('Ch4 EOT2 Results'!K28="",'Ch4 EOT2 Results'!L28=""),"",'Ch4 EOT2 Results'!L28)</f>
        <v/>
      </c>
      <c r="K145">
        <f>IF(OR('Ch4 EOT2 Results'!K29="",'Ch4 EOT2 Results'!L29=""),"",'Ch4 EOT2 Results'!L29)</f>
        <v/>
      </c>
    </row>
    <row r="147">
      <c r="A147">
        <f>IF('Ch4 EOT2 Results'!K28="","","Comments:")</f>
        <v/>
      </c>
      <c r="K147">
        <f>IF('Ch4 EOT2 Results'!K29="","","Comments:")</f>
        <v/>
      </c>
    </row>
    <row r="149">
      <c r="A149">
        <f>IF('Ch4 EOT2 Results'!K30="","","Chapter 4 End of Topic Test 2 — Critical Analysis of Data &amp; Models")</f>
        <v/>
      </c>
      <c r="K149">
        <f>IF('Ch4 EOT2 Results'!K31="","","Chapter 4 End of Topic Test 2 — Critical Analysis of Data &amp; Models")</f>
        <v/>
      </c>
    </row>
    <row r="150">
      <c r="A150">
        <f>IF('Ch4 EOT2 Results'!K30="","","Name: "&amp;'Ch4 EOT2 Results'!B30&amp;"   Class: "&amp;'Ch4 EOT2 Results'!$B$3&amp;"   Date: "&amp;TEXT('Ch4 EOT2 Results'!$B$5,"DD/MM/YY"))</f>
        <v/>
      </c>
      <c r="K150">
        <f>IF('Ch4 EOT2 Results'!K31="","","Name: "&amp;'Ch4 EOT2 Results'!B31&amp;"   Class: "&amp;'Ch4 EOT2 Results'!$B$3&amp;"   Date: "&amp;TEXT('Ch4 EOT2 Results'!$B$5,"DD/MM/YY"))</f>
        <v/>
      </c>
    </row>
    <row r="151">
      <c r="A151">
        <f>IF('Ch4 EOT2 Results'!K30="","","Total: "&amp;'Ch4 EOT2 Results'!I30&amp;"/51 ("&amp;TEXT('Ch4 EOT2 Results'!J30,"0%")&amp;")   Overall: "&amp;'Ch4 EOT2 Results'!K30)</f>
        <v/>
      </c>
      <c r="K151">
        <f>IF('Ch4 EOT2 Results'!K31="","","Total: "&amp;'Ch4 EOT2 Results'!I31&amp;"/51 ("&amp;TEXT('Ch4 EOT2 Results'!J31,"0%")&amp;")   Overall: "&amp;'Ch4 EOT2 Results'!K31)</f>
        <v/>
      </c>
    </row>
    <row r="152">
      <c r="A152">
        <f>IF('Ch4 EOT2 Results'!K30="","",IF('Ch4 EOT2 Results'!K30="Green",Parameters!$C$276,IF('Ch4 EOT2 Results'!K30="Yellow",Parameters!$C$275,Parameters!$C$274)))</f>
        <v/>
      </c>
      <c r="K152">
        <f>IF('Ch4 EOT2 Results'!K31="","",IF('Ch4 EOT2 Results'!K31="Green",Parameters!$C$276,IF('Ch4 EOT2 Results'!K31="Yellow",Parameters!$C$275,Parameters!$C$274)))</f>
        <v/>
      </c>
    </row>
    <row r="154">
      <c r="A154">
        <f>IF('Ch4 EOT2 Results'!K30="","","Breakdown:")</f>
        <v/>
      </c>
      <c r="K154">
        <f>IF('Ch4 EOT2 Results'!K31="","","Breakdown:")</f>
        <v/>
      </c>
    </row>
    <row r="155">
      <c r="A155">
        <f>IF('Ch4 EOT2 Results'!K30="","","Q1 Identifying &amp; criticising an argument (speed cameras): "&amp;'Ch4 EOT2 Results'!C30&amp;"/9")</f>
        <v/>
      </c>
      <c r="K155">
        <f>IF('Ch4 EOT2 Results'!K31="","","Q1 Identifying &amp; criticising an argument (speed cameras): "&amp;'Ch4 EOT2 Results'!C31&amp;"/9")</f>
        <v/>
      </c>
    </row>
    <row r="156">
      <c r="A156">
        <f>IF('Ch4 EOT2 Results'!K30="","","Q2 Evaluating a claim using two sources: "&amp;'Ch4 EOT2 Results'!D30&amp;"/10")</f>
        <v/>
      </c>
      <c r="K156">
        <f>IF('Ch4 EOT2 Results'!K31="","","Q2 Evaluating a claim using two sources: "&amp;'Ch4 EOT2 Results'!D31&amp;"/10")</f>
        <v/>
      </c>
    </row>
    <row r="157">
      <c r="A157">
        <f>IF('Ch4 EOT2 Results'!K30="","","Q3 Short-term headline vs long-term trend: "&amp;'Ch4 EOT2 Results'!E30&amp;"/9")</f>
        <v/>
      </c>
      <c r="K157">
        <f>IF('Ch4 EOT2 Results'!K31="","","Q3 Short-term headline vs long-term trend: "&amp;'Ch4 EOT2 Results'!E31&amp;"/9")</f>
        <v/>
      </c>
    </row>
    <row r="158">
      <c r="A158">
        <f>IF('Ch4 EOT2 Results'!K30="","","Q4 Sampling method, bias &amp; a better alternative: "&amp;'Ch4 EOT2 Results'!F30&amp;"/8")</f>
        <v/>
      </c>
      <c r="K158">
        <f>IF('Ch4 EOT2 Results'!K31="","","Q4 Sampling method, bias &amp; a better alternative: "&amp;'Ch4 EOT2 Results'!F31&amp;"/8")</f>
        <v/>
      </c>
    </row>
    <row r="159">
      <c r="A159">
        <f>IF('Ch4 EOT2 Results'!K30="","","Q5 Correlation vs causation (ice cream sales &amp; drownings): "&amp;'Ch4 EOT2 Results'!G30&amp;"/7")</f>
        <v/>
      </c>
      <c r="K159">
        <f>IF('Ch4 EOT2 Results'!K31="","","Q5 Correlation vs causation (ice cream sales &amp; drownings): "&amp;'Ch4 EOT2 Results'!G31&amp;"/7")</f>
        <v/>
      </c>
    </row>
    <row r="160">
      <c r="A160">
        <f>IF('Ch4 EOT2 Results'!K30="","","Q6 Reasoning flaws in a marketing claim: "&amp;'Ch4 EOT2 Results'!H30&amp;"/8")</f>
        <v/>
      </c>
      <c r="K160">
        <f>IF('Ch4 EOT2 Results'!K31="","","Q6 Reasoning flaws in a marketing claim: "&amp;'Ch4 EOT2 Results'!H31&amp;"/8")</f>
        <v/>
      </c>
    </row>
    <row r="161">
      <c r="A161">
        <f>IF(OR('Ch4 EOT2 Results'!K30="",'Ch4 EOT2 Results'!L30=""),"",'Ch4 EOT2 Results'!L30)</f>
        <v/>
      </c>
      <c r="K161">
        <f>IF(OR('Ch4 EOT2 Results'!K31="",'Ch4 EOT2 Results'!L31=""),"",'Ch4 EOT2 Results'!L31)</f>
        <v/>
      </c>
    </row>
    <row r="163">
      <c r="A163">
        <f>IF('Ch4 EOT2 Results'!K30="","","Comments:")</f>
        <v/>
      </c>
      <c r="K163">
        <f>IF('Ch4 EOT2 Results'!K31="","","Comments:")</f>
        <v/>
      </c>
    </row>
    <row r="165">
      <c r="A165">
        <f>IF('Ch4 EOT2 Results'!K32="","","Chapter 4 End of Topic Test 2 — Critical Analysis of Data &amp; Models")</f>
        <v/>
      </c>
      <c r="K165">
        <f>IF('Ch4 EOT2 Results'!K33="","","Chapter 4 End of Topic Test 2 — Critical Analysis of Data &amp; Models")</f>
        <v/>
      </c>
    </row>
    <row r="166">
      <c r="A166">
        <f>IF('Ch4 EOT2 Results'!K32="","","Name: "&amp;'Ch4 EOT2 Results'!B32&amp;"   Class: "&amp;'Ch4 EOT2 Results'!$B$3&amp;"   Date: "&amp;TEXT('Ch4 EOT2 Results'!$B$5,"DD/MM/YY"))</f>
        <v/>
      </c>
      <c r="K166">
        <f>IF('Ch4 EOT2 Results'!K33="","","Name: "&amp;'Ch4 EOT2 Results'!B33&amp;"   Class: "&amp;'Ch4 EOT2 Results'!$B$3&amp;"   Date: "&amp;TEXT('Ch4 EOT2 Results'!$B$5,"DD/MM/YY"))</f>
        <v/>
      </c>
    </row>
    <row r="167">
      <c r="A167">
        <f>IF('Ch4 EOT2 Results'!K32="","","Total: "&amp;'Ch4 EOT2 Results'!I32&amp;"/51 ("&amp;TEXT('Ch4 EOT2 Results'!J32,"0%")&amp;")   Overall: "&amp;'Ch4 EOT2 Results'!K32)</f>
        <v/>
      </c>
      <c r="K167">
        <f>IF('Ch4 EOT2 Results'!K33="","","Total: "&amp;'Ch4 EOT2 Results'!I33&amp;"/51 ("&amp;TEXT('Ch4 EOT2 Results'!J33,"0%")&amp;")   Overall: "&amp;'Ch4 EOT2 Results'!K33)</f>
        <v/>
      </c>
    </row>
    <row r="168">
      <c r="A168">
        <f>IF('Ch4 EOT2 Results'!K32="","",IF('Ch4 EOT2 Results'!K32="Green",Parameters!$C$276,IF('Ch4 EOT2 Results'!K32="Yellow",Parameters!$C$275,Parameters!$C$274)))</f>
        <v/>
      </c>
      <c r="K168">
        <f>IF('Ch4 EOT2 Results'!K33="","",IF('Ch4 EOT2 Results'!K33="Green",Parameters!$C$276,IF('Ch4 EOT2 Results'!K33="Yellow",Parameters!$C$275,Parameters!$C$274)))</f>
        <v/>
      </c>
    </row>
    <row r="170">
      <c r="A170">
        <f>IF('Ch4 EOT2 Results'!K32="","","Breakdown:")</f>
        <v/>
      </c>
      <c r="K170">
        <f>IF('Ch4 EOT2 Results'!K33="","","Breakdown:")</f>
        <v/>
      </c>
    </row>
    <row r="171">
      <c r="A171">
        <f>IF('Ch4 EOT2 Results'!K32="","","Q1 Identifying &amp; criticising an argument (speed cameras): "&amp;'Ch4 EOT2 Results'!C32&amp;"/9")</f>
        <v/>
      </c>
      <c r="K171">
        <f>IF('Ch4 EOT2 Results'!K33="","","Q1 Identifying &amp; criticising an argument (speed cameras): "&amp;'Ch4 EOT2 Results'!C33&amp;"/9")</f>
        <v/>
      </c>
    </row>
    <row r="172">
      <c r="A172">
        <f>IF('Ch4 EOT2 Results'!K32="","","Q2 Evaluating a claim using two sources: "&amp;'Ch4 EOT2 Results'!D32&amp;"/10")</f>
        <v/>
      </c>
      <c r="K172">
        <f>IF('Ch4 EOT2 Results'!K33="","","Q2 Evaluating a claim using two sources: "&amp;'Ch4 EOT2 Results'!D33&amp;"/10")</f>
        <v/>
      </c>
    </row>
    <row r="173">
      <c r="A173">
        <f>IF('Ch4 EOT2 Results'!K32="","","Q3 Short-term headline vs long-term trend: "&amp;'Ch4 EOT2 Results'!E32&amp;"/9")</f>
        <v/>
      </c>
      <c r="K173">
        <f>IF('Ch4 EOT2 Results'!K33="","","Q3 Short-term headline vs long-term trend: "&amp;'Ch4 EOT2 Results'!E33&amp;"/9")</f>
        <v/>
      </c>
    </row>
    <row r="174">
      <c r="A174">
        <f>IF('Ch4 EOT2 Results'!K32="","","Q4 Sampling method, bias &amp; a better alternative: "&amp;'Ch4 EOT2 Results'!F32&amp;"/8")</f>
        <v/>
      </c>
      <c r="K174">
        <f>IF('Ch4 EOT2 Results'!K33="","","Q4 Sampling method, bias &amp; a better alternative: "&amp;'Ch4 EOT2 Results'!F33&amp;"/8")</f>
        <v/>
      </c>
    </row>
    <row r="175">
      <c r="A175">
        <f>IF('Ch4 EOT2 Results'!K32="","","Q5 Correlation vs causation (ice cream sales &amp; drownings): "&amp;'Ch4 EOT2 Results'!G32&amp;"/7")</f>
        <v/>
      </c>
      <c r="K175">
        <f>IF('Ch4 EOT2 Results'!K33="","","Q5 Correlation vs causation (ice cream sales &amp; drownings): "&amp;'Ch4 EOT2 Results'!G33&amp;"/7")</f>
        <v/>
      </c>
    </row>
    <row r="176">
      <c r="A176">
        <f>IF('Ch4 EOT2 Results'!K32="","","Q6 Reasoning flaws in a marketing claim: "&amp;'Ch4 EOT2 Results'!H32&amp;"/8")</f>
        <v/>
      </c>
      <c r="K176">
        <f>IF('Ch4 EOT2 Results'!K33="","","Q6 Reasoning flaws in a marketing claim: "&amp;'Ch4 EOT2 Results'!H33&amp;"/8")</f>
        <v/>
      </c>
    </row>
    <row r="177">
      <c r="A177">
        <f>IF(OR('Ch4 EOT2 Results'!K32="",'Ch4 EOT2 Results'!L32=""),"",'Ch4 EOT2 Results'!L32)</f>
        <v/>
      </c>
      <c r="K177">
        <f>IF(OR('Ch4 EOT2 Results'!K33="",'Ch4 EOT2 Results'!L33=""),"",'Ch4 EOT2 Results'!L33)</f>
        <v/>
      </c>
    </row>
    <row r="179">
      <c r="A179">
        <f>IF('Ch4 EOT2 Results'!K32="","","Comments:")</f>
        <v/>
      </c>
      <c r="K179">
        <f>IF('Ch4 EOT2 Results'!K33="","","Comments:")</f>
        <v/>
      </c>
    </row>
    <row r="181">
      <c r="A181">
        <f>IF('Ch4 EOT2 Results'!K34="","","Chapter 4 End of Topic Test 2 — Critical Analysis of Data &amp; Models")</f>
        <v/>
      </c>
      <c r="K181">
        <f>IF('Ch4 EOT2 Results'!K35="","","Chapter 4 End of Topic Test 2 — Critical Analysis of Data &amp; Models")</f>
        <v/>
      </c>
    </row>
    <row r="182">
      <c r="A182">
        <f>IF('Ch4 EOT2 Results'!K34="","","Name: "&amp;'Ch4 EOT2 Results'!B34&amp;"   Class: "&amp;'Ch4 EOT2 Results'!$B$3&amp;"   Date: "&amp;TEXT('Ch4 EOT2 Results'!$B$5,"DD/MM/YY"))</f>
        <v/>
      </c>
      <c r="K182">
        <f>IF('Ch4 EOT2 Results'!K35="","","Name: "&amp;'Ch4 EOT2 Results'!B35&amp;"   Class: "&amp;'Ch4 EOT2 Results'!$B$3&amp;"   Date: "&amp;TEXT('Ch4 EOT2 Results'!$B$5,"DD/MM/YY"))</f>
        <v/>
      </c>
    </row>
    <row r="183">
      <c r="A183">
        <f>IF('Ch4 EOT2 Results'!K34="","","Total: "&amp;'Ch4 EOT2 Results'!I34&amp;"/51 ("&amp;TEXT('Ch4 EOT2 Results'!J34,"0%")&amp;")   Overall: "&amp;'Ch4 EOT2 Results'!K34)</f>
        <v/>
      </c>
      <c r="K183">
        <f>IF('Ch4 EOT2 Results'!K35="","","Total: "&amp;'Ch4 EOT2 Results'!I35&amp;"/51 ("&amp;TEXT('Ch4 EOT2 Results'!J35,"0%")&amp;")   Overall: "&amp;'Ch4 EOT2 Results'!K35)</f>
        <v/>
      </c>
    </row>
    <row r="184">
      <c r="A184">
        <f>IF('Ch4 EOT2 Results'!K34="","",IF('Ch4 EOT2 Results'!K34="Green",Parameters!$C$276,IF('Ch4 EOT2 Results'!K34="Yellow",Parameters!$C$275,Parameters!$C$274)))</f>
        <v/>
      </c>
      <c r="K184">
        <f>IF('Ch4 EOT2 Results'!K35="","",IF('Ch4 EOT2 Results'!K35="Green",Parameters!$C$276,IF('Ch4 EOT2 Results'!K35="Yellow",Parameters!$C$275,Parameters!$C$274)))</f>
        <v/>
      </c>
    </row>
    <row r="186">
      <c r="A186">
        <f>IF('Ch4 EOT2 Results'!K34="","","Breakdown:")</f>
        <v/>
      </c>
      <c r="K186">
        <f>IF('Ch4 EOT2 Results'!K35="","","Breakdown:")</f>
        <v/>
      </c>
    </row>
    <row r="187">
      <c r="A187">
        <f>IF('Ch4 EOT2 Results'!K34="","","Q1 Identifying &amp; criticising an argument (speed cameras): "&amp;'Ch4 EOT2 Results'!C34&amp;"/9")</f>
        <v/>
      </c>
      <c r="K187">
        <f>IF('Ch4 EOT2 Results'!K35="","","Q1 Identifying &amp; criticising an argument (speed cameras): "&amp;'Ch4 EOT2 Results'!C35&amp;"/9")</f>
        <v/>
      </c>
    </row>
    <row r="188">
      <c r="A188">
        <f>IF('Ch4 EOT2 Results'!K34="","","Q2 Evaluating a claim using two sources: "&amp;'Ch4 EOT2 Results'!D34&amp;"/10")</f>
        <v/>
      </c>
      <c r="K188">
        <f>IF('Ch4 EOT2 Results'!K35="","","Q2 Evaluating a claim using two sources: "&amp;'Ch4 EOT2 Results'!D35&amp;"/10")</f>
        <v/>
      </c>
    </row>
    <row r="189">
      <c r="A189">
        <f>IF('Ch4 EOT2 Results'!K34="","","Q3 Short-term headline vs long-term trend: "&amp;'Ch4 EOT2 Results'!E34&amp;"/9")</f>
        <v/>
      </c>
      <c r="K189">
        <f>IF('Ch4 EOT2 Results'!K35="","","Q3 Short-term headline vs long-term trend: "&amp;'Ch4 EOT2 Results'!E35&amp;"/9")</f>
        <v/>
      </c>
    </row>
    <row r="190">
      <c r="A190">
        <f>IF('Ch4 EOT2 Results'!K34="","","Q4 Sampling method, bias &amp; a better alternative: "&amp;'Ch4 EOT2 Results'!F34&amp;"/8")</f>
        <v/>
      </c>
      <c r="K190">
        <f>IF('Ch4 EOT2 Results'!K35="","","Q4 Sampling method, bias &amp; a better alternative: "&amp;'Ch4 EOT2 Results'!F35&amp;"/8")</f>
        <v/>
      </c>
    </row>
    <row r="191">
      <c r="A191">
        <f>IF('Ch4 EOT2 Results'!K34="","","Q5 Correlation vs causation (ice cream sales &amp; drownings): "&amp;'Ch4 EOT2 Results'!G34&amp;"/7")</f>
        <v/>
      </c>
      <c r="K191">
        <f>IF('Ch4 EOT2 Results'!K35="","","Q5 Correlation vs causation (ice cream sales &amp; drownings): "&amp;'Ch4 EOT2 Results'!G35&amp;"/7")</f>
        <v/>
      </c>
    </row>
    <row r="192">
      <c r="A192">
        <f>IF('Ch4 EOT2 Results'!K34="","","Q6 Reasoning flaws in a marketing claim: "&amp;'Ch4 EOT2 Results'!H34&amp;"/8")</f>
        <v/>
      </c>
      <c r="K192">
        <f>IF('Ch4 EOT2 Results'!K35="","","Q6 Reasoning flaws in a marketing claim: "&amp;'Ch4 EOT2 Results'!H35&amp;"/8")</f>
        <v/>
      </c>
    </row>
    <row r="193">
      <c r="A193">
        <f>IF(OR('Ch4 EOT2 Results'!K34="",'Ch4 EOT2 Results'!L34=""),"",'Ch4 EOT2 Results'!L34)</f>
        <v/>
      </c>
      <c r="K193">
        <f>IF(OR('Ch4 EOT2 Results'!K35="",'Ch4 EOT2 Results'!L35=""),"",'Ch4 EOT2 Results'!L35)</f>
        <v/>
      </c>
    </row>
    <row r="195">
      <c r="A195">
        <f>IF('Ch4 EOT2 Results'!K34="","","Comments:")</f>
        <v/>
      </c>
      <c r="K195">
        <f>IF('Ch4 EOT2 Results'!K35="","","Comments:")</f>
        <v/>
      </c>
    </row>
    <row r="197">
      <c r="A197">
        <f>IF('Ch4 EOT2 Results'!K36="","","Chapter 4 End of Topic Test 2 — Critical Analysis of Data &amp; Models")</f>
        <v/>
      </c>
      <c r="K197">
        <f>IF('Ch4 EOT2 Results'!K37="","","Chapter 4 End of Topic Test 2 — Critical Analysis of Data &amp; Models")</f>
        <v/>
      </c>
    </row>
    <row r="198">
      <c r="A198">
        <f>IF('Ch4 EOT2 Results'!K36="","","Name: "&amp;'Ch4 EOT2 Results'!B36&amp;"   Class: "&amp;'Ch4 EOT2 Results'!$B$3&amp;"   Date: "&amp;TEXT('Ch4 EOT2 Results'!$B$5,"DD/MM/YY"))</f>
        <v/>
      </c>
      <c r="K198">
        <f>IF('Ch4 EOT2 Results'!K37="","","Name: "&amp;'Ch4 EOT2 Results'!B37&amp;"   Class: "&amp;'Ch4 EOT2 Results'!$B$3&amp;"   Date: "&amp;TEXT('Ch4 EOT2 Results'!$B$5,"DD/MM/YY"))</f>
        <v/>
      </c>
    </row>
    <row r="199">
      <c r="A199">
        <f>IF('Ch4 EOT2 Results'!K36="","","Total: "&amp;'Ch4 EOT2 Results'!I36&amp;"/51 ("&amp;TEXT('Ch4 EOT2 Results'!J36,"0%")&amp;")   Overall: "&amp;'Ch4 EOT2 Results'!K36)</f>
        <v/>
      </c>
      <c r="K199">
        <f>IF('Ch4 EOT2 Results'!K37="","","Total: "&amp;'Ch4 EOT2 Results'!I37&amp;"/51 ("&amp;TEXT('Ch4 EOT2 Results'!J37,"0%")&amp;")   Overall: "&amp;'Ch4 EOT2 Results'!K37)</f>
        <v/>
      </c>
    </row>
    <row r="200">
      <c r="A200">
        <f>IF('Ch4 EOT2 Results'!K36="","",IF('Ch4 EOT2 Results'!K36="Green",Parameters!$C$276,IF('Ch4 EOT2 Results'!K36="Yellow",Parameters!$C$275,Parameters!$C$274)))</f>
        <v/>
      </c>
      <c r="K200">
        <f>IF('Ch4 EOT2 Results'!K37="","",IF('Ch4 EOT2 Results'!K37="Green",Parameters!$C$276,IF('Ch4 EOT2 Results'!K37="Yellow",Parameters!$C$275,Parameters!$C$274)))</f>
        <v/>
      </c>
    </row>
    <row r="202">
      <c r="A202">
        <f>IF('Ch4 EOT2 Results'!K36="","","Breakdown:")</f>
        <v/>
      </c>
      <c r="K202">
        <f>IF('Ch4 EOT2 Results'!K37="","","Breakdown:")</f>
        <v/>
      </c>
    </row>
    <row r="203">
      <c r="A203">
        <f>IF('Ch4 EOT2 Results'!K36="","","Q1 Identifying &amp; criticising an argument (speed cameras): "&amp;'Ch4 EOT2 Results'!C36&amp;"/9")</f>
        <v/>
      </c>
      <c r="K203">
        <f>IF('Ch4 EOT2 Results'!K37="","","Q1 Identifying &amp; criticising an argument (speed cameras): "&amp;'Ch4 EOT2 Results'!C37&amp;"/9")</f>
        <v/>
      </c>
    </row>
    <row r="204">
      <c r="A204">
        <f>IF('Ch4 EOT2 Results'!K36="","","Q2 Evaluating a claim using two sources: "&amp;'Ch4 EOT2 Results'!D36&amp;"/10")</f>
        <v/>
      </c>
      <c r="K204">
        <f>IF('Ch4 EOT2 Results'!K37="","","Q2 Evaluating a claim using two sources: "&amp;'Ch4 EOT2 Results'!D37&amp;"/10")</f>
        <v/>
      </c>
    </row>
    <row r="205">
      <c r="A205">
        <f>IF('Ch4 EOT2 Results'!K36="","","Q3 Short-term headline vs long-term trend: "&amp;'Ch4 EOT2 Results'!E36&amp;"/9")</f>
        <v/>
      </c>
      <c r="K205">
        <f>IF('Ch4 EOT2 Results'!K37="","","Q3 Short-term headline vs long-term trend: "&amp;'Ch4 EOT2 Results'!E37&amp;"/9")</f>
        <v/>
      </c>
    </row>
    <row r="206">
      <c r="A206">
        <f>IF('Ch4 EOT2 Results'!K36="","","Q4 Sampling method, bias &amp; a better alternative: "&amp;'Ch4 EOT2 Results'!F36&amp;"/8")</f>
        <v/>
      </c>
      <c r="K206">
        <f>IF('Ch4 EOT2 Results'!K37="","","Q4 Sampling method, bias &amp; a better alternative: "&amp;'Ch4 EOT2 Results'!F37&amp;"/8")</f>
        <v/>
      </c>
    </row>
    <row r="207">
      <c r="A207">
        <f>IF('Ch4 EOT2 Results'!K36="","","Q5 Correlation vs causation (ice cream sales &amp; drownings): "&amp;'Ch4 EOT2 Results'!G36&amp;"/7")</f>
        <v/>
      </c>
      <c r="K207">
        <f>IF('Ch4 EOT2 Results'!K37="","","Q5 Correlation vs causation (ice cream sales &amp; drownings): "&amp;'Ch4 EOT2 Results'!G37&amp;"/7")</f>
        <v/>
      </c>
    </row>
    <row r="208">
      <c r="A208">
        <f>IF('Ch4 EOT2 Results'!K36="","","Q6 Reasoning flaws in a marketing claim: "&amp;'Ch4 EOT2 Results'!H36&amp;"/8")</f>
        <v/>
      </c>
      <c r="K208">
        <f>IF('Ch4 EOT2 Results'!K37="","","Q6 Reasoning flaws in a marketing claim: "&amp;'Ch4 EOT2 Results'!H37&amp;"/8")</f>
        <v/>
      </c>
    </row>
    <row r="209">
      <c r="A209">
        <f>IF(OR('Ch4 EOT2 Results'!K36="",'Ch4 EOT2 Results'!L36=""),"",'Ch4 EOT2 Results'!L36)</f>
        <v/>
      </c>
      <c r="K209">
        <f>IF(OR('Ch4 EOT2 Results'!K37="",'Ch4 EOT2 Results'!L37=""),"",'Ch4 EOT2 Results'!L37)</f>
        <v/>
      </c>
    </row>
    <row r="211">
      <c r="A211">
        <f>IF('Ch4 EOT2 Results'!K36="","","Comments:")</f>
        <v/>
      </c>
      <c r="K211">
        <f>IF('Ch4 EOT2 Results'!K37="","","Comments:")</f>
        <v/>
      </c>
    </row>
    <row r="213">
      <c r="A213">
        <f>IF('Ch4 EOT2 Results'!K38="","","Chapter 4 End of Topic Test 2 — Critical Analysis of Data &amp; Models")</f>
        <v/>
      </c>
      <c r="K213">
        <f>IF('Ch4 EOT2 Results'!K39="","","Chapter 4 End of Topic Test 2 — Critical Analysis of Data &amp; Models")</f>
        <v/>
      </c>
    </row>
    <row r="214">
      <c r="A214">
        <f>IF('Ch4 EOT2 Results'!K38="","","Name: "&amp;'Ch4 EOT2 Results'!B38&amp;"   Class: "&amp;'Ch4 EOT2 Results'!$B$3&amp;"   Date: "&amp;TEXT('Ch4 EOT2 Results'!$B$5,"DD/MM/YY"))</f>
        <v/>
      </c>
      <c r="K214">
        <f>IF('Ch4 EOT2 Results'!K39="","","Name: "&amp;'Ch4 EOT2 Results'!B39&amp;"   Class: "&amp;'Ch4 EOT2 Results'!$B$3&amp;"   Date: "&amp;TEXT('Ch4 EOT2 Results'!$B$5,"DD/MM/YY"))</f>
        <v/>
      </c>
    </row>
    <row r="215">
      <c r="A215">
        <f>IF('Ch4 EOT2 Results'!K38="","","Total: "&amp;'Ch4 EOT2 Results'!I38&amp;"/51 ("&amp;TEXT('Ch4 EOT2 Results'!J38,"0%")&amp;")   Overall: "&amp;'Ch4 EOT2 Results'!K38)</f>
        <v/>
      </c>
      <c r="K215">
        <f>IF('Ch4 EOT2 Results'!K39="","","Total: "&amp;'Ch4 EOT2 Results'!I39&amp;"/51 ("&amp;TEXT('Ch4 EOT2 Results'!J39,"0%")&amp;")   Overall: "&amp;'Ch4 EOT2 Results'!K39)</f>
        <v/>
      </c>
    </row>
    <row r="216">
      <c r="A216">
        <f>IF('Ch4 EOT2 Results'!K38="","",IF('Ch4 EOT2 Results'!K38="Green",Parameters!$C$276,IF('Ch4 EOT2 Results'!K38="Yellow",Parameters!$C$275,Parameters!$C$274)))</f>
        <v/>
      </c>
      <c r="K216">
        <f>IF('Ch4 EOT2 Results'!K39="","",IF('Ch4 EOT2 Results'!K39="Green",Parameters!$C$276,IF('Ch4 EOT2 Results'!K39="Yellow",Parameters!$C$275,Parameters!$C$274)))</f>
        <v/>
      </c>
    </row>
    <row r="218">
      <c r="A218">
        <f>IF('Ch4 EOT2 Results'!K38="","","Breakdown:")</f>
        <v/>
      </c>
      <c r="K218">
        <f>IF('Ch4 EOT2 Results'!K39="","","Breakdown:")</f>
        <v/>
      </c>
    </row>
    <row r="219">
      <c r="A219">
        <f>IF('Ch4 EOT2 Results'!K38="","","Q1 Identifying &amp; criticising an argument (speed cameras): "&amp;'Ch4 EOT2 Results'!C38&amp;"/9")</f>
        <v/>
      </c>
      <c r="K219">
        <f>IF('Ch4 EOT2 Results'!K39="","","Q1 Identifying &amp; criticising an argument (speed cameras): "&amp;'Ch4 EOT2 Results'!C39&amp;"/9")</f>
        <v/>
      </c>
    </row>
    <row r="220">
      <c r="A220">
        <f>IF('Ch4 EOT2 Results'!K38="","","Q2 Evaluating a claim using two sources: "&amp;'Ch4 EOT2 Results'!D38&amp;"/10")</f>
        <v/>
      </c>
      <c r="K220">
        <f>IF('Ch4 EOT2 Results'!K39="","","Q2 Evaluating a claim using two sources: "&amp;'Ch4 EOT2 Results'!D39&amp;"/10")</f>
        <v/>
      </c>
    </row>
    <row r="221">
      <c r="A221">
        <f>IF('Ch4 EOT2 Results'!K38="","","Q3 Short-term headline vs long-term trend: "&amp;'Ch4 EOT2 Results'!E38&amp;"/9")</f>
        <v/>
      </c>
      <c r="K221">
        <f>IF('Ch4 EOT2 Results'!K39="","","Q3 Short-term headline vs long-term trend: "&amp;'Ch4 EOT2 Results'!E39&amp;"/9")</f>
        <v/>
      </c>
    </row>
    <row r="222">
      <c r="A222">
        <f>IF('Ch4 EOT2 Results'!K38="","","Q4 Sampling method, bias &amp; a better alternative: "&amp;'Ch4 EOT2 Results'!F38&amp;"/8")</f>
        <v/>
      </c>
      <c r="K222">
        <f>IF('Ch4 EOT2 Results'!K39="","","Q4 Sampling method, bias &amp; a better alternative: "&amp;'Ch4 EOT2 Results'!F39&amp;"/8")</f>
        <v/>
      </c>
    </row>
    <row r="223">
      <c r="A223">
        <f>IF('Ch4 EOT2 Results'!K38="","","Q5 Correlation vs causation (ice cream sales &amp; drownings): "&amp;'Ch4 EOT2 Results'!G38&amp;"/7")</f>
        <v/>
      </c>
      <c r="K223">
        <f>IF('Ch4 EOT2 Results'!K39="","","Q5 Correlation vs causation (ice cream sales &amp; drownings): "&amp;'Ch4 EOT2 Results'!G39&amp;"/7")</f>
        <v/>
      </c>
    </row>
    <row r="224">
      <c r="A224">
        <f>IF('Ch4 EOT2 Results'!K38="","","Q6 Reasoning flaws in a marketing claim: "&amp;'Ch4 EOT2 Results'!H38&amp;"/8")</f>
        <v/>
      </c>
      <c r="K224">
        <f>IF('Ch4 EOT2 Results'!K39="","","Q6 Reasoning flaws in a marketing claim: "&amp;'Ch4 EOT2 Results'!H39&amp;"/8")</f>
        <v/>
      </c>
    </row>
    <row r="225">
      <c r="A225">
        <f>IF(OR('Ch4 EOT2 Results'!K38="",'Ch4 EOT2 Results'!L38=""),"",'Ch4 EOT2 Results'!L38)</f>
        <v/>
      </c>
      <c r="K225">
        <f>IF(OR('Ch4 EOT2 Results'!K39="",'Ch4 EOT2 Results'!L39=""),"",'Ch4 EOT2 Results'!L39)</f>
        <v/>
      </c>
    </row>
    <row r="227">
      <c r="A227">
        <f>IF('Ch4 EOT2 Results'!K38="","","Comments:")</f>
        <v/>
      </c>
      <c r="K227">
        <f>IF('Ch4 EOT2 Results'!K39="","","Comments:")</f>
        <v/>
      </c>
    </row>
    <row r="229">
      <c r="A229">
        <f>IF('Ch4 EOT2 Results'!K40="","","Chapter 4 End of Topic Test 2 — Critical Analysis of Data &amp; Models")</f>
        <v/>
      </c>
      <c r="K229">
        <f>IF('Ch4 EOT2 Results'!K41="","","Chapter 4 End of Topic Test 2 — Critical Analysis of Data &amp; Models")</f>
        <v/>
      </c>
    </row>
    <row r="230">
      <c r="A230">
        <f>IF('Ch4 EOT2 Results'!K40="","","Name: "&amp;'Ch4 EOT2 Results'!B40&amp;"   Class: "&amp;'Ch4 EOT2 Results'!$B$3&amp;"   Date: "&amp;TEXT('Ch4 EOT2 Results'!$B$5,"DD/MM/YY"))</f>
        <v/>
      </c>
      <c r="K230">
        <f>IF('Ch4 EOT2 Results'!K41="","","Name: "&amp;'Ch4 EOT2 Results'!B41&amp;"   Class: "&amp;'Ch4 EOT2 Results'!$B$3&amp;"   Date: "&amp;TEXT('Ch4 EOT2 Results'!$B$5,"DD/MM/YY"))</f>
        <v/>
      </c>
    </row>
    <row r="231">
      <c r="A231">
        <f>IF('Ch4 EOT2 Results'!K40="","","Total: "&amp;'Ch4 EOT2 Results'!I40&amp;"/51 ("&amp;TEXT('Ch4 EOT2 Results'!J40,"0%")&amp;")   Overall: "&amp;'Ch4 EOT2 Results'!K40)</f>
        <v/>
      </c>
      <c r="K231">
        <f>IF('Ch4 EOT2 Results'!K41="","","Total: "&amp;'Ch4 EOT2 Results'!I41&amp;"/51 ("&amp;TEXT('Ch4 EOT2 Results'!J41,"0%")&amp;")   Overall: "&amp;'Ch4 EOT2 Results'!K41)</f>
        <v/>
      </c>
    </row>
    <row r="232">
      <c r="A232">
        <f>IF('Ch4 EOT2 Results'!K40="","",IF('Ch4 EOT2 Results'!K40="Green",Parameters!$C$276,IF('Ch4 EOT2 Results'!K40="Yellow",Parameters!$C$275,Parameters!$C$274)))</f>
        <v/>
      </c>
      <c r="K232">
        <f>IF('Ch4 EOT2 Results'!K41="","",IF('Ch4 EOT2 Results'!K41="Green",Parameters!$C$276,IF('Ch4 EOT2 Results'!K41="Yellow",Parameters!$C$275,Parameters!$C$274)))</f>
        <v/>
      </c>
    </row>
    <row r="234">
      <c r="A234">
        <f>IF('Ch4 EOT2 Results'!K40="","","Breakdown:")</f>
        <v/>
      </c>
      <c r="K234">
        <f>IF('Ch4 EOT2 Results'!K41="","","Breakdown:")</f>
        <v/>
      </c>
    </row>
    <row r="235">
      <c r="A235">
        <f>IF('Ch4 EOT2 Results'!K40="","","Q1 Identifying &amp; criticising an argument (speed cameras): "&amp;'Ch4 EOT2 Results'!C40&amp;"/9")</f>
        <v/>
      </c>
      <c r="K235">
        <f>IF('Ch4 EOT2 Results'!K41="","","Q1 Identifying &amp; criticising an argument (speed cameras): "&amp;'Ch4 EOT2 Results'!C41&amp;"/9")</f>
        <v/>
      </c>
    </row>
    <row r="236">
      <c r="A236">
        <f>IF('Ch4 EOT2 Results'!K40="","","Q2 Evaluating a claim using two sources: "&amp;'Ch4 EOT2 Results'!D40&amp;"/10")</f>
        <v/>
      </c>
      <c r="K236">
        <f>IF('Ch4 EOT2 Results'!K41="","","Q2 Evaluating a claim using two sources: "&amp;'Ch4 EOT2 Results'!D41&amp;"/10")</f>
        <v/>
      </c>
    </row>
    <row r="237">
      <c r="A237">
        <f>IF('Ch4 EOT2 Results'!K40="","","Q3 Short-term headline vs long-term trend: "&amp;'Ch4 EOT2 Results'!E40&amp;"/9")</f>
        <v/>
      </c>
      <c r="K237">
        <f>IF('Ch4 EOT2 Results'!K41="","","Q3 Short-term headline vs long-term trend: "&amp;'Ch4 EOT2 Results'!E41&amp;"/9")</f>
        <v/>
      </c>
    </row>
    <row r="238">
      <c r="A238">
        <f>IF('Ch4 EOT2 Results'!K40="","","Q4 Sampling method, bias &amp; a better alternative: "&amp;'Ch4 EOT2 Results'!F40&amp;"/8")</f>
        <v/>
      </c>
      <c r="K238">
        <f>IF('Ch4 EOT2 Results'!K41="","","Q4 Sampling method, bias &amp; a better alternative: "&amp;'Ch4 EOT2 Results'!F41&amp;"/8")</f>
        <v/>
      </c>
    </row>
    <row r="239">
      <c r="A239">
        <f>IF('Ch4 EOT2 Results'!K40="","","Q5 Correlation vs causation (ice cream sales &amp; drownings): "&amp;'Ch4 EOT2 Results'!G40&amp;"/7")</f>
        <v/>
      </c>
      <c r="K239">
        <f>IF('Ch4 EOT2 Results'!K41="","","Q5 Correlation vs causation (ice cream sales &amp; drownings): "&amp;'Ch4 EOT2 Results'!G41&amp;"/7")</f>
        <v/>
      </c>
    </row>
    <row r="240">
      <c r="A240">
        <f>IF('Ch4 EOT2 Results'!K40="","","Q6 Reasoning flaws in a marketing claim: "&amp;'Ch4 EOT2 Results'!H40&amp;"/8")</f>
        <v/>
      </c>
      <c r="K240">
        <f>IF('Ch4 EOT2 Results'!K41="","","Q6 Reasoning flaws in a marketing claim: "&amp;'Ch4 EOT2 Results'!H41&amp;"/8")</f>
        <v/>
      </c>
    </row>
    <row r="241">
      <c r="A241">
        <f>IF(OR('Ch4 EOT2 Results'!K40="",'Ch4 EOT2 Results'!L40=""),"",'Ch4 EOT2 Results'!L40)</f>
        <v/>
      </c>
      <c r="K241">
        <f>IF(OR('Ch4 EOT2 Results'!K41="",'Ch4 EOT2 Results'!L41=""),"",'Ch4 EOT2 Results'!L41)</f>
        <v/>
      </c>
    </row>
    <row r="243">
      <c r="A243">
        <f>IF('Ch4 EOT2 Results'!K40="","","Comments:")</f>
        <v/>
      </c>
      <c r="K243">
        <f>IF('Ch4 EOT2 Results'!K41="","","Comments:")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0" customWidth="1" min="7" max="7"/>
    <col width="8" customWidth="1" min="8" max="8"/>
    <col width="10" customWidth="1" min="9" max="9"/>
    <col width="45" customWidth="1" min="10" max="10"/>
  </cols>
  <sheetData>
    <row r="1">
      <c r="A1" s="11" t="inlineStr">
        <is>
          <t>Mini Test 5.1 — The Normal Distribution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Properties &amp; sketch
(/6)</t>
        </is>
      </c>
      <c r="D9" s="12" t="inlineStr">
        <is>
          <t>Q2
Standardising (z)
(/6)</t>
        </is>
      </c>
      <c r="E9" s="12" t="inlineStr">
        <is>
          <t>Q3
Calculator/table probabilities
(/8)</t>
        </is>
      </c>
      <c r="F9" s="12" t="inlineStr">
        <is>
          <t>Q4
Model limitations
(/4)</t>
        </is>
      </c>
      <c r="G9" s="12" t="inlineStr">
        <is>
          <t>Total
(/24)</t>
        </is>
      </c>
      <c r="H9" s="12" t="inlineStr">
        <is>
          <t>%</t>
        </is>
      </c>
      <c r="I9" s="12" t="inlineStr">
        <is>
          <t>Overall</t>
        </is>
      </c>
      <c r="J9" s="12" t="inlineStr">
        <is>
          <t>Focus for next steps</t>
        </is>
      </c>
      <c r="K9" s="12" t="inlineStr">
        <is>
          <t>Q1%</t>
        </is>
      </c>
      <c r="L9" s="12" t="inlineStr">
        <is>
          <t>Q2%</t>
        </is>
      </c>
      <c r="M9" s="12" t="inlineStr">
        <is>
          <t>Q3%</t>
        </is>
      </c>
      <c r="N9" s="12" t="inlineStr">
        <is>
          <t>Q4%</t>
        </is>
      </c>
    </row>
    <row r="10">
      <c r="A10" s="3" t="n"/>
      <c r="B10" s="3" t="inlineStr">
        <is>
          <t>Max marks</t>
        </is>
      </c>
      <c r="C10" s="3" t="n">
        <v>6</v>
      </c>
      <c r="D10" s="3" t="n">
        <v>6</v>
      </c>
      <c r="E10" s="3" t="n">
        <v>8</v>
      </c>
      <c r="F10" s="3" t="n">
        <v>4</v>
      </c>
      <c r="G10" s="3" t="n">
        <v>24</v>
      </c>
      <c r="H10" s="3" t="inlineStr">
        <is>
          <t>100%</t>
        </is>
      </c>
      <c r="I10" s="3" t="n"/>
      <c r="J10" s="3" t="n"/>
      <c r="K10" s="3" t="n"/>
      <c r="L10" s="3" t="n"/>
      <c r="M10" s="3" t="n"/>
      <c r="N10" s="3" t="n"/>
    </row>
    <row r="11">
      <c r="A11" s="13" t="n">
        <v>1</v>
      </c>
      <c r="B11" s="13" t="inlineStr">
        <is>
          <t>Example pupil (edit me)</t>
        </is>
      </c>
      <c r="C11" s="13" t="n">
        <v>5</v>
      </c>
      <c r="D11" s="13" t="n">
        <v>5</v>
      </c>
      <c r="E11" s="13" t="n">
        <v>6</v>
      </c>
      <c r="F11" s="13" t="n">
        <v>3</v>
      </c>
      <c r="G11" s="13">
        <f>IF(COUNT(C11:F11)&lt;4,"",SUM(C11:F11))</f>
        <v/>
      </c>
      <c r="H11" s="13">
        <f>IF(COUNT(C11:F11)&lt;4,"",G11/24)</f>
        <v/>
      </c>
      <c r="I11" s="13">
        <f>IF(COUNT(C11:F11)&lt;4,"",IF(H11&gt;=0.8,"Green",IF(H11&gt;=0.5,"Yellow","Red")))</f>
        <v/>
      </c>
      <c r="J11" s="13">
        <f>IF(COUNT(C11:F11)&lt;4,"",IF(I11="Green","Well done! "&amp;Parameters!$C$291,"Revise: "&amp;_xlfn.TEXTJOIN(", ",TRUE(),IF(K11&lt;1,Parameters!$A$282,""),IF(L11&lt;1,Parameters!$A$283,""),IF(M11&lt;1,Parameters!$A$284,""),IF(N11&lt;1,Parameters!$A$285,""))))</f>
        <v/>
      </c>
      <c r="K11" s="13">
        <f>IF(C11="","",C11/6)</f>
        <v/>
      </c>
      <c r="L11" s="13">
        <f>IF(D11="","",D11/6)</f>
        <v/>
      </c>
      <c r="M11" s="13">
        <f>IF(E11="","",E11/8)</f>
        <v/>
      </c>
      <c r="N11" s="13">
        <f>IF(F11="","",F11/4)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3">
        <f>IF(COUNT(C12:F12)&lt;4,"",SUM(C12:F12))</f>
        <v/>
      </c>
      <c r="H12" s="13">
        <f>IF(COUNT(C12:F12)&lt;4,"",G12/24)</f>
        <v/>
      </c>
      <c r="I12" s="13">
        <f>IF(COUNT(C12:F12)&lt;4,"",IF(H12&gt;=0.8,"Green",IF(H12&gt;=0.5,"Yellow","Red")))</f>
        <v/>
      </c>
      <c r="J12" s="13">
        <f>IF(COUNT(C12:F12)&lt;4,"",IF(I12="Green","Well done! "&amp;Parameters!$C$291,"Revise: "&amp;_xlfn.TEXTJOIN(", ",TRUE(),IF(K12&lt;1,Parameters!$A$282,""),IF(L12&lt;1,Parameters!$A$283,""),IF(M12&lt;1,Parameters!$A$284,""),IF(N12&lt;1,Parameters!$A$285,""))))</f>
        <v/>
      </c>
      <c r="K12" s="13">
        <f>IF(C12="","",C12/6)</f>
        <v/>
      </c>
      <c r="L12" s="13">
        <f>IF(D12="","",D12/6)</f>
        <v/>
      </c>
      <c r="M12" s="13">
        <f>IF(E12="","",E12/8)</f>
        <v/>
      </c>
      <c r="N12" s="13">
        <f>IF(F12="","",F12/4)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3">
        <f>IF(COUNT(C13:F13)&lt;4,"",SUM(C13:F13))</f>
        <v/>
      </c>
      <c r="H13" s="13">
        <f>IF(COUNT(C13:F13)&lt;4,"",G13/24)</f>
        <v/>
      </c>
      <c r="I13" s="13">
        <f>IF(COUNT(C13:F13)&lt;4,"",IF(H13&gt;=0.8,"Green",IF(H13&gt;=0.5,"Yellow","Red")))</f>
        <v/>
      </c>
      <c r="J13" s="13">
        <f>IF(COUNT(C13:F13)&lt;4,"",IF(I13="Green","Well done! "&amp;Parameters!$C$291,"Revise: "&amp;_xlfn.TEXTJOIN(", ",TRUE(),IF(K13&lt;1,Parameters!$A$282,""),IF(L13&lt;1,Parameters!$A$283,""),IF(M13&lt;1,Parameters!$A$284,""),IF(N13&lt;1,Parameters!$A$285,""))))</f>
        <v/>
      </c>
      <c r="K13" s="13">
        <f>IF(C13="","",C13/6)</f>
        <v/>
      </c>
      <c r="L13" s="13">
        <f>IF(D13="","",D13/6)</f>
        <v/>
      </c>
      <c r="M13" s="13">
        <f>IF(E13="","",E13/8)</f>
        <v/>
      </c>
      <c r="N13" s="13">
        <f>IF(F13="","",F13/4)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3">
        <f>IF(COUNT(C14:F14)&lt;4,"",SUM(C14:F14))</f>
        <v/>
      </c>
      <c r="H14" s="13">
        <f>IF(COUNT(C14:F14)&lt;4,"",G14/24)</f>
        <v/>
      </c>
      <c r="I14" s="13">
        <f>IF(COUNT(C14:F14)&lt;4,"",IF(H14&gt;=0.8,"Green",IF(H14&gt;=0.5,"Yellow","Red")))</f>
        <v/>
      </c>
      <c r="J14" s="13">
        <f>IF(COUNT(C14:F14)&lt;4,"",IF(I14="Green","Well done! "&amp;Parameters!$C$291,"Revise: "&amp;_xlfn.TEXTJOIN(", ",TRUE(),IF(K14&lt;1,Parameters!$A$282,""),IF(L14&lt;1,Parameters!$A$283,""),IF(M14&lt;1,Parameters!$A$284,""),IF(N14&lt;1,Parameters!$A$285,""))))</f>
        <v/>
      </c>
      <c r="K14" s="13">
        <f>IF(C14="","",C14/6)</f>
        <v/>
      </c>
      <c r="L14" s="13">
        <f>IF(D14="","",D14/6)</f>
        <v/>
      </c>
      <c r="M14" s="13">
        <f>IF(E14="","",E14/8)</f>
        <v/>
      </c>
      <c r="N14" s="13">
        <f>IF(F14="","",F14/4)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3">
        <f>IF(COUNT(C15:F15)&lt;4,"",SUM(C15:F15))</f>
        <v/>
      </c>
      <c r="H15" s="13">
        <f>IF(COUNT(C15:F15)&lt;4,"",G15/24)</f>
        <v/>
      </c>
      <c r="I15" s="13">
        <f>IF(COUNT(C15:F15)&lt;4,"",IF(H15&gt;=0.8,"Green",IF(H15&gt;=0.5,"Yellow","Red")))</f>
        <v/>
      </c>
      <c r="J15" s="13">
        <f>IF(COUNT(C15:F15)&lt;4,"",IF(I15="Green","Well done! "&amp;Parameters!$C$291,"Revise: "&amp;_xlfn.TEXTJOIN(", ",TRUE(),IF(K15&lt;1,Parameters!$A$282,""),IF(L15&lt;1,Parameters!$A$283,""),IF(M15&lt;1,Parameters!$A$284,""),IF(N15&lt;1,Parameters!$A$285,""))))</f>
        <v/>
      </c>
      <c r="K15" s="13">
        <f>IF(C15="","",C15/6)</f>
        <v/>
      </c>
      <c r="L15" s="13">
        <f>IF(D15="","",D15/6)</f>
        <v/>
      </c>
      <c r="M15" s="13">
        <f>IF(E15="","",E15/8)</f>
        <v/>
      </c>
      <c r="N15" s="13">
        <f>IF(F15="","",F15/4)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3">
        <f>IF(COUNT(C16:F16)&lt;4,"",SUM(C16:F16))</f>
        <v/>
      </c>
      <c r="H16" s="13">
        <f>IF(COUNT(C16:F16)&lt;4,"",G16/24)</f>
        <v/>
      </c>
      <c r="I16" s="13">
        <f>IF(COUNT(C16:F16)&lt;4,"",IF(H16&gt;=0.8,"Green",IF(H16&gt;=0.5,"Yellow","Red")))</f>
        <v/>
      </c>
      <c r="J16" s="13">
        <f>IF(COUNT(C16:F16)&lt;4,"",IF(I16="Green","Well done! "&amp;Parameters!$C$291,"Revise: "&amp;_xlfn.TEXTJOIN(", ",TRUE(),IF(K16&lt;1,Parameters!$A$282,""),IF(L16&lt;1,Parameters!$A$283,""),IF(M16&lt;1,Parameters!$A$284,""),IF(N16&lt;1,Parameters!$A$285,""))))</f>
        <v/>
      </c>
      <c r="K16" s="13">
        <f>IF(C16="","",C16/6)</f>
        <v/>
      </c>
      <c r="L16" s="13">
        <f>IF(D16="","",D16/6)</f>
        <v/>
      </c>
      <c r="M16" s="13">
        <f>IF(E16="","",E16/8)</f>
        <v/>
      </c>
      <c r="N16" s="13">
        <f>IF(F16="","",F16/4)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3">
        <f>IF(COUNT(C17:F17)&lt;4,"",SUM(C17:F17))</f>
        <v/>
      </c>
      <c r="H17" s="13">
        <f>IF(COUNT(C17:F17)&lt;4,"",G17/24)</f>
        <v/>
      </c>
      <c r="I17" s="13">
        <f>IF(COUNT(C17:F17)&lt;4,"",IF(H17&gt;=0.8,"Green",IF(H17&gt;=0.5,"Yellow","Red")))</f>
        <v/>
      </c>
      <c r="J17" s="13">
        <f>IF(COUNT(C17:F17)&lt;4,"",IF(I17="Green","Well done! "&amp;Parameters!$C$291,"Revise: "&amp;_xlfn.TEXTJOIN(", ",TRUE(),IF(K17&lt;1,Parameters!$A$282,""),IF(L17&lt;1,Parameters!$A$283,""),IF(M17&lt;1,Parameters!$A$284,""),IF(N17&lt;1,Parameters!$A$285,""))))</f>
        <v/>
      </c>
      <c r="K17" s="13">
        <f>IF(C17="","",C17/6)</f>
        <v/>
      </c>
      <c r="L17" s="13">
        <f>IF(D17="","",D17/6)</f>
        <v/>
      </c>
      <c r="M17" s="13">
        <f>IF(E17="","",E17/8)</f>
        <v/>
      </c>
      <c r="N17" s="13">
        <f>IF(F17="","",F17/4)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3">
        <f>IF(COUNT(C18:F18)&lt;4,"",SUM(C18:F18))</f>
        <v/>
      </c>
      <c r="H18" s="13">
        <f>IF(COUNT(C18:F18)&lt;4,"",G18/24)</f>
        <v/>
      </c>
      <c r="I18" s="13">
        <f>IF(COUNT(C18:F18)&lt;4,"",IF(H18&gt;=0.8,"Green",IF(H18&gt;=0.5,"Yellow","Red")))</f>
        <v/>
      </c>
      <c r="J18" s="13">
        <f>IF(COUNT(C18:F18)&lt;4,"",IF(I18="Green","Well done! "&amp;Parameters!$C$291,"Revise: "&amp;_xlfn.TEXTJOIN(", ",TRUE(),IF(K18&lt;1,Parameters!$A$282,""),IF(L18&lt;1,Parameters!$A$283,""),IF(M18&lt;1,Parameters!$A$284,""),IF(N18&lt;1,Parameters!$A$285,""))))</f>
        <v/>
      </c>
      <c r="K18" s="13">
        <f>IF(C18="","",C18/6)</f>
        <v/>
      </c>
      <c r="L18" s="13">
        <f>IF(D18="","",D18/6)</f>
        <v/>
      </c>
      <c r="M18" s="13">
        <f>IF(E18="","",E18/8)</f>
        <v/>
      </c>
      <c r="N18" s="13">
        <f>IF(F18="","",F18/4)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3">
        <f>IF(COUNT(C19:F19)&lt;4,"",SUM(C19:F19))</f>
        <v/>
      </c>
      <c r="H19" s="13">
        <f>IF(COUNT(C19:F19)&lt;4,"",G19/24)</f>
        <v/>
      </c>
      <c r="I19" s="13">
        <f>IF(COUNT(C19:F19)&lt;4,"",IF(H19&gt;=0.8,"Green",IF(H19&gt;=0.5,"Yellow","Red")))</f>
        <v/>
      </c>
      <c r="J19" s="13">
        <f>IF(COUNT(C19:F19)&lt;4,"",IF(I19="Green","Well done! "&amp;Parameters!$C$291,"Revise: "&amp;_xlfn.TEXTJOIN(", ",TRUE(),IF(K19&lt;1,Parameters!$A$282,""),IF(L19&lt;1,Parameters!$A$283,""),IF(M19&lt;1,Parameters!$A$284,""),IF(N19&lt;1,Parameters!$A$285,""))))</f>
        <v/>
      </c>
      <c r="K19" s="13">
        <f>IF(C19="","",C19/6)</f>
        <v/>
      </c>
      <c r="L19" s="13">
        <f>IF(D19="","",D19/6)</f>
        <v/>
      </c>
      <c r="M19" s="13">
        <f>IF(E19="","",E19/8)</f>
        <v/>
      </c>
      <c r="N19" s="13">
        <f>IF(F19="","",F19/4)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3">
        <f>IF(COUNT(C20:F20)&lt;4,"",SUM(C20:F20))</f>
        <v/>
      </c>
      <c r="H20" s="13">
        <f>IF(COUNT(C20:F20)&lt;4,"",G20/24)</f>
        <v/>
      </c>
      <c r="I20" s="13">
        <f>IF(COUNT(C20:F20)&lt;4,"",IF(H20&gt;=0.8,"Green",IF(H20&gt;=0.5,"Yellow","Red")))</f>
        <v/>
      </c>
      <c r="J20" s="13">
        <f>IF(COUNT(C20:F20)&lt;4,"",IF(I20="Green","Well done! "&amp;Parameters!$C$291,"Revise: "&amp;_xlfn.TEXTJOIN(", ",TRUE(),IF(K20&lt;1,Parameters!$A$282,""),IF(L20&lt;1,Parameters!$A$283,""),IF(M20&lt;1,Parameters!$A$284,""),IF(N20&lt;1,Parameters!$A$285,""))))</f>
        <v/>
      </c>
      <c r="K20" s="13">
        <f>IF(C20="","",C20/6)</f>
        <v/>
      </c>
      <c r="L20" s="13">
        <f>IF(D20="","",D20/6)</f>
        <v/>
      </c>
      <c r="M20" s="13">
        <f>IF(E20="","",E20/8)</f>
        <v/>
      </c>
      <c r="N20" s="13">
        <f>IF(F20="","",F20/4)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3">
        <f>IF(COUNT(C21:F21)&lt;4,"",SUM(C21:F21))</f>
        <v/>
      </c>
      <c r="H21" s="13">
        <f>IF(COUNT(C21:F21)&lt;4,"",G21/24)</f>
        <v/>
      </c>
      <c r="I21" s="13">
        <f>IF(COUNT(C21:F21)&lt;4,"",IF(H21&gt;=0.8,"Green",IF(H21&gt;=0.5,"Yellow","Red")))</f>
        <v/>
      </c>
      <c r="J21" s="13">
        <f>IF(COUNT(C21:F21)&lt;4,"",IF(I21="Green","Well done! "&amp;Parameters!$C$291,"Revise: "&amp;_xlfn.TEXTJOIN(", ",TRUE(),IF(K21&lt;1,Parameters!$A$282,""),IF(L21&lt;1,Parameters!$A$283,""),IF(M21&lt;1,Parameters!$A$284,""),IF(N21&lt;1,Parameters!$A$285,""))))</f>
        <v/>
      </c>
      <c r="K21" s="13">
        <f>IF(C21="","",C21/6)</f>
        <v/>
      </c>
      <c r="L21" s="13">
        <f>IF(D21="","",D21/6)</f>
        <v/>
      </c>
      <c r="M21" s="13">
        <f>IF(E21="","",E21/8)</f>
        <v/>
      </c>
      <c r="N21" s="13">
        <f>IF(F21="","",F21/4)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3">
        <f>IF(COUNT(C22:F22)&lt;4,"",SUM(C22:F22))</f>
        <v/>
      </c>
      <c r="H22" s="13">
        <f>IF(COUNT(C22:F22)&lt;4,"",G22/24)</f>
        <v/>
      </c>
      <c r="I22" s="13">
        <f>IF(COUNT(C22:F22)&lt;4,"",IF(H22&gt;=0.8,"Green",IF(H22&gt;=0.5,"Yellow","Red")))</f>
        <v/>
      </c>
      <c r="J22" s="13">
        <f>IF(COUNT(C22:F22)&lt;4,"",IF(I22="Green","Well done! "&amp;Parameters!$C$291,"Revise: "&amp;_xlfn.TEXTJOIN(", ",TRUE(),IF(K22&lt;1,Parameters!$A$282,""),IF(L22&lt;1,Parameters!$A$283,""),IF(M22&lt;1,Parameters!$A$284,""),IF(N22&lt;1,Parameters!$A$285,""))))</f>
        <v/>
      </c>
      <c r="K22" s="13">
        <f>IF(C22="","",C22/6)</f>
        <v/>
      </c>
      <c r="L22" s="13">
        <f>IF(D22="","",D22/6)</f>
        <v/>
      </c>
      <c r="M22" s="13">
        <f>IF(E22="","",E22/8)</f>
        <v/>
      </c>
      <c r="N22" s="13">
        <f>IF(F22="","",F22/4)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3">
        <f>IF(COUNT(C23:F23)&lt;4,"",SUM(C23:F23))</f>
        <v/>
      </c>
      <c r="H23" s="13">
        <f>IF(COUNT(C23:F23)&lt;4,"",G23/24)</f>
        <v/>
      </c>
      <c r="I23" s="13">
        <f>IF(COUNT(C23:F23)&lt;4,"",IF(H23&gt;=0.8,"Green",IF(H23&gt;=0.5,"Yellow","Red")))</f>
        <v/>
      </c>
      <c r="J23" s="13">
        <f>IF(COUNT(C23:F23)&lt;4,"",IF(I23="Green","Well done! "&amp;Parameters!$C$291,"Revise: "&amp;_xlfn.TEXTJOIN(", ",TRUE(),IF(K23&lt;1,Parameters!$A$282,""),IF(L23&lt;1,Parameters!$A$283,""),IF(M23&lt;1,Parameters!$A$284,""),IF(N23&lt;1,Parameters!$A$285,""))))</f>
        <v/>
      </c>
      <c r="K23" s="13">
        <f>IF(C23="","",C23/6)</f>
        <v/>
      </c>
      <c r="L23" s="13">
        <f>IF(D23="","",D23/6)</f>
        <v/>
      </c>
      <c r="M23" s="13">
        <f>IF(E23="","",E23/8)</f>
        <v/>
      </c>
      <c r="N23" s="13">
        <f>IF(F23="","",F23/4)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3">
        <f>IF(COUNT(C24:F24)&lt;4,"",SUM(C24:F24))</f>
        <v/>
      </c>
      <c r="H24" s="13">
        <f>IF(COUNT(C24:F24)&lt;4,"",G24/24)</f>
        <v/>
      </c>
      <c r="I24" s="13">
        <f>IF(COUNT(C24:F24)&lt;4,"",IF(H24&gt;=0.8,"Green",IF(H24&gt;=0.5,"Yellow","Red")))</f>
        <v/>
      </c>
      <c r="J24" s="13">
        <f>IF(COUNT(C24:F24)&lt;4,"",IF(I24="Green","Well done! "&amp;Parameters!$C$291,"Revise: "&amp;_xlfn.TEXTJOIN(", ",TRUE(),IF(K24&lt;1,Parameters!$A$282,""),IF(L24&lt;1,Parameters!$A$283,""),IF(M24&lt;1,Parameters!$A$284,""),IF(N24&lt;1,Parameters!$A$285,""))))</f>
        <v/>
      </c>
      <c r="K24" s="13">
        <f>IF(C24="","",C24/6)</f>
        <v/>
      </c>
      <c r="L24" s="13">
        <f>IF(D24="","",D24/6)</f>
        <v/>
      </c>
      <c r="M24" s="13">
        <f>IF(E24="","",E24/8)</f>
        <v/>
      </c>
      <c r="N24" s="13">
        <f>IF(F24="","",F24/4)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3">
        <f>IF(COUNT(C25:F25)&lt;4,"",SUM(C25:F25))</f>
        <v/>
      </c>
      <c r="H25" s="13">
        <f>IF(COUNT(C25:F25)&lt;4,"",G25/24)</f>
        <v/>
      </c>
      <c r="I25" s="13">
        <f>IF(COUNT(C25:F25)&lt;4,"",IF(H25&gt;=0.8,"Green",IF(H25&gt;=0.5,"Yellow","Red")))</f>
        <v/>
      </c>
      <c r="J25" s="13">
        <f>IF(COUNT(C25:F25)&lt;4,"",IF(I25="Green","Well done! "&amp;Parameters!$C$291,"Revise: "&amp;_xlfn.TEXTJOIN(", ",TRUE(),IF(K25&lt;1,Parameters!$A$282,""),IF(L25&lt;1,Parameters!$A$283,""),IF(M25&lt;1,Parameters!$A$284,""),IF(N25&lt;1,Parameters!$A$285,""))))</f>
        <v/>
      </c>
      <c r="K25" s="13">
        <f>IF(C25="","",C25/6)</f>
        <v/>
      </c>
      <c r="L25" s="13">
        <f>IF(D25="","",D25/6)</f>
        <v/>
      </c>
      <c r="M25" s="13">
        <f>IF(E25="","",E25/8)</f>
        <v/>
      </c>
      <c r="N25" s="13">
        <f>IF(F25="","",F25/4)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3">
        <f>IF(COUNT(C26:F26)&lt;4,"",SUM(C26:F26))</f>
        <v/>
      </c>
      <c r="H26" s="13">
        <f>IF(COUNT(C26:F26)&lt;4,"",G26/24)</f>
        <v/>
      </c>
      <c r="I26" s="13">
        <f>IF(COUNT(C26:F26)&lt;4,"",IF(H26&gt;=0.8,"Green",IF(H26&gt;=0.5,"Yellow","Red")))</f>
        <v/>
      </c>
      <c r="J26" s="13">
        <f>IF(COUNT(C26:F26)&lt;4,"",IF(I26="Green","Well done! "&amp;Parameters!$C$291,"Revise: "&amp;_xlfn.TEXTJOIN(", ",TRUE(),IF(K26&lt;1,Parameters!$A$282,""),IF(L26&lt;1,Parameters!$A$283,""),IF(M26&lt;1,Parameters!$A$284,""),IF(N26&lt;1,Parameters!$A$285,""))))</f>
        <v/>
      </c>
      <c r="K26" s="13">
        <f>IF(C26="","",C26/6)</f>
        <v/>
      </c>
      <c r="L26" s="13">
        <f>IF(D26="","",D26/6)</f>
        <v/>
      </c>
      <c r="M26" s="13">
        <f>IF(E26="","",E26/8)</f>
        <v/>
      </c>
      <c r="N26" s="13">
        <f>IF(F26="","",F26/4)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3">
        <f>IF(COUNT(C27:F27)&lt;4,"",SUM(C27:F27))</f>
        <v/>
      </c>
      <c r="H27" s="13">
        <f>IF(COUNT(C27:F27)&lt;4,"",G27/24)</f>
        <v/>
      </c>
      <c r="I27" s="13">
        <f>IF(COUNT(C27:F27)&lt;4,"",IF(H27&gt;=0.8,"Green",IF(H27&gt;=0.5,"Yellow","Red")))</f>
        <v/>
      </c>
      <c r="J27" s="13">
        <f>IF(COUNT(C27:F27)&lt;4,"",IF(I27="Green","Well done! "&amp;Parameters!$C$291,"Revise: "&amp;_xlfn.TEXTJOIN(", ",TRUE(),IF(K27&lt;1,Parameters!$A$282,""),IF(L27&lt;1,Parameters!$A$283,""),IF(M27&lt;1,Parameters!$A$284,""),IF(N27&lt;1,Parameters!$A$285,""))))</f>
        <v/>
      </c>
      <c r="K27" s="13">
        <f>IF(C27="","",C27/6)</f>
        <v/>
      </c>
      <c r="L27" s="13">
        <f>IF(D27="","",D27/6)</f>
        <v/>
      </c>
      <c r="M27" s="13">
        <f>IF(E27="","",E27/8)</f>
        <v/>
      </c>
      <c r="N27" s="13">
        <f>IF(F27="","",F27/4)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3">
        <f>IF(COUNT(C28:F28)&lt;4,"",SUM(C28:F28))</f>
        <v/>
      </c>
      <c r="H28" s="13">
        <f>IF(COUNT(C28:F28)&lt;4,"",G28/24)</f>
        <v/>
      </c>
      <c r="I28" s="13">
        <f>IF(COUNT(C28:F28)&lt;4,"",IF(H28&gt;=0.8,"Green",IF(H28&gt;=0.5,"Yellow","Red")))</f>
        <v/>
      </c>
      <c r="J28" s="13">
        <f>IF(COUNT(C28:F28)&lt;4,"",IF(I28="Green","Well done! "&amp;Parameters!$C$291,"Revise: "&amp;_xlfn.TEXTJOIN(", ",TRUE(),IF(K28&lt;1,Parameters!$A$282,""),IF(L28&lt;1,Parameters!$A$283,""),IF(M28&lt;1,Parameters!$A$284,""),IF(N28&lt;1,Parameters!$A$285,""))))</f>
        <v/>
      </c>
      <c r="K28" s="13">
        <f>IF(C28="","",C28/6)</f>
        <v/>
      </c>
      <c r="L28" s="13">
        <f>IF(D28="","",D28/6)</f>
        <v/>
      </c>
      <c r="M28" s="13">
        <f>IF(E28="","",E28/8)</f>
        <v/>
      </c>
      <c r="N28" s="13">
        <f>IF(F28="","",F28/4)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3">
        <f>IF(COUNT(C29:F29)&lt;4,"",SUM(C29:F29))</f>
        <v/>
      </c>
      <c r="H29" s="13">
        <f>IF(COUNT(C29:F29)&lt;4,"",G29/24)</f>
        <v/>
      </c>
      <c r="I29" s="13">
        <f>IF(COUNT(C29:F29)&lt;4,"",IF(H29&gt;=0.8,"Green",IF(H29&gt;=0.5,"Yellow","Red")))</f>
        <v/>
      </c>
      <c r="J29" s="13">
        <f>IF(COUNT(C29:F29)&lt;4,"",IF(I29="Green","Well done! "&amp;Parameters!$C$291,"Revise: "&amp;_xlfn.TEXTJOIN(", ",TRUE(),IF(K29&lt;1,Parameters!$A$282,""),IF(L29&lt;1,Parameters!$A$283,""),IF(M29&lt;1,Parameters!$A$284,""),IF(N29&lt;1,Parameters!$A$285,""))))</f>
        <v/>
      </c>
      <c r="K29" s="13">
        <f>IF(C29="","",C29/6)</f>
        <v/>
      </c>
      <c r="L29" s="13">
        <f>IF(D29="","",D29/6)</f>
        <v/>
      </c>
      <c r="M29" s="13">
        <f>IF(E29="","",E29/8)</f>
        <v/>
      </c>
      <c r="N29" s="13">
        <f>IF(F29="","",F29/4)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3">
        <f>IF(COUNT(C30:F30)&lt;4,"",SUM(C30:F30))</f>
        <v/>
      </c>
      <c r="H30" s="13">
        <f>IF(COUNT(C30:F30)&lt;4,"",G30/24)</f>
        <v/>
      </c>
      <c r="I30" s="13">
        <f>IF(COUNT(C30:F30)&lt;4,"",IF(H30&gt;=0.8,"Green",IF(H30&gt;=0.5,"Yellow","Red")))</f>
        <v/>
      </c>
      <c r="J30" s="13">
        <f>IF(COUNT(C30:F30)&lt;4,"",IF(I30="Green","Well done! "&amp;Parameters!$C$291,"Revise: "&amp;_xlfn.TEXTJOIN(", ",TRUE(),IF(K30&lt;1,Parameters!$A$282,""),IF(L30&lt;1,Parameters!$A$283,""),IF(M30&lt;1,Parameters!$A$284,""),IF(N30&lt;1,Parameters!$A$285,""))))</f>
        <v/>
      </c>
      <c r="K30" s="13">
        <f>IF(C30="","",C30/6)</f>
        <v/>
      </c>
      <c r="L30" s="13">
        <f>IF(D30="","",D30/6)</f>
        <v/>
      </c>
      <c r="M30" s="13">
        <f>IF(E30="","",E30/8)</f>
        <v/>
      </c>
      <c r="N30" s="13">
        <f>IF(F30="","",F30/4)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3">
        <f>IF(COUNT(C31:F31)&lt;4,"",SUM(C31:F31))</f>
        <v/>
      </c>
      <c r="H31" s="13">
        <f>IF(COUNT(C31:F31)&lt;4,"",G31/24)</f>
        <v/>
      </c>
      <c r="I31" s="13">
        <f>IF(COUNT(C31:F31)&lt;4,"",IF(H31&gt;=0.8,"Green",IF(H31&gt;=0.5,"Yellow","Red")))</f>
        <v/>
      </c>
      <c r="J31" s="13">
        <f>IF(COUNT(C31:F31)&lt;4,"",IF(I31="Green","Well done! "&amp;Parameters!$C$291,"Revise: "&amp;_xlfn.TEXTJOIN(", ",TRUE(),IF(K31&lt;1,Parameters!$A$282,""),IF(L31&lt;1,Parameters!$A$283,""),IF(M31&lt;1,Parameters!$A$284,""),IF(N31&lt;1,Parameters!$A$285,""))))</f>
        <v/>
      </c>
      <c r="K31" s="13">
        <f>IF(C31="","",C31/6)</f>
        <v/>
      </c>
      <c r="L31" s="13">
        <f>IF(D31="","",D31/6)</f>
        <v/>
      </c>
      <c r="M31" s="13">
        <f>IF(E31="","",E31/8)</f>
        <v/>
      </c>
      <c r="N31" s="13">
        <f>IF(F31="","",F31/4)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3">
        <f>IF(COUNT(C32:F32)&lt;4,"",SUM(C32:F32))</f>
        <v/>
      </c>
      <c r="H32" s="13">
        <f>IF(COUNT(C32:F32)&lt;4,"",G32/24)</f>
        <v/>
      </c>
      <c r="I32" s="13">
        <f>IF(COUNT(C32:F32)&lt;4,"",IF(H32&gt;=0.8,"Green",IF(H32&gt;=0.5,"Yellow","Red")))</f>
        <v/>
      </c>
      <c r="J32" s="13">
        <f>IF(COUNT(C32:F32)&lt;4,"",IF(I32="Green","Well done! "&amp;Parameters!$C$291,"Revise: "&amp;_xlfn.TEXTJOIN(", ",TRUE(),IF(K32&lt;1,Parameters!$A$282,""),IF(L32&lt;1,Parameters!$A$283,""),IF(M32&lt;1,Parameters!$A$284,""),IF(N32&lt;1,Parameters!$A$285,""))))</f>
        <v/>
      </c>
      <c r="K32" s="13">
        <f>IF(C32="","",C32/6)</f>
        <v/>
      </c>
      <c r="L32" s="13">
        <f>IF(D32="","",D32/6)</f>
        <v/>
      </c>
      <c r="M32" s="13">
        <f>IF(E32="","",E32/8)</f>
        <v/>
      </c>
      <c r="N32" s="13">
        <f>IF(F32="","",F32/4)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3">
        <f>IF(COUNT(C33:F33)&lt;4,"",SUM(C33:F33))</f>
        <v/>
      </c>
      <c r="H33" s="13">
        <f>IF(COUNT(C33:F33)&lt;4,"",G33/24)</f>
        <v/>
      </c>
      <c r="I33" s="13">
        <f>IF(COUNT(C33:F33)&lt;4,"",IF(H33&gt;=0.8,"Green",IF(H33&gt;=0.5,"Yellow","Red")))</f>
        <v/>
      </c>
      <c r="J33" s="13">
        <f>IF(COUNT(C33:F33)&lt;4,"",IF(I33="Green","Well done! "&amp;Parameters!$C$291,"Revise: "&amp;_xlfn.TEXTJOIN(", ",TRUE(),IF(K33&lt;1,Parameters!$A$282,""),IF(L33&lt;1,Parameters!$A$283,""),IF(M33&lt;1,Parameters!$A$284,""),IF(N33&lt;1,Parameters!$A$285,""))))</f>
        <v/>
      </c>
      <c r="K33" s="13">
        <f>IF(C33="","",C33/6)</f>
        <v/>
      </c>
      <c r="L33" s="13">
        <f>IF(D33="","",D33/6)</f>
        <v/>
      </c>
      <c r="M33" s="13">
        <f>IF(E33="","",E33/8)</f>
        <v/>
      </c>
      <c r="N33" s="13">
        <f>IF(F33="","",F33/4)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3">
        <f>IF(COUNT(C34:F34)&lt;4,"",SUM(C34:F34))</f>
        <v/>
      </c>
      <c r="H34" s="13">
        <f>IF(COUNT(C34:F34)&lt;4,"",G34/24)</f>
        <v/>
      </c>
      <c r="I34" s="13">
        <f>IF(COUNT(C34:F34)&lt;4,"",IF(H34&gt;=0.8,"Green",IF(H34&gt;=0.5,"Yellow","Red")))</f>
        <v/>
      </c>
      <c r="J34" s="13">
        <f>IF(COUNT(C34:F34)&lt;4,"",IF(I34="Green","Well done! "&amp;Parameters!$C$291,"Revise: "&amp;_xlfn.TEXTJOIN(", ",TRUE(),IF(K34&lt;1,Parameters!$A$282,""),IF(L34&lt;1,Parameters!$A$283,""),IF(M34&lt;1,Parameters!$A$284,""),IF(N34&lt;1,Parameters!$A$285,""))))</f>
        <v/>
      </c>
      <c r="K34" s="13">
        <f>IF(C34="","",C34/6)</f>
        <v/>
      </c>
      <c r="L34" s="13">
        <f>IF(D34="","",D34/6)</f>
        <v/>
      </c>
      <c r="M34" s="13">
        <f>IF(E34="","",E34/8)</f>
        <v/>
      </c>
      <c r="N34" s="13">
        <f>IF(F34="","",F34/4)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3">
        <f>IF(COUNT(C35:F35)&lt;4,"",SUM(C35:F35))</f>
        <v/>
      </c>
      <c r="H35" s="13">
        <f>IF(COUNT(C35:F35)&lt;4,"",G35/24)</f>
        <v/>
      </c>
      <c r="I35" s="13">
        <f>IF(COUNT(C35:F35)&lt;4,"",IF(H35&gt;=0.8,"Green",IF(H35&gt;=0.5,"Yellow","Red")))</f>
        <v/>
      </c>
      <c r="J35" s="13">
        <f>IF(COUNT(C35:F35)&lt;4,"",IF(I35="Green","Well done! "&amp;Parameters!$C$291,"Revise: "&amp;_xlfn.TEXTJOIN(", ",TRUE(),IF(K35&lt;1,Parameters!$A$282,""),IF(L35&lt;1,Parameters!$A$283,""),IF(M35&lt;1,Parameters!$A$284,""),IF(N35&lt;1,Parameters!$A$285,""))))</f>
        <v/>
      </c>
      <c r="K35" s="13">
        <f>IF(C35="","",C35/6)</f>
        <v/>
      </c>
      <c r="L35" s="13">
        <f>IF(D35="","",D35/6)</f>
        <v/>
      </c>
      <c r="M35" s="13">
        <f>IF(E35="","",E35/8)</f>
        <v/>
      </c>
      <c r="N35" s="13">
        <f>IF(F35="","",F35/4)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3">
        <f>IF(COUNT(C36:F36)&lt;4,"",SUM(C36:F36))</f>
        <v/>
      </c>
      <c r="H36" s="13">
        <f>IF(COUNT(C36:F36)&lt;4,"",G36/24)</f>
        <v/>
      </c>
      <c r="I36" s="13">
        <f>IF(COUNT(C36:F36)&lt;4,"",IF(H36&gt;=0.8,"Green",IF(H36&gt;=0.5,"Yellow","Red")))</f>
        <v/>
      </c>
      <c r="J36" s="13">
        <f>IF(COUNT(C36:F36)&lt;4,"",IF(I36="Green","Well done! "&amp;Parameters!$C$291,"Revise: "&amp;_xlfn.TEXTJOIN(", ",TRUE(),IF(K36&lt;1,Parameters!$A$282,""),IF(L36&lt;1,Parameters!$A$283,""),IF(M36&lt;1,Parameters!$A$284,""),IF(N36&lt;1,Parameters!$A$285,""))))</f>
        <v/>
      </c>
      <c r="K36" s="13">
        <f>IF(C36="","",C36/6)</f>
        <v/>
      </c>
      <c r="L36" s="13">
        <f>IF(D36="","",D36/6)</f>
        <v/>
      </c>
      <c r="M36" s="13">
        <f>IF(E36="","",E36/8)</f>
        <v/>
      </c>
      <c r="N36" s="13">
        <f>IF(F36="","",F36/4)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3">
        <f>IF(COUNT(C37:F37)&lt;4,"",SUM(C37:F37))</f>
        <v/>
      </c>
      <c r="H37" s="13">
        <f>IF(COUNT(C37:F37)&lt;4,"",G37/24)</f>
        <v/>
      </c>
      <c r="I37" s="13">
        <f>IF(COUNT(C37:F37)&lt;4,"",IF(H37&gt;=0.8,"Green",IF(H37&gt;=0.5,"Yellow","Red")))</f>
        <v/>
      </c>
      <c r="J37" s="13">
        <f>IF(COUNT(C37:F37)&lt;4,"",IF(I37="Green","Well done! "&amp;Parameters!$C$291,"Revise: "&amp;_xlfn.TEXTJOIN(", ",TRUE(),IF(K37&lt;1,Parameters!$A$282,""),IF(L37&lt;1,Parameters!$A$283,""),IF(M37&lt;1,Parameters!$A$284,""),IF(N37&lt;1,Parameters!$A$285,""))))</f>
        <v/>
      </c>
      <c r="K37" s="13">
        <f>IF(C37="","",C37/6)</f>
        <v/>
      </c>
      <c r="L37" s="13">
        <f>IF(D37="","",D37/6)</f>
        <v/>
      </c>
      <c r="M37" s="13">
        <f>IF(E37="","",E37/8)</f>
        <v/>
      </c>
      <c r="N37" s="13">
        <f>IF(F37="","",F37/4)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3">
        <f>IF(COUNT(C38:F38)&lt;4,"",SUM(C38:F38))</f>
        <v/>
      </c>
      <c r="H38" s="13">
        <f>IF(COUNT(C38:F38)&lt;4,"",G38/24)</f>
        <v/>
      </c>
      <c r="I38" s="13">
        <f>IF(COUNT(C38:F38)&lt;4,"",IF(H38&gt;=0.8,"Green",IF(H38&gt;=0.5,"Yellow","Red")))</f>
        <v/>
      </c>
      <c r="J38" s="13">
        <f>IF(COUNT(C38:F38)&lt;4,"",IF(I38="Green","Well done! "&amp;Parameters!$C$291,"Revise: "&amp;_xlfn.TEXTJOIN(", ",TRUE(),IF(K38&lt;1,Parameters!$A$282,""),IF(L38&lt;1,Parameters!$A$283,""),IF(M38&lt;1,Parameters!$A$284,""),IF(N38&lt;1,Parameters!$A$285,""))))</f>
        <v/>
      </c>
      <c r="K38" s="13">
        <f>IF(C38="","",C38/6)</f>
        <v/>
      </c>
      <c r="L38" s="13">
        <f>IF(D38="","",D38/6)</f>
        <v/>
      </c>
      <c r="M38" s="13">
        <f>IF(E38="","",E38/8)</f>
        <v/>
      </c>
      <c r="N38" s="13">
        <f>IF(F38="","",F38/4)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3">
        <f>IF(COUNT(C39:F39)&lt;4,"",SUM(C39:F39))</f>
        <v/>
      </c>
      <c r="H39" s="13">
        <f>IF(COUNT(C39:F39)&lt;4,"",G39/24)</f>
        <v/>
      </c>
      <c r="I39" s="13">
        <f>IF(COUNT(C39:F39)&lt;4,"",IF(H39&gt;=0.8,"Green",IF(H39&gt;=0.5,"Yellow","Red")))</f>
        <v/>
      </c>
      <c r="J39" s="13">
        <f>IF(COUNT(C39:F39)&lt;4,"",IF(I39="Green","Well done! "&amp;Parameters!$C$291,"Revise: "&amp;_xlfn.TEXTJOIN(", ",TRUE(),IF(K39&lt;1,Parameters!$A$282,""),IF(L39&lt;1,Parameters!$A$283,""),IF(M39&lt;1,Parameters!$A$284,""),IF(N39&lt;1,Parameters!$A$285,""))))</f>
        <v/>
      </c>
      <c r="K39" s="13">
        <f>IF(C39="","",C39/6)</f>
        <v/>
      </c>
      <c r="L39" s="13">
        <f>IF(D39="","",D39/6)</f>
        <v/>
      </c>
      <c r="M39" s="13">
        <f>IF(E39="","",E39/8)</f>
        <v/>
      </c>
      <c r="N39" s="13">
        <f>IF(F39="","",F39/4)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3">
        <f>IF(COUNT(C40:F40)&lt;4,"",SUM(C40:F40))</f>
        <v/>
      </c>
      <c r="H40" s="13">
        <f>IF(COUNT(C40:F40)&lt;4,"",G40/24)</f>
        <v/>
      </c>
      <c r="I40" s="13">
        <f>IF(COUNT(C40:F40)&lt;4,"",IF(H40&gt;=0.8,"Green",IF(H40&gt;=0.5,"Yellow","Red")))</f>
        <v/>
      </c>
      <c r="J40" s="13">
        <f>IF(COUNT(C40:F40)&lt;4,"",IF(I40="Green","Well done! "&amp;Parameters!$C$291,"Revise: "&amp;_xlfn.TEXTJOIN(", ",TRUE(),IF(K40&lt;1,Parameters!$A$282,""),IF(L40&lt;1,Parameters!$A$283,""),IF(M40&lt;1,Parameters!$A$284,""),IF(N40&lt;1,Parameters!$A$285,""))))</f>
        <v/>
      </c>
      <c r="K40" s="13">
        <f>IF(C40="","",C40/6)</f>
        <v/>
      </c>
      <c r="L40" s="13">
        <f>IF(D40="","",D40/6)</f>
        <v/>
      </c>
      <c r="M40" s="13">
        <f>IF(E40="","",E40/8)</f>
        <v/>
      </c>
      <c r="N40" s="13">
        <f>IF(F40="","",F40/4)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3">
        <f>IF(COUNT(C41:F41)&lt;4,"",SUM(C41:F41))</f>
        <v/>
      </c>
      <c r="H41" s="13">
        <f>IF(COUNT(C41:F41)&lt;4,"",G41/24)</f>
        <v/>
      </c>
      <c r="I41" s="13">
        <f>IF(COUNT(C41:F41)&lt;4,"",IF(H41&gt;=0.8,"Green",IF(H41&gt;=0.5,"Yellow","Red")))</f>
        <v/>
      </c>
      <c r="J41" s="13">
        <f>IF(COUNT(C41:F41)&lt;4,"",IF(I41="Green","Well done! "&amp;Parameters!$C$291,"Revise: "&amp;_xlfn.TEXTJOIN(", ",TRUE(),IF(K41&lt;1,Parameters!$A$282,""),IF(L41&lt;1,Parameters!$A$283,""),IF(M41&lt;1,Parameters!$A$284,""),IF(N41&lt;1,Parameters!$A$285,""))))</f>
        <v/>
      </c>
      <c r="K41" s="13">
        <f>IF(C41="","",C41/6)</f>
        <v/>
      </c>
      <c r="L41" s="13">
        <f>IF(D41="","",D41/6)</f>
        <v/>
      </c>
      <c r="M41" s="13">
        <f>IF(E41="","",E41/8)</f>
        <v/>
      </c>
      <c r="N41" s="13">
        <f>IF(F41="","",F41/4)</f>
        <v/>
      </c>
    </row>
  </sheetData>
  <conditionalFormatting sqref="C11">
    <cfRule type="expression" priority="1" dxfId="0">
      <formula>AND(COUNT(C11:F11)=4,C11=6)</formula>
    </cfRule>
    <cfRule type="expression" priority="2" dxfId="1">
      <formula>AND(COUNT(C11:F11)=4,C11&lt;6*0.4)</formula>
    </cfRule>
    <cfRule type="expression" priority="3" dxfId="2">
      <formula>AND(COUNT(C11:F11)=4,C11&gt;=6*0.4,C11&lt;6)</formula>
    </cfRule>
  </conditionalFormatting>
  <conditionalFormatting sqref="C12">
    <cfRule type="expression" priority="4" dxfId="0">
      <formula>AND(COUNT(C12:F12)=4,C12=6)</formula>
    </cfRule>
    <cfRule type="expression" priority="5" dxfId="1">
      <formula>AND(COUNT(C12:F12)=4,C12&lt;6*0.4)</formula>
    </cfRule>
    <cfRule type="expression" priority="6" dxfId="2">
      <formula>AND(COUNT(C12:F12)=4,C12&gt;=6*0.4,C12&lt;6)</formula>
    </cfRule>
  </conditionalFormatting>
  <conditionalFormatting sqref="C13">
    <cfRule type="expression" priority="7" dxfId="0">
      <formula>AND(COUNT(C13:F13)=4,C13=6)</formula>
    </cfRule>
    <cfRule type="expression" priority="8" dxfId="1">
      <formula>AND(COUNT(C13:F13)=4,C13&lt;6*0.4)</formula>
    </cfRule>
    <cfRule type="expression" priority="9" dxfId="2">
      <formula>AND(COUNT(C13:F13)=4,C13&gt;=6*0.4,C13&lt;6)</formula>
    </cfRule>
  </conditionalFormatting>
  <conditionalFormatting sqref="C14">
    <cfRule type="expression" priority="10" dxfId="0">
      <formula>AND(COUNT(C14:F14)=4,C14=6)</formula>
    </cfRule>
    <cfRule type="expression" priority="11" dxfId="1">
      <formula>AND(COUNT(C14:F14)=4,C14&lt;6*0.4)</formula>
    </cfRule>
    <cfRule type="expression" priority="12" dxfId="2">
      <formula>AND(COUNT(C14:F14)=4,C14&gt;=6*0.4,C14&lt;6)</formula>
    </cfRule>
  </conditionalFormatting>
  <conditionalFormatting sqref="C15">
    <cfRule type="expression" priority="13" dxfId="0">
      <formula>AND(COUNT(C15:F15)=4,C15=6)</formula>
    </cfRule>
    <cfRule type="expression" priority="14" dxfId="1">
      <formula>AND(COUNT(C15:F15)=4,C15&lt;6*0.4)</formula>
    </cfRule>
    <cfRule type="expression" priority="15" dxfId="2">
      <formula>AND(COUNT(C15:F15)=4,C15&gt;=6*0.4,C15&lt;6)</formula>
    </cfRule>
  </conditionalFormatting>
  <conditionalFormatting sqref="C16">
    <cfRule type="expression" priority="16" dxfId="0">
      <formula>AND(COUNT(C16:F16)=4,C16=6)</formula>
    </cfRule>
    <cfRule type="expression" priority="17" dxfId="1">
      <formula>AND(COUNT(C16:F16)=4,C16&lt;6*0.4)</formula>
    </cfRule>
    <cfRule type="expression" priority="18" dxfId="2">
      <formula>AND(COUNT(C16:F16)=4,C16&gt;=6*0.4,C16&lt;6)</formula>
    </cfRule>
  </conditionalFormatting>
  <conditionalFormatting sqref="C17">
    <cfRule type="expression" priority="19" dxfId="0">
      <formula>AND(COUNT(C17:F17)=4,C17=6)</formula>
    </cfRule>
    <cfRule type="expression" priority="20" dxfId="1">
      <formula>AND(COUNT(C17:F17)=4,C17&lt;6*0.4)</formula>
    </cfRule>
    <cfRule type="expression" priority="21" dxfId="2">
      <formula>AND(COUNT(C17:F17)=4,C17&gt;=6*0.4,C17&lt;6)</formula>
    </cfRule>
  </conditionalFormatting>
  <conditionalFormatting sqref="C18">
    <cfRule type="expression" priority="22" dxfId="0">
      <formula>AND(COUNT(C18:F18)=4,C18=6)</formula>
    </cfRule>
    <cfRule type="expression" priority="23" dxfId="1">
      <formula>AND(COUNT(C18:F18)=4,C18&lt;6*0.4)</formula>
    </cfRule>
    <cfRule type="expression" priority="24" dxfId="2">
      <formula>AND(COUNT(C18:F18)=4,C18&gt;=6*0.4,C18&lt;6)</formula>
    </cfRule>
  </conditionalFormatting>
  <conditionalFormatting sqref="C19">
    <cfRule type="expression" priority="25" dxfId="0">
      <formula>AND(COUNT(C19:F19)=4,C19=6)</formula>
    </cfRule>
    <cfRule type="expression" priority="26" dxfId="1">
      <formula>AND(COUNT(C19:F19)=4,C19&lt;6*0.4)</formula>
    </cfRule>
    <cfRule type="expression" priority="27" dxfId="2">
      <formula>AND(COUNT(C19:F19)=4,C19&gt;=6*0.4,C19&lt;6)</formula>
    </cfRule>
  </conditionalFormatting>
  <conditionalFormatting sqref="C20">
    <cfRule type="expression" priority="28" dxfId="0">
      <formula>AND(COUNT(C20:F20)=4,C20=6)</formula>
    </cfRule>
    <cfRule type="expression" priority="29" dxfId="1">
      <formula>AND(COUNT(C20:F20)=4,C20&lt;6*0.4)</formula>
    </cfRule>
    <cfRule type="expression" priority="30" dxfId="2">
      <formula>AND(COUNT(C20:F20)=4,C20&gt;=6*0.4,C20&lt;6)</formula>
    </cfRule>
  </conditionalFormatting>
  <conditionalFormatting sqref="C21">
    <cfRule type="expression" priority="31" dxfId="0">
      <formula>AND(COUNT(C21:F21)=4,C21=6)</formula>
    </cfRule>
    <cfRule type="expression" priority="32" dxfId="1">
      <formula>AND(COUNT(C21:F21)=4,C21&lt;6*0.4)</formula>
    </cfRule>
    <cfRule type="expression" priority="33" dxfId="2">
      <formula>AND(COUNT(C21:F21)=4,C21&gt;=6*0.4,C21&lt;6)</formula>
    </cfRule>
  </conditionalFormatting>
  <conditionalFormatting sqref="C22">
    <cfRule type="expression" priority="34" dxfId="0">
      <formula>AND(COUNT(C22:F22)=4,C22=6)</formula>
    </cfRule>
    <cfRule type="expression" priority="35" dxfId="1">
      <formula>AND(COUNT(C22:F22)=4,C22&lt;6*0.4)</formula>
    </cfRule>
    <cfRule type="expression" priority="36" dxfId="2">
      <formula>AND(COUNT(C22:F22)=4,C22&gt;=6*0.4,C22&lt;6)</formula>
    </cfRule>
  </conditionalFormatting>
  <conditionalFormatting sqref="C23">
    <cfRule type="expression" priority="37" dxfId="0">
      <formula>AND(COUNT(C23:F23)=4,C23=6)</formula>
    </cfRule>
    <cfRule type="expression" priority="38" dxfId="1">
      <formula>AND(COUNT(C23:F23)=4,C23&lt;6*0.4)</formula>
    </cfRule>
    <cfRule type="expression" priority="39" dxfId="2">
      <formula>AND(COUNT(C23:F23)=4,C23&gt;=6*0.4,C23&lt;6)</formula>
    </cfRule>
  </conditionalFormatting>
  <conditionalFormatting sqref="C24">
    <cfRule type="expression" priority="40" dxfId="0">
      <formula>AND(COUNT(C24:F24)=4,C24=6)</formula>
    </cfRule>
    <cfRule type="expression" priority="41" dxfId="1">
      <formula>AND(COUNT(C24:F24)=4,C24&lt;6*0.4)</formula>
    </cfRule>
    <cfRule type="expression" priority="42" dxfId="2">
      <formula>AND(COUNT(C24:F24)=4,C24&gt;=6*0.4,C24&lt;6)</formula>
    </cfRule>
  </conditionalFormatting>
  <conditionalFormatting sqref="C25">
    <cfRule type="expression" priority="43" dxfId="0">
      <formula>AND(COUNT(C25:F25)=4,C25=6)</formula>
    </cfRule>
    <cfRule type="expression" priority="44" dxfId="1">
      <formula>AND(COUNT(C25:F25)=4,C25&lt;6*0.4)</formula>
    </cfRule>
    <cfRule type="expression" priority="45" dxfId="2">
      <formula>AND(COUNT(C25:F25)=4,C25&gt;=6*0.4,C25&lt;6)</formula>
    </cfRule>
  </conditionalFormatting>
  <conditionalFormatting sqref="C26">
    <cfRule type="expression" priority="46" dxfId="0">
      <formula>AND(COUNT(C26:F26)=4,C26=6)</formula>
    </cfRule>
    <cfRule type="expression" priority="47" dxfId="1">
      <formula>AND(COUNT(C26:F26)=4,C26&lt;6*0.4)</formula>
    </cfRule>
    <cfRule type="expression" priority="48" dxfId="2">
      <formula>AND(COUNT(C26:F26)=4,C26&gt;=6*0.4,C26&lt;6)</formula>
    </cfRule>
  </conditionalFormatting>
  <conditionalFormatting sqref="C27">
    <cfRule type="expression" priority="49" dxfId="0">
      <formula>AND(COUNT(C27:F27)=4,C27=6)</formula>
    </cfRule>
    <cfRule type="expression" priority="50" dxfId="1">
      <formula>AND(COUNT(C27:F27)=4,C27&lt;6*0.4)</formula>
    </cfRule>
    <cfRule type="expression" priority="51" dxfId="2">
      <formula>AND(COUNT(C27:F27)=4,C27&gt;=6*0.4,C27&lt;6)</formula>
    </cfRule>
  </conditionalFormatting>
  <conditionalFormatting sqref="C28">
    <cfRule type="expression" priority="52" dxfId="0">
      <formula>AND(COUNT(C28:F28)=4,C28=6)</formula>
    </cfRule>
    <cfRule type="expression" priority="53" dxfId="1">
      <formula>AND(COUNT(C28:F28)=4,C28&lt;6*0.4)</formula>
    </cfRule>
    <cfRule type="expression" priority="54" dxfId="2">
      <formula>AND(COUNT(C28:F28)=4,C28&gt;=6*0.4,C28&lt;6)</formula>
    </cfRule>
  </conditionalFormatting>
  <conditionalFormatting sqref="C29">
    <cfRule type="expression" priority="55" dxfId="0">
      <formula>AND(COUNT(C29:F29)=4,C29=6)</formula>
    </cfRule>
    <cfRule type="expression" priority="56" dxfId="1">
      <formula>AND(COUNT(C29:F29)=4,C29&lt;6*0.4)</formula>
    </cfRule>
    <cfRule type="expression" priority="57" dxfId="2">
      <formula>AND(COUNT(C29:F29)=4,C29&gt;=6*0.4,C29&lt;6)</formula>
    </cfRule>
  </conditionalFormatting>
  <conditionalFormatting sqref="C30">
    <cfRule type="expression" priority="58" dxfId="0">
      <formula>AND(COUNT(C30:F30)=4,C30=6)</formula>
    </cfRule>
    <cfRule type="expression" priority="59" dxfId="1">
      <formula>AND(COUNT(C30:F30)=4,C30&lt;6*0.4)</formula>
    </cfRule>
    <cfRule type="expression" priority="60" dxfId="2">
      <formula>AND(COUNT(C30:F30)=4,C30&gt;=6*0.4,C30&lt;6)</formula>
    </cfRule>
  </conditionalFormatting>
  <conditionalFormatting sqref="C31">
    <cfRule type="expression" priority="61" dxfId="0">
      <formula>AND(COUNT(C31:F31)=4,C31=6)</formula>
    </cfRule>
    <cfRule type="expression" priority="62" dxfId="1">
      <formula>AND(COUNT(C31:F31)=4,C31&lt;6*0.4)</formula>
    </cfRule>
    <cfRule type="expression" priority="63" dxfId="2">
      <formula>AND(COUNT(C31:F31)=4,C31&gt;=6*0.4,C31&lt;6)</formula>
    </cfRule>
  </conditionalFormatting>
  <conditionalFormatting sqref="C32">
    <cfRule type="expression" priority="64" dxfId="0">
      <formula>AND(COUNT(C32:F32)=4,C32=6)</formula>
    </cfRule>
    <cfRule type="expression" priority="65" dxfId="1">
      <formula>AND(COUNT(C32:F32)=4,C32&lt;6*0.4)</formula>
    </cfRule>
    <cfRule type="expression" priority="66" dxfId="2">
      <formula>AND(COUNT(C32:F32)=4,C32&gt;=6*0.4,C32&lt;6)</formula>
    </cfRule>
  </conditionalFormatting>
  <conditionalFormatting sqref="C33">
    <cfRule type="expression" priority="67" dxfId="0">
      <formula>AND(COUNT(C33:F33)=4,C33=6)</formula>
    </cfRule>
    <cfRule type="expression" priority="68" dxfId="1">
      <formula>AND(COUNT(C33:F33)=4,C33&lt;6*0.4)</formula>
    </cfRule>
    <cfRule type="expression" priority="69" dxfId="2">
      <formula>AND(COUNT(C33:F33)=4,C33&gt;=6*0.4,C33&lt;6)</formula>
    </cfRule>
  </conditionalFormatting>
  <conditionalFormatting sqref="C34">
    <cfRule type="expression" priority="70" dxfId="0">
      <formula>AND(COUNT(C34:F34)=4,C34=6)</formula>
    </cfRule>
    <cfRule type="expression" priority="71" dxfId="1">
      <formula>AND(COUNT(C34:F34)=4,C34&lt;6*0.4)</formula>
    </cfRule>
    <cfRule type="expression" priority="72" dxfId="2">
      <formula>AND(COUNT(C34:F34)=4,C34&gt;=6*0.4,C34&lt;6)</formula>
    </cfRule>
  </conditionalFormatting>
  <conditionalFormatting sqref="C35">
    <cfRule type="expression" priority="73" dxfId="0">
      <formula>AND(COUNT(C35:F35)=4,C35=6)</formula>
    </cfRule>
    <cfRule type="expression" priority="74" dxfId="1">
      <formula>AND(COUNT(C35:F35)=4,C35&lt;6*0.4)</formula>
    </cfRule>
    <cfRule type="expression" priority="75" dxfId="2">
      <formula>AND(COUNT(C35:F35)=4,C35&gt;=6*0.4,C35&lt;6)</formula>
    </cfRule>
  </conditionalFormatting>
  <conditionalFormatting sqref="C36">
    <cfRule type="expression" priority="76" dxfId="0">
      <formula>AND(COUNT(C36:F36)=4,C36=6)</formula>
    </cfRule>
    <cfRule type="expression" priority="77" dxfId="1">
      <formula>AND(COUNT(C36:F36)=4,C36&lt;6*0.4)</formula>
    </cfRule>
    <cfRule type="expression" priority="78" dxfId="2">
      <formula>AND(COUNT(C36:F36)=4,C36&gt;=6*0.4,C36&lt;6)</formula>
    </cfRule>
  </conditionalFormatting>
  <conditionalFormatting sqref="C37">
    <cfRule type="expression" priority="79" dxfId="0">
      <formula>AND(COUNT(C37:F37)=4,C37=6)</formula>
    </cfRule>
    <cfRule type="expression" priority="80" dxfId="1">
      <formula>AND(COUNT(C37:F37)=4,C37&lt;6*0.4)</formula>
    </cfRule>
    <cfRule type="expression" priority="81" dxfId="2">
      <formula>AND(COUNT(C37:F37)=4,C37&gt;=6*0.4,C37&lt;6)</formula>
    </cfRule>
  </conditionalFormatting>
  <conditionalFormatting sqref="C38">
    <cfRule type="expression" priority="82" dxfId="0">
      <formula>AND(COUNT(C38:F38)=4,C38=6)</formula>
    </cfRule>
    <cfRule type="expression" priority="83" dxfId="1">
      <formula>AND(COUNT(C38:F38)=4,C38&lt;6*0.4)</formula>
    </cfRule>
    <cfRule type="expression" priority="84" dxfId="2">
      <formula>AND(COUNT(C38:F38)=4,C38&gt;=6*0.4,C38&lt;6)</formula>
    </cfRule>
  </conditionalFormatting>
  <conditionalFormatting sqref="C39">
    <cfRule type="expression" priority="85" dxfId="0">
      <formula>AND(COUNT(C39:F39)=4,C39=6)</formula>
    </cfRule>
    <cfRule type="expression" priority="86" dxfId="1">
      <formula>AND(COUNT(C39:F39)=4,C39&lt;6*0.4)</formula>
    </cfRule>
    <cfRule type="expression" priority="87" dxfId="2">
      <formula>AND(COUNT(C39:F39)=4,C39&gt;=6*0.4,C39&lt;6)</formula>
    </cfRule>
  </conditionalFormatting>
  <conditionalFormatting sqref="C40">
    <cfRule type="expression" priority="88" dxfId="0">
      <formula>AND(COUNT(C40:F40)=4,C40=6)</formula>
    </cfRule>
    <cfRule type="expression" priority="89" dxfId="1">
      <formula>AND(COUNT(C40:F40)=4,C40&lt;6*0.4)</formula>
    </cfRule>
    <cfRule type="expression" priority="90" dxfId="2">
      <formula>AND(COUNT(C40:F40)=4,C40&gt;=6*0.4,C40&lt;6)</formula>
    </cfRule>
  </conditionalFormatting>
  <conditionalFormatting sqref="C41">
    <cfRule type="expression" priority="91" dxfId="0">
      <formula>AND(COUNT(C41:F41)=4,C41=6)</formula>
    </cfRule>
    <cfRule type="expression" priority="92" dxfId="1">
      <formula>AND(COUNT(C41:F41)=4,C41&lt;6*0.4)</formula>
    </cfRule>
    <cfRule type="expression" priority="93" dxfId="2">
      <formula>AND(COUNT(C41:F41)=4,C41&gt;=6*0.4,C41&lt;6)</formula>
    </cfRule>
  </conditionalFormatting>
  <conditionalFormatting sqref="D11">
    <cfRule type="expression" priority="94" dxfId="0">
      <formula>AND(COUNT(C11:F11)=4,D11=6)</formula>
    </cfRule>
    <cfRule type="expression" priority="95" dxfId="1">
      <formula>AND(COUNT(C11:F11)=4,D11&lt;6*0.4)</formula>
    </cfRule>
    <cfRule type="expression" priority="96" dxfId="2">
      <formula>AND(COUNT(C11:F11)=4,D11&gt;=6*0.4,D11&lt;6)</formula>
    </cfRule>
  </conditionalFormatting>
  <conditionalFormatting sqref="D12">
    <cfRule type="expression" priority="97" dxfId="0">
      <formula>AND(COUNT(C12:F12)=4,D12=6)</formula>
    </cfRule>
    <cfRule type="expression" priority="98" dxfId="1">
      <formula>AND(COUNT(C12:F12)=4,D12&lt;6*0.4)</formula>
    </cfRule>
    <cfRule type="expression" priority="99" dxfId="2">
      <formula>AND(COUNT(C12:F12)=4,D12&gt;=6*0.4,D12&lt;6)</formula>
    </cfRule>
  </conditionalFormatting>
  <conditionalFormatting sqref="D13">
    <cfRule type="expression" priority="100" dxfId="0">
      <formula>AND(COUNT(C13:F13)=4,D13=6)</formula>
    </cfRule>
    <cfRule type="expression" priority="101" dxfId="1">
      <formula>AND(COUNT(C13:F13)=4,D13&lt;6*0.4)</formula>
    </cfRule>
    <cfRule type="expression" priority="102" dxfId="2">
      <formula>AND(COUNT(C13:F13)=4,D13&gt;=6*0.4,D13&lt;6)</formula>
    </cfRule>
  </conditionalFormatting>
  <conditionalFormatting sqref="D14">
    <cfRule type="expression" priority="103" dxfId="0">
      <formula>AND(COUNT(C14:F14)=4,D14=6)</formula>
    </cfRule>
    <cfRule type="expression" priority="104" dxfId="1">
      <formula>AND(COUNT(C14:F14)=4,D14&lt;6*0.4)</formula>
    </cfRule>
    <cfRule type="expression" priority="105" dxfId="2">
      <formula>AND(COUNT(C14:F14)=4,D14&gt;=6*0.4,D14&lt;6)</formula>
    </cfRule>
  </conditionalFormatting>
  <conditionalFormatting sqref="D15">
    <cfRule type="expression" priority="106" dxfId="0">
      <formula>AND(COUNT(C15:F15)=4,D15=6)</formula>
    </cfRule>
    <cfRule type="expression" priority="107" dxfId="1">
      <formula>AND(COUNT(C15:F15)=4,D15&lt;6*0.4)</formula>
    </cfRule>
    <cfRule type="expression" priority="108" dxfId="2">
      <formula>AND(COUNT(C15:F15)=4,D15&gt;=6*0.4,D15&lt;6)</formula>
    </cfRule>
  </conditionalFormatting>
  <conditionalFormatting sqref="D16">
    <cfRule type="expression" priority="109" dxfId="0">
      <formula>AND(COUNT(C16:F16)=4,D16=6)</formula>
    </cfRule>
    <cfRule type="expression" priority="110" dxfId="1">
      <formula>AND(COUNT(C16:F16)=4,D16&lt;6*0.4)</formula>
    </cfRule>
    <cfRule type="expression" priority="111" dxfId="2">
      <formula>AND(COUNT(C16:F16)=4,D16&gt;=6*0.4,D16&lt;6)</formula>
    </cfRule>
  </conditionalFormatting>
  <conditionalFormatting sqref="D17">
    <cfRule type="expression" priority="112" dxfId="0">
      <formula>AND(COUNT(C17:F17)=4,D17=6)</formula>
    </cfRule>
    <cfRule type="expression" priority="113" dxfId="1">
      <formula>AND(COUNT(C17:F17)=4,D17&lt;6*0.4)</formula>
    </cfRule>
    <cfRule type="expression" priority="114" dxfId="2">
      <formula>AND(COUNT(C17:F17)=4,D17&gt;=6*0.4,D17&lt;6)</formula>
    </cfRule>
  </conditionalFormatting>
  <conditionalFormatting sqref="D18">
    <cfRule type="expression" priority="115" dxfId="0">
      <formula>AND(COUNT(C18:F18)=4,D18=6)</formula>
    </cfRule>
    <cfRule type="expression" priority="116" dxfId="1">
      <formula>AND(COUNT(C18:F18)=4,D18&lt;6*0.4)</formula>
    </cfRule>
    <cfRule type="expression" priority="117" dxfId="2">
      <formula>AND(COUNT(C18:F18)=4,D18&gt;=6*0.4,D18&lt;6)</formula>
    </cfRule>
  </conditionalFormatting>
  <conditionalFormatting sqref="D19">
    <cfRule type="expression" priority="118" dxfId="0">
      <formula>AND(COUNT(C19:F19)=4,D19=6)</formula>
    </cfRule>
    <cfRule type="expression" priority="119" dxfId="1">
      <formula>AND(COUNT(C19:F19)=4,D19&lt;6*0.4)</formula>
    </cfRule>
    <cfRule type="expression" priority="120" dxfId="2">
      <formula>AND(COUNT(C19:F19)=4,D19&gt;=6*0.4,D19&lt;6)</formula>
    </cfRule>
  </conditionalFormatting>
  <conditionalFormatting sqref="D20">
    <cfRule type="expression" priority="121" dxfId="0">
      <formula>AND(COUNT(C20:F20)=4,D20=6)</formula>
    </cfRule>
    <cfRule type="expression" priority="122" dxfId="1">
      <formula>AND(COUNT(C20:F20)=4,D20&lt;6*0.4)</formula>
    </cfRule>
    <cfRule type="expression" priority="123" dxfId="2">
      <formula>AND(COUNT(C20:F20)=4,D20&gt;=6*0.4,D20&lt;6)</formula>
    </cfRule>
  </conditionalFormatting>
  <conditionalFormatting sqref="D21">
    <cfRule type="expression" priority="124" dxfId="0">
      <formula>AND(COUNT(C21:F21)=4,D21=6)</formula>
    </cfRule>
    <cfRule type="expression" priority="125" dxfId="1">
      <formula>AND(COUNT(C21:F21)=4,D21&lt;6*0.4)</formula>
    </cfRule>
    <cfRule type="expression" priority="126" dxfId="2">
      <formula>AND(COUNT(C21:F21)=4,D21&gt;=6*0.4,D21&lt;6)</formula>
    </cfRule>
  </conditionalFormatting>
  <conditionalFormatting sqref="D22">
    <cfRule type="expression" priority="127" dxfId="0">
      <formula>AND(COUNT(C22:F22)=4,D22=6)</formula>
    </cfRule>
    <cfRule type="expression" priority="128" dxfId="1">
      <formula>AND(COUNT(C22:F22)=4,D22&lt;6*0.4)</formula>
    </cfRule>
    <cfRule type="expression" priority="129" dxfId="2">
      <formula>AND(COUNT(C22:F22)=4,D22&gt;=6*0.4,D22&lt;6)</formula>
    </cfRule>
  </conditionalFormatting>
  <conditionalFormatting sqref="D23">
    <cfRule type="expression" priority="130" dxfId="0">
      <formula>AND(COUNT(C23:F23)=4,D23=6)</formula>
    </cfRule>
    <cfRule type="expression" priority="131" dxfId="1">
      <formula>AND(COUNT(C23:F23)=4,D23&lt;6*0.4)</formula>
    </cfRule>
    <cfRule type="expression" priority="132" dxfId="2">
      <formula>AND(COUNT(C23:F23)=4,D23&gt;=6*0.4,D23&lt;6)</formula>
    </cfRule>
  </conditionalFormatting>
  <conditionalFormatting sqref="D24">
    <cfRule type="expression" priority="133" dxfId="0">
      <formula>AND(COUNT(C24:F24)=4,D24=6)</formula>
    </cfRule>
    <cfRule type="expression" priority="134" dxfId="1">
      <formula>AND(COUNT(C24:F24)=4,D24&lt;6*0.4)</formula>
    </cfRule>
    <cfRule type="expression" priority="135" dxfId="2">
      <formula>AND(COUNT(C24:F24)=4,D24&gt;=6*0.4,D24&lt;6)</formula>
    </cfRule>
  </conditionalFormatting>
  <conditionalFormatting sqref="D25">
    <cfRule type="expression" priority="136" dxfId="0">
      <formula>AND(COUNT(C25:F25)=4,D25=6)</formula>
    </cfRule>
    <cfRule type="expression" priority="137" dxfId="1">
      <formula>AND(COUNT(C25:F25)=4,D25&lt;6*0.4)</formula>
    </cfRule>
    <cfRule type="expression" priority="138" dxfId="2">
      <formula>AND(COUNT(C25:F25)=4,D25&gt;=6*0.4,D25&lt;6)</formula>
    </cfRule>
  </conditionalFormatting>
  <conditionalFormatting sqref="D26">
    <cfRule type="expression" priority="139" dxfId="0">
      <formula>AND(COUNT(C26:F26)=4,D26=6)</formula>
    </cfRule>
    <cfRule type="expression" priority="140" dxfId="1">
      <formula>AND(COUNT(C26:F26)=4,D26&lt;6*0.4)</formula>
    </cfRule>
    <cfRule type="expression" priority="141" dxfId="2">
      <formula>AND(COUNT(C26:F26)=4,D26&gt;=6*0.4,D26&lt;6)</formula>
    </cfRule>
  </conditionalFormatting>
  <conditionalFormatting sqref="D27">
    <cfRule type="expression" priority="142" dxfId="0">
      <formula>AND(COUNT(C27:F27)=4,D27=6)</formula>
    </cfRule>
    <cfRule type="expression" priority="143" dxfId="1">
      <formula>AND(COUNT(C27:F27)=4,D27&lt;6*0.4)</formula>
    </cfRule>
    <cfRule type="expression" priority="144" dxfId="2">
      <formula>AND(COUNT(C27:F27)=4,D27&gt;=6*0.4,D27&lt;6)</formula>
    </cfRule>
  </conditionalFormatting>
  <conditionalFormatting sqref="D28">
    <cfRule type="expression" priority="145" dxfId="0">
      <formula>AND(COUNT(C28:F28)=4,D28=6)</formula>
    </cfRule>
    <cfRule type="expression" priority="146" dxfId="1">
      <formula>AND(COUNT(C28:F28)=4,D28&lt;6*0.4)</formula>
    </cfRule>
    <cfRule type="expression" priority="147" dxfId="2">
      <formula>AND(COUNT(C28:F28)=4,D28&gt;=6*0.4,D28&lt;6)</formula>
    </cfRule>
  </conditionalFormatting>
  <conditionalFormatting sqref="D29">
    <cfRule type="expression" priority="148" dxfId="0">
      <formula>AND(COUNT(C29:F29)=4,D29=6)</formula>
    </cfRule>
    <cfRule type="expression" priority="149" dxfId="1">
      <formula>AND(COUNT(C29:F29)=4,D29&lt;6*0.4)</formula>
    </cfRule>
    <cfRule type="expression" priority="150" dxfId="2">
      <formula>AND(COUNT(C29:F29)=4,D29&gt;=6*0.4,D29&lt;6)</formula>
    </cfRule>
  </conditionalFormatting>
  <conditionalFormatting sqref="D30">
    <cfRule type="expression" priority="151" dxfId="0">
      <formula>AND(COUNT(C30:F30)=4,D30=6)</formula>
    </cfRule>
    <cfRule type="expression" priority="152" dxfId="1">
      <formula>AND(COUNT(C30:F30)=4,D30&lt;6*0.4)</formula>
    </cfRule>
    <cfRule type="expression" priority="153" dxfId="2">
      <formula>AND(COUNT(C30:F30)=4,D30&gt;=6*0.4,D30&lt;6)</formula>
    </cfRule>
  </conditionalFormatting>
  <conditionalFormatting sqref="D31">
    <cfRule type="expression" priority="154" dxfId="0">
      <formula>AND(COUNT(C31:F31)=4,D31=6)</formula>
    </cfRule>
    <cfRule type="expression" priority="155" dxfId="1">
      <formula>AND(COUNT(C31:F31)=4,D31&lt;6*0.4)</formula>
    </cfRule>
    <cfRule type="expression" priority="156" dxfId="2">
      <formula>AND(COUNT(C31:F31)=4,D31&gt;=6*0.4,D31&lt;6)</formula>
    </cfRule>
  </conditionalFormatting>
  <conditionalFormatting sqref="D32">
    <cfRule type="expression" priority="157" dxfId="0">
      <formula>AND(COUNT(C32:F32)=4,D32=6)</formula>
    </cfRule>
    <cfRule type="expression" priority="158" dxfId="1">
      <formula>AND(COUNT(C32:F32)=4,D32&lt;6*0.4)</formula>
    </cfRule>
    <cfRule type="expression" priority="159" dxfId="2">
      <formula>AND(COUNT(C32:F32)=4,D32&gt;=6*0.4,D32&lt;6)</formula>
    </cfRule>
  </conditionalFormatting>
  <conditionalFormatting sqref="D33">
    <cfRule type="expression" priority="160" dxfId="0">
      <formula>AND(COUNT(C33:F33)=4,D33=6)</formula>
    </cfRule>
    <cfRule type="expression" priority="161" dxfId="1">
      <formula>AND(COUNT(C33:F33)=4,D33&lt;6*0.4)</formula>
    </cfRule>
    <cfRule type="expression" priority="162" dxfId="2">
      <formula>AND(COUNT(C33:F33)=4,D33&gt;=6*0.4,D33&lt;6)</formula>
    </cfRule>
  </conditionalFormatting>
  <conditionalFormatting sqref="D34">
    <cfRule type="expression" priority="163" dxfId="0">
      <formula>AND(COUNT(C34:F34)=4,D34=6)</formula>
    </cfRule>
    <cfRule type="expression" priority="164" dxfId="1">
      <formula>AND(COUNT(C34:F34)=4,D34&lt;6*0.4)</formula>
    </cfRule>
    <cfRule type="expression" priority="165" dxfId="2">
      <formula>AND(COUNT(C34:F34)=4,D34&gt;=6*0.4,D34&lt;6)</formula>
    </cfRule>
  </conditionalFormatting>
  <conditionalFormatting sqref="D35">
    <cfRule type="expression" priority="166" dxfId="0">
      <formula>AND(COUNT(C35:F35)=4,D35=6)</formula>
    </cfRule>
    <cfRule type="expression" priority="167" dxfId="1">
      <formula>AND(COUNT(C35:F35)=4,D35&lt;6*0.4)</formula>
    </cfRule>
    <cfRule type="expression" priority="168" dxfId="2">
      <formula>AND(COUNT(C35:F35)=4,D35&gt;=6*0.4,D35&lt;6)</formula>
    </cfRule>
  </conditionalFormatting>
  <conditionalFormatting sqref="D36">
    <cfRule type="expression" priority="169" dxfId="0">
      <formula>AND(COUNT(C36:F36)=4,D36=6)</formula>
    </cfRule>
    <cfRule type="expression" priority="170" dxfId="1">
      <formula>AND(COUNT(C36:F36)=4,D36&lt;6*0.4)</formula>
    </cfRule>
    <cfRule type="expression" priority="171" dxfId="2">
      <formula>AND(COUNT(C36:F36)=4,D36&gt;=6*0.4,D36&lt;6)</formula>
    </cfRule>
  </conditionalFormatting>
  <conditionalFormatting sqref="D37">
    <cfRule type="expression" priority="172" dxfId="0">
      <formula>AND(COUNT(C37:F37)=4,D37=6)</formula>
    </cfRule>
    <cfRule type="expression" priority="173" dxfId="1">
      <formula>AND(COUNT(C37:F37)=4,D37&lt;6*0.4)</formula>
    </cfRule>
    <cfRule type="expression" priority="174" dxfId="2">
      <formula>AND(COUNT(C37:F37)=4,D37&gt;=6*0.4,D37&lt;6)</formula>
    </cfRule>
  </conditionalFormatting>
  <conditionalFormatting sqref="D38">
    <cfRule type="expression" priority="175" dxfId="0">
      <formula>AND(COUNT(C38:F38)=4,D38=6)</formula>
    </cfRule>
    <cfRule type="expression" priority="176" dxfId="1">
      <formula>AND(COUNT(C38:F38)=4,D38&lt;6*0.4)</formula>
    </cfRule>
    <cfRule type="expression" priority="177" dxfId="2">
      <formula>AND(COUNT(C38:F38)=4,D38&gt;=6*0.4,D38&lt;6)</formula>
    </cfRule>
  </conditionalFormatting>
  <conditionalFormatting sqref="D39">
    <cfRule type="expression" priority="178" dxfId="0">
      <formula>AND(COUNT(C39:F39)=4,D39=6)</formula>
    </cfRule>
    <cfRule type="expression" priority="179" dxfId="1">
      <formula>AND(COUNT(C39:F39)=4,D39&lt;6*0.4)</formula>
    </cfRule>
    <cfRule type="expression" priority="180" dxfId="2">
      <formula>AND(COUNT(C39:F39)=4,D39&gt;=6*0.4,D39&lt;6)</formula>
    </cfRule>
  </conditionalFormatting>
  <conditionalFormatting sqref="D40">
    <cfRule type="expression" priority="181" dxfId="0">
      <formula>AND(COUNT(C40:F40)=4,D40=6)</formula>
    </cfRule>
    <cfRule type="expression" priority="182" dxfId="1">
      <formula>AND(COUNT(C40:F40)=4,D40&lt;6*0.4)</formula>
    </cfRule>
    <cfRule type="expression" priority="183" dxfId="2">
      <formula>AND(COUNT(C40:F40)=4,D40&gt;=6*0.4,D40&lt;6)</formula>
    </cfRule>
  </conditionalFormatting>
  <conditionalFormatting sqref="D41">
    <cfRule type="expression" priority="184" dxfId="0">
      <formula>AND(COUNT(C41:F41)=4,D41=6)</formula>
    </cfRule>
    <cfRule type="expression" priority="185" dxfId="1">
      <formula>AND(COUNT(C41:F41)=4,D41&lt;6*0.4)</formula>
    </cfRule>
    <cfRule type="expression" priority="186" dxfId="2">
      <formula>AND(COUNT(C41:F41)=4,D41&gt;=6*0.4,D41&lt;6)</formula>
    </cfRule>
  </conditionalFormatting>
  <conditionalFormatting sqref="E11">
    <cfRule type="expression" priority="187" dxfId="0">
      <formula>AND(COUNT(C11:F11)=4,E11=8)</formula>
    </cfRule>
    <cfRule type="expression" priority="188" dxfId="1">
      <formula>AND(COUNT(C11:F11)=4,E11&lt;8*0.4)</formula>
    </cfRule>
    <cfRule type="expression" priority="189" dxfId="2">
      <formula>AND(COUNT(C11:F11)=4,E11&gt;=8*0.4,E11&lt;8)</formula>
    </cfRule>
  </conditionalFormatting>
  <conditionalFormatting sqref="E12">
    <cfRule type="expression" priority="190" dxfId="0">
      <formula>AND(COUNT(C12:F12)=4,E12=8)</formula>
    </cfRule>
    <cfRule type="expression" priority="191" dxfId="1">
      <formula>AND(COUNT(C12:F12)=4,E12&lt;8*0.4)</formula>
    </cfRule>
    <cfRule type="expression" priority="192" dxfId="2">
      <formula>AND(COUNT(C12:F12)=4,E12&gt;=8*0.4,E12&lt;8)</formula>
    </cfRule>
  </conditionalFormatting>
  <conditionalFormatting sqref="E13">
    <cfRule type="expression" priority="193" dxfId="0">
      <formula>AND(COUNT(C13:F13)=4,E13=8)</formula>
    </cfRule>
    <cfRule type="expression" priority="194" dxfId="1">
      <formula>AND(COUNT(C13:F13)=4,E13&lt;8*0.4)</formula>
    </cfRule>
    <cfRule type="expression" priority="195" dxfId="2">
      <formula>AND(COUNT(C13:F13)=4,E13&gt;=8*0.4,E13&lt;8)</formula>
    </cfRule>
  </conditionalFormatting>
  <conditionalFormatting sqref="E14">
    <cfRule type="expression" priority="196" dxfId="0">
      <formula>AND(COUNT(C14:F14)=4,E14=8)</formula>
    </cfRule>
    <cfRule type="expression" priority="197" dxfId="1">
      <formula>AND(COUNT(C14:F14)=4,E14&lt;8*0.4)</formula>
    </cfRule>
    <cfRule type="expression" priority="198" dxfId="2">
      <formula>AND(COUNT(C14:F14)=4,E14&gt;=8*0.4,E14&lt;8)</formula>
    </cfRule>
  </conditionalFormatting>
  <conditionalFormatting sqref="E15">
    <cfRule type="expression" priority="199" dxfId="0">
      <formula>AND(COUNT(C15:F15)=4,E15=8)</formula>
    </cfRule>
    <cfRule type="expression" priority="200" dxfId="1">
      <formula>AND(COUNT(C15:F15)=4,E15&lt;8*0.4)</formula>
    </cfRule>
    <cfRule type="expression" priority="201" dxfId="2">
      <formula>AND(COUNT(C15:F15)=4,E15&gt;=8*0.4,E15&lt;8)</formula>
    </cfRule>
  </conditionalFormatting>
  <conditionalFormatting sqref="E16">
    <cfRule type="expression" priority="202" dxfId="0">
      <formula>AND(COUNT(C16:F16)=4,E16=8)</formula>
    </cfRule>
    <cfRule type="expression" priority="203" dxfId="1">
      <formula>AND(COUNT(C16:F16)=4,E16&lt;8*0.4)</formula>
    </cfRule>
    <cfRule type="expression" priority="204" dxfId="2">
      <formula>AND(COUNT(C16:F16)=4,E16&gt;=8*0.4,E16&lt;8)</formula>
    </cfRule>
  </conditionalFormatting>
  <conditionalFormatting sqref="E17">
    <cfRule type="expression" priority="205" dxfId="0">
      <formula>AND(COUNT(C17:F17)=4,E17=8)</formula>
    </cfRule>
    <cfRule type="expression" priority="206" dxfId="1">
      <formula>AND(COUNT(C17:F17)=4,E17&lt;8*0.4)</formula>
    </cfRule>
    <cfRule type="expression" priority="207" dxfId="2">
      <formula>AND(COUNT(C17:F17)=4,E17&gt;=8*0.4,E17&lt;8)</formula>
    </cfRule>
  </conditionalFormatting>
  <conditionalFormatting sqref="E18">
    <cfRule type="expression" priority="208" dxfId="0">
      <formula>AND(COUNT(C18:F18)=4,E18=8)</formula>
    </cfRule>
    <cfRule type="expression" priority="209" dxfId="1">
      <formula>AND(COUNT(C18:F18)=4,E18&lt;8*0.4)</formula>
    </cfRule>
    <cfRule type="expression" priority="210" dxfId="2">
      <formula>AND(COUNT(C18:F18)=4,E18&gt;=8*0.4,E18&lt;8)</formula>
    </cfRule>
  </conditionalFormatting>
  <conditionalFormatting sqref="E19">
    <cfRule type="expression" priority="211" dxfId="0">
      <formula>AND(COUNT(C19:F19)=4,E19=8)</formula>
    </cfRule>
    <cfRule type="expression" priority="212" dxfId="1">
      <formula>AND(COUNT(C19:F19)=4,E19&lt;8*0.4)</formula>
    </cfRule>
    <cfRule type="expression" priority="213" dxfId="2">
      <formula>AND(COUNT(C19:F19)=4,E19&gt;=8*0.4,E19&lt;8)</formula>
    </cfRule>
  </conditionalFormatting>
  <conditionalFormatting sqref="E20">
    <cfRule type="expression" priority="214" dxfId="0">
      <formula>AND(COUNT(C20:F20)=4,E20=8)</formula>
    </cfRule>
    <cfRule type="expression" priority="215" dxfId="1">
      <formula>AND(COUNT(C20:F20)=4,E20&lt;8*0.4)</formula>
    </cfRule>
    <cfRule type="expression" priority="216" dxfId="2">
      <formula>AND(COUNT(C20:F20)=4,E20&gt;=8*0.4,E20&lt;8)</formula>
    </cfRule>
  </conditionalFormatting>
  <conditionalFormatting sqref="E21">
    <cfRule type="expression" priority="217" dxfId="0">
      <formula>AND(COUNT(C21:F21)=4,E21=8)</formula>
    </cfRule>
    <cfRule type="expression" priority="218" dxfId="1">
      <formula>AND(COUNT(C21:F21)=4,E21&lt;8*0.4)</formula>
    </cfRule>
    <cfRule type="expression" priority="219" dxfId="2">
      <formula>AND(COUNT(C21:F21)=4,E21&gt;=8*0.4,E21&lt;8)</formula>
    </cfRule>
  </conditionalFormatting>
  <conditionalFormatting sqref="E22">
    <cfRule type="expression" priority="220" dxfId="0">
      <formula>AND(COUNT(C22:F22)=4,E22=8)</formula>
    </cfRule>
    <cfRule type="expression" priority="221" dxfId="1">
      <formula>AND(COUNT(C22:F22)=4,E22&lt;8*0.4)</formula>
    </cfRule>
    <cfRule type="expression" priority="222" dxfId="2">
      <formula>AND(COUNT(C22:F22)=4,E22&gt;=8*0.4,E22&lt;8)</formula>
    </cfRule>
  </conditionalFormatting>
  <conditionalFormatting sqref="E23">
    <cfRule type="expression" priority="223" dxfId="0">
      <formula>AND(COUNT(C23:F23)=4,E23=8)</formula>
    </cfRule>
    <cfRule type="expression" priority="224" dxfId="1">
      <formula>AND(COUNT(C23:F23)=4,E23&lt;8*0.4)</formula>
    </cfRule>
    <cfRule type="expression" priority="225" dxfId="2">
      <formula>AND(COUNT(C23:F23)=4,E23&gt;=8*0.4,E23&lt;8)</formula>
    </cfRule>
  </conditionalFormatting>
  <conditionalFormatting sqref="E24">
    <cfRule type="expression" priority="226" dxfId="0">
      <formula>AND(COUNT(C24:F24)=4,E24=8)</formula>
    </cfRule>
    <cfRule type="expression" priority="227" dxfId="1">
      <formula>AND(COUNT(C24:F24)=4,E24&lt;8*0.4)</formula>
    </cfRule>
    <cfRule type="expression" priority="228" dxfId="2">
      <formula>AND(COUNT(C24:F24)=4,E24&gt;=8*0.4,E24&lt;8)</formula>
    </cfRule>
  </conditionalFormatting>
  <conditionalFormatting sqref="E25">
    <cfRule type="expression" priority="229" dxfId="0">
      <formula>AND(COUNT(C25:F25)=4,E25=8)</formula>
    </cfRule>
    <cfRule type="expression" priority="230" dxfId="1">
      <formula>AND(COUNT(C25:F25)=4,E25&lt;8*0.4)</formula>
    </cfRule>
    <cfRule type="expression" priority="231" dxfId="2">
      <formula>AND(COUNT(C25:F25)=4,E25&gt;=8*0.4,E25&lt;8)</formula>
    </cfRule>
  </conditionalFormatting>
  <conditionalFormatting sqref="E26">
    <cfRule type="expression" priority="232" dxfId="0">
      <formula>AND(COUNT(C26:F26)=4,E26=8)</formula>
    </cfRule>
    <cfRule type="expression" priority="233" dxfId="1">
      <formula>AND(COUNT(C26:F26)=4,E26&lt;8*0.4)</formula>
    </cfRule>
    <cfRule type="expression" priority="234" dxfId="2">
      <formula>AND(COUNT(C26:F26)=4,E26&gt;=8*0.4,E26&lt;8)</formula>
    </cfRule>
  </conditionalFormatting>
  <conditionalFormatting sqref="E27">
    <cfRule type="expression" priority="235" dxfId="0">
      <formula>AND(COUNT(C27:F27)=4,E27=8)</formula>
    </cfRule>
    <cfRule type="expression" priority="236" dxfId="1">
      <formula>AND(COUNT(C27:F27)=4,E27&lt;8*0.4)</formula>
    </cfRule>
    <cfRule type="expression" priority="237" dxfId="2">
      <formula>AND(COUNT(C27:F27)=4,E27&gt;=8*0.4,E27&lt;8)</formula>
    </cfRule>
  </conditionalFormatting>
  <conditionalFormatting sqref="E28">
    <cfRule type="expression" priority="238" dxfId="0">
      <formula>AND(COUNT(C28:F28)=4,E28=8)</formula>
    </cfRule>
    <cfRule type="expression" priority="239" dxfId="1">
      <formula>AND(COUNT(C28:F28)=4,E28&lt;8*0.4)</formula>
    </cfRule>
    <cfRule type="expression" priority="240" dxfId="2">
      <formula>AND(COUNT(C28:F28)=4,E28&gt;=8*0.4,E28&lt;8)</formula>
    </cfRule>
  </conditionalFormatting>
  <conditionalFormatting sqref="E29">
    <cfRule type="expression" priority="241" dxfId="0">
      <formula>AND(COUNT(C29:F29)=4,E29=8)</formula>
    </cfRule>
    <cfRule type="expression" priority="242" dxfId="1">
      <formula>AND(COUNT(C29:F29)=4,E29&lt;8*0.4)</formula>
    </cfRule>
    <cfRule type="expression" priority="243" dxfId="2">
      <formula>AND(COUNT(C29:F29)=4,E29&gt;=8*0.4,E29&lt;8)</formula>
    </cfRule>
  </conditionalFormatting>
  <conditionalFormatting sqref="E30">
    <cfRule type="expression" priority="244" dxfId="0">
      <formula>AND(COUNT(C30:F30)=4,E30=8)</formula>
    </cfRule>
    <cfRule type="expression" priority="245" dxfId="1">
      <formula>AND(COUNT(C30:F30)=4,E30&lt;8*0.4)</formula>
    </cfRule>
    <cfRule type="expression" priority="246" dxfId="2">
      <formula>AND(COUNT(C30:F30)=4,E30&gt;=8*0.4,E30&lt;8)</formula>
    </cfRule>
  </conditionalFormatting>
  <conditionalFormatting sqref="E31">
    <cfRule type="expression" priority="247" dxfId="0">
      <formula>AND(COUNT(C31:F31)=4,E31=8)</formula>
    </cfRule>
    <cfRule type="expression" priority="248" dxfId="1">
      <formula>AND(COUNT(C31:F31)=4,E31&lt;8*0.4)</formula>
    </cfRule>
    <cfRule type="expression" priority="249" dxfId="2">
      <formula>AND(COUNT(C31:F31)=4,E31&gt;=8*0.4,E31&lt;8)</formula>
    </cfRule>
  </conditionalFormatting>
  <conditionalFormatting sqref="E32">
    <cfRule type="expression" priority="250" dxfId="0">
      <formula>AND(COUNT(C32:F32)=4,E32=8)</formula>
    </cfRule>
    <cfRule type="expression" priority="251" dxfId="1">
      <formula>AND(COUNT(C32:F32)=4,E32&lt;8*0.4)</formula>
    </cfRule>
    <cfRule type="expression" priority="252" dxfId="2">
      <formula>AND(COUNT(C32:F32)=4,E32&gt;=8*0.4,E32&lt;8)</formula>
    </cfRule>
  </conditionalFormatting>
  <conditionalFormatting sqref="E33">
    <cfRule type="expression" priority="253" dxfId="0">
      <formula>AND(COUNT(C33:F33)=4,E33=8)</formula>
    </cfRule>
    <cfRule type="expression" priority="254" dxfId="1">
      <formula>AND(COUNT(C33:F33)=4,E33&lt;8*0.4)</formula>
    </cfRule>
    <cfRule type="expression" priority="255" dxfId="2">
      <formula>AND(COUNT(C33:F33)=4,E33&gt;=8*0.4,E33&lt;8)</formula>
    </cfRule>
  </conditionalFormatting>
  <conditionalFormatting sqref="E34">
    <cfRule type="expression" priority="256" dxfId="0">
      <formula>AND(COUNT(C34:F34)=4,E34=8)</formula>
    </cfRule>
    <cfRule type="expression" priority="257" dxfId="1">
      <formula>AND(COUNT(C34:F34)=4,E34&lt;8*0.4)</formula>
    </cfRule>
    <cfRule type="expression" priority="258" dxfId="2">
      <formula>AND(COUNT(C34:F34)=4,E34&gt;=8*0.4,E34&lt;8)</formula>
    </cfRule>
  </conditionalFormatting>
  <conditionalFormatting sqref="E35">
    <cfRule type="expression" priority="259" dxfId="0">
      <formula>AND(COUNT(C35:F35)=4,E35=8)</formula>
    </cfRule>
    <cfRule type="expression" priority="260" dxfId="1">
      <formula>AND(COUNT(C35:F35)=4,E35&lt;8*0.4)</formula>
    </cfRule>
    <cfRule type="expression" priority="261" dxfId="2">
      <formula>AND(COUNT(C35:F35)=4,E35&gt;=8*0.4,E35&lt;8)</formula>
    </cfRule>
  </conditionalFormatting>
  <conditionalFormatting sqref="E36">
    <cfRule type="expression" priority="262" dxfId="0">
      <formula>AND(COUNT(C36:F36)=4,E36=8)</formula>
    </cfRule>
    <cfRule type="expression" priority="263" dxfId="1">
      <formula>AND(COUNT(C36:F36)=4,E36&lt;8*0.4)</formula>
    </cfRule>
    <cfRule type="expression" priority="264" dxfId="2">
      <formula>AND(COUNT(C36:F36)=4,E36&gt;=8*0.4,E36&lt;8)</formula>
    </cfRule>
  </conditionalFormatting>
  <conditionalFormatting sqref="E37">
    <cfRule type="expression" priority="265" dxfId="0">
      <formula>AND(COUNT(C37:F37)=4,E37=8)</formula>
    </cfRule>
    <cfRule type="expression" priority="266" dxfId="1">
      <formula>AND(COUNT(C37:F37)=4,E37&lt;8*0.4)</formula>
    </cfRule>
    <cfRule type="expression" priority="267" dxfId="2">
      <formula>AND(COUNT(C37:F37)=4,E37&gt;=8*0.4,E37&lt;8)</formula>
    </cfRule>
  </conditionalFormatting>
  <conditionalFormatting sqref="E38">
    <cfRule type="expression" priority="268" dxfId="0">
      <formula>AND(COUNT(C38:F38)=4,E38=8)</formula>
    </cfRule>
    <cfRule type="expression" priority="269" dxfId="1">
      <formula>AND(COUNT(C38:F38)=4,E38&lt;8*0.4)</formula>
    </cfRule>
    <cfRule type="expression" priority="270" dxfId="2">
      <formula>AND(COUNT(C38:F38)=4,E38&gt;=8*0.4,E38&lt;8)</formula>
    </cfRule>
  </conditionalFormatting>
  <conditionalFormatting sqref="E39">
    <cfRule type="expression" priority="271" dxfId="0">
      <formula>AND(COUNT(C39:F39)=4,E39=8)</formula>
    </cfRule>
    <cfRule type="expression" priority="272" dxfId="1">
      <formula>AND(COUNT(C39:F39)=4,E39&lt;8*0.4)</formula>
    </cfRule>
    <cfRule type="expression" priority="273" dxfId="2">
      <formula>AND(COUNT(C39:F39)=4,E39&gt;=8*0.4,E39&lt;8)</formula>
    </cfRule>
  </conditionalFormatting>
  <conditionalFormatting sqref="E40">
    <cfRule type="expression" priority="274" dxfId="0">
      <formula>AND(COUNT(C40:F40)=4,E40=8)</formula>
    </cfRule>
    <cfRule type="expression" priority="275" dxfId="1">
      <formula>AND(COUNT(C40:F40)=4,E40&lt;8*0.4)</formula>
    </cfRule>
    <cfRule type="expression" priority="276" dxfId="2">
      <formula>AND(COUNT(C40:F40)=4,E40&gt;=8*0.4,E40&lt;8)</formula>
    </cfRule>
  </conditionalFormatting>
  <conditionalFormatting sqref="E41">
    <cfRule type="expression" priority="277" dxfId="0">
      <formula>AND(COUNT(C41:F41)=4,E41=8)</formula>
    </cfRule>
    <cfRule type="expression" priority="278" dxfId="1">
      <formula>AND(COUNT(C41:F41)=4,E41&lt;8*0.4)</formula>
    </cfRule>
    <cfRule type="expression" priority="279" dxfId="2">
      <formula>AND(COUNT(C41:F41)=4,E41&gt;=8*0.4,E41&lt;8)</formula>
    </cfRule>
  </conditionalFormatting>
  <conditionalFormatting sqref="F11">
    <cfRule type="expression" priority="280" dxfId="0">
      <formula>AND(COUNT(C11:F11)=4,F11=4)</formula>
    </cfRule>
    <cfRule type="expression" priority="281" dxfId="1">
      <formula>AND(COUNT(C11:F11)=4,F11&lt;4*0.4)</formula>
    </cfRule>
    <cfRule type="expression" priority="282" dxfId="2">
      <formula>AND(COUNT(C11:F11)=4,F11&gt;=4*0.4,F11&lt;4)</formula>
    </cfRule>
  </conditionalFormatting>
  <conditionalFormatting sqref="F12">
    <cfRule type="expression" priority="283" dxfId="0">
      <formula>AND(COUNT(C12:F12)=4,F12=4)</formula>
    </cfRule>
    <cfRule type="expression" priority="284" dxfId="1">
      <formula>AND(COUNT(C12:F12)=4,F12&lt;4*0.4)</formula>
    </cfRule>
    <cfRule type="expression" priority="285" dxfId="2">
      <formula>AND(COUNT(C12:F12)=4,F12&gt;=4*0.4,F12&lt;4)</formula>
    </cfRule>
  </conditionalFormatting>
  <conditionalFormatting sqref="F13">
    <cfRule type="expression" priority="286" dxfId="0">
      <formula>AND(COUNT(C13:F13)=4,F13=4)</formula>
    </cfRule>
    <cfRule type="expression" priority="287" dxfId="1">
      <formula>AND(COUNT(C13:F13)=4,F13&lt;4*0.4)</formula>
    </cfRule>
    <cfRule type="expression" priority="288" dxfId="2">
      <formula>AND(COUNT(C13:F13)=4,F13&gt;=4*0.4,F13&lt;4)</formula>
    </cfRule>
  </conditionalFormatting>
  <conditionalFormatting sqref="F14">
    <cfRule type="expression" priority="289" dxfId="0">
      <formula>AND(COUNT(C14:F14)=4,F14=4)</formula>
    </cfRule>
    <cfRule type="expression" priority="290" dxfId="1">
      <formula>AND(COUNT(C14:F14)=4,F14&lt;4*0.4)</formula>
    </cfRule>
    <cfRule type="expression" priority="291" dxfId="2">
      <formula>AND(COUNT(C14:F14)=4,F14&gt;=4*0.4,F14&lt;4)</formula>
    </cfRule>
  </conditionalFormatting>
  <conditionalFormatting sqref="F15">
    <cfRule type="expression" priority="292" dxfId="0">
      <formula>AND(COUNT(C15:F15)=4,F15=4)</formula>
    </cfRule>
    <cfRule type="expression" priority="293" dxfId="1">
      <formula>AND(COUNT(C15:F15)=4,F15&lt;4*0.4)</formula>
    </cfRule>
    <cfRule type="expression" priority="294" dxfId="2">
      <formula>AND(COUNT(C15:F15)=4,F15&gt;=4*0.4,F15&lt;4)</formula>
    </cfRule>
  </conditionalFormatting>
  <conditionalFormatting sqref="F16">
    <cfRule type="expression" priority="295" dxfId="0">
      <formula>AND(COUNT(C16:F16)=4,F16=4)</formula>
    </cfRule>
    <cfRule type="expression" priority="296" dxfId="1">
      <formula>AND(COUNT(C16:F16)=4,F16&lt;4*0.4)</formula>
    </cfRule>
    <cfRule type="expression" priority="297" dxfId="2">
      <formula>AND(COUNT(C16:F16)=4,F16&gt;=4*0.4,F16&lt;4)</formula>
    </cfRule>
  </conditionalFormatting>
  <conditionalFormatting sqref="F17">
    <cfRule type="expression" priority="298" dxfId="0">
      <formula>AND(COUNT(C17:F17)=4,F17=4)</formula>
    </cfRule>
    <cfRule type="expression" priority="299" dxfId="1">
      <formula>AND(COUNT(C17:F17)=4,F17&lt;4*0.4)</formula>
    </cfRule>
    <cfRule type="expression" priority="300" dxfId="2">
      <formula>AND(COUNT(C17:F17)=4,F17&gt;=4*0.4,F17&lt;4)</formula>
    </cfRule>
  </conditionalFormatting>
  <conditionalFormatting sqref="F18">
    <cfRule type="expression" priority="301" dxfId="0">
      <formula>AND(COUNT(C18:F18)=4,F18=4)</formula>
    </cfRule>
    <cfRule type="expression" priority="302" dxfId="1">
      <formula>AND(COUNT(C18:F18)=4,F18&lt;4*0.4)</formula>
    </cfRule>
    <cfRule type="expression" priority="303" dxfId="2">
      <formula>AND(COUNT(C18:F18)=4,F18&gt;=4*0.4,F18&lt;4)</formula>
    </cfRule>
  </conditionalFormatting>
  <conditionalFormatting sqref="F19">
    <cfRule type="expression" priority="304" dxfId="0">
      <formula>AND(COUNT(C19:F19)=4,F19=4)</formula>
    </cfRule>
    <cfRule type="expression" priority="305" dxfId="1">
      <formula>AND(COUNT(C19:F19)=4,F19&lt;4*0.4)</formula>
    </cfRule>
    <cfRule type="expression" priority="306" dxfId="2">
      <formula>AND(COUNT(C19:F19)=4,F19&gt;=4*0.4,F19&lt;4)</formula>
    </cfRule>
  </conditionalFormatting>
  <conditionalFormatting sqref="F20">
    <cfRule type="expression" priority="307" dxfId="0">
      <formula>AND(COUNT(C20:F20)=4,F20=4)</formula>
    </cfRule>
    <cfRule type="expression" priority="308" dxfId="1">
      <formula>AND(COUNT(C20:F20)=4,F20&lt;4*0.4)</formula>
    </cfRule>
    <cfRule type="expression" priority="309" dxfId="2">
      <formula>AND(COUNT(C20:F20)=4,F20&gt;=4*0.4,F20&lt;4)</formula>
    </cfRule>
  </conditionalFormatting>
  <conditionalFormatting sqref="F21">
    <cfRule type="expression" priority="310" dxfId="0">
      <formula>AND(COUNT(C21:F21)=4,F21=4)</formula>
    </cfRule>
    <cfRule type="expression" priority="311" dxfId="1">
      <formula>AND(COUNT(C21:F21)=4,F21&lt;4*0.4)</formula>
    </cfRule>
    <cfRule type="expression" priority="312" dxfId="2">
      <formula>AND(COUNT(C21:F21)=4,F21&gt;=4*0.4,F21&lt;4)</formula>
    </cfRule>
  </conditionalFormatting>
  <conditionalFormatting sqref="F22">
    <cfRule type="expression" priority="313" dxfId="0">
      <formula>AND(COUNT(C22:F22)=4,F22=4)</formula>
    </cfRule>
    <cfRule type="expression" priority="314" dxfId="1">
      <formula>AND(COUNT(C22:F22)=4,F22&lt;4*0.4)</formula>
    </cfRule>
    <cfRule type="expression" priority="315" dxfId="2">
      <formula>AND(COUNT(C22:F22)=4,F22&gt;=4*0.4,F22&lt;4)</formula>
    </cfRule>
  </conditionalFormatting>
  <conditionalFormatting sqref="F23">
    <cfRule type="expression" priority="316" dxfId="0">
      <formula>AND(COUNT(C23:F23)=4,F23=4)</formula>
    </cfRule>
    <cfRule type="expression" priority="317" dxfId="1">
      <formula>AND(COUNT(C23:F23)=4,F23&lt;4*0.4)</formula>
    </cfRule>
    <cfRule type="expression" priority="318" dxfId="2">
      <formula>AND(COUNT(C23:F23)=4,F23&gt;=4*0.4,F23&lt;4)</formula>
    </cfRule>
  </conditionalFormatting>
  <conditionalFormatting sqref="F24">
    <cfRule type="expression" priority="319" dxfId="0">
      <formula>AND(COUNT(C24:F24)=4,F24=4)</formula>
    </cfRule>
    <cfRule type="expression" priority="320" dxfId="1">
      <formula>AND(COUNT(C24:F24)=4,F24&lt;4*0.4)</formula>
    </cfRule>
    <cfRule type="expression" priority="321" dxfId="2">
      <formula>AND(COUNT(C24:F24)=4,F24&gt;=4*0.4,F24&lt;4)</formula>
    </cfRule>
  </conditionalFormatting>
  <conditionalFormatting sqref="F25">
    <cfRule type="expression" priority="322" dxfId="0">
      <formula>AND(COUNT(C25:F25)=4,F25=4)</formula>
    </cfRule>
    <cfRule type="expression" priority="323" dxfId="1">
      <formula>AND(COUNT(C25:F25)=4,F25&lt;4*0.4)</formula>
    </cfRule>
    <cfRule type="expression" priority="324" dxfId="2">
      <formula>AND(COUNT(C25:F25)=4,F25&gt;=4*0.4,F25&lt;4)</formula>
    </cfRule>
  </conditionalFormatting>
  <conditionalFormatting sqref="F26">
    <cfRule type="expression" priority="325" dxfId="0">
      <formula>AND(COUNT(C26:F26)=4,F26=4)</formula>
    </cfRule>
    <cfRule type="expression" priority="326" dxfId="1">
      <formula>AND(COUNT(C26:F26)=4,F26&lt;4*0.4)</formula>
    </cfRule>
    <cfRule type="expression" priority="327" dxfId="2">
      <formula>AND(COUNT(C26:F26)=4,F26&gt;=4*0.4,F26&lt;4)</formula>
    </cfRule>
  </conditionalFormatting>
  <conditionalFormatting sqref="F27">
    <cfRule type="expression" priority="328" dxfId="0">
      <formula>AND(COUNT(C27:F27)=4,F27=4)</formula>
    </cfRule>
    <cfRule type="expression" priority="329" dxfId="1">
      <formula>AND(COUNT(C27:F27)=4,F27&lt;4*0.4)</formula>
    </cfRule>
    <cfRule type="expression" priority="330" dxfId="2">
      <formula>AND(COUNT(C27:F27)=4,F27&gt;=4*0.4,F27&lt;4)</formula>
    </cfRule>
  </conditionalFormatting>
  <conditionalFormatting sqref="F28">
    <cfRule type="expression" priority="331" dxfId="0">
      <formula>AND(COUNT(C28:F28)=4,F28=4)</formula>
    </cfRule>
    <cfRule type="expression" priority="332" dxfId="1">
      <formula>AND(COUNT(C28:F28)=4,F28&lt;4*0.4)</formula>
    </cfRule>
    <cfRule type="expression" priority="333" dxfId="2">
      <formula>AND(COUNT(C28:F28)=4,F28&gt;=4*0.4,F28&lt;4)</formula>
    </cfRule>
  </conditionalFormatting>
  <conditionalFormatting sqref="F29">
    <cfRule type="expression" priority="334" dxfId="0">
      <formula>AND(COUNT(C29:F29)=4,F29=4)</formula>
    </cfRule>
    <cfRule type="expression" priority="335" dxfId="1">
      <formula>AND(COUNT(C29:F29)=4,F29&lt;4*0.4)</formula>
    </cfRule>
    <cfRule type="expression" priority="336" dxfId="2">
      <formula>AND(COUNT(C29:F29)=4,F29&gt;=4*0.4,F29&lt;4)</formula>
    </cfRule>
  </conditionalFormatting>
  <conditionalFormatting sqref="F30">
    <cfRule type="expression" priority="337" dxfId="0">
      <formula>AND(COUNT(C30:F30)=4,F30=4)</formula>
    </cfRule>
    <cfRule type="expression" priority="338" dxfId="1">
      <formula>AND(COUNT(C30:F30)=4,F30&lt;4*0.4)</formula>
    </cfRule>
    <cfRule type="expression" priority="339" dxfId="2">
      <formula>AND(COUNT(C30:F30)=4,F30&gt;=4*0.4,F30&lt;4)</formula>
    </cfRule>
  </conditionalFormatting>
  <conditionalFormatting sqref="F31">
    <cfRule type="expression" priority="340" dxfId="0">
      <formula>AND(COUNT(C31:F31)=4,F31=4)</formula>
    </cfRule>
    <cfRule type="expression" priority="341" dxfId="1">
      <formula>AND(COUNT(C31:F31)=4,F31&lt;4*0.4)</formula>
    </cfRule>
    <cfRule type="expression" priority="342" dxfId="2">
      <formula>AND(COUNT(C31:F31)=4,F31&gt;=4*0.4,F31&lt;4)</formula>
    </cfRule>
  </conditionalFormatting>
  <conditionalFormatting sqref="F32">
    <cfRule type="expression" priority="343" dxfId="0">
      <formula>AND(COUNT(C32:F32)=4,F32=4)</formula>
    </cfRule>
    <cfRule type="expression" priority="344" dxfId="1">
      <formula>AND(COUNT(C32:F32)=4,F32&lt;4*0.4)</formula>
    </cfRule>
    <cfRule type="expression" priority="345" dxfId="2">
      <formula>AND(COUNT(C32:F32)=4,F32&gt;=4*0.4,F32&lt;4)</formula>
    </cfRule>
  </conditionalFormatting>
  <conditionalFormatting sqref="F33">
    <cfRule type="expression" priority="346" dxfId="0">
      <formula>AND(COUNT(C33:F33)=4,F33=4)</formula>
    </cfRule>
    <cfRule type="expression" priority="347" dxfId="1">
      <formula>AND(COUNT(C33:F33)=4,F33&lt;4*0.4)</formula>
    </cfRule>
    <cfRule type="expression" priority="348" dxfId="2">
      <formula>AND(COUNT(C33:F33)=4,F33&gt;=4*0.4,F33&lt;4)</formula>
    </cfRule>
  </conditionalFormatting>
  <conditionalFormatting sqref="F34">
    <cfRule type="expression" priority="349" dxfId="0">
      <formula>AND(COUNT(C34:F34)=4,F34=4)</formula>
    </cfRule>
    <cfRule type="expression" priority="350" dxfId="1">
      <formula>AND(COUNT(C34:F34)=4,F34&lt;4*0.4)</formula>
    </cfRule>
    <cfRule type="expression" priority="351" dxfId="2">
      <formula>AND(COUNT(C34:F34)=4,F34&gt;=4*0.4,F34&lt;4)</formula>
    </cfRule>
  </conditionalFormatting>
  <conditionalFormatting sqref="F35">
    <cfRule type="expression" priority="352" dxfId="0">
      <formula>AND(COUNT(C35:F35)=4,F35=4)</formula>
    </cfRule>
    <cfRule type="expression" priority="353" dxfId="1">
      <formula>AND(COUNT(C35:F35)=4,F35&lt;4*0.4)</formula>
    </cfRule>
    <cfRule type="expression" priority="354" dxfId="2">
      <formula>AND(COUNT(C35:F35)=4,F35&gt;=4*0.4,F35&lt;4)</formula>
    </cfRule>
  </conditionalFormatting>
  <conditionalFormatting sqref="F36">
    <cfRule type="expression" priority="355" dxfId="0">
      <formula>AND(COUNT(C36:F36)=4,F36=4)</formula>
    </cfRule>
    <cfRule type="expression" priority="356" dxfId="1">
      <formula>AND(COUNT(C36:F36)=4,F36&lt;4*0.4)</formula>
    </cfRule>
    <cfRule type="expression" priority="357" dxfId="2">
      <formula>AND(COUNT(C36:F36)=4,F36&gt;=4*0.4,F36&lt;4)</formula>
    </cfRule>
  </conditionalFormatting>
  <conditionalFormatting sqref="F37">
    <cfRule type="expression" priority="358" dxfId="0">
      <formula>AND(COUNT(C37:F37)=4,F37=4)</formula>
    </cfRule>
    <cfRule type="expression" priority="359" dxfId="1">
      <formula>AND(COUNT(C37:F37)=4,F37&lt;4*0.4)</formula>
    </cfRule>
    <cfRule type="expression" priority="360" dxfId="2">
      <formula>AND(COUNT(C37:F37)=4,F37&gt;=4*0.4,F37&lt;4)</formula>
    </cfRule>
  </conditionalFormatting>
  <conditionalFormatting sqref="F38">
    <cfRule type="expression" priority="361" dxfId="0">
      <formula>AND(COUNT(C38:F38)=4,F38=4)</formula>
    </cfRule>
    <cfRule type="expression" priority="362" dxfId="1">
      <formula>AND(COUNT(C38:F38)=4,F38&lt;4*0.4)</formula>
    </cfRule>
    <cfRule type="expression" priority="363" dxfId="2">
      <formula>AND(COUNT(C38:F38)=4,F38&gt;=4*0.4,F38&lt;4)</formula>
    </cfRule>
  </conditionalFormatting>
  <conditionalFormatting sqref="F39">
    <cfRule type="expression" priority="364" dxfId="0">
      <formula>AND(COUNT(C39:F39)=4,F39=4)</formula>
    </cfRule>
    <cfRule type="expression" priority="365" dxfId="1">
      <formula>AND(COUNT(C39:F39)=4,F39&lt;4*0.4)</formula>
    </cfRule>
    <cfRule type="expression" priority="366" dxfId="2">
      <formula>AND(COUNT(C39:F39)=4,F39&gt;=4*0.4,F39&lt;4)</formula>
    </cfRule>
  </conditionalFormatting>
  <conditionalFormatting sqref="F40">
    <cfRule type="expression" priority="367" dxfId="0">
      <formula>AND(COUNT(C40:F40)=4,F40=4)</formula>
    </cfRule>
    <cfRule type="expression" priority="368" dxfId="1">
      <formula>AND(COUNT(C40:F40)=4,F40&lt;4*0.4)</formula>
    </cfRule>
    <cfRule type="expression" priority="369" dxfId="2">
      <formula>AND(COUNT(C40:F40)=4,F40&gt;=4*0.4,F40&lt;4)</formula>
    </cfRule>
  </conditionalFormatting>
  <conditionalFormatting sqref="F41">
    <cfRule type="expression" priority="370" dxfId="0">
      <formula>AND(COUNT(C41:F41)=4,F41=4)</formula>
    </cfRule>
    <cfRule type="expression" priority="371" dxfId="1">
      <formula>AND(COUNT(C41:F41)=4,F41&lt;4*0.4)</formula>
    </cfRule>
    <cfRule type="expression" priority="372" dxfId="2">
      <formula>AND(COUNT(C41:F41)=4,F41&gt;=4*0.4,F41&lt;4)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Mini Test 5.1 — The Normal Distribution</t>
        </is>
      </c>
    </row>
    <row r="2">
      <c r="A2" s="2" t="inlineStr">
        <is>
          <t>Every block below pulls live from 'MT 5.1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SUMPRODUCT(--ISNUMBER('MT 5.1 Results'!I12:I41))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IF('MT 5.1 Results'!I12="","","Mini Test 5.1 — The Normal Distribution")</f>
        <v/>
      </c>
      <c r="K5">
        <f>IF('MT 5.1 Results'!I13="","","Mini Test 5.1 — The Normal Distribution")</f>
        <v/>
      </c>
    </row>
    <row r="6">
      <c r="A6">
        <f>IF('MT 5.1 Results'!I12="","","Name: "&amp;'MT 5.1 Results'!B12&amp;"   Class: "&amp;'MT 5.1 Results'!$B$3&amp;"   Date: "&amp;TEXT('MT 5.1 Results'!$B$5,"DD/MM/YY"))</f>
        <v/>
      </c>
      <c r="K6">
        <f>IF('MT 5.1 Results'!I13="","","Name: "&amp;'MT 5.1 Results'!B13&amp;"   Class: "&amp;'MT 5.1 Results'!$B$3&amp;"   Date: "&amp;TEXT('MT 5.1 Results'!$B$5,"DD/MM/YY"))</f>
        <v/>
      </c>
    </row>
    <row r="7">
      <c r="A7">
        <f>IF('MT 5.1 Results'!I12="","","Total: "&amp;'MT 5.1 Results'!G12&amp;"/24 ("&amp;TEXT('MT 5.1 Results'!H12,"0%")&amp;")   Overall: "&amp;'MT 5.1 Results'!I12)</f>
        <v/>
      </c>
      <c r="K7">
        <f>IF('MT 5.1 Results'!I13="","","Total: "&amp;'MT 5.1 Results'!G13&amp;"/24 ("&amp;TEXT('MT 5.1 Results'!H13,"0%")&amp;")   Overall: "&amp;'MT 5.1 Results'!I13)</f>
        <v/>
      </c>
    </row>
    <row r="8">
      <c r="A8">
        <f>IF('MT 5.1 Results'!I12="","",IF('MT 5.1 Results'!I12="Green",Parameters!$C$291,IF('MT 5.1 Results'!I12="Yellow",Parameters!$C$290,Parameters!$C$289)))</f>
        <v/>
      </c>
      <c r="K8">
        <f>IF('MT 5.1 Results'!I13="","",IF('MT 5.1 Results'!I13="Green",Parameters!$C$291,IF('MT 5.1 Results'!I13="Yellow",Parameters!$C$290,Parameters!$C$289)))</f>
        <v/>
      </c>
    </row>
    <row r="10">
      <c r="A10">
        <f>IF('MT 5.1 Results'!I12="","","Breakdown:")</f>
        <v/>
      </c>
      <c r="K10">
        <f>IF('MT 5.1 Results'!I13="","","Breakdown:")</f>
        <v/>
      </c>
    </row>
    <row r="11">
      <c r="A11">
        <f>IF('MT 5.1 Results'!I12="","","Q1 Properties, sketching a curve &amp; the 68-95-99.7 rule: "&amp;'MT 5.1 Results'!C12&amp;"/6")</f>
        <v/>
      </c>
      <c r="K11">
        <f>IF('MT 5.1 Results'!I13="","","Q1 Properties, sketching a curve &amp; the 68-95-99.7 rule: "&amp;'MT 5.1 Results'!C13&amp;"/6")</f>
        <v/>
      </c>
    </row>
    <row r="12">
      <c r="A12">
        <f>IF('MT 5.1 Results'!I12="","","Q2 Standardising to find a z-value: "&amp;'MT 5.1 Results'!D12&amp;"/6")</f>
        <v/>
      </c>
      <c r="K12">
        <f>IF('MT 5.1 Results'!I13="","","Q2 Standardising to find a z-value: "&amp;'MT 5.1 Results'!D13&amp;"/6")</f>
        <v/>
      </c>
    </row>
    <row r="13">
      <c r="A13">
        <f>IF('MT 5.1 Results'!I12="","","Q3 Finding probabilities from a normal model: "&amp;'MT 5.1 Results'!E12&amp;"/8")</f>
        <v/>
      </c>
      <c r="K13">
        <f>IF('MT 5.1 Results'!I13="","","Q3 Finding probabilities from a normal model: "&amp;'MT 5.1 Results'!E13&amp;"/8")</f>
        <v/>
      </c>
    </row>
    <row r="14">
      <c r="A14">
        <f>IF('MT 5.1 Results'!I12="","","Q4 Limitations of the normal model: "&amp;'MT 5.1 Results'!F12&amp;"/4")</f>
        <v/>
      </c>
      <c r="K14">
        <f>IF('MT 5.1 Results'!I13="","","Q4 Limitations of the normal model: "&amp;'MT 5.1 Results'!F13&amp;"/4")</f>
        <v/>
      </c>
    </row>
    <row r="15">
      <c r="A15">
        <f>IF(OR('MT 5.1 Results'!I12="",'MT 5.1 Results'!J12=""),"",'MT 5.1 Results'!J12)</f>
        <v/>
      </c>
      <c r="K15">
        <f>IF(OR('MT 5.1 Results'!I13="",'MT 5.1 Results'!J13=""),"",'MT 5.1 Results'!J13)</f>
        <v/>
      </c>
    </row>
    <row r="17">
      <c r="A17">
        <f>IF('MT 5.1 Results'!I12="","","Comments:")</f>
        <v/>
      </c>
      <c r="K17">
        <f>IF('MT 5.1 Results'!I13="","","Comments:")</f>
        <v/>
      </c>
    </row>
    <row r="21">
      <c r="A21">
        <f>IF('MT 5.1 Results'!I14="","","Mini Test 5.1 — The Normal Distribution")</f>
        <v/>
      </c>
      <c r="K21">
        <f>IF('MT 5.1 Results'!I15="","","Mini Test 5.1 — The Normal Distribution")</f>
        <v/>
      </c>
    </row>
    <row r="22">
      <c r="A22">
        <f>IF('MT 5.1 Results'!I14="","","Name: "&amp;'MT 5.1 Results'!B14&amp;"   Class: "&amp;'MT 5.1 Results'!$B$3&amp;"   Date: "&amp;TEXT('MT 5.1 Results'!$B$5,"DD/MM/YY"))</f>
        <v/>
      </c>
      <c r="K22">
        <f>IF('MT 5.1 Results'!I15="","","Name: "&amp;'MT 5.1 Results'!B15&amp;"   Class: "&amp;'MT 5.1 Results'!$B$3&amp;"   Date: "&amp;TEXT('MT 5.1 Results'!$B$5,"DD/MM/YY"))</f>
        <v/>
      </c>
    </row>
    <row r="23">
      <c r="A23">
        <f>IF('MT 5.1 Results'!I14="","","Total: "&amp;'MT 5.1 Results'!G14&amp;"/24 ("&amp;TEXT('MT 5.1 Results'!H14,"0%")&amp;")   Overall: "&amp;'MT 5.1 Results'!I14)</f>
        <v/>
      </c>
      <c r="K23">
        <f>IF('MT 5.1 Results'!I15="","","Total: "&amp;'MT 5.1 Results'!G15&amp;"/24 ("&amp;TEXT('MT 5.1 Results'!H15,"0%")&amp;")   Overall: "&amp;'MT 5.1 Results'!I15)</f>
        <v/>
      </c>
    </row>
    <row r="24">
      <c r="A24">
        <f>IF('MT 5.1 Results'!I14="","",IF('MT 5.1 Results'!I14="Green",Parameters!$C$291,IF('MT 5.1 Results'!I14="Yellow",Parameters!$C$290,Parameters!$C$289)))</f>
        <v/>
      </c>
      <c r="K24">
        <f>IF('MT 5.1 Results'!I15="","",IF('MT 5.1 Results'!I15="Green",Parameters!$C$291,IF('MT 5.1 Results'!I15="Yellow",Parameters!$C$290,Parameters!$C$289)))</f>
        <v/>
      </c>
    </row>
    <row r="26">
      <c r="A26">
        <f>IF('MT 5.1 Results'!I14="","","Breakdown:")</f>
        <v/>
      </c>
      <c r="K26">
        <f>IF('MT 5.1 Results'!I15="","","Breakdown:")</f>
        <v/>
      </c>
    </row>
    <row r="27">
      <c r="A27">
        <f>IF('MT 5.1 Results'!I14="","","Q1 Properties, sketching a curve &amp; the 68-95-99.7 rule: "&amp;'MT 5.1 Results'!C14&amp;"/6")</f>
        <v/>
      </c>
      <c r="K27">
        <f>IF('MT 5.1 Results'!I15="","","Q1 Properties, sketching a curve &amp; the 68-95-99.7 rule: "&amp;'MT 5.1 Results'!C15&amp;"/6")</f>
        <v/>
      </c>
    </row>
    <row r="28">
      <c r="A28">
        <f>IF('MT 5.1 Results'!I14="","","Q2 Standardising to find a z-value: "&amp;'MT 5.1 Results'!D14&amp;"/6")</f>
        <v/>
      </c>
      <c r="K28">
        <f>IF('MT 5.1 Results'!I15="","","Q2 Standardising to find a z-value: "&amp;'MT 5.1 Results'!D15&amp;"/6")</f>
        <v/>
      </c>
    </row>
    <row r="29">
      <c r="A29">
        <f>IF('MT 5.1 Results'!I14="","","Q3 Finding probabilities from a normal model: "&amp;'MT 5.1 Results'!E14&amp;"/8")</f>
        <v/>
      </c>
      <c r="K29">
        <f>IF('MT 5.1 Results'!I15="","","Q3 Finding probabilities from a normal model: "&amp;'MT 5.1 Results'!E15&amp;"/8")</f>
        <v/>
      </c>
    </row>
    <row r="30">
      <c r="A30">
        <f>IF('MT 5.1 Results'!I14="","","Q4 Limitations of the normal model: "&amp;'MT 5.1 Results'!F14&amp;"/4")</f>
        <v/>
      </c>
      <c r="K30">
        <f>IF('MT 5.1 Results'!I15="","","Q4 Limitations of the normal model: "&amp;'MT 5.1 Results'!F15&amp;"/4")</f>
        <v/>
      </c>
    </row>
    <row r="31">
      <c r="A31">
        <f>IF(OR('MT 5.1 Results'!I14="",'MT 5.1 Results'!J14=""),"",'MT 5.1 Results'!J14)</f>
        <v/>
      </c>
      <c r="K31">
        <f>IF(OR('MT 5.1 Results'!I15="",'MT 5.1 Results'!J15=""),"",'MT 5.1 Results'!J15)</f>
        <v/>
      </c>
    </row>
    <row r="33">
      <c r="A33">
        <f>IF('MT 5.1 Results'!I14="","","Comments:")</f>
        <v/>
      </c>
      <c r="K33">
        <f>IF('MT 5.1 Results'!I15="","","Comments:")</f>
        <v/>
      </c>
    </row>
    <row r="37">
      <c r="A37">
        <f>IF('MT 5.1 Results'!I16="","","Mini Test 5.1 — The Normal Distribution")</f>
        <v/>
      </c>
      <c r="K37">
        <f>IF('MT 5.1 Results'!I17="","","Mini Test 5.1 — The Normal Distribution")</f>
        <v/>
      </c>
    </row>
    <row r="38">
      <c r="A38">
        <f>IF('MT 5.1 Results'!I16="","","Name: "&amp;'MT 5.1 Results'!B16&amp;"   Class: "&amp;'MT 5.1 Results'!$B$3&amp;"   Date: "&amp;TEXT('MT 5.1 Results'!$B$5,"DD/MM/YY"))</f>
        <v/>
      </c>
      <c r="K38">
        <f>IF('MT 5.1 Results'!I17="","","Name: "&amp;'MT 5.1 Results'!B17&amp;"   Class: "&amp;'MT 5.1 Results'!$B$3&amp;"   Date: "&amp;TEXT('MT 5.1 Results'!$B$5,"DD/MM/YY"))</f>
        <v/>
      </c>
    </row>
    <row r="39">
      <c r="A39">
        <f>IF('MT 5.1 Results'!I16="","","Total: "&amp;'MT 5.1 Results'!G16&amp;"/24 ("&amp;TEXT('MT 5.1 Results'!H16,"0%")&amp;")   Overall: "&amp;'MT 5.1 Results'!I16)</f>
        <v/>
      </c>
      <c r="K39">
        <f>IF('MT 5.1 Results'!I17="","","Total: "&amp;'MT 5.1 Results'!G17&amp;"/24 ("&amp;TEXT('MT 5.1 Results'!H17,"0%")&amp;")   Overall: "&amp;'MT 5.1 Results'!I17)</f>
        <v/>
      </c>
    </row>
    <row r="40">
      <c r="A40">
        <f>IF('MT 5.1 Results'!I16="","",IF('MT 5.1 Results'!I16="Green",Parameters!$C$291,IF('MT 5.1 Results'!I16="Yellow",Parameters!$C$290,Parameters!$C$289)))</f>
        <v/>
      </c>
      <c r="K40">
        <f>IF('MT 5.1 Results'!I17="","",IF('MT 5.1 Results'!I17="Green",Parameters!$C$291,IF('MT 5.1 Results'!I17="Yellow",Parameters!$C$290,Parameters!$C$289)))</f>
        <v/>
      </c>
    </row>
    <row r="42">
      <c r="A42">
        <f>IF('MT 5.1 Results'!I16="","","Breakdown:")</f>
        <v/>
      </c>
      <c r="K42">
        <f>IF('MT 5.1 Results'!I17="","","Breakdown:")</f>
        <v/>
      </c>
    </row>
    <row r="43">
      <c r="A43">
        <f>IF('MT 5.1 Results'!I16="","","Q1 Properties, sketching a curve &amp; the 68-95-99.7 rule: "&amp;'MT 5.1 Results'!C16&amp;"/6")</f>
        <v/>
      </c>
      <c r="K43">
        <f>IF('MT 5.1 Results'!I17="","","Q1 Properties, sketching a curve &amp; the 68-95-99.7 rule: "&amp;'MT 5.1 Results'!C17&amp;"/6")</f>
        <v/>
      </c>
    </row>
    <row r="44">
      <c r="A44">
        <f>IF('MT 5.1 Results'!I16="","","Q2 Standardising to find a z-value: "&amp;'MT 5.1 Results'!D16&amp;"/6")</f>
        <v/>
      </c>
      <c r="K44">
        <f>IF('MT 5.1 Results'!I17="","","Q2 Standardising to find a z-value: "&amp;'MT 5.1 Results'!D17&amp;"/6")</f>
        <v/>
      </c>
    </row>
    <row r="45">
      <c r="A45">
        <f>IF('MT 5.1 Results'!I16="","","Q3 Finding probabilities from a normal model: "&amp;'MT 5.1 Results'!E16&amp;"/8")</f>
        <v/>
      </c>
      <c r="K45">
        <f>IF('MT 5.1 Results'!I17="","","Q3 Finding probabilities from a normal model: "&amp;'MT 5.1 Results'!E17&amp;"/8")</f>
        <v/>
      </c>
    </row>
    <row r="46">
      <c r="A46">
        <f>IF('MT 5.1 Results'!I16="","","Q4 Limitations of the normal model: "&amp;'MT 5.1 Results'!F16&amp;"/4")</f>
        <v/>
      </c>
      <c r="K46">
        <f>IF('MT 5.1 Results'!I17="","","Q4 Limitations of the normal model: "&amp;'MT 5.1 Results'!F17&amp;"/4")</f>
        <v/>
      </c>
    </row>
    <row r="47">
      <c r="A47">
        <f>IF(OR('MT 5.1 Results'!I16="",'MT 5.1 Results'!J16=""),"",'MT 5.1 Results'!J16)</f>
        <v/>
      </c>
      <c r="K47">
        <f>IF(OR('MT 5.1 Results'!I17="",'MT 5.1 Results'!J17=""),"",'MT 5.1 Results'!J17)</f>
        <v/>
      </c>
    </row>
    <row r="49">
      <c r="A49">
        <f>IF('MT 5.1 Results'!I16="","","Comments:")</f>
        <v/>
      </c>
      <c r="K49">
        <f>IF('MT 5.1 Results'!I17="","","Comments:")</f>
        <v/>
      </c>
    </row>
    <row r="53">
      <c r="A53">
        <f>IF('MT 5.1 Results'!I18="","","Mini Test 5.1 — The Normal Distribution")</f>
        <v/>
      </c>
      <c r="K53">
        <f>IF('MT 5.1 Results'!I19="","","Mini Test 5.1 — The Normal Distribution")</f>
        <v/>
      </c>
    </row>
    <row r="54">
      <c r="A54">
        <f>IF('MT 5.1 Results'!I18="","","Name: "&amp;'MT 5.1 Results'!B18&amp;"   Class: "&amp;'MT 5.1 Results'!$B$3&amp;"   Date: "&amp;TEXT('MT 5.1 Results'!$B$5,"DD/MM/YY"))</f>
        <v/>
      </c>
      <c r="K54">
        <f>IF('MT 5.1 Results'!I19="","","Name: "&amp;'MT 5.1 Results'!B19&amp;"   Class: "&amp;'MT 5.1 Results'!$B$3&amp;"   Date: "&amp;TEXT('MT 5.1 Results'!$B$5,"DD/MM/YY"))</f>
        <v/>
      </c>
    </row>
    <row r="55">
      <c r="A55">
        <f>IF('MT 5.1 Results'!I18="","","Total: "&amp;'MT 5.1 Results'!G18&amp;"/24 ("&amp;TEXT('MT 5.1 Results'!H18,"0%")&amp;")   Overall: "&amp;'MT 5.1 Results'!I18)</f>
        <v/>
      </c>
      <c r="K55">
        <f>IF('MT 5.1 Results'!I19="","","Total: "&amp;'MT 5.1 Results'!G19&amp;"/24 ("&amp;TEXT('MT 5.1 Results'!H19,"0%")&amp;")   Overall: "&amp;'MT 5.1 Results'!I19)</f>
        <v/>
      </c>
    </row>
    <row r="56">
      <c r="A56">
        <f>IF('MT 5.1 Results'!I18="","",IF('MT 5.1 Results'!I18="Green",Parameters!$C$291,IF('MT 5.1 Results'!I18="Yellow",Parameters!$C$290,Parameters!$C$289)))</f>
        <v/>
      </c>
      <c r="K56">
        <f>IF('MT 5.1 Results'!I19="","",IF('MT 5.1 Results'!I19="Green",Parameters!$C$291,IF('MT 5.1 Results'!I19="Yellow",Parameters!$C$290,Parameters!$C$289)))</f>
        <v/>
      </c>
    </row>
    <row r="58">
      <c r="A58">
        <f>IF('MT 5.1 Results'!I18="","","Breakdown:")</f>
        <v/>
      </c>
      <c r="K58">
        <f>IF('MT 5.1 Results'!I19="","","Breakdown:")</f>
        <v/>
      </c>
    </row>
    <row r="59">
      <c r="A59">
        <f>IF('MT 5.1 Results'!I18="","","Q1 Properties, sketching a curve &amp; the 68-95-99.7 rule: "&amp;'MT 5.1 Results'!C18&amp;"/6")</f>
        <v/>
      </c>
      <c r="K59">
        <f>IF('MT 5.1 Results'!I19="","","Q1 Properties, sketching a curve &amp; the 68-95-99.7 rule: "&amp;'MT 5.1 Results'!C19&amp;"/6")</f>
        <v/>
      </c>
    </row>
    <row r="60">
      <c r="A60">
        <f>IF('MT 5.1 Results'!I18="","","Q2 Standardising to find a z-value: "&amp;'MT 5.1 Results'!D18&amp;"/6")</f>
        <v/>
      </c>
      <c r="K60">
        <f>IF('MT 5.1 Results'!I19="","","Q2 Standardising to find a z-value: "&amp;'MT 5.1 Results'!D19&amp;"/6")</f>
        <v/>
      </c>
    </row>
    <row r="61">
      <c r="A61">
        <f>IF('MT 5.1 Results'!I18="","","Q3 Finding probabilities from a normal model: "&amp;'MT 5.1 Results'!E18&amp;"/8")</f>
        <v/>
      </c>
      <c r="K61">
        <f>IF('MT 5.1 Results'!I19="","","Q3 Finding probabilities from a normal model: "&amp;'MT 5.1 Results'!E19&amp;"/8")</f>
        <v/>
      </c>
    </row>
    <row r="62">
      <c r="A62">
        <f>IF('MT 5.1 Results'!I18="","","Q4 Limitations of the normal model: "&amp;'MT 5.1 Results'!F18&amp;"/4")</f>
        <v/>
      </c>
      <c r="K62">
        <f>IF('MT 5.1 Results'!I19="","","Q4 Limitations of the normal model: "&amp;'MT 5.1 Results'!F19&amp;"/4")</f>
        <v/>
      </c>
    </row>
    <row r="63">
      <c r="A63">
        <f>IF(OR('MT 5.1 Results'!I18="",'MT 5.1 Results'!J18=""),"",'MT 5.1 Results'!J18)</f>
        <v/>
      </c>
      <c r="K63">
        <f>IF(OR('MT 5.1 Results'!I19="",'MT 5.1 Results'!J19=""),"",'MT 5.1 Results'!J19)</f>
        <v/>
      </c>
    </row>
    <row r="65">
      <c r="A65">
        <f>IF('MT 5.1 Results'!I18="","","Comments:")</f>
        <v/>
      </c>
      <c r="K65">
        <f>IF('MT 5.1 Results'!I19="","","Comments:")</f>
        <v/>
      </c>
    </row>
    <row r="69">
      <c r="A69">
        <f>IF('MT 5.1 Results'!I20="","","Mini Test 5.1 — The Normal Distribution")</f>
        <v/>
      </c>
      <c r="K69">
        <f>IF('MT 5.1 Results'!I21="","","Mini Test 5.1 — The Normal Distribution")</f>
        <v/>
      </c>
    </row>
    <row r="70">
      <c r="A70">
        <f>IF('MT 5.1 Results'!I20="","","Name: "&amp;'MT 5.1 Results'!B20&amp;"   Class: "&amp;'MT 5.1 Results'!$B$3&amp;"   Date: "&amp;TEXT('MT 5.1 Results'!$B$5,"DD/MM/YY"))</f>
        <v/>
      </c>
      <c r="K70">
        <f>IF('MT 5.1 Results'!I21="","","Name: "&amp;'MT 5.1 Results'!B21&amp;"   Class: "&amp;'MT 5.1 Results'!$B$3&amp;"   Date: "&amp;TEXT('MT 5.1 Results'!$B$5,"DD/MM/YY"))</f>
        <v/>
      </c>
    </row>
    <row r="71">
      <c r="A71">
        <f>IF('MT 5.1 Results'!I20="","","Total: "&amp;'MT 5.1 Results'!G20&amp;"/24 ("&amp;TEXT('MT 5.1 Results'!H20,"0%")&amp;")   Overall: "&amp;'MT 5.1 Results'!I20)</f>
        <v/>
      </c>
      <c r="K71">
        <f>IF('MT 5.1 Results'!I21="","","Total: "&amp;'MT 5.1 Results'!G21&amp;"/24 ("&amp;TEXT('MT 5.1 Results'!H21,"0%")&amp;")   Overall: "&amp;'MT 5.1 Results'!I21)</f>
        <v/>
      </c>
    </row>
    <row r="72">
      <c r="A72">
        <f>IF('MT 5.1 Results'!I20="","",IF('MT 5.1 Results'!I20="Green",Parameters!$C$291,IF('MT 5.1 Results'!I20="Yellow",Parameters!$C$290,Parameters!$C$289)))</f>
        <v/>
      </c>
      <c r="K72">
        <f>IF('MT 5.1 Results'!I21="","",IF('MT 5.1 Results'!I21="Green",Parameters!$C$291,IF('MT 5.1 Results'!I21="Yellow",Parameters!$C$290,Parameters!$C$289)))</f>
        <v/>
      </c>
    </row>
    <row r="74">
      <c r="A74">
        <f>IF('MT 5.1 Results'!I20="","","Breakdown:")</f>
        <v/>
      </c>
      <c r="K74">
        <f>IF('MT 5.1 Results'!I21="","","Breakdown:")</f>
        <v/>
      </c>
    </row>
    <row r="75">
      <c r="A75">
        <f>IF('MT 5.1 Results'!I20="","","Q1 Properties, sketching a curve &amp; the 68-95-99.7 rule: "&amp;'MT 5.1 Results'!C20&amp;"/6")</f>
        <v/>
      </c>
      <c r="K75">
        <f>IF('MT 5.1 Results'!I21="","","Q1 Properties, sketching a curve &amp; the 68-95-99.7 rule: "&amp;'MT 5.1 Results'!C21&amp;"/6")</f>
        <v/>
      </c>
    </row>
    <row r="76">
      <c r="A76">
        <f>IF('MT 5.1 Results'!I20="","","Q2 Standardising to find a z-value: "&amp;'MT 5.1 Results'!D20&amp;"/6")</f>
        <v/>
      </c>
      <c r="K76">
        <f>IF('MT 5.1 Results'!I21="","","Q2 Standardising to find a z-value: "&amp;'MT 5.1 Results'!D21&amp;"/6")</f>
        <v/>
      </c>
    </row>
    <row r="77">
      <c r="A77">
        <f>IF('MT 5.1 Results'!I20="","","Q3 Finding probabilities from a normal model: "&amp;'MT 5.1 Results'!E20&amp;"/8")</f>
        <v/>
      </c>
      <c r="K77">
        <f>IF('MT 5.1 Results'!I21="","","Q3 Finding probabilities from a normal model: "&amp;'MT 5.1 Results'!E21&amp;"/8")</f>
        <v/>
      </c>
    </row>
    <row r="78">
      <c r="A78">
        <f>IF('MT 5.1 Results'!I20="","","Q4 Limitations of the normal model: "&amp;'MT 5.1 Results'!F20&amp;"/4")</f>
        <v/>
      </c>
      <c r="K78">
        <f>IF('MT 5.1 Results'!I21="","","Q4 Limitations of the normal model: "&amp;'MT 5.1 Results'!F21&amp;"/4")</f>
        <v/>
      </c>
    </row>
    <row r="79">
      <c r="A79">
        <f>IF(OR('MT 5.1 Results'!I20="",'MT 5.1 Results'!J20=""),"",'MT 5.1 Results'!J20)</f>
        <v/>
      </c>
      <c r="K79">
        <f>IF(OR('MT 5.1 Results'!I21="",'MT 5.1 Results'!J21=""),"",'MT 5.1 Results'!J21)</f>
        <v/>
      </c>
    </row>
    <row r="81">
      <c r="A81">
        <f>IF('MT 5.1 Results'!I20="","","Comments:")</f>
        <v/>
      </c>
      <c r="K81">
        <f>IF('MT 5.1 Results'!I21="","","Comments:")</f>
        <v/>
      </c>
    </row>
    <row r="85">
      <c r="A85">
        <f>IF('MT 5.1 Results'!I22="","","Mini Test 5.1 — The Normal Distribution")</f>
        <v/>
      </c>
      <c r="K85">
        <f>IF('MT 5.1 Results'!I23="","","Mini Test 5.1 — The Normal Distribution")</f>
        <v/>
      </c>
    </row>
    <row r="86">
      <c r="A86">
        <f>IF('MT 5.1 Results'!I22="","","Name: "&amp;'MT 5.1 Results'!B22&amp;"   Class: "&amp;'MT 5.1 Results'!$B$3&amp;"   Date: "&amp;TEXT('MT 5.1 Results'!$B$5,"DD/MM/YY"))</f>
        <v/>
      </c>
      <c r="K86">
        <f>IF('MT 5.1 Results'!I23="","","Name: "&amp;'MT 5.1 Results'!B23&amp;"   Class: "&amp;'MT 5.1 Results'!$B$3&amp;"   Date: "&amp;TEXT('MT 5.1 Results'!$B$5,"DD/MM/YY"))</f>
        <v/>
      </c>
    </row>
    <row r="87">
      <c r="A87">
        <f>IF('MT 5.1 Results'!I22="","","Total: "&amp;'MT 5.1 Results'!G22&amp;"/24 ("&amp;TEXT('MT 5.1 Results'!H22,"0%")&amp;")   Overall: "&amp;'MT 5.1 Results'!I22)</f>
        <v/>
      </c>
      <c r="K87">
        <f>IF('MT 5.1 Results'!I23="","","Total: "&amp;'MT 5.1 Results'!G23&amp;"/24 ("&amp;TEXT('MT 5.1 Results'!H23,"0%")&amp;")   Overall: "&amp;'MT 5.1 Results'!I23)</f>
        <v/>
      </c>
    </row>
    <row r="88">
      <c r="A88">
        <f>IF('MT 5.1 Results'!I22="","",IF('MT 5.1 Results'!I22="Green",Parameters!$C$291,IF('MT 5.1 Results'!I22="Yellow",Parameters!$C$290,Parameters!$C$289)))</f>
        <v/>
      </c>
      <c r="K88">
        <f>IF('MT 5.1 Results'!I23="","",IF('MT 5.1 Results'!I23="Green",Parameters!$C$291,IF('MT 5.1 Results'!I23="Yellow",Parameters!$C$290,Parameters!$C$289)))</f>
        <v/>
      </c>
    </row>
    <row r="90">
      <c r="A90">
        <f>IF('MT 5.1 Results'!I22="","","Breakdown:")</f>
        <v/>
      </c>
      <c r="K90">
        <f>IF('MT 5.1 Results'!I23="","","Breakdown:")</f>
        <v/>
      </c>
    </row>
    <row r="91">
      <c r="A91">
        <f>IF('MT 5.1 Results'!I22="","","Q1 Properties, sketching a curve &amp; the 68-95-99.7 rule: "&amp;'MT 5.1 Results'!C22&amp;"/6")</f>
        <v/>
      </c>
      <c r="K91">
        <f>IF('MT 5.1 Results'!I23="","","Q1 Properties, sketching a curve &amp; the 68-95-99.7 rule: "&amp;'MT 5.1 Results'!C23&amp;"/6")</f>
        <v/>
      </c>
    </row>
    <row r="92">
      <c r="A92">
        <f>IF('MT 5.1 Results'!I22="","","Q2 Standardising to find a z-value: "&amp;'MT 5.1 Results'!D22&amp;"/6")</f>
        <v/>
      </c>
      <c r="K92">
        <f>IF('MT 5.1 Results'!I23="","","Q2 Standardising to find a z-value: "&amp;'MT 5.1 Results'!D23&amp;"/6")</f>
        <v/>
      </c>
    </row>
    <row r="93">
      <c r="A93">
        <f>IF('MT 5.1 Results'!I22="","","Q3 Finding probabilities from a normal model: "&amp;'MT 5.1 Results'!E22&amp;"/8")</f>
        <v/>
      </c>
      <c r="K93">
        <f>IF('MT 5.1 Results'!I23="","","Q3 Finding probabilities from a normal model: "&amp;'MT 5.1 Results'!E23&amp;"/8")</f>
        <v/>
      </c>
    </row>
    <row r="94">
      <c r="A94">
        <f>IF('MT 5.1 Results'!I22="","","Q4 Limitations of the normal model: "&amp;'MT 5.1 Results'!F22&amp;"/4")</f>
        <v/>
      </c>
      <c r="K94">
        <f>IF('MT 5.1 Results'!I23="","","Q4 Limitations of the normal model: "&amp;'MT 5.1 Results'!F23&amp;"/4")</f>
        <v/>
      </c>
    </row>
    <row r="95">
      <c r="A95">
        <f>IF(OR('MT 5.1 Results'!I22="",'MT 5.1 Results'!J22=""),"",'MT 5.1 Results'!J22)</f>
        <v/>
      </c>
      <c r="K95">
        <f>IF(OR('MT 5.1 Results'!I23="",'MT 5.1 Results'!J23=""),"",'MT 5.1 Results'!J23)</f>
        <v/>
      </c>
    </row>
    <row r="97">
      <c r="A97">
        <f>IF('MT 5.1 Results'!I22="","","Comments:")</f>
        <v/>
      </c>
      <c r="K97">
        <f>IF('MT 5.1 Results'!I23="","","Comments:")</f>
        <v/>
      </c>
    </row>
    <row r="101">
      <c r="A101">
        <f>IF('MT 5.1 Results'!I24="","","Mini Test 5.1 — The Normal Distribution")</f>
        <v/>
      </c>
      <c r="K101">
        <f>IF('MT 5.1 Results'!I25="","","Mini Test 5.1 — The Normal Distribution")</f>
        <v/>
      </c>
    </row>
    <row r="102">
      <c r="A102">
        <f>IF('MT 5.1 Results'!I24="","","Name: "&amp;'MT 5.1 Results'!B24&amp;"   Class: "&amp;'MT 5.1 Results'!$B$3&amp;"   Date: "&amp;TEXT('MT 5.1 Results'!$B$5,"DD/MM/YY"))</f>
        <v/>
      </c>
      <c r="K102">
        <f>IF('MT 5.1 Results'!I25="","","Name: "&amp;'MT 5.1 Results'!B25&amp;"   Class: "&amp;'MT 5.1 Results'!$B$3&amp;"   Date: "&amp;TEXT('MT 5.1 Results'!$B$5,"DD/MM/YY"))</f>
        <v/>
      </c>
    </row>
    <row r="103">
      <c r="A103">
        <f>IF('MT 5.1 Results'!I24="","","Total: "&amp;'MT 5.1 Results'!G24&amp;"/24 ("&amp;TEXT('MT 5.1 Results'!H24,"0%")&amp;")   Overall: "&amp;'MT 5.1 Results'!I24)</f>
        <v/>
      </c>
      <c r="K103">
        <f>IF('MT 5.1 Results'!I25="","","Total: "&amp;'MT 5.1 Results'!G25&amp;"/24 ("&amp;TEXT('MT 5.1 Results'!H25,"0%")&amp;")   Overall: "&amp;'MT 5.1 Results'!I25)</f>
        <v/>
      </c>
    </row>
    <row r="104">
      <c r="A104">
        <f>IF('MT 5.1 Results'!I24="","",IF('MT 5.1 Results'!I24="Green",Parameters!$C$291,IF('MT 5.1 Results'!I24="Yellow",Parameters!$C$290,Parameters!$C$289)))</f>
        <v/>
      </c>
      <c r="K104">
        <f>IF('MT 5.1 Results'!I25="","",IF('MT 5.1 Results'!I25="Green",Parameters!$C$291,IF('MT 5.1 Results'!I25="Yellow",Parameters!$C$290,Parameters!$C$289)))</f>
        <v/>
      </c>
    </row>
    <row r="106">
      <c r="A106">
        <f>IF('MT 5.1 Results'!I24="","","Breakdown:")</f>
        <v/>
      </c>
      <c r="K106">
        <f>IF('MT 5.1 Results'!I25="","","Breakdown:")</f>
        <v/>
      </c>
    </row>
    <row r="107">
      <c r="A107">
        <f>IF('MT 5.1 Results'!I24="","","Q1 Properties, sketching a curve &amp; the 68-95-99.7 rule: "&amp;'MT 5.1 Results'!C24&amp;"/6")</f>
        <v/>
      </c>
      <c r="K107">
        <f>IF('MT 5.1 Results'!I25="","","Q1 Properties, sketching a curve &amp; the 68-95-99.7 rule: "&amp;'MT 5.1 Results'!C25&amp;"/6")</f>
        <v/>
      </c>
    </row>
    <row r="108">
      <c r="A108">
        <f>IF('MT 5.1 Results'!I24="","","Q2 Standardising to find a z-value: "&amp;'MT 5.1 Results'!D24&amp;"/6")</f>
        <v/>
      </c>
      <c r="K108">
        <f>IF('MT 5.1 Results'!I25="","","Q2 Standardising to find a z-value: "&amp;'MT 5.1 Results'!D25&amp;"/6")</f>
        <v/>
      </c>
    </row>
    <row r="109">
      <c r="A109">
        <f>IF('MT 5.1 Results'!I24="","","Q3 Finding probabilities from a normal model: "&amp;'MT 5.1 Results'!E24&amp;"/8")</f>
        <v/>
      </c>
      <c r="K109">
        <f>IF('MT 5.1 Results'!I25="","","Q3 Finding probabilities from a normal model: "&amp;'MT 5.1 Results'!E25&amp;"/8")</f>
        <v/>
      </c>
    </row>
    <row r="110">
      <c r="A110">
        <f>IF('MT 5.1 Results'!I24="","","Q4 Limitations of the normal model: "&amp;'MT 5.1 Results'!F24&amp;"/4")</f>
        <v/>
      </c>
      <c r="K110">
        <f>IF('MT 5.1 Results'!I25="","","Q4 Limitations of the normal model: "&amp;'MT 5.1 Results'!F25&amp;"/4")</f>
        <v/>
      </c>
    </row>
    <row r="111">
      <c r="A111">
        <f>IF(OR('MT 5.1 Results'!I24="",'MT 5.1 Results'!J24=""),"",'MT 5.1 Results'!J24)</f>
        <v/>
      </c>
      <c r="K111">
        <f>IF(OR('MT 5.1 Results'!I25="",'MT 5.1 Results'!J25=""),"",'MT 5.1 Results'!J25)</f>
        <v/>
      </c>
    </row>
    <row r="113">
      <c r="A113">
        <f>IF('MT 5.1 Results'!I24="","","Comments:")</f>
        <v/>
      </c>
      <c r="K113">
        <f>IF('MT 5.1 Results'!I25="","","Comments:")</f>
        <v/>
      </c>
    </row>
    <row r="117">
      <c r="A117">
        <f>IF('MT 5.1 Results'!I26="","","Mini Test 5.1 — The Normal Distribution")</f>
        <v/>
      </c>
      <c r="K117">
        <f>IF('MT 5.1 Results'!I27="","","Mini Test 5.1 — The Normal Distribution")</f>
        <v/>
      </c>
    </row>
    <row r="118">
      <c r="A118">
        <f>IF('MT 5.1 Results'!I26="","","Name: "&amp;'MT 5.1 Results'!B26&amp;"   Class: "&amp;'MT 5.1 Results'!$B$3&amp;"   Date: "&amp;TEXT('MT 5.1 Results'!$B$5,"DD/MM/YY"))</f>
        <v/>
      </c>
      <c r="K118">
        <f>IF('MT 5.1 Results'!I27="","","Name: "&amp;'MT 5.1 Results'!B27&amp;"   Class: "&amp;'MT 5.1 Results'!$B$3&amp;"   Date: "&amp;TEXT('MT 5.1 Results'!$B$5,"DD/MM/YY"))</f>
        <v/>
      </c>
    </row>
    <row r="119">
      <c r="A119">
        <f>IF('MT 5.1 Results'!I26="","","Total: "&amp;'MT 5.1 Results'!G26&amp;"/24 ("&amp;TEXT('MT 5.1 Results'!H26,"0%")&amp;")   Overall: "&amp;'MT 5.1 Results'!I26)</f>
        <v/>
      </c>
      <c r="K119">
        <f>IF('MT 5.1 Results'!I27="","","Total: "&amp;'MT 5.1 Results'!G27&amp;"/24 ("&amp;TEXT('MT 5.1 Results'!H27,"0%")&amp;")   Overall: "&amp;'MT 5.1 Results'!I27)</f>
        <v/>
      </c>
    </row>
    <row r="120">
      <c r="A120">
        <f>IF('MT 5.1 Results'!I26="","",IF('MT 5.1 Results'!I26="Green",Parameters!$C$291,IF('MT 5.1 Results'!I26="Yellow",Parameters!$C$290,Parameters!$C$289)))</f>
        <v/>
      </c>
      <c r="K120">
        <f>IF('MT 5.1 Results'!I27="","",IF('MT 5.1 Results'!I27="Green",Parameters!$C$291,IF('MT 5.1 Results'!I27="Yellow",Parameters!$C$290,Parameters!$C$289)))</f>
        <v/>
      </c>
    </row>
    <row r="122">
      <c r="A122">
        <f>IF('MT 5.1 Results'!I26="","","Breakdown:")</f>
        <v/>
      </c>
      <c r="K122">
        <f>IF('MT 5.1 Results'!I27="","","Breakdown:")</f>
        <v/>
      </c>
    </row>
    <row r="123">
      <c r="A123">
        <f>IF('MT 5.1 Results'!I26="","","Q1 Properties, sketching a curve &amp; the 68-95-99.7 rule: "&amp;'MT 5.1 Results'!C26&amp;"/6")</f>
        <v/>
      </c>
      <c r="K123">
        <f>IF('MT 5.1 Results'!I27="","","Q1 Properties, sketching a curve &amp; the 68-95-99.7 rule: "&amp;'MT 5.1 Results'!C27&amp;"/6")</f>
        <v/>
      </c>
    </row>
    <row r="124">
      <c r="A124">
        <f>IF('MT 5.1 Results'!I26="","","Q2 Standardising to find a z-value: "&amp;'MT 5.1 Results'!D26&amp;"/6")</f>
        <v/>
      </c>
      <c r="K124">
        <f>IF('MT 5.1 Results'!I27="","","Q2 Standardising to find a z-value: "&amp;'MT 5.1 Results'!D27&amp;"/6")</f>
        <v/>
      </c>
    </row>
    <row r="125">
      <c r="A125">
        <f>IF('MT 5.1 Results'!I26="","","Q3 Finding probabilities from a normal model: "&amp;'MT 5.1 Results'!E26&amp;"/8")</f>
        <v/>
      </c>
      <c r="K125">
        <f>IF('MT 5.1 Results'!I27="","","Q3 Finding probabilities from a normal model: "&amp;'MT 5.1 Results'!E27&amp;"/8")</f>
        <v/>
      </c>
    </row>
    <row r="126">
      <c r="A126">
        <f>IF('MT 5.1 Results'!I26="","","Q4 Limitations of the normal model: "&amp;'MT 5.1 Results'!F26&amp;"/4")</f>
        <v/>
      </c>
      <c r="K126">
        <f>IF('MT 5.1 Results'!I27="","","Q4 Limitations of the normal model: "&amp;'MT 5.1 Results'!F27&amp;"/4")</f>
        <v/>
      </c>
    </row>
    <row r="127">
      <c r="A127">
        <f>IF(OR('MT 5.1 Results'!I26="",'MT 5.1 Results'!J26=""),"",'MT 5.1 Results'!J26)</f>
        <v/>
      </c>
      <c r="K127">
        <f>IF(OR('MT 5.1 Results'!I27="",'MT 5.1 Results'!J27=""),"",'MT 5.1 Results'!J27)</f>
        <v/>
      </c>
    </row>
    <row r="129">
      <c r="A129">
        <f>IF('MT 5.1 Results'!I26="","","Comments:")</f>
        <v/>
      </c>
      <c r="K129">
        <f>IF('MT 5.1 Results'!I27="","","Comments:")</f>
        <v/>
      </c>
    </row>
    <row r="133">
      <c r="A133">
        <f>IF('MT 5.1 Results'!I28="","","Mini Test 5.1 — The Normal Distribution")</f>
        <v/>
      </c>
      <c r="K133">
        <f>IF('MT 5.1 Results'!I29="","","Mini Test 5.1 — The Normal Distribution")</f>
        <v/>
      </c>
    </row>
    <row r="134">
      <c r="A134">
        <f>IF('MT 5.1 Results'!I28="","","Name: "&amp;'MT 5.1 Results'!B28&amp;"   Class: "&amp;'MT 5.1 Results'!$B$3&amp;"   Date: "&amp;TEXT('MT 5.1 Results'!$B$5,"DD/MM/YY"))</f>
        <v/>
      </c>
      <c r="K134">
        <f>IF('MT 5.1 Results'!I29="","","Name: "&amp;'MT 5.1 Results'!B29&amp;"   Class: "&amp;'MT 5.1 Results'!$B$3&amp;"   Date: "&amp;TEXT('MT 5.1 Results'!$B$5,"DD/MM/YY"))</f>
        <v/>
      </c>
    </row>
    <row r="135">
      <c r="A135">
        <f>IF('MT 5.1 Results'!I28="","","Total: "&amp;'MT 5.1 Results'!G28&amp;"/24 ("&amp;TEXT('MT 5.1 Results'!H28,"0%")&amp;")   Overall: "&amp;'MT 5.1 Results'!I28)</f>
        <v/>
      </c>
      <c r="K135">
        <f>IF('MT 5.1 Results'!I29="","","Total: "&amp;'MT 5.1 Results'!G29&amp;"/24 ("&amp;TEXT('MT 5.1 Results'!H29,"0%")&amp;")   Overall: "&amp;'MT 5.1 Results'!I29)</f>
        <v/>
      </c>
    </row>
    <row r="136">
      <c r="A136">
        <f>IF('MT 5.1 Results'!I28="","",IF('MT 5.1 Results'!I28="Green",Parameters!$C$291,IF('MT 5.1 Results'!I28="Yellow",Parameters!$C$290,Parameters!$C$289)))</f>
        <v/>
      </c>
      <c r="K136">
        <f>IF('MT 5.1 Results'!I29="","",IF('MT 5.1 Results'!I29="Green",Parameters!$C$291,IF('MT 5.1 Results'!I29="Yellow",Parameters!$C$290,Parameters!$C$289)))</f>
        <v/>
      </c>
    </row>
    <row r="138">
      <c r="A138">
        <f>IF('MT 5.1 Results'!I28="","","Breakdown:")</f>
        <v/>
      </c>
      <c r="K138">
        <f>IF('MT 5.1 Results'!I29="","","Breakdown:")</f>
        <v/>
      </c>
    </row>
    <row r="139">
      <c r="A139">
        <f>IF('MT 5.1 Results'!I28="","","Q1 Properties, sketching a curve &amp; the 68-95-99.7 rule: "&amp;'MT 5.1 Results'!C28&amp;"/6")</f>
        <v/>
      </c>
      <c r="K139">
        <f>IF('MT 5.1 Results'!I29="","","Q1 Properties, sketching a curve &amp; the 68-95-99.7 rule: "&amp;'MT 5.1 Results'!C29&amp;"/6")</f>
        <v/>
      </c>
    </row>
    <row r="140">
      <c r="A140">
        <f>IF('MT 5.1 Results'!I28="","","Q2 Standardising to find a z-value: "&amp;'MT 5.1 Results'!D28&amp;"/6")</f>
        <v/>
      </c>
      <c r="K140">
        <f>IF('MT 5.1 Results'!I29="","","Q2 Standardising to find a z-value: "&amp;'MT 5.1 Results'!D29&amp;"/6")</f>
        <v/>
      </c>
    </row>
    <row r="141">
      <c r="A141">
        <f>IF('MT 5.1 Results'!I28="","","Q3 Finding probabilities from a normal model: "&amp;'MT 5.1 Results'!E28&amp;"/8")</f>
        <v/>
      </c>
      <c r="K141">
        <f>IF('MT 5.1 Results'!I29="","","Q3 Finding probabilities from a normal model: "&amp;'MT 5.1 Results'!E29&amp;"/8")</f>
        <v/>
      </c>
    </row>
    <row r="142">
      <c r="A142">
        <f>IF('MT 5.1 Results'!I28="","","Q4 Limitations of the normal model: "&amp;'MT 5.1 Results'!F28&amp;"/4")</f>
        <v/>
      </c>
      <c r="K142">
        <f>IF('MT 5.1 Results'!I29="","","Q4 Limitations of the normal model: "&amp;'MT 5.1 Results'!F29&amp;"/4")</f>
        <v/>
      </c>
    </row>
    <row r="143">
      <c r="A143">
        <f>IF(OR('MT 5.1 Results'!I28="",'MT 5.1 Results'!J28=""),"",'MT 5.1 Results'!J28)</f>
        <v/>
      </c>
      <c r="K143">
        <f>IF(OR('MT 5.1 Results'!I29="",'MT 5.1 Results'!J29=""),"",'MT 5.1 Results'!J29)</f>
        <v/>
      </c>
    </row>
    <row r="145">
      <c r="A145">
        <f>IF('MT 5.1 Results'!I28="","","Comments:")</f>
        <v/>
      </c>
      <c r="K145">
        <f>IF('MT 5.1 Results'!I29="","","Comments:")</f>
        <v/>
      </c>
    </row>
    <row r="149">
      <c r="A149">
        <f>IF('MT 5.1 Results'!I30="","","Mini Test 5.1 — The Normal Distribution")</f>
        <v/>
      </c>
      <c r="K149">
        <f>IF('MT 5.1 Results'!I31="","","Mini Test 5.1 — The Normal Distribution")</f>
        <v/>
      </c>
    </row>
    <row r="150">
      <c r="A150">
        <f>IF('MT 5.1 Results'!I30="","","Name: "&amp;'MT 5.1 Results'!B30&amp;"   Class: "&amp;'MT 5.1 Results'!$B$3&amp;"   Date: "&amp;TEXT('MT 5.1 Results'!$B$5,"DD/MM/YY"))</f>
        <v/>
      </c>
      <c r="K150">
        <f>IF('MT 5.1 Results'!I31="","","Name: "&amp;'MT 5.1 Results'!B31&amp;"   Class: "&amp;'MT 5.1 Results'!$B$3&amp;"   Date: "&amp;TEXT('MT 5.1 Results'!$B$5,"DD/MM/YY"))</f>
        <v/>
      </c>
    </row>
    <row r="151">
      <c r="A151">
        <f>IF('MT 5.1 Results'!I30="","","Total: "&amp;'MT 5.1 Results'!G30&amp;"/24 ("&amp;TEXT('MT 5.1 Results'!H30,"0%")&amp;")   Overall: "&amp;'MT 5.1 Results'!I30)</f>
        <v/>
      </c>
      <c r="K151">
        <f>IF('MT 5.1 Results'!I31="","","Total: "&amp;'MT 5.1 Results'!G31&amp;"/24 ("&amp;TEXT('MT 5.1 Results'!H31,"0%")&amp;")   Overall: "&amp;'MT 5.1 Results'!I31)</f>
        <v/>
      </c>
    </row>
    <row r="152">
      <c r="A152">
        <f>IF('MT 5.1 Results'!I30="","",IF('MT 5.1 Results'!I30="Green",Parameters!$C$291,IF('MT 5.1 Results'!I30="Yellow",Parameters!$C$290,Parameters!$C$289)))</f>
        <v/>
      </c>
      <c r="K152">
        <f>IF('MT 5.1 Results'!I31="","",IF('MT 5.1 Results'!I31="Green",Parameters!$C$291,IF('MT 5.1 Results'!I31="Yellow",Parameters!$C$290,Parameters!$C$289)))</f>
        <v/>
      </c>
    </row>
    <row r="154">
      <c r="A154">
        <f>IF('MT 5.1 Results'!I30="","","Breakdown:")</f>
        <v/>
      </c>
      <c r="K154">
        <f>IF('MT 5.1 Results'!I31="","","Breakdown:")</f>
        <v/>
      </c>
    </row>
    <row r="155">
      <c r="A155">
        <f>IF('MT 5.1 Results'!I30="","","Q1 Properties, sketching a curve &amp; the 68-95-99.7 rule: "&amp;'MT 5.1 Results'!C30&amp;"/6")</f>
        <v/>
      </c>
      <c r="K155">
        <f>IF('MT 5.1 Results'!I31="","","Q1 Properties, sketching a curve &amp; the 68-95-99.7 rule: "&amp;'MT 5.1 Results'!C31&amp;"/6")</f>
        <v/>
      </c>
    </row>
    <row r="156">
      <c r="A156">
        <f>IF('MT 5.1 Results'!I30="","","Q2 Standardising to find a z-value: "&amp;'MT 5.1 Results'!D30&amp;"/6")</f>
        <v/>
      </c>
      <c r="K156">
        <f>IF('MT 5.1 Results'!I31="","","Q2 Standardising to find a z-value: "&amp;'MT 5.1 Results'!D31&amp;"/6")</f>
        <v/>
      </c>
    </row>
    <row r="157">
      <c r="A157">
        <f>IF('MT 5.1 Results'!I30="","","Q3 Finding probabilities from a normal model: "&amp;'MT 5.1 Results'!E30&amp;"/8")</f>
        <v/>
      </c>
      <c r="K157">
        <f>IF('MT 5.1 Results'!I31="","","Q3 Finding probabilities from a normal model: "&amp;'MT 5.1 Results'!E31&amp;"/8")</f>
        <v/>
      </c>
    </row>
    <row r="158">
      <c r="A158">
        <f>IF('MT 5.1 Results'!I30="","","Q4 Limitations of the normal model: "&amp;'MT 5.1 Results'!F30&amp;"/4")</f>
        <v/>
      </c>
      <c r="K158">
        <f>IF('MT 5.1 Results'!I31="","","Q4 Limitations of the normal model: "&amp;'MT 5.1 Results'!F31&amp;"/4")</f>
        <v/>
      </c>
    </row>
    <row r="159">
      <c r="A159">
        <f>IF(OR('MT 5.1 Results'!I30="",'MT 5.1 Results'!J30=""),"",'MT 5.1 Results'!J30)</f>
        <v/>
      </c>
      <c r="K159">
        <f>IF(OR('MT 5.1 Results'!I31="",'MT 5.1 Results'!J31=""),"",'MT 5.1 Results'!J31)</f>
        <v/>
      </c>
    </row>
    <row r="161">
      <c r="A161">
        <f>IF('MT 5.1 Results'!I30="","","Comments:")</f>
        <v/>
      </c>
      <c r="K161">
        <f>IF('MT 5.1 Results'!I31="","","Comments:")</f>
        <v/>
      </c>
    </row>
    <row r="165">
      <c r="A165">
        <f>IF('MT 5.1 Results'!I32="","","Mini Test 5.1 — The Normal Distribution")</f>
        <v/>
      </c>
      <c r="K165">
        <f>IF('MT 5.1 Results'!I33="","","Mini Test 5.1 — The Normal Distribution")</f>
        <v/>
      </c>
    </row>
    <row r="166">
      <c r="A166">
        <f>IF('MT 5.1 Results'!I32="","","Name: "&amp;'MT 5.1 Results'!B32&amp;"   Class: "&amp;'MT 5.1 Results'!$B$3&amp;"   Date: "&amp;TEXT('MT 5.1 Results'!$B$5,"DD/MM/YY"))</f>
        <v/>
      </c>
      <c r="K166">
        <f>IF('MT 5.1 Results'!I33="","","Name: "&amp;'MT 5.1 Results'!B33&amp;"   Class: "&amp;'MT 5.1 Results'!$B$3&amp;"   Date: "&amp;TEXT('MT 5.1 Results'!$B$5,"DD/MM/YY"))</f>
        <v/>
      </c>
    </row>
    <row r="167">
      <c r="A167">
        <f>IF('MT 5.1 Results'!I32="","","Total: "&amp;'MT 5.1 Results'!G32&amp;"/24 ("&amp;TEXT('MT 5.1 Results'!H32,"0%")&amp;")   Overall: "&amp;'MT 5.1 Results'!I32)</f>
        <v/>
      </c>
      <c r="K167">
        <f>IF('MT 5.1 Results'!I33="","","Total: "&amp;'MT 5.1 Results'!G33&amp;"/24 ("&amp;TEXT('MT 5.1 Results'!H33,"0%")&amp;")   Overall: "&amp;'MT 5.1 Results'!I33)</f>
        <v/>
      </c>
    </row>
    <row r="168">
      <c r="A168">
        <f>IF('MT 5.1 Results'!I32="","",IF('MT 5.1 Results'!I32="Green",Parameters!$C$291,IF('MT 5.1 Results'!I32="Yellow",Parameters!$C$290,Parameters!$C$289)))</f>
        <v/>
      </c>
      <c r="K168">
        <f>IF('MT 5.1 Results'!I33="","",IF('MT 5.1 Results'!I33="Green",Parameters!$C$291,IF('MT 5.1 Results'!I33="Yellow",Parameters!$C$290,Parameters!$C$289)))</f>
        <v/>
      </c>
    </row>
    <row r="170">
      <c r="A170">
        <f>IF('MT 5.1 Results'!I32="","","Breakdown:")</f>
        <v/>
      </c>
      <c r="K170">
        <f>IF('MT 5.1 Results'!I33="","","Breakdown:")</f>
        <v/>
      </c>
    </row>
    <row r="171">
      <c r="A171">
        <f>IF('MT 5.1 Results'!I32="","","Q1 Properties, sketching a curve &amp; the 68-95-99.7 rule: "&amp;'MT 5.1 Results'!C32&amp;"/6")</f>
        <v/>
      </c>
      <c r="K171">
        <f>IF('MT 5.1 Results'!I33="","","Q1 Properties, sketching a curve &amp; the 68-95-99.7 rule: "&amp;'MT 5.1 Results'!C33&amp;"/6")</f>
        <v/>
      </c>
    </row>
    <row r="172">
      <c r="A172">
        <f>IF('MT 5.1 Results'!I32="","","Q2 Standardising to find a z-value: "&amp;'MT 5.1 Results'!D32&amp;"/6")</f>
        <v/>
      </c>
      <c r="K172">
        <f>IF('MT 5.1 Results'!I33="","","Q2 Standardising to find a z-value: "&amp;'MT 5.1 Results'!D33&amp;"/6")</f>
        <v/>
      </c>
    </row>
    <row r="173">
      <c r="A173">
        <f>IF('MT 5.1 Results'!I32="","","Q3 Finding probabilities from a normal model: "&amp;'MT 5.1 Results'!E32&amp;"/8")</f>
        <v/>
      </c>
      <c r="K173">
        <f>IF('MT 5.1 Results'!I33="","","Q3 Finding probabilities from a normal model: "&amp;'MT 5.1 Results'!E33&amp;"/8")</f>
        <v/>
      </c>
    </row>
    <row r="174">
      <c r="A174">
        <f>IF('MT 5.1 Results'!I32="","","Q4 Limitations of the normal model: "&amp;'MT 5.1 Results'!F32&amp;"/4")</f>
        <v/>
      </c>
      <c r="K174">
        <f>IF('MT 5.1 Results'!I33="","","Q4 Limitations of the normal model: "&amp;'MT 5.1 Results'!F33&amp;"/4")</f>
        <v/>
      </c>
    </row>
    <row r="175">
      <c r="A175">
        <f>IF(OR('MT 5.1 Results'!I32="",'MT 5.1 Results'!J32=""),"",'MT 5.1 Results'!J32)</f>
        <v/>
      </c>
      <c r="K175">
        <f>IF(OR('MT 5.1 Results'!I33="",'MT 5.1 Results'!J33=""),"",'MT 5.1 Results'!J33)</f>
        <v/>
      </c>
    </row>
    <row r="177">
      <c r="A177">
        <f>IF('MT 5.1 Results'!I32="","","Comments:")</f>
        <v/>
      </c>
      <c r="K177">
        <f>IF('MT 5.1 Results'!I33="","","Comments:")</f>
        <v/>
      </c>
    </row>
    <row r="181">
      <c r="A181">
        <f>IF('MT 5.1 Results'!I34="","","Mini Test 5.1 — The Normal Distribution")</f>
        <v/>
      </c>
      <c r="K181">
        <f>IF('MT 5.1 Results'!I35="","","Mini Test 5.1 — The Normal Distribution")</f>
        <v/>
      </c>
    </row>
    <row r="182">
      <c r="A182">
        <f>IF('MT 5.1 Results'!I34="","","Name: "&amp;'MT 5.1 Results'!B34&amp;"   Class: "&amp;'MT 5.1 Results'!$B$3&amp;"   Date: "&amp;TEXT('MT 5.1 Results'!$B$5,"DD/MM/YY"))</f>
        <v/>
      </c>
      <c r="K182">
        <f>IF('MT 5.1 Results'!I35="","","Name: "&amp;'MT 5.1 Results'!B35&amp;"   Class: "&amp;'MT 5.1 Results'!$B$3&amp;"   Date: "&amp;TEXT('MT 5.1 Results'!$B$5,"DD/MM/YY"))</f>
        <v/>
      </c>
    </row>
    <row r="183">
      <c r="A183">
        <f>IF('MT 5.1 Results'!I34="","","Total: "&amp;'MT 5.1 Results'!G34&amp;"/24 ("&amp;TEXT('MT 5.1 Results'!H34,"0%")&amp;")   Overall: "&amp;'MT 5.1 Results'!I34)</f>
        <v/>
      </c>
      <c r="K183">
        <f>IF('MT 5.1 Results'!I35="","","Total: "&amp;'MT 5.1 Results'!G35&amp;"/24 ("&amp;TEXT('MT 5.1 Results'!H35,"0%")&amp;")   Overall: "&amp;'MT 5.1 Results'!I35)</f>
        <v/>
      </c>
    </row>
    <row r="184">
      <c r="A184">
        <f>IF('MT 5.1 Results'!I34="","",IF('MT 5.1 Results'!I34="Green",Parameters!$C$291,IF('MT 5.1 Results'!I34="Yellow",Parameters!$C$290,Parameters!$C$289)))</f>
        <v/>
      </c>
      <c r="K184">
        <f>IF('MT 5.1 Results'!I35="","",IF('MT 5.1 Results'!I35="Green",Parameters!$C$291,IF('MT 5.1 Results'!I35="Yellow",Parameters!$C$290,Parameters!$C$289)))</f>
        <v/>
      </c>
    </row>
    <row r="186">
      <c r="A186">
        <f>IF('MT 5.1 Results'!I34="","","Breakdown:")</f>
        <v/>
      </c>
      <c r="K186">
        <f>IF('MT 5.1 Results'!I35="","","Breakdown:")</f>
        <v/>
      </c>
    </row>
    <row r="187">
      <c r="A187">
        <f>IF('MT 5.1 Results'!I34="","","Q1 Properties, sketching a curve &amp; the 68-95-99.7 rule: "&amp;'MT 5.1 Results'!C34&amp;"/6")</f>
        <v/>
      </c>
      <c r="K187">
        <f>IF('MT 5.1 Results'!I35="","","Q1 Properties, sketching a curve &amp; the 68-95-99.7 rule: "&amp;'MT 5.1 Results'!C35&amp;"/6")</f>
        <v/>
      </c>
    </row>
    <row r="188">
      <c r="A188">
        <f>IF('MT 5.1 Results'!I34="","","Q2 Standardising to find a z-value: "&amp;'MT 5.1 Results'!D34&amp;"/6")</f>
        <v/>
      </c>
      <c r="K188">
        <f>IF('MT 5.1 Results'!I35="","","Q2 Standardising to find a z-value: "&amp;'MT 5.1 Results'!D35&amp;"/6")</f>
        <v/>
      </c>
    </row>
    <row r="189">
      <c r="A189">
        <f>IF('MT 5.1 Results'!I34="","","Q3 Finding probabilities from a normal model: "&amp;'MT 5.1 Results'!E34&amp;"/8")</f>
        <v/>
      </c>
      <c r="K189">
        <f>IF('MT 5.1 Results'!I35="","","Q3 Finding probabilities from a normal model: "&amp;'MT 5.1 Results'!E35&amp;"/8")</f>
        <v/>
      </c>
    </row>
    <row r="190">
      <c r="A190">
        <f>IF('MT 5.1 Results'!I34="","","Q4 Limitations of the normal model: "&amp;'MT 5.1 Results'!F34&amp;"/4")</f>
        <v/>
      </c>
      <c r="K190">
        <f>IF('MT 5.1 Results'!I35="","","Q4 Limitations of the normal model: "&amp;'MT 5.1 Results'!F35&amp;"/4")</f>
        <v/>
      </c>
    </row>
    <row r="191">
      <c r="A191">
        <f>IF(OR('MT 5.1 Results'!I34="",'MT 5.1 Results'!J34=""),"",'MT 5.1 Results'!J34)</f>
        <v/>
      </c>
      <c r="K191">
        <f>IF(OR('MT 5.1 Results'!I35="",'MT 5.1 Results'!J35=""),"",'MT 5.1 Results'!J35)</f>
        <v/>
      </c>
    </row>
    <row r="193">
      <c r="A193">
        <f>IF('MT 5.1 Results'!I34="","","Comments:")</f>
        <v/>
      </c>
      <c r="K193">
        <f>IF('MT 5.1 Results'!I35="","","Comments:")</f>
        <v/>
      </c>
    </row>
    <row r="197">
      <c r="A197">
        <f>IF('MT 5.1 Results'!I36="","","Mini Test 5.1 — The Normal Distribution")</f>
        <v/>
      </c>
      <c r="K197">
        <f>IF('MT 5.1 Results'!I37="","","Mini Test 5.1 — The Normal Distribution")</f>
        <v/>
      </c>
    </row>
    <row r="198">
      <c r="A198">
        <f>IF('MT 5.1 Results'!I36="","","Name: "&amp;'MT 5.1 Results'!B36&amp;"   Class: "&amp;'MT 5.1 Results'!$B$3&amp;"   Date: "&amp;TEXT('MT 5.1 Results'!$B$5,"DD/MM/YY"))</f>
        <v/>
      </c>
      <c r="K198">
        <f>IF('MT 5.1 Results'!I37="","","Name: "&amp;'MT 5.1 Results'!B37&amp;"   Class: "&amp;'MT 5.1 Results'!$B$3&amp;"   Date: "&amp;TEXT('MT 5.1 Results'!$B$5,"DD/MM/YY"))</f>
        <v/>
      </c>
    </row>
    <row r="199">
      <c r="A199">
        <f>IF('MT 5.1 Results'!I36="","","Total: "&amp;'MT 5.1 Results'!G36&amp;"/24 ("&amp;TEXT('MT 5.1 Results'!H36,"0%")&amp;")   Overall: "&amp;'MT 5.1 Results'!I36)</f>
        <v/>
      </c>
      <c r="K199">
        <f>IF('MT 5.1 Results'!I37="","","Total: "&amp;'MT 5.1 Results'!G37&amp;"/24 ("&amp;TEXT('MT 5.1 Results'!H37,"0%")&amp;")   Overall: "&amp;'MT 5.1 Results'!I37)</f>
        <v/>
      </c>
    </row>
    <row r="200">
      <c r="A200">
        <f>IF('MT 5.1 Results'!I36="","",IF('MT 5.1 Results'!I36="Green",Parameters!$C$291,IF('MT 5.1 Results'!I36="Yellow",Parameters!$C$290,Parameters!$C$289)))</f>
        <v/>
      </c>
      <c r="K200">
        <f>IF('MT 5.1 Results'!I37="","",IF('MT 5.1 Results'!I37="Green",Parameters!$C$291,IF('MT 5.1 Results'!I37="Yellow",Parameters!$C$290,Parameters!$C$289)))</f>
        <v/>
      </c>
    </row>
    <row r="202">
      <c r="A202">
        <f>IF('MT 5.1 Results'!I36="","","Breakdown:")</f>
        <v/>
      </c>
      <c r="K202">
        <f>IF('MT 5.1 Results'!I37="","","Breakdown:")</f>
        <v/>
      </c>
    </row>
    <row r="203">
      <c r="A203">
        <f>IF('MT 5.1 Results'!I36="","","Q1 Properties, sketching a curve &amp; the 68-95-99.7 rule: "&amp;'MT 5.1 Results'!C36&amp;"/6")</f>
        <v/>
      </c>
      <c r="K203">
        <f>IF('MT 5.1 Results'!I37="","","Q1 Properties, sketching a curve &amp; the 68-95-99.7 rule: "&amp;'MT 5.1 Results'!C37&amp;"/6")</f>
        <v/>
      </c>
    </row>
    <row r="204">
      <c r="A204">
        <f>IF('MT 5.1 Results'!I36="","","Q2 Standardising to find a z-value: "&amp;'MT 5.1 Results'!D36&amp;"/6")</f>
        <v/>
      </c>
      <c r="K204">
        <f>IF('MT 5.1 Results'!I37="","","Q2 Standardising to find a z-value: "&amp;'MT 5.1 Results'!D37&amp;"/6")</f>
        <v/>
      </c>
    </row>
    <row r="205">
      <c r="A205">
        <f>IF('MT 5.1 Results'!I36="","","Q3 Finding probabilities from a normal model: "&amp;'MT 5.1 Results'!E36&amp;"/8")</f>
        <v/>
      </c>
      <c r="K205">
        <f>IF('MT 5.1 Results'!I37="","","Q3 Finding probabilities from a normal model: "&amp;'MT 5.1 Results'!E37&amp;"/8")</f>
        <v/>
      </c>
    </row>
    <row r="206">
      <c r="A206">
        <f>IF('MT 5.1 Results'!I36="","","Q4 Limitations of the normal model: "&amp;'MT 5.1 Results'!F36&amp;"/4")</f>
        <v/>
      </c>
      <c r="K206">
        <f>IF('MT 5.1 Results'!I37="","","Q4 Limitations of the normal model: "&amp;'MT 5.1 Results'!F37&amp;"/4")</f>
        <v/>
      </c>
    </row>
    <row r="207">
      <c r="A207">
        <f>IF(OR('MT 5.1 Results'!I36="",'MT 5.1 Results'!J36=""),"",'MT 5.1 Results'!J36)</f>
        <v/>
      </c>
      <c r="K207">
        <f>IF(OR('MT 5.1 Results'!I37="",'MT 5.1 Results'!J37=""),"",'MT 5.1 Results'!J37)</f>
        <v/>
      </c>
    </row>
    <row r="209">
      <c r="A209">
        <f>IF('MT 5.1 Results'!I36="","","Comments:")</f>
        <v/>
      </c>
      <c r="K209">
        <f>IF('MT 5.1 Results'!I37="","","Comments:")</f>
        <v/>
      </c>
    </row>
    <row r="213">
      <c r="A213">
        <f>IF('MT 5.1 Results'!I38="","","Mini Test 5.1 — The Normal Distribution")</f>
        <v/>
      </c>
      <c r="K213">
        <f>IF('MT 5.1 Results'!I39="","","Mini Test 5.1 — The Normal Distribution")</f>
        <v/>
      </c>
    </row>
    <row r="214">
      <c r="A214">
        <f>IF('MT 5.1 Results'!I38="","","Name: "&amp;'MT 5.1 Results'!B38&amp;"   Class: "&amp;'MT 5.1 Results'!$B$3&amp;"   Date: "&amp;TEXT('MT 5.1 Results'!$B$5,"DD/MM/YY"))</f>
        <v/>
      </c>
      <c r="K214">
        <f>IF('MT 5.1 Results'!I39="","","Name: "&amp;'MT 5.1 Results'!B39&amp;"   Class: "&amp;'MT 5.1 Results'!$B$3&amp;"   Date: "&amp;TEXT('MT 5.1 Results'!$B$5,"DD/MM/YY"))</f>
        <v/>
      </c>
    </row>
    <row r="215">
      <c r="A215">
        <f>IF('MT 5.1 Results'!I38="","","Total: "&amp;'MT 5.1 Results'!G38&amp;"/24 ("&amp;TEXT('MT 5.1 Results'!H38,"0%")&amp;")   Overall: "&amp;'MT 5.1 Results'!I38)</f>
        <v/>
      </c>
      <c r="K215">
        <f>IF('MT 5.1 Results'!I39="","","Total: "&amp;'MT 5.1 Results'!G39&amp;"/24 ("&amp;TEXT('MT 5.1 Results'!H39,"0%")&amp;")   Overall: "&amp;'MT 5.1 Results'!I39)</f>
        <v/>
      </c>
    </row>
    <row r="216">
      <c r="A216">
        <f>IF('MT 5.1 Results'!I38="","",IF('MT 5.1 Results'!I38="Green",Parameters!$C$291,IF('MT 5.1 Results'!I38="Yellow",Parameters!$C$290,Parameters!$C$289)))</f>
        <v/>
      </c>
      <c r="K216">
        <f>IF('MT 5.1 Results'!I39="","",IF('MT 5.1 Results'!I39="Green",Parameters!$C$291,IF('MT 5.1 Results'!I39="Yellow",Parameters!$C$290,Parameters!$C$289)))</f>
        <v/>
      </c>
    </row>
    <row r="218">
      <c r="A218">
        <f>IF('MT 5.1 Results'!I38="","","Breakdown:")</f>
        <v/>
      </c>
      <c r="K218">
        <f>IF('MT 5.1 Results'!I39="","","Breakdown:")</f>
        <v/>
      </c>
    </row>
    <row r="219">
      <c r="A219">
        <f>IF('MT 5.1 Results'!I38="","","Q1 Properties, sketching a curve &amp; the 68-95-99.7 rule: "&amp;'MT 5.1 Results'!C38&amp;"/6")</f>
        <v/>
      </c>
      <c r="K219">
        <f>IF('MT 5.1 Results'!I39="","","Q1 Properties, sketching a curve &amp; the 68-95-99.7 rule: "&amp;'MT 5.1 Results'!C39&amp;"/6")</f>
        <v/>
      </c>
    </row>
    <row r="220">
      <c r="A220">
        <f>IF('MT 5.1 Results'!I38="","","Q2 Standardising to find a z-value: "&amp;'MT 5.1 Results'!D38&amp;"/6")</f>
        <v/>
      </c>
      <c r="K220">
        <f>IF('MT 5.1 Results'!I39="","","Q2 Standardising to find a z-value: "&amp;'MT 5.1 Results'!D39&amp;"/6")</f>
        <v/>
      </c>
    </row>
    <row r="221">
      <c r="A221">
        <f>IF('MT 5.1 Results'!I38="","","Q3 Finding probabilities from a normal model: "&amp;'MT 5.1 Results'!E38&amp;"/8")</f>
        <v/>
      </c>
      <c r="K221">
        <f>IF('MT 5.1 Results'!I39="","","Q3 Finding probabilities from a normal model: "&amp;'MT 5.1 Results'!E39&amp;"/8")</f>
        <v/>
      </c>
    </row>
    <row r="222">
      <c r="A222">
        <f>IF('MT 5.1 Results'!I38="","","Q4 Limitations of the normal model: "&amp;'MT 5.1 Results'!F38&amp;"/4")</f>
        <v/>
      </c>
      <c r="K222">
        <f>IF('MT 5.1 Results'!I39="","","Q4 Limitations of the normal model: "&amp;'MT 5.1 Results'!F39&amp;"/4")</f>
        <v/>
      </c>
    </row>
    <row r="223">
      <c r="A223">
        <f>IF(OR('MT 5.1 Results'!I38="",'MT 5.1 Results'!J38=""),"",'MT 5.1 Results'!J38)</f>
        <v/>
      </c>
      <c r="K223">
        <f>IF(OR('MT 5.1 Results'!I39="",'MT 5.1 Results'!J39=""),"",'MT 5.1 Results'!J39)</f>
        <v/>
      </c>
    </row>
    <row r="225">
      <c r="A225">
        <f>IF('MT 5.1 Results'!I38="","","Comments:")</f>
        <v/>
      </c>
      <c r="K225">
        <f>IF('MT 5.1 Results'!I39="","","Comments:")</f>
        <v/>
      </c>
    </row>
    <row r="229">
      <c r="A229">
        <f>IF('MT 5.1 Results'!I40="","","Mini Test 5.1 — The Normal Distribution")</f>
        <v/>
      </c>
      <c r="K229">
        <f>IF('MT 5.1 Results'!I41="","","Mini Test 5.1 — The Normal Distribution")</f>
        <v/>
      </c>
    </row>
    <row r="230">
      <c r="A230">
        <f>IF('MT 5.1 Results'!I40="","","Name: "&amp;'MT 5.1 Results'!B40&amp;"   Class: "&amp;'MT 5.1 Results'!$B$3&amp;"   Date: "&amp;TEXT('MT 5.1 Results'!$B$5,"DD/MM/YY"))</f>
        <v/>
      </c>
      <c r="K230">
        <f>IF('MT 5.1 Results'!I41="","","Name: "&amp;'MT 5.1 Results'!B41&amp;"   Class: "&amp;'MT 5.1 Results'!$B$3&amp;"   Date: "&amp;TEXT('MT 5.1 Results'!$B$5,"DD/MM/YY"))</f>
        <v/>
      </c>
    </row>
    <row r="231">
      <c r="A231">
        <f>IF('MT 5.1 Results'!I40="","","Total: "&amp;'MT 5.1 Results'!G40&amp;"/24 ("&amp;TEXT('MT 5.1 Results'!H40,"0%")&amp;")   Overall: "&amp;'MT 5.1 Results'!I40)</f>
        <v/>
      </c>
      <c r="K231">
        <f>IF('MT 5.1 Results'!I41="","","Total: "&amp;'MT 5.1 Results'!G41&amp;"/24 ("&amp;TEXT('MT 5.1 Results'!H41,"0%")&amp;")   Overall: "&amp;'MT 5.1 Results'!I41)</f>
        <v/>
      </c>
    </row>
    <row r="232">
      <c r="A232">
        <f>IF('MT 5.1 Results'!I40="","",IF('MT 5.1 Results'!I40="Green",Parameters!$C$291,IF('MT 5.1 Results'!I40="Yellow",Parameters!$C$290,Parameters!$C$289)))</f>
        <v/>
      </c>
      <c r="K232">
        <f>IF('MT 5.1 Results'!I41="","",IF('MT 5.1 Results'!I41="Green",Parameters!$C$291,IF('MT 5.1 Results'!I41="Yellow",Parameters!$C$290,Parameters!$C$289)))</f>
        <v/>
      </c>
    </row>
    <row r="234">
      <c r="A234">
        <f>IF('MT 5.1 Results'!I40="","","Breakdown:")</f>
        <v/>
      </c>
      <c r="K234">
        <f>IF('MT 5.1 Results'!I41="","","Breakdown:")</f>
        <v/>
      </c>
    </row>
    <row r="235">
      <c r="A235">
        <f>IF('MT 5.1 Results'!I40="","","Q1 Properties, sketching a curve &amp; the 68-95-99.7 rule: "&amp;'MT 5.1 Results'!C40&amp;"/6")</f>
        <v/>
      </c>
      <c r="K235">
        <f>IF('MT 5.1 Results'!I41="","","Q1 Properties, sketching a curve &amp; the 68-95-99.7 rule: "&amp;'MT 5.1 Results'!C41&amp;"/6")</f>
        <v/>
      </c>
    </row>
    <row r="236">
      <c r="A236">
        <f>IF('MT 5.1 Results'!I40="","","Q2 Standardising to find a z-value: "&amp;'MT 5.1 Results'!D40&amp;"/6")</f>
        <v/>
      </c>
      <c r="K236">
        <f>IF('MT 5.1 Results'!I41="","","Q2 Standardising to find a z-value: "&amp;'MT 5.1 Results'!D41&amp;"/6")</f>
        <v/>
      </c>
    </row>
    <row r="237">
      <c r="A237">
        <f>IF('MT 5.1 Results'!I40="","","Q3 Finding probabilities from a normal model: "&amp;'MT 5.1 Results'!E40&amp;"/8")</f>
        <v/>
      </c>
      <c r="K237">
        <f>IF('MT 5.1 Results'!I41="","","Q3 Finding probabilities from a normal model: "&amp;'MT 5.1 Results'!E41&amp;"/8")</f>
        <v/>
      </c>
    </row>
    <row r="238">
      <c r="A238">
        <f>IF('MT 5.1 Results'!I40="","","Q4 Limitations of the normal model: "&amp;'MT 5.1 Results'!F40&amp;"/4")</f>
        <v/>
      </c>
      <c r="K238">
        <f>IF('MT 5.1 Results'!I41="","","Q4 Limitations of the normal model: "&amp;'MT 5.1 Results'!F41&amp;"/4")</f>
        <v/>
      </c>
    </row>
    <row r="239">
      <c r="A239">
        <f>IF(OR('MT 5.1 Results'!I40="",'MT 5.1 Results'!J40=""),"",'MT 5.1 Results'!J40)</f>
        <v/>
      </c>
      <c r="K239">
        <f>IF(OR('MT 5.1 Results'!I41="",'MT 5.1 Results'!J41=""),"",'MT 5.1 Results'!J41)</f>
        <v/>
      </c>
    </row>
    <row r="241">
      <c r="A241">
        <f>IF('MT 5.1 Results'!I40="","","Comments:")</f>
        <v/>
      </c>
      <c r="K241">
        <f>IF('MT 5.1 Results'!I41="","","Comments:")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0" customWidth="1" min="7" max="7"/>
    <col width="8" customWidth="1" min="8" max="8"/>
    <col width="10" customWidth="1" min="9" max="9"/>
    <col width="45" customWidth="1" min="10" max="10"/>
  </cols>
  <sheetData>
    <row r="1">
      <c r="A1" s="11" t="inlineStr">
        <is>
          <t>Mini Test 5.2 — The Normal Distribution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Probabilities from N(mu,sigma^2)
(/6)</t>
        </is>
      </c>
      <c r="D9" s="12" t="inlineStr">
        <is>
          <t>Q2
Inverse normal
(/8)</t>
        </is>
      </c>
      <c r="E9" s="12" t="inlineStr">
        <is>
          <t>Q3
Standardising &amp; area
(/8)</t>
        </is>
      </c>
      <c r="F9" s="12" t="inlineStr">
        <is>
          <t>Q4
Model limitations
(/4)</t>
        </is>
      </c>
      <c r="G9" s="12" t="inlineStr">
        <is>
          <t>Total
(/26)</t>
        </is>
      </c>
      <c r="H9" s="12" t="inlineStr">
        <is>
          <t>%</t>
        </is>
      </c>
      <c r="I9" s="12" t="inlineStr">
        <is>
          <t>Overall</t>
        </is>
      </c>
      <c r="J9" s="12" t="inlineStr">
        <is>
          <t>Focus for next steps</t>
        </is>
      </c>
      <c r="K9" s="12" t="inlineStr">
        <is>
          <t>Q1%</t>
        </is>
      </c>
      <c r="L9" s="12" t="inlineStr">
        <is>
          <t>Q2%</t>
        </is>
      </c>
      <c r="M9" s="12" t="inlineStr">
        <is>
          <t>Q3%</t>
        </is>
      </c>
      <c r="N9" s="12" t="inlineStr">
        <is>
          <t>Q4%</t>
        </is>
      </c>
    </row>
    <row r="10">
      <c r="A10" s="3" t="n"/>
      <c r="B10" s="3" t="inlineStr">
        <is>
          <t>Max marks</t>
        </is>
      </c>
      <c r="C10" s="3" t="n">
        <v>6</v>
      </c>
      <c r="D10" s="3" t="n">
        <v>8</v>
      </c>
      <c r="E10" s="3" t="n">
        <v>8</v>
      </c>
      <c r="F10" s="3" t="n">
        <v>4</v>
      </c>
      <c r="G10" s="3" t="n">
        <v>26</v>
      </c>
      <c r="H10" s="3" t="inlineStr">
        <is>
          <t>100%</t>
        </is>
      </c>
      <c r="I10" s="3" t="n"/>
      <c r="J10" s="3" t="n"/>
      <c r="K10" s="3" t="n"/>
      <c r="L10" s="3" t="n"/>
      <c r="M10" s="3" t="n"/>
      <c r="N10" s="3" t="n"/>
    </row>
    <row r="11">
      <c r="A11" s="13" t="n">
        <v>1</v>
      </c>
      <c r="B11" s="13" t="inlineStr">
        <is>
          <t>Example pupil (edit me)</t>
        </is>
      </c>
      <c r="C11" s="13" t="n">
        <v>5</v>
      </c>
      <c r="D11" s="13" t="n">
        <v>6</v>
      </c>
      <c r="E11" s="13" t="n">
        <v>6</v>
      </c>
      <c r="F11" s="13" t="n">
        <v>3</v>
      </c>
      <c r="G11" s="13">
        <f>IF(COUNT(C11:F11)&lt;4,"",SUM(C11:F11))</f>
        <v/>
      </c>
      <c r="H11" s="13">
        <f>IF(COUNT(C11:F11)&lt;4,"",G11/26)</f>
        <v/>
      </c>
      <c r="I11" s="13">
        <f>IF(COUNT(C11:F11)&lt;4,"",IF(H11&gt;=0.8,"Green",IF(H11&gt;=0.5,"Yellow","Red")))</f>
        <v/>
      </c>
      <c r="J11" s="13">
        <f>IF(COUNT(C11:F11)&lt;4,"",IF(I11="Green","Well done! "&amp;Parameters!$C$306,"Revise: "&amp;_xlfn.TEXTJOIN(", ",TRUE(),IF(K11&lt;1,Parameters!$A$297,""),IF(L11&lt;1,Parameters!$A$298,""),IF(M11&lt;1,Parameters!$A$299,""),IF(N11&lt;1,Parameters!$A$300,""))))</f>
        <v/>
      </c>
      <c r="K11" s="13">
        <f>IF(C11="","",C11/6)</f>
        <v/>
      </c>
      <c r="L11" s="13">
        <f>IF(D11="","",D11/8)</f>
        <v/>
      </c>
      <c r="M11" s="13">
        <f>IF(E11="","",E11/8)</f>
        <v/>
      </c>
      <c r="N11" s="13">
        <f>IF(F11="","",F11/4)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3">
        <f>IF(COUNT(C12:F12)&lt;4,"",SUM(C12:F12))</f>
        <v/>
      </c>
      <c r="H12" s="13">
        <f>IF(COUNT(C12:F12)&lt;4,"",G12/26)</f>
        <v/>
      </c>
      <c r="I12" s="13">
        <f>IF(COUNT(C12:F12)&lt;4,"",IF(H12&gt;=0.8,"Green",IF(H12&gt;=0.5,"Yellow","Red")))</f>
        <v/>
      </c>
      <c r="J12" s="13">
        <f>IF(COUNT(C12:F12)&lt;4,"",IF(I12="Green","Well done! "&amp;Parameters!$C$306,"Revise: "&amp;_xlfn.TEXTJOIN(", ",TRUE(),IF(K12&lt;1,Parameters!$A$297,""),IF(L12&lt;1,Parameters!$A$298,""),IF(M12&lt;1,Parameters!$A$299,""),IF(N12&lt;1,Parameters!$A$300,""))))</f>
        <v/>
      </c>
      <c r="K12" s="13">
        <f>IF(C12="","",C12/6)</f>
        <v/>
      </c>
      <c r="L12" s="13">
        <f>IF(D12="","",D12/8)</f>
        <v/>
      </c>
      <c r="M12" s="13">
        <f>IF(E12="","",E12/8)</f>
        <v/>
      </c>
      <c r="N12" s="13">
        <f>IF(F12="","",F12/4)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3">
        <f>IF(COUNT(C13:F13)&lt;4,"",SUM(C13:F13))</f>
        <v/>
      </c>
      <c r="H13" s="13">
        <f>IF(COUNT(C13:F13)&lt;4,"",G13/26)</f>
        <v/>
      </c>
      <c r="I13" s="13">
        <f>IF(COUNT(C13:F13)&lt;4,"",IF(H13&gt;=0.8,"Green",IF(H13&gt;=0.5,"Yellow","Red")))</f>
        <v/>
      </c>
      <c r="J13" s="13">
        <f>IF(COUNT(C13:F13)&lt;4,"",IF(I13="Green","Well done! "&amp;Parameters!$C$306,"Revise: "&amp;_xlfn.TEXTJOIN(", ",TRUE(),IF(K13&lt;1,Parameters!$A$297,""),IF(L13&lt;1,Parameters!$A$298,""),IF(M13&lt;1,Parameters!$A$299,""),IF(N13&lt;1,Parameters!$A$300,""))))</f>
        <v/>
      </c>
      <c r="K13" s="13">
        <f>IF(C13="","",C13/6)</f>
        <v/>
      </c>
      <c r="L13" s="13">
        <f>IF(D13="","",D13/8)</f>
        <v/>
      </c>
      <c r="M13" s="13">
        <f>IF(E13="","",E13/8)</f>
        <v/>
      </c>
      <c r="N13" s="13">
        <f>IF(F13="","",F13/4)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3">
        <f>IF(COUNT(C14:F14)&lt;4,"",SUM(C14:F14))</f>
        <v/>
      </c>
      <c r="H14" s="13">
        <f>IF(COUNT(C14:F14)&lt;4,"",G14/26)</f>
        <v/>
      </c>
      <c r="I14" s="13">
        <f>IF(COUNT(C14:F14)&lt;4,"",IF(H14&gt;=0.8,"Green",IF(H14&gt;=0.5,"Yellow","Red")))</f>
        <v/>
      </c>
      <c r="J14" s="13">
        <f>IF(COUNT(C14:F14)&lt;4,"",IF(I14="Green","Well done! "&amp;Parameters!$C$306,"Revise: "&amp;_xlfn.TEXTJOIN(", ",TRUE(),IF(K14&lt;1,Parameters!$A$297,""),IF(L14&lt;1,Parameters!$A$298,""),IF(M14&lt;1,Parameters!$A$299,""),IF(N14&lt;1,Parameters!$A$300,""))))</f>
        <v/>
      </c>
      <c r="K14" s="13">
        <f>IF(C14="","",C14/6)</f>
        <v/>
      </c>
      <c r="L14" s="13">
        <f>IF(D14="","",D14/8)</f>
        <v/>
      </c>
      <c r="M14" s="13">
        <f>IF(E14="","",E14/8)</f>
        <v/>
      </c>
      <c r="N14" s="13">
        <f>IF(F14="","",F14/4)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3">
        <f>IF(COUNT(C15:F15)&lt;4,"",SUM(C15:F15))</f>
        <v/>
      </c>
      <c r="H15" s="13">
        <f>IF(COUNT(C15:F15)&lt;4,"",G15/26)</f>
        <v/>
      </c>
      <c r="I15" s="13">
        <f>IF(COUNT(C15:F15)&lt;4,"",IF(H15&gt;=0.8,"Green",IF(H15&gt;=0.5,"Yellow","Red")))</f>
        <v/>
      </c>
      <c r="J15" s="13">
        <f>IF(COUNT(C15:F15)&lt;4,"",IF(I15="Green","Well done! "&amp;Parameters!$C$306,"Revise: "&amp;_xlfn.TEXTJOIN(", ",TRUE(),IF(K15&lt;1,Parameters!$A$297,""),IF(L15&lt;1,Parameters!$A$298,""),IF(M15&lt;1,Parameters!$A$299,""),IF(N15&lt;1,Parameters!$A$300,""))))</f>
        <v/>
      </c>
      <c r="K15" s="13">
        <f>IF(C15="","",C15/6)</f>
        <v/>
      </c>
      <c r="L15" s="13">
        <f>IF(D15="","",D15/8)</f>
        <v/>
      </c>
      <c r="M15" s="13">
        <f>IF(E15="","",E15/8)</f>
        <v/>
      </c>
      <c r="N15" s="13">
        <f>IF(F15="","",F15/4)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3">
        <f>IF(COUNT(C16:F16)&lt;4,"",SUM(C16:F16))</f>
        <v/>
      </c>
      <c r="H16" s="13">
        <f>IF(COUNT(C16:F16)&lt;4,"",G16/26)</f>
        <v/>
      </c>
      <c r="I16" s="13">
        <f>IF(COUNT(C16:F16)&lt;4,"",IF(H16&gt;=0.8,"Green",IF(H16&gt;=0.5,"Yellow","Red")))</f>
        <v/>
      </c>
      <c r="J16" s="13">
        <f>IF(COUNT(C16:F16)&lt;4,"",IF(I16="Green","Well done! "&amp;Parameters!$C$306,"Revise: "&amp;_xlfn.TEXTJOIN(", ",TRUE(),IF(K16&lt;1,Parameters!$A$297,""),IF(L16&lt;1,Parameters!$A$298,""),IF(M16&lt;1,Parameters!$A$299,""),IF(N16&lt;1,Parameters!$A$300,""))))</f>
        <v/>
      </c>
      <c r="K16" s="13">
        <f>IF(C16="","",C16/6)</f>
        <v/>
      </c>
      <c r="L16" s="13">
        <f>IF(D16="","",D16/8)</f>
        <v/>
      </c>
      <c r="M16" s="13">
        <f>IF(E16="","",E16/8)</f>
        <v/>
      </c>
      <c r="N16" s="13">
        <f>IF(F16="","",F16/4)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3">
        <f>IF(COUNT(C17:F17)&lt;4,"",SUM(C17:F17))</f>
        <v/>
      </c>
      <c r="H17" s="13">
        <f>IF(COUNT(C17:F17)&lt;4,"",G17/26)</f>
        <v/>
      </c>
      <c r="I17" s="13">
        <f>IF(COUNT(C17:F17)&lt;4,"",IF(H17&gt;=0.8,"Green",IF(H17&gt;=0.5,"Yellow","Red")))</f>
        <v/>
      </c>
      <c r="J17" s="13">
        <f>IF(COUNT(C17:F17)&lt;4,"",IF(I17="Green","Well done! "&amp;Parameters!$C$306,"Revise: "&amp;_xlfn.TEXTJOIN(", ",TRUE(),IF(K17&lt;1,Parameters!$A$297,""),IF(L17&lt;1,Parameters!$A$298,""),IF(M17&lt;1,Parameters!$A$299,""),IF(N17&lt;1,Parameters!$A$300,""))))</f>
        <v/>
      </c>
      <c r="K17" s="13">
        <f>IF(C17="","",C17/6)</f>
        <v/>
      </c>
      <c r="L17" s="13">
        <f>IF(D17="","",D17/8)</f>
        <v/>
      </c>
      <c r="M17" s="13">
        <f>IF(E17="","",E17/8)</f>
        <v/>
      </c>
      <c r="N17" s="13">
        <f>IF(F17="","",F17/4)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3">
        <f>IF(COUNT(C18:F18)&lt;4,"",SUM(C18:F18))</f>
        <v/>
      </c>
      <c r="H18" s="13">
        <f>IF(COUNT(C18:F18)&lt;4,"",G18/26)</f>
        <v/>
      </c>
      <c r="I18" s="13">
        <f>IF(COUNT(C18:F18)&lt;4,"",IF(H18&gt;=0.8,"Green",IF(H18&gt;=0.5,"Yellow","Red")))</f>
        <v/>
      </c>
      <c r="J18" s="13">
        <f>IF(COUNT(C18:F18)&lt;4,"",IF(I18="Green","Well done! "&amp;Parameters!$C$306,"Revise: "&amp;_xlfn.TEXTJOIN(", ",TRUE(),IF(K18&lt;1,Parameters!$A$297,""),IF(L18&lt;1,Parameters!$A$298,""),IF(M18&lt;1,Parameters!$A$299,""),IF(N18&lt;1,Parameters!$A$300,""))))</f>
        <v/>
      </c>
      <c r="K18" s="13">
        <f>IF(C18="","",C18/6)</f>
        <v/>
      </c>
      <c r="L18" s="13">
        <f>IF(D18="","",D18/8)</f>
        <v/>
      </c>
      <c r="M18" s="13">
        <f>IF(E18="","",E18/8)</f>
        <v/>
      </c>
      <c r="N18" s="13">
        <f>IF(F18="","",F18/4)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3">
        <f>IF(COUNT(C19:F19)&lt;4,"",SUM(C19:F19))</f>
        <v/>
      </c>
      <c r="H19" s="13">
        <f>IF(COUNT(C19:F19)&lt;4,"",G19/26)</f>
        <v/>
      </c>
      <c r="I19" s="13">
        <f>IF(COUNT(C19:F19)&lt;4,"",IF(H19&gt;=0.8,"Green",IF(H19&gt;=0.5,"Yellow","Red")))</f>
        <v/>
      </c>
      <c r="J19" s="13">
        <f>IF(COUNT(C19:F19)&lt;4,"",IF(I19="Green","Well done! "&amp;Parameters!$C$306,"Revise: "&amp;_xlfn.TEXTJOIN(", ",TRUE(),IF(K19&lt;1,Parameters!$A$297,""),IF(L19&lt;1,Parameters!$A$298,""),IF(M19&lt;1,Parameters!$A$299,""),IF(N19&lt;1,Parameters!$A$300,""))))</f>
        <v/>
      </c>
      <c r="K19" s="13">
        <f>IF(C19="","",C19/6)</f>
        <v/>
      </c>
      <c r="L19" s="13">
        <f>IF(D19="","",D19/8)</f>
        <v/>
      </c>
      <c r="M19" s="13">
        <f>IF(E19="","",E19/8)</f>
        <v/>
      </c>
      <c r="N19" s="13">
        <f>IF(F19="","",F19/4)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3">
        <f>IF(COUNT(C20:F20)&lt;4,"",SUM(C20:F20))</f>
        <v/>
      </c>
      <c r="H20" s="13">
        <f>IF(COUNT(C20:F20)&lt;4,"",G20/26)</f>
        <v/>
      </c>
      <c r="I20" s="13">
        <f>IF(COUNT(C20:F20)&lt;4,"",IF(H20&gt;=0.8,"Green",IF(H20&gt;=0.5,"Yellow","Red")))</f>
        <v/>
      </c>
      <c r="J20" s="13">
        <f>IF(COUNT(C20:F20)&lt;4,"",IF(I20="Green","Well done! "&amp;Parameters!$C$306,"Revise: "&amp;_xlfn.TEXTJOIN(", ",TRUE(),IF(K20&lt;1,Parameters!$A$297,""),IF(L20&lt;1,Parameters!$A$298,""),IF(M20&lt;1,Parameters!$A$299,""),IF(N20&lt;1,Parameters!$A$300,""))))</f>
        <v/>
      </c>
      <c r="K20" s="13">
        <f>IF(C20="","",C20/6)</f>
        <v/>
      </c>
      <c r="L20" s="13">
        <f>IF(D20="","",D20/8)</f>
        <v/>
      </c>
      <c r="M20" s="13">
        <f>IF(E20="","",E20/8)</f>
        <v/>
      </c>
      <c r="N20" s="13">
        <f>IF(F20="","",F20/4)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3">
        <f>IF(COUNT(C21:F21)&lt;4,"",SUM(C21:F21))</f>
        <v/>
      </c>
      <c r="H21" s="13">
        <f>IF(COUNT(C21:F21)&lt;4,"",G21/26)</f>
        <v/>
      </c>
      <c r="I21" s="13">
        <f>IF(COUNT(C21:F21)&lt;4,"",IF(H21&gt;=0.8,"Green",IF(H21&gt;=0.5,"Yellow","Red")))</f>
        <v/>
      </c>
      <c r="J21" s="13">
        <f>IF(COUNT(C21:F21)&lt;4,"",IF(I21="Green","Well done! "&amp;Parameters!$C$306,"Revise: "&amp;_xlfn.TEXTJOIN(", ",TRUE(),IF(K21&lt;1,Parameters!$A$297,""),IF(L21&lt;1,Parameters!$A$298,""),IF(M21&lt;1,Parameters!$A$299,""),IF(N21&lt;1,Parameters!$A$300,""))))</f>
        <v/>
      </c>
      <c r="K21" s="13">
        <f>IF(C21="","",C21/6)</f>
        <v/>
      </c>
      <c r="L21" s="13">
        <f>IF(D21="","",D21/8)</f>
        <v/>
      </c>
      <c r="M21" s="13">
        <f>IF(E21="","",E21/8)</f>
        <v/>
      </c>
      <c r="N21" s="13">
        <f>IF(F21="","",F21/4)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3">
        <f>IF(COUNT(C22:F22)&lt;4,"",SUM(C22:F22))</f>
        <v/>
      </c>
      <c r="H22" s="13">
        <f>IF(COUNT(C22:F22)&lt;4,"",G22/26)</f>
        <v/>
      </c>
      <c r="I22" s="13">
        <f>IF(COUNT(C22:F22)&lt;4,"",IF(H22&gt;=0.8,"Green",IF(H22&gt;=0.5,"Yellow","Red")))</f>
        <v/>
      </c>
      <c r="J22" s="13">
        <f>IF(COUNT(C22:F22)&lt;4,"",IF(I22="Green","Well done! "&amp;Parameters!$C$306,"Revise: "&amp;_xlfn.TEXTJOIN(", ",TRUE(),IF(K22&lt;1,Parameters!$A$297,""),IF(L22&lt;1,Parameters!$A$298,""),IF(M22&lt;1,Parameters!$A$299,""),IF(N22&lt;1,Parameters!$A$300,""))))</f>
        <v/>
      </c>
      <c r="K22" s="13">
        <f>IF(C22="","",C22/6)</f>
        <v/>
      </c>
      <c r="L22" s="13">
        <f>IF(D22="","",D22/8)</f>
        <v/>
      </c>
      <c r="M22" s="13">
        <f>IF(E22="","",E22/8)</f>
        <v/>
      </c>
      <c r="N22" s="13">
        <f>IF(F22="","",F22/4)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3">
        <f>IF(COUNT(C23:F23)&lt;4,"",SUM(C23:F23))</f>
        <v/>
      </c>
      <c r="H23" s="13">
        <f>IF(COUNT(C23:F23)&lt;4,"",G23/26)</f>
        <v/>
      </c>
      <c r="I23" s="13">
        <f>IF(COUNT(C23:F23)&lt;4,"",IF(H23&gt;=0.8,"Green",IF(H23&gt;=0.5,"Yellow","Red")))</f>
        <v/>
      </c>
      <c r="J23" s="13">
        <f>IF(COUNT(C23:F23)&lt;4,"",IF(I23="Green","Well done! "&amp;Parameters!$C$306,"Revise: "&amp;_xlfn.TEXTJOIN(", ",TRUE(),IF(K23&lt;1,Parameters!$A$297,""),IF(L23&lt;1,Parameters!$A$298,""),IF(M23&lt;1,Parameters!$A$299,""),IF(N23&lt;1,Parameters!$A$300,""))))</f>
        <v/>
      </c>
      <c r="K23" s="13">
        <f>IF(C23="","",C23/6)</f>
        <v/>
      </c>
      <c r="L23" s="13">
        <f>IF(D23="","",D23/8)</f>
        <v/>
      </c>
      <c r="M23" s="13">
        <f>IF(E23="","",E23/8)</f>
        <v/>
      </c>
      <c r="N23" s="13">
        <f>IF(F23="","",F23/4)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3">
        <f>IF(COUNT(C24:F24)&lt;4,"",SUM(C24:F24))</f>
        <v/>
      </c>
      <c r="H24" s="13">
        <f>IF(COUNT(C24:F24)&lt;4,"",G24/26)</f>
        <v/>
      </c>
      <c r="I24" s="13">
        <f>IF(COUNT(C24:F24)&lt;4,"",IF(H24&gt;=0.8,"Green",IF(H24&gt;=0.5,"Yellow","Red")))</f>
        <v/>
      </c>
      <c r="J24" s="13">
        <f>IF(COUNT(C24:F24)&lt;4,"",IF(I24="Green","Well done! "&amp;Parameters!$C$306,"Revise: "&amp;_xlfn.TEXTJOIN(", ",TRUE(),IF(K24&lt;1,Parameters!$A$297,""),IF(L24&lt;1,Parameters!$A$298,""),IF(M24&lt;1,Parameters!$A$299,""),IF(N24&lt;1,Parameters!$A$300,""))))</f>
        <v/>
      </c>
      <c r="K24" s="13">
        <f>IF(C24="","",C24/6)</f>
        <v/>
      </c>
      <c r="L24" s="13">
        <f>IF(D24="","",D24/8)</f>
        <v/>
      </c>
      <c r="M24" s="13">
        <f>IF(E24="","",E24/8)</f>
        <v/>
      </c>
      <c r="N24" s="13">
        <f>IF(F24="","",F24/4)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3">
        <f>IF(COUNT(C25:F25)&lt;4,"",SUM(C25:F25))</f>
        <v/>
      </c>
      <c r="H25" s="13">
        <f>IF(COUNT(C25:F25)&lt;4,"",G25/26)</f>
        <v/>
      </c>
      <c r="I25" s="13">
        <f>IF(COUNT(C25:F25)&lt;4,"",IF(H25&gt;=0.8,"Green",IF(H25&gt;=0.5,"Yellow","Red")))</f>
        <v/>
      </c>
      <c r="J25" s="13">
        <f>IF(COUNT(C25:F25)&lt;4,"",IF(I25="Green","Well done! "&amp;Parameters!$C$306,"Revise: "&amp;_xlfn.TEXTJOIN(", ",TRUE(),IF(K25&lt;1,Parameters!$A$297,""),IF(L25&lt;1,Parameters!$A$298,""),IF(M25&lt;1,Parameters!$A$299,""),IF(N25&lt;1,Parameters!$A$300,""))))</f>
        <v/>
      </c>
      <c r="K25" s="13">
        <f>IF(C25="","",C25/6)</f>
        <v/>
      </c>
      <c r="L25" s="13">
        <f>IF(D25="","",D25/8)</f>
        <v/>
      </c>
      <c r="M25" s="13">
        <f>IF(E25="","",E25/8)</f>
        <v/>
      </c>
      <c r="N25" s="13">
        <f>IF(F25="","",F25/4)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3">
        <f>IF(COUNT(C26:F26)&lt;4,"",SUM(C26:F26))</f>
        <v/>
      </c>
      <c r="H26" s="13">
        <f>IF(COUNT(C26:F26)&lt;4,"",G26/26)</f>
        <v/>
      </c>
      <c r="I26" s="13">
        <f>IF(COUNT(C26:F26)&lt;4,"",IF(H26&gt;=0.8,"Green",IF(H26&gt;=0.5,"Yellow","Red")))</f>
        <v/>
      </c>
      <c r="J26" s="13">
        <f>IF(COUNT(C26:F26)&lt;4,"",IF(I26="Green","Well done! "&amp;Parameters!$C$306,"Revise: "&amp;_xlfn.TEXTJOIN(", ",TRUE(),IF(K26&lt;1,Parameters!$A$297,""),IF(L26&lt;1,Parameters!$A$298,""),IF(M26&lt;1,Parameters!$A$299,""),IF(N26&lt;1,Parameters!$A$300,""))))</f>
        <v/>
      </c>
      <c r="K26" s="13">
        <f>IF(C26="","",C26/6)</f>
        <v/>
      </c>
      <c r="L26" s="13">
        <f>IF(D26="","",D26/8)</f>
        <v/>
      </c>
      <c r="M26" s="13">
        <f>IF(E26="","",E26/8)</f>
        <v/>
      </c>
      <c r="N26" s="13">
        <f>IF(F26="","",F26/4)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3">
        <f>IF(COUNT(C27:F27)&lt;4,"",SUM(C27:F27))</f>
        <v/>
      </c>
      <c r="H27" s="13">
        <f>IF(COUNT(C27:F27)&lt;4,"",G27/26)</f>
        <v/>
      </c>
      <c r="I27" s="13">
        <f>IF(COUNT(C27:F27)&lt;4,"",IF(H27&gt;=0.8,"Green",IF(H27&gt;=0.5,"Yellow","Red")))</f>
        <v/>
      </c>
      <c r="J27" s="13">
        <f>IF(COUNT(C27:F27)&lt;4,"",IF(I27="Green","Well done! "&amp;Parameters!$C$306,"Revise: "&amp;_xlfn.TEXTJOIN(", ",TRUE(),IF(K27&lt;1,Parameters!$A$297,""),IF(L27&lt;1,Parameters!$A$298,""),IF(M27&lt;1,Parameters!$A$299,""),IF(N27&lt;1,Parameters!$A$300,""))))</f>
        <v/>
      </c>
      <c r="K27" s="13">
        <f>IF(C27="","",C27/6)</f>
        <v/>
      </c>
      <c r="L27" s="13">
        <f>IF(D27="","",D27/8)</f>
        <v/>
      </c>
      <c r="M27" s="13">
        <f>IF(E27="","",E27/8)</f>
        <v/>
      </c>
      <c r="N27" s="13">
        <f>IF(F27="","",F27/4)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3">
        <f>IF(COUNT(C28:F28)&lt;4,"",SUM(C28:F28))</f>
        <v/>
      </c>
      <c r="H28" s="13">
        <f>IF(COUNT(C28:F28)&lt;4,"",G28/26)</f>
        <v/>
      </c>
      <c r="I28" s="13">
        <f>IF(COUNT(C28:F28)&lt;4,"",IF(H28&gt;=0.8,"Green",IF(H28&gt;=0.5,"Yellow","Red")))</f>
        <v/>
      </c>
      <c r="J28" s="13">
        <f>IF(COUNT(C28:F28)&lt;4,"",IF(I28="Green","Well done! "&amp;Parameters!$C$306,"Revise: "&amp;_xlfn.TEXTJOIN(", ",TRUE(),IF(K28&lt;1,Parameters!$A$297,""),IF(L28&lt;1,Parameters!$A$298,""),IF(M28&lt;1,Parameters!$A$299,""),IF(N28&lt;1,Parameters!$A$300,""))))</f>
        <v/>
      </c>
      <c r="K28" s="13">
        <f>IF(C28="","",C28/6)</f>
        <v/>
      </c>
      <c r="L28" s="13">
        <f>IF(D28="","",D28/8)</f>
        <v/>
      </c>
      <c r="M28" s="13">
        <f>IF(E28="","",E28/8)</f>
        <v/>
      </c>
      <c r="N28" s="13">
        <f>IF(F28="","",F28/4)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3">
        <f>IF(COUNT(C29:F29)&lt;4,"",SUM(C29:F29))</f>
        <v/>
      </c>
      <c r="H29" s="13">
        <f>IF(COUNT(C29:F29)&lt;4,"",G29/26)</f>
        <v/>
      </c>
      <c r="I29" s="13">
        <f>IF(COUNT(C29:F29)&lt;4,"",IF(H29&gt;=0.8,"Green",IF(H29&gt;=0.5,"Yellow","Red")))</f>
        <v/>
      </c>
      <c r="J29" s="13">
        <f>IF(COUNT(C29:F29)&lt;4,"",IF(I29="Green","Well done! "&amp;Parameters!$C$306,"Revise: "&amp;_xlfn.TEXTJOIN(", ",TRUE(),IF(K29&lt;1,Parameters!$A$297,""),IF(L29&lt;1,Parameters!$A$298,""),IF(M29&lt;1,Parameters!$A$299,""),IF(N29&lt;1,Parameters!$A$300,""))))</f>
        <v/>
      </c>
      <c r="K29" s="13">
        <f>IF(C29="","",C29/6)</f>
        <v/>
      </c>
      <c r="L29" s="13">
        <f>IF(D29="","",D29/8)</f>
        <v/>
      </c>
      <c r="M29" s="13">
        <f>IF(E29="","",E29/8)</f>
        <v/>
      </c>
      <c r="N29" s="13">
        <f>IF(F29="","",F29/4)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3">
        <f>IF(COUNT(C30:F30)&lt;4,"",SUM(C30:F30))</f>
        <v/>
      </c>
      <c r="H30" s="13">
        <f>IF(COUNT(C30:F30)&lt;4,"",G30/26)</f>
        <v/>
      </c>
      <c r="I30" s="13">
        <f>IF(COUNT(C30:F30)&lt;4,"",IF(H30&gt;=0.8,"Green",IF(H30&gt;=0.5,"Yellow","Red")))</f>
        <v/>
      </c>
      <c r="J30" s="13">
        <f>IF(COUNT(C30:F30)&lt;4,"",IF(I30="Green","Well done! "&amp;Parameters!$C$306,"Revise: "&amp;_xlfn.TEXTJOIN(", ",TRUE(),IF(K30&lt;1,Parameters!$A$297,""),IF(L30&lt;1,Parameters!$A$298,""),IF(M30&lt;1,Parameters!$A$299,""),IF(N30&lt;1,Parameters!$A$300,""))))</f>
        <v/>
      </c>
      <c r="K30" s="13">
        <f>IF(C30="","",C30/6)</f>
        <v/>
      </c>
      <c r="L30" s="13">
        <f>IF(D30="","",D30/8)</f>
        <v/>
      </c>
      <c r="M30" s="13">
        <f>IF(E30="","",E30/8)</f>
        <v/>
      </c>
      <c r="N30" s="13">
        <f>IF(F30="","",F30/4)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3">
        <f>IF(COUNT(C31:F31)&lt;4,"",SUM(C31:F31))</f>
        <v/>
      </c>
      <c r="H31" s="13">
        <f>IF(COUNT(C31:F31)&lt;4,"",G31/26)</f>
        <v/>
      </c>
      <c r="I31" s="13">
        <f>IF(COUNT(C31:F31)&lt;4,"",IF(H31&gt;=0.8,"Green",IF(H31&gt;=0.5,"Yellow","Red")))</f>
        <v/>
      </c>
      <c r="J31" s="13">
        <f>IF(COUNT(C31:F31)&lt;4,"",IF(I31="Green","Well done! "&amp;Parameters!$C$306,"Revise: "&amp;_xlfn.TEXTJOIN(", ",TRUE(),IF(K31&lt;1,Parameters!$A$297,""),IF(L31&lt;1,Parameters!$A$298,""),IF(M31&lt;1,Parameters!$A$299,""),IF(N31&lt;1,Parameters!$A$300,""))))</f>
        <v/>
      </c>
      <c r="K31" s="13">
        <f>IF(C31="","",C31/6)</f>
        <v/>
      </c>
      <c r="L31" s="13">
        <f>IF(D31="","",D31/8)</f>
        <v/>
      </c>
      <c r="M31" s="13">
        <f>IF(E31="","",E31/8)</f>
        <v/>
      </c>
      <c r="N31" s="13">
        <f>IF(F31="","",F31/4)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3">
        <f>IF(COUNT(C32:F32)&lt;4,"",SUM(C32:F32))</f>
        <v/>
      </c>
      <c r="H32" s="13">
        <f>IF(COUNT(C32:F32)&lt;4,"",G32/26)</f>
        <v/>
      </c>
      <c r="I32" s="13">
        <f>IF(COUNT(C32:F32)&lt;4,"",IF(H32&gt;=0.8,"Green",IF(H32&gt;=0.5,"Yellow","Red")))</f>
        <v/>
      </c>
      <c r="J32" s="13">
        <f>IF(COUNT(C32:F32)&lt;4,"",IF(I32="Green","Well done! "&amp;Parameters!$C$306,"Revise: "&amp;_xlfn.TEXTJOIN(", ",TRUE(),IF(K32&lt;1,Parameters!$A$297,""),IF(L32&lt;1,Parameters!$A$298,""),IF(M32&lt;1,Parameters!$A$299,""),IF(N32&lt;1,Parameters!$A$300,""))))</f>
        <v/>
      </c>
      <c r="K32" s="13">
        <f>IF(C32="","",C32/6)</f>
        <v/>
      </c>
      <c r="L32" s="13">
        <f>IF(D32="","",D32/8)</f>
        <v/>
      </c>
      <c r="M32" s="13">
        <f>IF(E32="","",E32/8)</f>
        <v/>
      </c>
      <c r="N32" s="13">
        <f>IF(F32="","",F32/4)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3">
        <f>IF(COUNT(C33:F33)&lt;4,"",SUM(C33:F33))</f>
        <v/>
      </c>
      <c r="H33" s="13">
        <f>IF(COUNT(C33:F33)&lt;4,"",G33/26)</f>
        <v/>
      </c>
      <c r="I33" s="13">
        <f>IF(COUNT(C33:F33)&lt;4,"",IF(H33&gt;=0.8,"Green",IF(H33&gt;=0.5,"Yellow","Red")))</f>
        <v/>
      </c>
      <c r="J33" s="13">
        <f>IF(COUNT(C33:F33)&lt;4,"",IF(I33="Green","Well done! "&amp;Parameters!$C$306,"Revise: "&amp;_xlfn.TEXTJOIN(", ",TRUE(),IF(K33&lt;1,Parameters!$A$297,""),IF(L33&lt;1,Parameters!$A$298,""),IF(M33&lt;1,Parameters!$A$299,""),IF(N33&lt;1,Parameters!$A$300,""))))</f>
        <v/>
      </c>
      <c r="K33" s="13">
        <f>IF(C33="","",C33/6)</f>
        <v/>
      </c>
      <c r="L33" s="13">
        <f>IF(D33="","",D33/8)</f>
        <v/>
      </c>
      <c r="M33" s="13">
        <f>IF(E33="","",E33/8)</f>
        <v/>
      </c>
      <c r="N33" s="13">
        <f>IF(F33="","",F33/4)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3">
        <f>IF(COUNT(C34:F34)&lt;4,"",SUM(C34:F34))</f>
        <v/>
      </c>
      <c r="H34" s="13">
        <f>IF(COUNT(C34:F34)&lt;4,"",G34/26)</f>
        <v/>
      </c>
      <c r="I34" s="13">
        <f>IF(COUNT(C34:F34)&lt;4,"",IF(H34&gt;=0.8,"Green",IF(H34&gt;=0.5,"Yellow","Red")))</f>
        <v/>
      </c>
      <c r="J34" s="13">
        <f>IF(COUNT(C34:F34)&lt;4,"",IF(I34="Green","Well done! "&amp;Parameters!$C$306,"Revise: "&amp;_xlfn.TEXTJOIN(", ",TRUE(),IF(K34&lt;1,Parameters!$A$297,""),IF(L34&lt;1,Parameters!$A$298,""),IF(M34&lt;1,Parameters!$A$299,""),IF(N34&lt;1,Parameters!$A$300,""))))</f>
        <v/>
      </c>
      <c r="K34" s="13">
        <f>IF(C34="","",C34/6)</f>
        <v/>
      </c>
      <c r="L34" s="13">
        <f>IF(D34="","",D34/8)</f>
        <v/>
      </c>
      <c r="M34" s="13">
        <f>IF(E34="","",E34/8)</f>
        <v/>
      </c>
      <c r="N34" s="13">
        <f>IF(F34="","",F34/4)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3">
        <f>IF(COUNT(C35:F35)&lt;4,"",SUM(C35:F35))</f>
        <v/>
      </c>
      <c r="H35" s="13">
        <f>IF(COUNT(C35:F35)&lt;4,"",G35/26)</f>
        <v/>
      </c>
      <c r="I35" s="13">
        <f>IF(COUNT(C35:F35)&lt;4,"",IF(H35&gt;=0.8,"Green",IF(H35&gt;=0.5,"Yellow","Red")))</f>
        <v/>
      </c>
      <c r="J35" s="13">
        <f>IF(COUNT(C35:F35)&lt;4,"",IF(I35="Green","Well done! "&amp;Parameters!$C$306,"Revise: "&amp;_xlfn.TEXTJOIN(", ",TRUE(),IF(K35&lt;1,Parameters!$A$297,""),IF(L35&lt;1,Parameters!$A$298,""),IF(M35&lt;1,Parameters!$A$299,""),IF(N35&lt;1,Parameters!$A$300,""))))</f>
        <v/>
      </c>
      <c r="K35" s="13">
        <f>IF(C35="","",C35/6)</f>
        <v/>
      </c>
      <c r="L35" s="13">
        <f>IF(D35="","",D35/8)</f>
        <v/>
      </c>
      <c r="M35" s="13">
        <f>IF(E35="","",E35/8)</f>
        <v/>
      </c>
      <c r="N35" s="13">
        <f>IF(F35="","",F35/4)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3">
        <f>IF(COUNT(C36:F36)&lt;4,"",SUM(C36:F36))</f>
        <v/>
      </c>
      <c r="H36" s="13">
        <f>IF(COUNT(C36:F36)&lt;4,"",G36/26)</f>
        <v/>
      </c>
      <c r="I36" s="13">
        <f>IF(COUNT(C36:F36)&lt;4,"",IF(H36&gt;=0.8,"Green",IF(H36&gt;=0.5,"Yellow","Red")))</f>
        <v/>
      </c>
      <c r="J36" s="13">
        <f>IF(COUNT(C36:F36)&lt;4,"",IF(I36="Green","Well done! "&amp;Parameters!$C$306,"Revise: "&amp;_xlfn.TEXTJOIN(", ",TRUE(),IF(K36&lt;1,Parameters!$A$297,""),IF(L36&lt;1,Parameters!$A$298,""),IF(M36&lt;1,Parameters!$A$299,""),IF(N36&lt;1,Parameters!$A$300,""))))</f>
        <v/>
      </c>
      <c r="K36" s="13">
        <f>IF(C36="","",C36/6)</f>
        <v/>
      </c>
      <c r="L36" s="13">
        <f>IF(D36="","",D36/8)</f>
        <v/>
      </c>
      <c r="M36" s="13">
        <f>IF(E36="","",E36/8)</f>
        <v/>
      </c>
      <c r="N36" s="13">
        <f>IF(F36="","",F36/4)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3">
        <f>IF(COUNT(C37:F37)&lt;4,"",SUM(C37:F37))</f>
        <v/>
      </c>
      <c r="H37" s="13">
        <f>IF(COUNT(C37:F37)&lt;4,"",G37/26)</f>
        <v/>
      </c>
      <c r="I37" s="13">
        <f>IF(COUNT(C37:F37)&lt;4,"",IF(H37&gt;=0.8,"Green",IF(H37&gt;=0.5,"Yellow","Red")))</f>
        <v/>
      </c>
      <c r="J37" s="13">
        <f>IF(COUNT(C37:F37)&lt;4,"",IF(I37="Green","Well done! "&amp;Parameters!$C$306,"Revise: "&amp;_xlfn.TEXTJOIN(", ",TRUE(),IF(K37&lt;1,Parameters!$A$297,""),IF(L37&lt;1,Parameters!$A$298,""),IF(M37&lt;1,Parameters!$A$299,""),IF(N37&lt;1,Parameters!$A$300,""))))</f>
        <v/>
      </c>
      <c r="K37" s="13">
        <f>IF(C37="","",C37/6)</f>
        <v/>
      </c>
      <c r="L37" s="13">
        <f>IF(D37="","",D37/8)</f>
        <v/>
      </c>
      <c r="M37" s="13">
        <f>IF(E37="","",E37/8)</f>
        <v/>
      </c>
      <c r="N37" s="13">
        <f>IF(F37="","",F37/4)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3">
        <f>IF(COUNT(C38:F38)&lt;4,"",SUM(C38:F38))</f>
        <v/>
      </c>
      <c r="H38" s="13">
        <f>IF(COUNT(C38:F38)&lt;4,"",G38/26)</f>
        <v/>
      </c>
      <c r="I38" s="13">
        <f>IF(COUNT(C38:F38)&lt;4,"",IF(H38&gt;=0.8,"Green",IF(H38&gt;=0.5,"Yellow","Red")))</f>
        <v/>
      </c>
      <c r="J38" s="13">
        <f>IF(COUNT(C38:F38)&lt;4,"",IF(I38="Green","Well done! "&amp;Parameters!$C$306,"Revise: "&amp;_xlfn.TEXTJOIN(", ",TRUE(),IF(K38&lt;1,Parameters!$A$297,""),IF(L38&lt;1,Parameters!$A$298,""),IF(M38&lt;1,Parameters!$A$299,""),IF(N38&lt;1,Parameters!$A$300,""))))</f>
        <v/>
      </c>
      <c r="K38" s="13">
        <f>IF(C38="","",C38/6)</f>
        <v/>
      </c>
      <c r="L38" s="13">
        <f>IF(D38="","",D38/8)</f>
        <v/>
      </c>
      <c r="M38" s="13">
        <f>IF(E38="","",E38/8)</f>
        <v/>
      </c>
      <c r="N38" s="13">
        <f>IF(F38="","",F38/4)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3">
        <f>IF(COUNT(C39:F39)&lt;4,"",SUM(C39:F39))</f>
        <v/>
      </c>
      <c r="H39" s="13">
        <f>IF(COUNT(C39:F39)&lt;4,"",G39/26)</f>
        <v/>
      </c>
      <c r="I39" s="13">
        <f>IF(COUNT(C39:F39)&lt;4,"",IF(H39&gt;=0.8,"Green",IF(H39&gt;=0.5,"Yellow","Red")))</f>
        <v/>
      </c>
      <c r="J39" s="13">
        <f>IF(COUNT(C39:F39)&lt;4,"",IF(I39="Green","Well done! "&amp;Parameters!$C$306,"Revise: "&amp;_xlfn.TEXTJOIN(", ",TRUE(),IF(K39&lt;1,Parameters!$A$297,""),IF(L39&lt;1,Parameters!$A$298,""),IF(M39&lt;1,Parameters!$A$299,""),IF(N39&lt;1,Parameters!$A$300,""))))</f>
        <v/>
      </c>
      <c r="K39" s="13">
        <f>IF(C39="","",C39/6)</f>
        <v/>
      </c>
      <c r="L39" s="13">
        <f>IF(D39="","",D39/8)</f>
        <v/>
      </c>
      <c r="M39" s="13">
        <f>IF(E39="","",E39/8)</f>
        <v/>
      </c>
      <c r="N39" s="13">
        <f>IF(F39="","",F39/4)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3">
        <f>IF(COUNT(C40:F40)&lt;4,"",SUM(C40:F40))</f>
        <v/>
      </c>
      <c r="H40" s="13">
        <f>IF(COUNT(C40:F40)&lt;4,"",G40/26)</f>
        <v/>
      </c>
      <c r="I40" s="13">
        <f>IF(COUNT(C40:F40)&lt;4,"",IF(H40&gt;=0.8,"Green",IF(H40&gt;=0.5,"Yellow","Red")))</f>
        <v/>
      </c>
      <c r="J40" s="13">
        <f>IF(COUNT(C40:F40)&lt;4,"",IF(I40="Green","Well done! "&amp;Parameters!$C$306,"Revise: "&amp;_xlfn.TEXTJOIN(", ",TRUE(),IF(K40&lt;1,Parameters!$A$297,""),IF(L40&lt;1,Parameters!$A$298,""),IF(M40&lt;1,Parameters!$A$299,""),IF(N40&lt;1,Parameters!$A$300,""))))</f>
        <v/>
      </c>
      <c r="K40" s="13">
        <f>IF(C40="","",C40/6)</f>
        <v/>
      </c>
      <c r="L40" s="13">
        <f>IF(D40="","",D40/8)</f>
        <v/>
      </c>
      <c r="M40" s="13">
        <f>IF(E40="","",E40/8)</f>
        <v/>
      </c>
      <c r="N40" s="13">
        <f>IF(F40="","",F40/4)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3">
        <f>IF(COUNT(C41:F41)&lt;4,"",SUM(C41:F41))</f>
        <v/>
      </c>
      <c r="H41" s="13">
        <f>IF(COUNT(C41:F41)&lt;4,"",G41/26)</f>
        <v/>
      </c>
      <c r="I41" s="13">
        <f>IF(COUNT(C41:F41)&lt;4,"",IF(H41&gt;=0.8,"Green",IF(H41&gt;=0.5,"Yellow","Red")))</f>
        <v/>
      </c>
      <c r="J41" s="13">
        <f>IF(COUNT(C41:F41)&lt;4,"",IF(I41="Green","Well done! "&amp;Parameters!$C$306,"Revise: "&amp;_xlfn.TEXTJOIN(", ",TRUE(),IF(K41&lt;1,Parameters!$A$297,""),IF(L41&lt;1,Parameters!$A$298,""),IF(M41&lt;1,Parameters!$A$299,""),IF(N41&lt;1,Parameters!$A$300,""))))</f>
        <v/>
      </c>
      <c r="K41" s="13">
        <f>IF(C41="","",C41/6)</f>
        <v/>
      </c>
      <c r="L41" s="13">
        <f>IF(D41="","",D41/8)</f>
        <v/>
      </c>
      <c r="M41" s="13">
        <f>IF(E41="","",E41/8)</f>
        <v/>
      </c>
      <c r="N41" s="13">
        <f>IF(F41="","",F41/4)</f>
        <v/>
      </c>
    </row>
  </sheetData>
  <conditionalFormatting sqref="C11">
    <cfRule type="expression" priority="1" dxfId="0">
      <formula>AND(COUNT(C11:F11)=4,C11=6)</formula>
    </cfRule>
    <cfRule type="expression" priority="2" dxfId="1">
      <formula>AND(COUNT(C11:F11)=4,C11&lt;6*0.4)</formula>
    </cfRule>
    <cfRule type="expression" priority="3" dxfId="2">
      <formula>AND(COUNT(C11:F11)=4,C11&gt;=6*0.4,C11&lt;6)</formula>
    </cfRule>
  </conditionalFormatting>
  <conditionalFormatting sqref="C12">
    <cfRule type="expression" priority="4" dxfId="0">
      <formula>AND(COUNT(C12:F12)=4,C12=6)</formula>
    </cfRule>
    <cfRule type="expression" priority="5" dxfId="1">
      <formula>AND(COUNT(C12:F12)=4,C12&lt;6*0.4)</formula>
    </cfRule>
    <cfRule type="expression" priority="6" dxfId="2">
      <formula>AND(COUNT(C12:F12)=4,C12&gt;=6*0.4,C12&lt;6)</formula>
    </cfRule>
  </conditionalFormatting>
  <conditionalFormatting sqref="C13">
    <cfRule type="expression" priority="7" dxfId="0">
      <formula>AND(COUNT(C13:F13)=4,C13=6)</formula>
    </cfRule>
    <cfRule type="expression" priority="8" dxfId="1">
      <formula>AND(COUNT(C13:F13)=4,C13&lt;6*0.4)</formula>
    </cfRule>
    <cfRule type="expression" priority="9" dxfId="2">
      <formula>AND(COUNT(C13:F13)=4,C13&gt;=6*0.4,C13&lt;6)</formula>
    </cfRule>
  </conditionalFormatting>
  <conditionalFormatting sqref="C14">
    <cfRule type="expression" priority="10" dxfId="0">
      <formula>AND(COUNT(C14:F14)=4,C14=6)</formula>
    </cfRule>
    <cfRule type="expression" priority="11" dxfId="1">
      <formula>AND(COUNT(C14:F14)=4,C14&lt;6*0.4)</formula>
    </cfRule>
    <cfRule type="expression" priority="12" dxfId="2">
      <formula>AND(COUNT(C14:F14)=4,C14&gt;=6*0.4,C14&lt;6)</formula>
    </cfRule>
  </conditionalFormatting>
  <conditionalFormatting sqref="C15">
    <cfRule type="expression" priority="13" dxfId="0">
      <formula>AND(COUNT(C15:F15)=4,C15=6)</formula>
    </cfRule>
    <cfRule type="expression" priority="14" dxfId="1">
      <formula>AND(COUNT(C15:F15)=4,C15&lt;6*0.4)</formula>
    </cfRule>
    <cfRule type="expression" priority="15" dxfId="2">
      <formula>AND(COUNT(C15:F15)=4,C15&gt;=6*0.4,C15&lt;6)</formula>
    </cfRule>
  </conditionalFormatting>
  <conditionalFormatting sqref="C16">
    <cfRule type="expression" priority="16" dxfId="0">
      <formula>AND(COUNT(C16:F16)=4,C16=6)</formula>
    </cfRule>
    <cfRule type="expression" priority="17" dxfId="1">
      <formula>AND(COUNT(C16:F16)=4,C16&lt;6*0.4)</formula>
    </cfRule>
    <cfRule type="expression" priority="18" dxfId="2">
      <formula>AND(COUNT(C16:F16)=4,C16&gt;=6*0.4,C16&lt;6)</formula>
    </cfRule>
  </conditionalFormatting>
  <conditionalFormatting sqref="C17">
    <cfRule type="expression" priority="19" dxfId="0">
      <formula>AND(COUNT(C17:F17)=4,C17=6)</formula>
    </cfRule>
    <cfRule type="expression" priority="20" dxfId="1">
      <formula>AND(COUNT(C17:F17)=4,C17&lt;6*0.4)</formula>
    </cfRule>
    <cfRule type="expression" priority="21" dxfId="2">
      <formula>AND(COUNT(C17:F17)=4,C17&gt;=6*0.4,C17&lt;6)</formula>
    </cfRule>
  </conditionalFormatting>
  <conditionalFormatting sqref="C18">
    <cfRule type="expression" priority="22" dxfId="0">
      <formula>AND(COUNT(C18:F18)=4,C18=6)</formula>
    </cfRule>
    <cfRule type="expression" priority="23" dxfId="1">
      <formula>AND(COUNT(C18:F18)=4,C18&lt;6*0.4)</formula>
    </cfRule>
    <cfRule type="expression" priority="24" dxfId="2">
      <formula>AND(COUNT(C18:F18)=4,C18&gt;=6*0.4,C18&lt;6)</formula>
    </cfRule>
  </conditionalFormatting>
  <conditionalFormatting sqref="C19">
    <cfRule type="expression" priority="25" dxfId="0">
      <formula>AND(COUNT(C19:F19)=4,C19=6)</formula>
    </cfRule>
    <cfRule type="expression" priority="26" dxfId="1">
      <formula>AND(COUNT(C19:F19)=4,C19&lt;6*0.4)</formula>
    </cfRule>
    <cfRule type="expression" priority="27" dxfId="2">
      <formula>AND(COUNT(C19:F19)=4,C19&gt;=6*0.4,C19&lt;6)</formula>
    </cfRule>
  </conditionalFormatting>
  <conditionalFormatting sqref="C20">
    <cfRule type="expression" priority="28" dxfId="0">
      <formula>AND(COUNT(C20:F20)=4,C20=6)</formula>
    </cfRule>
    <cfRule type="expression" priority="29" dxfId="1">
      <formula>AND(COUNT(C20:F20)=4,C20&lt;6*0.4)</formula>
    </cfRule>
    <cfRule type="expression" priority="30" dxfId="2">
      <formula>AND(COUNT(C20:F20)=4,C20&gt;=6*0.4,C20&lt;6)</formula>
    </cfRule>
  </conditionalFormatting>
  <conditionalFormatting sqref="C21">
    <cfRule type="expression" priority="31" dxfId="0">
      <formula>AND(COUNT(C21:F21)=4,C21=6)</formula>
    </cfRule>
    <cfRule type="expression" priority="32" dxfId="1">
      <formula>AND(COUNT(C21:F21)=4,C21&lt;6*0.4)</formula>
    </cfRule>
    <cfRule type="expression" priority="33" dxfId="2">
      <formula>AND(COUNT(C21:F21)=4,C21&gt;=6*0.4,C21&lt;6)</formula>
    </cfRule>
  </conditionalFormatting>
  <conditionalFormatting sqref="C22">
    <cfRule type="expression" priority="34" dxfId="0">
      <formula>AND(COUNT(C22:F22)=4,C22=6)</formula>
    </cfRule>
    <cfRule type="expression" priority="35" dxfId="1">
      <formula>AND(COUNT(C22:F22)=4,C22&lt;6*0.4)</formula>
    </cfRule>
    <cfRule type="expression" priority="36" dxfId="2">
      <formula>AND(COUNT(C22:F22)=4,C22&gt;=6*0.4,C22&lt;6)</formula>
    </cfRule>
  </conditionalFormatting>
  <conditionalFormatting sqref="C23">
    <cfRule type="expression" priority="37" dxfId="0">
      <formula>AND(COUNT(C23:F23)=4,C23=6)</formula>
    </cfRule>
    <cfRule type="expression" priority="38" dxfId="1">
      <formula>AND(COUNT(C23:F23)=4,C23&lt;6*0.4)</formula>
    </cfRule>
    <cfRule type="expression" priority="39" dxfId="2">
      <formula>AND(COUNT(C23:F23)=4,C23&gt;=6*0.4,C23&lt;6)</formula>
    </cfRule>
  </conditionalFormatting>
  <conditionalFormatting sqref="C24">
    <cfRule type="expression" priority="40" dxfId="0">
      <formula>AND(COUNT(C24:F24)=4,C24=6)</formula>
    </cfRule>
    <cfRule type="expression" priority="41" dxfId="1">
      <formula>AND(COUNT(C24:F24)=4,C24&lt;6*0.4)</formula>
    </cfRule>
    <cfRule type="expression" priority="42" dxfId="2">
      <formula>AND(COUNT(C24:F24)=4,C24&gt;=6*0.4,C24&lt;6)</formula>
    </cfRule>
  </conditionalFormatting>
  <conditionalFormatting sqref="C25">
    <cfRule type="expression" priority="43" dxfId="0">
      <formula>AND(COUNT(C25:F25)=4,C25=6)</formula>
    </cfRule>
    <cfRule type="expression" priority="44" dxfId="1">
      <formula>AND(COUNT(C25:F25)=4,C25&lt;6*0.4)</formula>
    </cfRule>
    <cfRule type="expression" priority="45" dxfId="2">
      <formula>AND(COUNT(C25:F25)=4,C25&gt;=6*0.4,C25&lt;6)</formula>
    </cfRule>
  </conditionalFormatting>
  <conditionalFormatting sqref="C26">
    <cfRule type="expression" priority="46" dxfId="0">
      <formula>AND(COUNT(C26:F26)=4,C26=6)</formula>
    </cfRule>
    <cfRule type="expression" priority="47" dxfId="1">
      <formula>AND(COUNT(C26:F26)=4,C26&lt;6*0.4)</formula>
    </cfRule>
    <cfRule type="expression" priority="48" dxfId="2">
      <formula>AND(COUNT(C26:F26)=4,C26&gt;=6*0.4,C26&lt;6)</formula>
    </cfRule>
  </conditionalFormatting>
  <conditionalFormatting sqref="C27">
    <cfRule type="expression" priority="49" dxfId="0">
      <formula>AND(COUNT(C27:F27)=4,C27=6)</formula>
    </cfRule>
    <cfRule type="expression" priority="50" dxfId="1">
      <formula>AND(COUNT(C27:F27)=4,C27&lt;6*0.4)</formula>
    </cfRule>
    <cfRule type="expression" priority="51" dxfId="2">
      <formula>AND(COUNT(C27:F27)=4,C27&gt;=6*0.4,C27&lt;6)</formula>
    </cfRule>
  </conditionalFormatting>
  <conditionalFormatting sqref="C28">
    <cfRule type="expression" priority="52" dxfId="0">
      <formula>AND(COUNT(C28:F28)=4,C28=6)</formula>
    </cfRule>
    <cfRule type="expression" priority="53" dxfId="1">
      <formula>AND(COUNT(C28:F28)=4,C28&lt;6*0.4)</formula>
    </cfRule>
    <cfRule type="expression" priority="54" dxfId="2">
      <formula>AND(COUNT(C28:F28)=4,C28&gt;=6*0.4,C28&lt;6)</formula>
    </cfRule>
  </conditionalFormatting>
  <conditionalFormatting sqref="C29">
    <cfRule type="expression" priority="55" dxfId="0">
      <formula>AND(COUNT(C29:F29)=4,C29=6)</formula>
    </cfRule>
    <cfRule type="expression" priority="56" dxfId="1">
      <formula>AND(COUNT(C29:F29)=4,C29&lt;6*0.4)</formula>
    </cfRule>
    <cfRule type="expression" priority="57" dxfId="2">
      <formula>AND(COUNT(C29:F29)=4,C29&gt;=6*0.4,C29&lt;6)</formula>
    </cfRule>
  </conditionalFormatting>
  <conditionalFormatting sqref="C30">
    <cfRule type="expression" priority="58" dxfId="0">
      <formula>AND(COUNT(C30:F30)=4,C30=6)</formula>
    </cfRule>
    <cfRule type="expression" priority="59" dxfId="1">
      <formula>AND(COUNT(C30:F30)=4,C30&lt;6*0.4)</formula>
    </cfRule>
    <cfRule type="expression" priority="60" dxfId="2">
      <formula>AND(COUNT(C30:F30)=4,C30&gt;=6*0.4,C30&lt;6)</formula>
    </cfRule>
  </conditionalFormatting>
  <conditionalFormatting sqref="C31">
    <cfRule type="expression" priority="61" dxfId="0">
      <formula>AND(COUNT(C31:F31)=4,C31=6)</formula>
    </cfRule>
    <cfRule type="expression" priority="62" dxfId="1">
      <formula>AND(COUNT(C31:F31)=4,C31&lt;6*0.4)</formula>
    </cfRule>
    <cfRule type="expression" priority="63" dxfId="2">
      <formula>AND(COUNT(C31:F31)=4,C31&gt;=6*0.4,C31&lt;6)</formula>
    </cfRule>
  </conditionalFormatting>
  <conditionalFormatting sqref="C32">
    <cfRule type="expression" priority="64" dxfId="0">
      <formula>AND(COUNT(C32:F32)=4,C32=6)</formula>
    </cfRule>
    <cfRule type="expression" priority="65" dxfId="1">
      <formula>AND(COUNT(C32:F32)=4,C32&lt;6*0.4)</formula>
    </cfRule>
    <cfRule type="expression" priority="66" dxfId="2">
      <formula>AND(COUNT(C32:F32)=4,C32&gt;=6*0.4,C32&lt;6)</formula>
    </cfRule>
  </conditionalFormatting>
  <conditionalFormatting sqref="C33">
    <cfRule type="expression" priority="67" dxfId="0">
      <formula>AND(COUNT(C33:F33)=4,C33=6)</formula>
    </cfRule>
    <cfRule type="expression" priority="68" dxfId="1">
      <formula>AND(COUNT(C33:F33)=4,C33&lt;6*0.4)</formula>
    </cfRule>
    <cfRule type="expression" priority="69" dxfId="2">
      <formula>AND(COUNT(C33:F33)=4,C33&gt;=6*0.4,C33&lt;6)</formula>
    </cfRule>
  </conditionalFormatting>
  <conditionalFormatting sqref="C34">
    <cfRule type="expression" priority="70" dxfId="0">
      <formula>AND(COUNT(C34:F34)=4,C34=6)</formula>
    </cfRule>
    <cfRule type="expression" priority="71" dxfId="1">
      <formula>AND(COUNT(C34:F34)=4,C34&lt;6*0.4)</formula>
    </cfRule>
    <cfRule type="expression" priority="72" dxfId="2">
      <formula>AND(COUNT(C34:F34)=4,C34&gt;=6*0.4,C34&lt;6)</formula>
    </cfRule>
  </conditionalFormatting>
  <conditionalFormatting sqref="C35">
    <cfRule type="expression" priority="73" dxfId="0">
      <formula>AND(COUNT(C35:F35)=4,C35=6)</formula>
    </cfRule>
    <cfRule type="expression" priority="74" dxfId="1">
      <formula>AND(COUNT(C35:F35)=4,C35&lt;6*0.4)</formula>
    </cfRule>
    <cfRule type="expression" priority="75" dxfId="2">
      <formula>AND(COUNT(C35:F35)=4,C35&gt;=6*0.4,C35&lt;6)</formula>
    </cfRule>
  </conditionalFormatting>
  <conditionalFormatting sqref="C36">
    <cfRule type="expression" priority="76" dxfId="0">
      <formula>AND(COUNT(C36:F36)=4,C36=6)</formula>
    </cfRule>
    <cfRule type="expression" priority="77" dxfId="1">
      <formula>AND(COUNT(C36:F36)=4,C36&lt;6*0.4)</formula>
    </cfRule>
    <cfRule type="expression" priority="78" dxfId="2">
      <formula>AND(COUNT(C36:F36)=4,C36&gt;=6*0.4,C36&lt;6)</formula>
    </cfRule>
  </conditionalFormatting>
  <conditionalFormatting sqref="C37">
    <cfRule type="expression" priority="79" dxfId="0">
      <formula>AND(COUNT(C37:F37)=4,C37=6)</formula>
    </cfRule>
    <cfRule type="expression" priority="80" dxfId="1">
      <formula>AND(COUNT(C37:F37)=4,C37&lt;6*0.4)</formula>
    </cfRule>
    <cfRule type="expression" priority="81" dxfId="2">
      <formula>AND(COUNT(C37:F37)=4,C37&gt;=6*0.4,C37&lt;6)</formula>
    </cfRule>
  </conditionalFormatting>
  <conditionalFormatting sqref="C38">
    <cfRule type="expression" priority="82" dxfId="0">
      <formula>AND(COUNT(C38:F38)=4,C38=6)</formula>
    </cfRule>
    <cfRule type="expression" priority="83" dxfId="1">
      <formula>AND(COUNT(C38:F38)=4,C38&lt;6*0.4)</formula>
    </cfRule>
    <cfRule type="expression" priority="84" dxfId="2">
      <formula>AND(COUNT(C38:F38)=4,C38&gt;=6*0.4,C38&lt;6)</formula>
    </cfRule>
  </conditionalFormatting>
  <conditionalFormatting sqref="C39">
    <cfRule type="expression" priority="85" dxfId="0">
      <formula>AND(COUNT(C39:F39)=4,C39=6)</formula>
    </cfRule>
    <cfRule type="expression" priority="86" dxfId="1">
      <formula>AND(COUNT(C39:F39)=4,C39&lt;6*0.4)</formula>
    </cfRule>
    <cfRule type="expression" priority="87" dxfId="2">
      <formula>AND(COUNT(C39:F39)=4,C39&gt;=6*0.4,C39&lt;6)</formula>
    </cfRule>
  </conditionalFormatting>
  <conditionalFormatting sqref="C40">
    <cfRule type="expression" priority="88" dxfId="0">
      <formula>AND(COUNT(C40:F40)=4,C40=6)</formula>
    </cfRule>
    <cfRule type="expression" priority="89" dxfId="1">
      <formula>AND(COUNT(C40:F40)=4,C40&lt;6*0.4)</formula>
    </cfRule>
    <cfRule type="expression" priority="90" dxfId="2">
      <formula>AND(COUNT(C40:F40)=4,C40&gt;=6*0.4,C40&lt;6)</formula>
    </cfRule>
  </conditionalFormatting>
  <conditionalFormatting sqref="C41">
    <cfRule type="expression" priority="91" dxfId="0">
      <formula>AND(COUNT(C41:F41)=4,C41=6)</formula>
    </cfRule>
    <cfRule type="expression" priority="92" dxfId="1">
      <formula>AND(COUNT(C41:F41)=4,C41&lt;6*0.4)</formula>
    </cfRule>
    <cfRule type="expression" priority="93" dxfId="2">
      <formula>AND(COUNT(C41:F41)=4,C41&gt;=6*0.4,C41&lt;6)</formula>
    </cfRule>
  </conditionalFormatting>
  <conditionalFormatting sqref="D11">
    <cfRule type="expression" priority="94" dxfId="0">
      <formula>AND(COUNT(C11:F11)=4,D11=8)</formula>
    </cfRule>
    <cfRule type="expression" priority="95" dxfId="1">
      <formula>AND(COUNT(C11:F11)=4,D11&lt;8*0.4)</formula>
    </cfRule>
    <cfRule type="expression" priority="96" dxfId="2">
      <formula>AND(COUNT(C11:F11)=4,D11&gt;=8*0.4,D11&lt;8)</formula>
    </cfRule>
  </conditionalFormatting>
  <conditionalFormatting sqref="D12">
    <cfRule type="expression" priority="97" dxfId="0">
      <formula>AND(COUNT(C12:F12)=4,D12=8)</formula>
    </cfRule>
    <cfRule type="expression" priority="98" dxfId="1">
      <formula>AND(COUNT(C12:F12)=4,D12&lt;8*0.4)</formula>
    </cfRule>
    <cfRule type="expression" priority="99" dxfId="2">
      <formula>AND(COUNT(C12:F12)=4,D12&gt;=8*0.4,D12&lt;8)</formula>
    </cfRule>
  </conditionalFormatting>
  <conditionalFormatting sqref="D13">
    <cfRule type="expression" priority="100" dxfId="0">
      <formula>AND(COUNT(C13:F13)=4,D13=8)</formula>
    </cfRule>
    <cfRule type="expression" priority="101" dxfId="1">
      <formula>AND(COUNT(C13:F13)=4,D13&lt;8*0.4)</formula>
    </cfRule>
    <cfRule type="expression" priority="102" dxfId="2">
      <formula>AND(COUNT(C13:F13)=4,D13&gt;=8*0.4,D13&lt;8)</formula>
    </cfRule>
  </conditionalFormatting>
  <conditionalFormatting sqref="D14">
    <cfRule type="expression" priority="103" dxfId="0">
      <formula>AND(COUNT(C14:F14)=4,D14=8)</formula>
    </cfRule>
    <cfRule type="expression" priority="104" dxfId="1">
      <formula>AND(COUNT(C14:F14)=4,D14&lt;8*0.4)</formula>
    </cfRule>
    <cfRule type="expression" priority="105" dxfId="2">
      <formula>AND(COUNT(C14:F14)=4,D14&gt;=8*0.4,D14&lt;8)</formula>
    </cfRule>
  </conditionalFormatting>
  <conditionalFormatting sqref="D15">
    <cfRule type="expression" priority="106" dxfId="0">
      <formula>AND(COUNT(C15:F15)=4,D15=8)</formula>
    </cfRule>
    <cfRule type="expression" priority="107" dxfId="1">
      <formula>AND(COUNT(C15:F15)=4,D15&lt;8*0.4)</formula>
    </cfRule>
    <cfRule type="expression" priority="108" dxfId="2">
      <formula>AND(COUNT(C15:F15)=4,D15&gt;=8*0.4,D15&lt;8)</formula>
    </cfRule>
  </conditionalFormatting>
  <conditionalFormatting sqref="D16">
    <cfRule type="expression" priority="109" dxfId="0">
      <formula>AND(COUNT(C16:F16)=4,D16=8)</formula>
    </cfRule>
    <cfRule type="expression" priority="110" dxfId="1">
      <formula>AND(COUNT(C16:F16)=4,D16&lt;8*0.4)</formula>
    </cfRule>
    <cfRule type="expression" priority="111" dxfId="2">
      <formula>AND(COUNT(C16:F16)=4,D16&gt;=8*0.4,D16&lt;8)</formula>
    </cfRule>
  </conditionalFormatting>
  <conditionalFormatting sqref="D17">
    <cfRule type="expression" priority="112" dxfId="0">
      <formula>AND(COUNT(C17:F17)=4,D17=8)</formula>
    </cfRule>
    <cfRule type="expression" priority="113" dxfId="1">
      <formula>AND(COUNT(C17:F17)=4,D17&lt;8*0.4)</formula>
    </cfRule>
    <cfRule type="expression" priority="114" dxfId="2">
      <formula>AND(COUNT(C17:F17)=4,D17&gt;=8*0.4,D17&lt;8)</formula>
    </cfRule>
  </conditionalFormatting>
  <conditionalFormatting sqref="D18">
    <cfRule type="expression" priority="115" dxfId="0">
      <formula>AND(COUNT(C18:F18)=4,D18=8)</formula>
    </cfRule>
    <cfRule type="expression" priority="116" dxfId="1">
      <formula>AND(COUNT(C18:F18)=4,D18&lt;8*0.4)</formula>
    </cfRule>
    <cfRule type="expression" priority="117" dxfId="2">
      <formula>AND(COUNT(C18:F18)=4,D18&gt;=8*0.4,D18&lt;8)</formula>
    </cfRule>
  </conditionalFormatting>
  <conditionalFormatting sqref="D19">
    <cfRule type="expression" priority="118" dxfId="0">
      <formula>AND(COUNT(C19:F19)=4,D19=8)</formula>
    </cfRule>
    <cfRule type="expression" priority="119" dxfId="1">
      <formula>AND(COUNT(C19:F19)=4,D19&lt;8*0.4)</formula>
    </cfRule>
    <cfRule type="expression" priority="120" dxfId="2">
      <formula>AND(COUNT(C19:F19)=4,D19&gt;=8*0.4,D19&lt;8)</formula>
    </cfRule>
  </conditionalFormatting>
  <conditionalFormatting sqref="D20">
    <cfRule type="expression" priority="121" dxfId="0">
      <formula>AND(COUNT(C20:F20)=4,D20=8)</formula>
    </cfRule>
    <cfRule type="expression" priority="122" dxfId="1">
      <formula>AND(COUNT(C20:F20)=4,D20&lt;8*0.4)</formula>
    </cfRule>
    <cfRule type="expression" priority="123" dxfId="2">
      <formula>AND(COUNT(C20:F20)=4,D20&gt;=8*0.4,D20&lt;8)</formula>
    </cfRule>
  </conditionalFormatting>
  <conditionalFormatting sqref="D21">
    <cfRule type="expression" priority="124" dxfId="0">
      <formula>AND(COUNT(C21:F21)=4,D21=8)</formula>
    </cfRule>
    <cfRule type="expression" priority="125" dxfId="1">
      <formula>AND(COUNT(C21:F21)=4,D21&lt;8*0.4)</formula>
    </cfRule>
    <cfRule type="expression" priority="126" dxfId="2">
      <formula>AND(COUNT(C21:F21)=4,D21&gt;=8*0.4,D21&lt;8)</formula>
    </cfRule>
  </conditionalFormatting>
  <conditionalFormatting sqref="D22">
    <cfRule type="expression" priority="127" dxfId="0">
      <formula>AND(COUNT(C22:F22)=4,D22=8)</formula>
    </cfRule>
    <cfRule type="expression" priority="128" dxfId="1">
      <formula>AND(COUNT(C22:F22)=4,D22&lt;8*0.4)</formula>
    </cfRule>
    <cfRule type="expression" priority="129" dxfId="2">
      <formula>AND(COUNT(C22:F22)=4,D22&gt;=8*0.4,D22&lt;8)</formula>
    </cfRule>
  </conditionalFormatting>
  <conditionalFormatting sqref="D23">
    <cfRule type="expression" priority="130" dxfId="0">
      <formula>AND(COUNT(C23:F23)=4,D23=8)</formula>
    </cfRule>
    <cfRule type="expression" priority="131" dxfId="1">
      <formula>AND(COUNT(C23:F23)=4,D23&lt;8*0.4)</formula>
    </cfRule>
    <cfRule type="expression" priority="132" dxfId="2">
      <formula>AND(COUNT(C23:F23)=4,D23&gt;=8*0.4,D23&lt;8)</formula>
    </cfRule>
  </conditionalFormatting>
  <conditionalFormatting sqref="D24">
    <cfRule type="expression" priority="133" dxfId="0">
      <formula>AND(COUNT(C24:F24)=4,D24=8)</formula>
    </cfRule>
    <cfRule type="expression" priority="134" dxfId="1">
      <formula>AND(COUNT(C24:F24)=4,D24&lt;8*0.4)</formula>
    </cfRule>
    <cfRule type="expression" priority="135" dxfId="2">
      <formula>AND(COUNT(C24:F24)=4,D24&gt;=8*0.4,D24&lt;8)</formula>
    </cfRule>
  </conditionalFormatting>
  <conditionalFormatting sqref="D25">
    <cfRule type="expression" priority="136" dxfId="0">
      <formula>AND(COUNT(C25:F25)=4,D25=8)</formula>
    </cfRule>
    <cfRule type="expression" priority="137" dxfId="1">
      <formula>AND(COUNT(C25:F25)=4,D25&lt;8*0.4)</formula>
    </cfRule>
    <cfRule type="expression" priority="138" dxfId="2">
      <formula>AND(COUNT(C25:F25)=4,D25&gt;=8*0.4,D25&lt;8)</formula>
    </cfRule>
  </conditionalFormatting>
  <conditionalFormatting sqref="D26">
    <cfRule type="expression" priority="139" dxfId="0">
      <formula>AND(COUNT(C26:F26)=4,D26=8)</formula>
    </cfRule>
    <cfRule type="expression" priority="140" dxfId="1">
      <formula>AND(COUNT(C26:F26)=4,D26&lt;8*0.4)</formula>
    </cfRule>
    <cfRule type="expression" priority="141" dxfId="2">
      <formula>AND(COUNT(C26:F26)=4,D26&gt;=8*0.4,D26&lt;8)</formula>
    </cfRule>
  </conditionalFormatting>
  <conditionalFormatting sqref="D27">
    <cfRule type="expression" priority="142" dxfId="0">
      <formula>AND(COUNT(C27:F27)=4,D27=8)</formula>
    </cfRule>
    <cfRule type="expression" priority="143" dxfId="1">
      <formula>AND(COUNT(C27:F27)=4,D27&lt;8*0.4)</formula>
    </cfRule>
    <cfRule type="expression" priority="144" dxfId="2">
      <formula>AND(COUNT(C27:F27)=4,D27&gt;=8*0.4,D27&lt;8)</formula>
    </cfRule>
  </conditionalFormatting>
  <conditionalFormatting sqref="D28">
    <cfRule type="expression" priority="145" dxfId="0">
      <formula>AND(COUNT(C28:F28)=4,D28=8)</formula>
    </cfRule>
    <cfRule type="expression" priority="146" dxfId="1">
      <formula>AND(COUNT(C28:F28)=4,D28&lt;8*0.4)</formula>
    </cfRule>
    <cfRule type="expression" priority="147" dxfId="2">
      <formula>AND(COUNT(C28:F28)=4,D28&gt;=8*0.4,D28&lt;8)</formula>
    </cfRule>
  </conditionalFormatting>
  <conditionalFormatting sqref="D29">
    <cfRule type="expression" priority="148" dxfId="0">
      <formula>AND(COUNT(C29:F29)=4,D29=8)</formula>
    </cfRule>
    <cfRule type="expression" priority="149" dxfId="1">
      <formula>AND(COUNT(C29:F29)=4,D29&lt;8*0.4)</formula>
    </cfRule>
    <cfRule type="expression" priority="150" dxfId="2">
      <formula>AND(COUNT(C29:F29)=4,D29&gt;=8*0.4,D29&lt;8)</formula>
    </cfRule>
  </conditionalFormatting>
  <conditionalFormatting sqref="D30">
    <cfRule type="expression" priority="151" dxfId="0">
      <formula>AND(COUNT(C30:F30)=4,D30=8)</formula>
    </cfRule>
    <cfRule type="expression" priority="152" dxfId="1">
      <formula>AND(COUNT(C30:F30)=4,D30&lt;8*0.4)</formula>
    </cfRule>
    <cfRule type="expression" priority="153" dxfId="2">
      <formula>AND(COUNT(C30:F30)=4,D30&gt;=8*0.4,D30&lt;8)</formula>
    </cfRule>
  </conditionalFormatting>
  <conditionalFormatting sqref="D31">
    <cfRule type="expression" priority="154" dxfId="0">
      <formula>AND(COUNT(C31:F31)=4,D31=8)</formula>
    </cfRule>
    <cfRule type="expression" priority="155" dxfId="1">
      <formula>AND(COUNT(C31:F31)=4,D31&lt;8*0.4)</formula>
    </cfRule>
    <cfRule type="expression" priority="156" dxfId="2">
      <formula>AND(COUNT(C31:F31)=4,D31&gt;=8*0.4,D31&lt;8)</formula>
    </cfRule>
  </conditionalFormatting>
  <conditionalFormatting sqref="D32">
    <cfRule type="expression" priority="157" dxfId="0">
      <formula>AND(COUNT(C32:F32)=4,D32=8)</formula>
    </cfRule>
    <cfRule type="expression" priority="158" dxfId="1">
      <formula>AND(COUNT(C32:F32)=4,D32&lt;8*0.4)</formula>
    </cfRule>
    <cfRule type="expression" priority="159" dxfId="2">
      <formula>AND(COUNT(C32:F32)=4,D32&gt;=8*0.4,D32&lt;8)</formula>
    </cfRule>
  </conditionalFormatting>
  <conditionalFormatting sqref="D33">
    <cfRule type="expression" priority="160" dxfId="0">
      <formula>AND(COUNT(C33:F33)=4,D33=8)</formula>
    </cfRule>
    <cfRule type="expression" priority="161" dxfId="1">
      <formula>AND(COUNT(C33:F33)=4,D33&lt;8*0.4)</formula>
    </cfRule>
    <cfRule type="expression" priority="162" dxfId="2">
      <formula>AND(COUNT(C33:F33)=4,D33&gt;=8*0.4,D33&lt;8)</formula>
    </cfRule>
  </conditionalFormatting>
  <conditionalFormatting sqref="D34">
    <cfRule type="expression" priority="163" dxfId="0">
      <formula>AND(COUNT(C34:F34)=4,D34=8)</formula>
    </cfRule>
    <cfRule type="expression" priority="164" dxfId="1">
      <formula>AND(COUNT(C34:F34)=4,D34&lt;8*0.4)</formula>
    </cfRule>
    <cfRule type="expression" priority="165" dxfId="2">
      <formula>AND(COUNT(C34:F34)=4,D34&gt;=8*0.4,D34&lt;8)</formula>
    </cfRule>
  </conditionalFormatting>
  <conditionalFormatting sqref="D35">
    <cfRule type="expression" priority="166" dxfId="0">
      <formula>AND(COUNT(C35:F35)=4,D35=8)</formula>
    </cfRule>
    <cfRule type="expression" priority="167" dxfId="1">
      <formula>AND(COUNT(C35:F35)=4,D35&lt;8*0.4)</formula>
    </cfRule>
    <cfRule type="expression" priority="168" dxfId="2">
      <formula>AND(COUNT(C35:F35)=4,D35&gt;=8*0.4,D35&lt;8)</formula>
    </cfRule>
  </conditionalFormatting>
  <conditionalFormatting sqref="D36">
    <cfRule type="expression" priority="169" dxfId="0">
      <formula>AND(COUNT(C36:F36)=4,D36=8)</formula>
    </cfRule>
    <cfRule type="expression" priority="170" dxfId="1">
      <formula>AND(COUNT(C36:F36)=4,D36&lt;8*0.4)</formula>
    </cfRule>
    <cfRule type="expression" priority="171" dxfId="2">
      <formula>AND(COUNT(C36:F36)=4,D36&gt;=8*0.4,D36&lt;8)</formula>
    </cfRule>
  </conditionalFormatting>
  <conditionalFormatting sqref="D37">
    <cfRule type="expression" priority="172" dxfId="0">
      <formula>AND(COUNT(C37:F37)=4,D37=8)</formula>
    </cfRule>
    <cfRule type="expression" priority="173" dxfId="1">
      <formula>AND(COUNT(C37:F37)=4,D37&lt;8*0.4)</formula>
    </cfRule>
    <cfRule type="expression" priority="174" dxfId="2">
      <formula>AND(COUNT(C37:F37)=4,D37&gt;=8*0.4,D37&lt;8)</formula>
    </cfRule>
  </conditionalFormatting>
  <conditionalFormatting sqref="D38">
    <cfRule type="expression" priority="175" dxfId="0">
      <formula>AND(COUNT(C38:F38)=4,D38=8)</formula>
    </cfRule>
    <cfRule type="expression" priority="176" dxfId="1">
      <formula>AND(COUNT(C38:F38)=4,D38&lt;8*0.4)</formula>
    </cfRule>
    <cfRule type="expression" priority="177" dxfId="2">
      <formula>AND(COUNT(C38:F38)=4,D38&gt;=8*0.4,D38&lt;8)</formula>
    </cfRule>
  </conditionalFormatting>
  <conditionalFormatting sqref="D39">
    <cfRule type="expression" priority="178" dxfId="0">
      <formula>AND(COUNT(C39:F39)=4,D39=8)</formula>
    </cfRule>
    <cfRule type="expression" priority="179" dxfId="1">
      <formula>AND(COUNT(C39:F39)=4,D39&lt;8*0.4)</formula>
    </cfRule>
    <cfRule type="expression" priority="180" dxfId="2">
      <formula>AND(COUNT(C39:F39)=4,D39&gt;=8*0.4,D39&lt;8)</formula>
    </cfRule>
  </conditionalFormatting>
  <conditionalFormatting sqref="D40">
    <cfRule type="expression" priority="181" dxfId="0">
      <formula>AND(COUNT(C40:F40)=4,D40=8)</formula>
    </cfRule>
    <cfRule type="expression" priority="182" dxfId="1">
      <formula>AND(COUNT(C40:F40)=4,D40&lt;8*0.4)</formula>
    </cfRule>
    <cfRule type="expression" priority="183" dxfId="2">
      <formula>AND(COUNT(C40:F40)=4,D40&gt;=8*0.4,D40&lt;8)</formula>
    </cfRule>
  </conditionalFormatting>
  <conditionalFormatting sqref="D41">
    <cfRule type="expression" priority="184" dxfId="0">
      <formula>AND(COUNT(C41:F41)=4,D41=8)</formula>
    </cfRule>
    <cfRule type="expression" priority="185" dxfId="1">
      <formula>AND(COUNT(C41:F41)=4,D41&lt;8*0.4)</formula>
    </cfRule>
    <cfRule type="expression" priority="186" dxfId="2">
      <formula>AND(COUNT(C41:F41)=4,D41&gt;=8*0.4,D41&lt;8)</formula>
    </cfRule>
  </conditionalFormatting>
  <conditionalFormatting sqref="E11">
    <cfRule type="expression" priority="187" dxfId="0">
      <formula>AND(COUNT(C11:F11)=4,E11=8)</formula>
    </cfRule>
    <cfRule type="expression" priority="188" dxfId="1">
      <formula>AND(COUNT(C11:F11)=4,E11&lt;8*0.4)</formula>
    </cfRule>
    <cfRule type="expression" priority="189" dxfId="2">
      <formula>AND(COUNT(C11:F11)=4,E11&gt;=8*0.4,E11&lt;8)</formula>
    </cfRule>
  </conditionalFormatting>
  <conditionalFormatting sqref="E12">
    <cfRule type="expression" priority="190" dxfId="0">
      <formula>AND(COUNT(C12:F12)=4,E12=8)</formula>
    </cfRule>
    <cfRule type="expression" priority="191" dxfId="1">
      <formula>AND(COUNT(C12:F12)=4,E12&lt;8*0.4)</formula>
    </cfRule>
    <cfRule type="expression" priority="192" dxfId="2">
      <formula>AND(COUNT(C12:F12)=4,E12&gt;=8*0.4,E12&lt;8)</formula>
    </cfRule>
  </conditionalFormatting>
  <conditionalFormatting sqref="E13">
    <cfRule type="expression" priority="193" dxfId="0">
      <formula>AND(COUNT(C13:F13)=4,E13=8)</formula>
    </cfRule>
    <cfRule type="expression" priority="194" dxfId="1">
      <formula>AND(COUNT(C13:F13)=4,E13&lt;8*0.4)</formula>
    </cfRule>
    <cfRule type="expression" priority="195" dxfId="2">
      <formula>AND(COUNT(C13:F13)=4,E13&gt;=8*0.4,E13&lt;8)</formula>
    </cfRule>
  </conditionalFormatting>
  <conditionalFormatting sqref="E14">
    <cfRule type="expression" priority="196" dxfId="0">
      <formula>AND(COUNT(C14:F14)=4,E14=8)</formula>
    </cfRule>
    <cfRule type="expression" priority="197" dxfId="1">
      <formula>AND(COUNT(C14:F14)=4,E14&lt;8*0.4)</formula>
    </cfRule>
    <cfRule type="expression" priority="198" dxfId="2">
      <formula>AND(COUNT(C14:F14)=4,E14&gt;=8*0.4,E14&lt;8)</formula>
    </cfRule>
  </conditionalFormatting>
  <conditionalFormatting sqref="E15">
    <cfRule type="expression" priority="199" dxfId="0">
      <formula>AND(COUNT(C15:F15)=4,E15=8)</formula>
    </cfRule>
    <cfRule type="expression" priority="200" dxfId="1">
      <formula>AND(COUNT(C15:F15)=4,E15&lt;8*0.4)</formula>
    </cfRule>
    <cfRule type="expression" priority="201" dxfId="2">
      <formula>AND(COUNT(C15:F15)=4,E15&gt;=8*0.4,E15&lt;8)</formula>
    </cfRule>
  </conditionalFormatting>
  <conditionalFormatting sqref="E16">
    <cfRule type="expression" priority="202" dxfId="0">
      <formula>AND(COUNT(C16:F16)=4,E16=8)</formula>
    </cfRule>
    <cfRule type="expression" priority="203" dxfId="1">
      <formula>AND(COUNT(C16:F16)=4,E16&lt;8*0.4)</formula>
    </cfRule>
    <cfRule type="expression" priority="204" dxfId="2">
      <formula>AND(COUNT(C16:F16)=4,E16&gt;=8*0.4,E16&lt;8)</formula>
    </cfRule>
  </conditionalFormatting>
  <conditionalFormatting sqref="E17">
    <cfRule type="expression" priority="205" dxfId="0">
      <formula>AND(COUNT(C17:F17)=4,E17=8)</formula>
    </cfRule>
    <cfRule type="expression" priority="206" dxfId="1">
      <formula>AND(COUNT(C17:F17)=4,E17&lt;8*0.4)</formula>
    </cfRule>
    <cfRule type="expression" priority="207" dxfId="2">
      <formula>AND(COUNT(C17:F17)=4,E17&gt;=8*0.4,E17&lt;8)</formula>
    </cfRule>
  </conditionalFormatting>
  <conditionalFormatting sqref="E18">
    <cfRule type="expression" priority="208" dxfId="0">
      <formula>AND(COUNT(C18:F18)=4,E18=8)</formula>
    </cfRule>
    <cfRule type="expression" priority="209" dxfId="1">
      <formula>AND(COUNT(C18:F18)=4,E18&lt;8*0.4)</formula>
    </cfRule>
    <cfRule type="expression" priority="210" dxfId="2">
      <formula>AND(COUNT(C18:F18)=4,E18&gt;=8*0.4,E18&lt;8)</formula>
    </cfRule>
  </conditionalFormatting>
  <conditionalFormatting sqref="E19">
    <cfRule type="expression" priority="211" dxfId="0">
      <formula>AND(COUNT(C19:F19)=4,E19=8)</formula>
    </cfRule>
    <cfRule type="expression" priority="212" dxfId="1">
      <formula>AND(COUNT(C19:F19)=4,E19&lt;8*0.4)</formula>
    </cfRule>
    <cfRule type="expression" priority="213" dxfId="2">
      <formula>AND(COUNT(C19:F19)=4,E19&gt;=8*0.4,E19&lt;8)</formula>
    </cfRule>
  </conditionalFormatting>
  <conditionalFormatting sqref="E20">
    <cfRule type="expression" priority="214" dxfId="0">
      <formula>AND(COUNT(C20:F20)=4,E20=8)</formula>
    </cfRule>
    <cfRule type="expression" priority="215" dxfId="1">
      <formula>AND(COUNT(C20:F20)=4,E20&lt;8*0.4)</formula>
    </cfRule>
    <cfRule type="expression" priority="216" dxfId="2">
      <formula>AND(COUNT(C20:F20)=4,E20&gt;=8*0.4,E20&lt;8)</formula>
    </cfRule>
  </conditionalFormatting>
  <conditionalFormatting sqref="E21">
    <cfRule type="expression" priority="217" dxfId="0">
      <formula>AND(COUNT(C21:F21)=4,E21=8)</formula>
    </cfRule>
    <cfRule type="expression" priority="218" dxfId="1">
      <formula>AND(COUNT(C21:F21)=4,E21&lt;8*0.4)</formula>
    </cfRule>
    <cfRule type="expression" priority="219" dxfId="2">
      <formula>AND(COUNT(C21:F21)=4,E21&gt;=8*0.4,E21&lt;8)</formula>
    </cfRule>
  </conditionalFormatting>
  <conditionalFormatting sqref="E22">
    <cfRule type="expression" priority="220" dxfId="0">
      <formula>AND(COUNT(C22:F22)=4,E22=8)</formula>
    </cfRule>
    <cfRule type="expression" priority="221" dxfId="1">
      <formula>AND(COUNT(C22:F22)=4,E22&lt;8*0.4)</formula>
    </cfRule>
    <cfRule type="expression" priority="222" dxfId="2">
      <formula>AND(COUNT(C22:F22)=4,E22&gt;=8*0.4,E22&lt;8)</formula>
    </cfRule>
  </conditionalFormatting>
  <conditionalFormatting sqref="E23">
    <cfRule type="expression" priority="223" dxfId="0">
      <formula>AND(COUNT(C23:F23)=4,E23=8)</formula>
    </cfRule>
    <cfRule type="expression" priority="224" dxfId="1">
      <formula>AND(COUNT(C23:F23)=4,E23&lt;8*0.4)</formula>
    </cfRule>
    <cfRule type="expression" priority="225" dxfId="2">
      <formula>AND(COUNT(C23:F23)=4,E23&gt;=8*0.4,E23&lt;8)</formula>
    </cfRule>
  </conditionalFormatting>
  <conditionalFormatting sqref="E24">
    <cfRule type="expression" priority="226" dxfId="0">
      <formula>AND(COUNT(C24:F24)=4,E24=8)</formula>
    </cfRule>
    <cfRule type="expression" priority="227" dxfId="1">
      <formula>AND(COUNT(C24:F24)=4,E24&lt;8*0.4)</formula>
    </cfRule>
    <cfRule type="expression" priority="228" dxfId="2">
      <formula>AND(COUNT(C24:F24)=4,E24&gt;=8*0.4,E24&lt;8)</formula>
    </cfRule>
  </conditionalFormatting>
  <conditionalFormatting sqref="E25">
    <cfRule type="expression" priority="229" dxfId="0">
      <formula>AND(COUNT(C25:F25)=4,E25=8)</formula>
    </cfRule>
    <cfRule type="expression" priority="230" dxfId="1">
      <formula>AND(COUNT(C25:F25)=4,E25&lt;8*0.4)</formula>
    </cfRule>
    <cfRule type="expression" priority="231" dxfId="2">
      <formula>AND(COUNT(C25:F25)=4,E25&gt;=8*0.4,E25&lt;8)</formula>
    </cfRule>
  </conditionalFormatting>
  <conditionalFormatting sqref="E26">
    <cfRule type="expression" priority="232" dxfId="0">
      <formula>AND(COUNT(C26:F26)=4,E26=8)</formula>
    </cfRule>
    <cfRule type="expression" priority="233" dxfId="1">
      <formula>AND(COUNT(C26:F26)=4,E26&lt;8*0.4)</formula>
    </cfRule>
    <cfRule type="expression" priority="234" dxfId="2">
      <formula>AND(COUNT(C26:F26)=4,E26&gt;=8*0.4,E26&lt;8)</formula>
    </cfRule>
  </conditionalFormatting>
  <conditionalFormatting sqref="E27">
    <cfRule type="expression" priority="235" dxfId="0">
      <formula>AND(COUNT(C27:F27)=4,E27=8)</formula>
    </cfRule>
    <cfRule type="expression" priority="236" dxfId="1">
      <formula>AND(COUNT(C27:F27)=4,E27&lt;8*0.4)</formula>
    </cfRule>
    <cfRule type="expression" priority="237" dxfId="2">
      <formula>AND(COUNT(C27:F27)=4,E27&gt;=8*0.4,E27&lt;8)</formula>
    </cfRule>
  </conditionalFormatting>
  <conditionalFormatting sqref="E28">
    <cfRule type="expression" priority="238" dxfId="0">
      <formula>AND(COUNT(C28:F28)=4,E28=8)</formula>
    </cfRule>
    <cfRule type="expression" priority="239" dxfId="1">
      <formula>AND(COUNT(C28:F28)=4,E28&lt;8*0.4)</formula>
    </cfRule>
    <cfRule type="expression" priority="240" dxfId="2">
      <formula>AND(COUNT(C28:F28)=4,E28&gt;=8*0.4,E28&lt;8)</formula>
    </cfRule>
  </conditionalFormatting>
  <conditionalFormatting sqref="E29">
    <cfRule type="expression" priority="241" dxfId="0">
      <formula>AND(COUNT(C29:F29)=4,E29=8)</formula>
    </cfRule>
    <cfRule type="expression" priority="242" dxfId="1">
      <formula>AND(COUNT(C29:F29)=4,E29&lt;8*0.4)</formula>
    </cfRule>
    <cfRule type="expression" priority="243" dxfId="2">
      <formula>AND(COUNT(C29:F29)=4,E29&gt;=8*0.4,E29&lt;8)</formula>
    </cfRule>
  </conditionalFormatting>
  <conditionalFormatting sqref="E30">
    <cfRule type="expression" priority="244" dxfId="0">
      <formula>AND(COUNT(C30:F30)=4,E30=8)</formula>
    </cfRule>
    <cfRule type="expression" priority="245" dxfId="1">
      <formula>AND(COUNT(C30:F30)=4,E30&lt;8*0.4)</formula>
    </cfRule>
    <cfRule type="expression" priority="246" dxfId="2">
      <formula>AND(COUNT(C30:F30)=4,E30&gt;=8*0.4,E30&lt;8)</formula>
    </cfRule>
  </conditionalFormatting>
  <conditionalFormatting sqref="E31">
    <cfRule type="expression" priority="247" dxfId="0">
      <formula>AND(COUNT(C31:F31)=4,E31=8)</formula>
    </cfRule>
    <cfRule type="expression" priority="248" dxfId="1">
      <formula>AND(COUNT(C31:F31)=4,E31&lt;8*0.4)</formula>
    </cfRule>
    <cfRule type="expression" priority="249" dxfId="2">
      <formula>AND(COUNT(C31:F31)=4,E31&gt;=8*0.4,E31&lt;8)</formula>
    </cfRule>
  </conditionalFormatting>
  <conditionalFormatting sqref="E32">
    <cfRule type="expression" priority="250" dxfId="0">
      <formula>AND(COUNT(C32:F32)=4,E32=8)</formula>
    </cfRule>
    <cfRule type="expression" priority="251" dxfId="1">
      <formula>AND(COUNT(C32:F32)=4,E32&lt;8*0.4)</formula>
    </cfRule>
    <cfRule type="expression" priority="252" dxfId="2">
      <formula>AND(COUNT(C32:F32)=4,E32&gt;=8*0.4,E32&lt;8)</formula>
    </cfRule>
  </conditionalFormatting>
  <conditionalFormatting sqref="E33">
    <cfRule type="expression" priority="253" dxfId="0">
      <formula>AND(COUNT(C33:F33)=4,E33=8)</formula>
    </cfRule>
    <cfRule type="expression" priority="254" dxfId="1">
      <formula>AND(COUNT(C33:F33)=4,E33&lt;8*0.4)</formula>
    </cfRule>
    <cfRule type="expression" priority="255" dxfId="2">
      <formula>AND(COUNT(C33:F33)=4,E33&gt;=8*0.4,E33&lt;8)</formula>
    </cfRule>
  </conditionalFormatting>
  <conditionalFormatting sqref="E34">
    <cfRule type="expression" priority="256" dxfId="0">
      <formula>AND(COUNT(C34:F34)=4,E34=8)</formula>
    </cfRule>
    <cfRule type="expression" priority="257" dxfId="1">
      <formula>AND(COUNT(C34:F34)=4,E34&lt;8*0.4)</formula>
    </cfRule>
    <cfRule type="expression" priority="258" dxfId="2">
      <formula>AND(COUNT(C34:F34)=4,E34&gt;=8*0.4,E34&lt;8)</formula>
    </cfRule>
  </conditionalFormatting>
  <conditionalFormatting sqref="E35">
    <cfRule type="expression" priority="259" dxfId="0">
      <formula>AND(COUNT(C35:F35)=4,E35=8)</formula>
    </cfRule>
    <cfRule type="expression" priority="260" dxfId="1">
      <formula>AND(COUNT(C35:F35)=4,E35&lt;8*0.4)</formula>
    </cfRule>
    <cfRule type="expression" priority="261" dxfId="2">
      <formula>AND(COUNT(C35:F35)=4,E35&gt;=8*0.4,E35&lt;8)</formula>
    </cfRule>
  </conditionalFormatting>
  <conditionalFormatting sqref="E36">
    <cfRule type="expression" priority="262" dxfId="0">
      <formula>AND(COUNT(C36:F36)=4,E36=8)</formula>
    </cfRule>
    <cfRule type="expression" priority="263" dxfId="1">
      <formula>AND(COUNT(C36:F36)=4,E36&lt;8*0.4)</formula>
    </cfRule>
    <cfRule type="expression" priority="264" dxfId="2">
      <formula>AND(COUNT(C36:F36)=4,E36&gt;=8*0.4,E36&lt;8)</formula>
    </cfRule>
  </conditionalFormatting>
  <conditionalFormatting sqref="E37">
    <cfRule type="expression" priority="265" dxfId="0">
      <formula>AND(COUNT(C37:F37)=4,E37=8)</formula>
    </cfRule>
    <cfRule type="expression" priority="266" dxfId="1">
      <formula>AND(COUNT(C37:F37)=4,E37&lt;8*0.4)</formula>
    </cfRule>
    <cfRule type="expression" priority="267" dxfId="2">
      <formula>AND(COUNT(C37:F37)=4,E37&gt;=8*0.4,E37&lt;8)</formula>
    </cfRule>
  </conditionalFormatting>
  <conditionalFormatting sqref="E38">
    <cfRule type="expression" priority="268" dxfId="0">
      <formula>AND(COUNT(C38:F38)=4,E38=8)</formula>
    </cfRule>
    <cfRule type="expression" priority="269" dxfId="1">
      <formula>AND(COUNT(C38:F38)=4,E38&lt;8*0.4)</formula>
    </cfRule>
    <cfRule type="expression" priority="270" dxfId="2">
      <formula>AND(COUNT(C38:F38)=4,E38&gt;=8*0.4,E38&lt;8)</formula>
    </cfRule>
  </conditionalFormatting>
  <conditionalFormatting sqref="E39">
    <cfRule type="expression" priority="271" dxfId="0">
      <formula>AND(COUNT(C39:F39)=4,E39=8)</formula>
    </cfRule>
    <cfRule type="expression" priority="272" dxfId="1">
      <formula>AND(COUNT(C39:F39)=4,E39&lt;8*0.4)</formula>
    </cfRule>
    <cfRule type="expression" priority="273" dxfId="2">
      <formula>AND(COUNT(C39:F39)=4,E39&gt;=8*0.4,E39&lt;8)</formula>
    </cfRule>
  </conditionalFormatting>
  <conditionalFormatting sqref="E40">
    <cfRule type="expression" priority="274" dxfId="0">
      <formula>AND(COUNT(C40:F40)=4,E40=8)</formula>
    </cfRule>
    <cfRule type="expression" priority="275" dxfId="1">
      <formula>AND(COUNT(C40:F40)=4,E40&lt;8*0.4)</formula>
    </cfRule>
    <cfRule type="expression" priority="276" dxfId="2">
      <formula>AND(COUNT(C40:F40)=4,E40&gt;=8*0.4,E40&lt;8)</formula>
    </cfRule>
  </conditionalFormatting>
  <conditionalFormatting sqref="E41">
    <cfRule type="expression" priority="277" dxfId="0">
      <formula>AND(COUNT(C41:F41)=4,E41=8)</formula>
    </cfRule>
    <cfRule type="expression" priority="278" dxfId="1">
      <formula>AND(COUNT(C41:F41)=4,E41&lt;8*0.4)</formula>
    </cfRule>
    <cfRule type="expression" priority="279" dxfId="2">
      <formula>AND(COUNT(C41:F41)=4,E41&gt;=8*0.4,E41&lt;8)</formula>
    </cfRule>
  </conditionalFormatting>
  <conditionalFormatting sqref="F11">
    <cfRule type="expression" priority="280" dxfId="0">
      <formula>AND(COUNT(C11:F11)=4,F11=4)</formula>
    </cfRule>
    <cfRule type="expression" priority="281" dxfId="1">
      <formula>AND(COUNT(C11:F11)=4,F11&lt;4*0.4)</formula>
    </cfRule>
    <cfRule type="expression" priority="282" dxfId="2">
      <formula>AND(COUNT(C11:F11)=4,F11&gt;=4*0.4,F11&lt;4)</formula>
    </cfRule>
  </conditionalFormatting>
  <conditionalFormatting sqref="F12">
    <cfRule type="expression" priority="283" dxfId="0">
      <formula>AND(COUNT(C12:F12)=4,F12=4)</formula>
    </cfRule>
    <cfRule type="expression" priority="284" dxfId="1">
      <formula>AND(COUNT(C12:F12)=4,F12&lt;4*0.4)</formula>
    </cfRule>
    <cfRule type="expression" priority="285" dxfId="2">
      <formula>AND(COUNT(C12:F12)=4,F12&gt;=4*0.4,F12&lt;4)</formula>
    </cfRule>
  </conditionalFormatting>
  <conditionalFormatting sqref="F13">
    <cfRule type="expression" priority="286" dxfId="0">
      <formula>AND(COUNT(C13:F13)=4,F13=4)</formula>
    </cfRule>
    <cfRule type="expression" priority="287" dxfId="1">
      <formula>AND(COUNT(C13:F13)=4,F13&lt;4*0.4)</formula>
    </cfRule>
    <cfRule type="expression" priority="288" dxfId="2">
      <formula>AND(COUNT(C13:F13)=4,F13&gt;=4*0.4,F13&lt;4)</formula>
    </cfRule>
  </conditionalFormatting>
  <conditionalFormatting sqref="F14">
    <cfRule type="expression" priority="289" dxfId="0">
      <formula>AND(COUNT(C14:F14)=4,F14=4)</formula>
    </cfRule>
    <cfRule type="expression" priority="290" dxfId="1">
      <formula>AND(COUNT(C14:F14)=4,F14&lt;4*0.4)</formula>
    </cfRule>
    <cfRule type="expression" priority="291" dxfId="2">
      <formula>AND(COUNT(C14:F14)=4,F14&gt;=4*0.4,F14&lt;4)</formula>
    </cfRule>
  </conditionalFormatting>
  <conditionalFormatting sqref="F15">
    <cfRule type="expression" priority="292" dxfId="0">
      <formula>AND(COUNT(C15:F15)=4,F15=4)</formula>
    </cfRule>
    <cfRule type="expression" priority="293" dxfId="1">
      <formula>AND(COUNT(C15:F15)=4,F15&lt;4*0.4)</formula>
    </cfRule>
    <cfRule type="expression" priority="294" dxfId="2">
      <formula>AND(COUNT(C15:F15)=4,F15&gt;=4*0.4,F15&lt;4)</formula>
    </cfRule>
  </conditionalFormatting>
  <conditionalFormatting sqref="F16">
    <cfRule type="expression" priority="295" dxfId="0">
      <formula>AND(COUNT(C16:F16)=4,F16=4)</formula>
    </cfRule>
    <cfRule type="expression" priority="296" dxfId="1">
      <formula>AND(COUNT(C16:F16)=4,F16&lt;4*0.4)</formula>
    </cfRule>
    <cfRule type="expression" priority="297" dxfId="2">
      <formula>AND(COUNT(C16:F16)=4,F16&gt;=4*0.4,F16&lt;4)</formula>
    </cfRule>
  </conditionalFormatting>
  <conditionalFormatting sqref="F17">
    <cfRule type="expression" priority="298" dxfId="0">
      <formula>AND(COUNT(C17:F17)=4,F17=4)</formula>
    </cfRule>
    <cfRule type="expression" priority="299" dxfId="1">
      <formula>AND(COUNT(C17:F17)=4,F17&lt;4*0.4)</formula>
    </cfRule>
    <cfRule type="expression" priority="300" dxfId="2">
      <formula>AND(COUNT(C17:F17)=4,F17&gt;=4*0.4,F17&lt;4)</formula>
    </cfRule>
  </conditionalFormatting>
  <conditionalFormatting sqref="F18">
    <cfRule type="expression" priority="301" dxfId="0">
      <formula>AND(COUNT(C18:F18)=4,F18=4)</formula>
    </cfRule>
    <cfRule type="expression" priority="302" dxfId="1">
      <formula>AND(COUNT(C18:F18)=4,F18&lt;4*0.4)</formula>
    </cfRule>
    <cfRule type="expression" priority="303" dxfId="2">
      <formula>AND(COUNT(C18:F18)=4,F18&gt;=4*0.4,F18&lt;4)</formula>
    </cfRule>
  </conditionalFormatting>
  <conditionalFormatting sqref="F19">
    <cfRule type="expression" priority="304" dxfId="0">
      <formula>AND(COUNT(C19:F19)=4,F19=4)</formula>
    </cfRule>
    <cfRule type="expression" priority="305" dxfId="1">
      <formula>AND(COUNT(C19:F19)=4,F19&lt;4*0.4)</formula>
    </cfRule>
    <cfRule type="expression" priority="306" dxfId="2">
      <formula>AND(COUNT(C19:F19)=4,F19&gt;=4*0.4,F19&lt;4)</formula>
    </cfRule>
  </conditionalFormatting>
  <conditionalFormatting sqref="F20">
    <cfRule type="expression" priority="307" dxfId="0">
      <formula>AND(COUNT(C20:F20)=4,F20=4)</formula>
    </cfRule>
    <cfRule type="expression" priority="308" dxfId="1">
      <formula>AND(COUNT(C20:F20)=4,F20&lt;4*0.4)</formula>
    </cfRule>
    <cfRule type="expression" priority="309" dxfId="2">
      <formula>AND(COUNT(C20:F20)=4,F20&gt;=4*0.4,F20&lt;4)</formula>
    </cfRule>
  </conditionalFormatting>
  <conditionalFormatting sqref="F21">
    <cfRule type="expression" priority="310" dxfId="0">
      <formula>AND(COUNT(C21:F21)=4,F21=4)</formula>
    </cfRule>
    <cfRule type="expression" priority="311" dxfId="1">
      <formula>AND(COUNT(C21:F21)=4,F21&lt;4*0.4)</formula>
    </cfRule>
    <cfRule type="expression" priority="312" dxfId="2">
      <formula>AND(COUNT(C21:F21)=4,F21&gt;=4*0.4,F21&lt;4)</formula>
    </cfRule>
  </conditionalFormatting>
  <conditionalFormatting sqref="F22">
    <cfRule type="expression" priority="313" dxfId="0">
      <formula>AND(COUNT(C22:F22)=4,F22=4)</formula>
    </cfRule>
    <cfRule type="expression" priority="314" dxfId="1">
      <formula>AND(COUNT(C22:F22)=4,F22&lt;4*0.4)</formula>
    </cfRule>
    <cfRule type="expression" priority="315" dxfId="2">
      <formula>AND(COUNT(C22:F22)=4,F22&gt;=4*0.4,F22&lt;4)</formula>
    </cfRule>
  </conditionalFormatting>
  <conditionalFormatting sqref="F23">
    <cfRule type="expression" priority="316" dxfId="0">
      <formula>AND(COUNT(C23:F23)=4,F23=4)</formula>
    </cfRule>
    <cfRule type="expression" priority="317" dxfId="1">
      <formula>AND(COUNT(C23:F23)=4,F23&lt;4*0.4)</formula>
    </cfRule>
    <cfRule type="expression" priority="318" dxfId="2">
      <formula>AND(COUNT(C23:F23)=4,F23&gt;=4*0.4,F23&lt;4)</formula>
    </cfRule>
  </conditionalFormatting>
  <conditionalFormatting sqref="F24">
    <cfRule type="expression" priority="319" dxfId="0">
      <formula>AND(COUNT(C24:F24)=4,F24=4)</formula>
    </cfRule>
    <cfRule type="expression" priority="320" dxfId="1">
      <formula>AND(COUNT(C24:F24)=4,F24&lt;4*0.4)</formula>
    </cfRule>
    <cfRule type="expression" priority="321" dxfId="2">
      <formula>AND(COUNT(C24:F24)=4,F24&gt;=4*0.4,F24&lt;4)</formula>
    </cfRule>
  </conditionalFormatting>
  <conditionalFormatting sqref="F25">
    <cfRule type="expression" priority="322" dxfId="0">
      <formula>AND(COUNT(C25:F25)=4,F25=4)</formula>
    </cfRule>
    <cfRule type="expression" priority="323" dxfId="1">
      <formula>AND(COUNT(C25:F25)=4,F25&lt;4*0.4)</formula>
    </cfRule>
    <cfRule type="expression" priority="324" dxfId="2">
      <formula>AND(COUNT(C25:F25)=4,F25&gt;=4*0.4,F25&lt;4)</formula>
    </cfRule>
  </conditionalFormatting>
  <conditionalFormatting sqref="F26">
    <cfRule type="expression" priority="325" dxfId="0">
      <formula>AND(COUNT(C26:F26)=4,F26=4)</formula>
    </cfRule>
    <cfRule type="expression" priority="326" dxfId="1">
      <formula>AND(COUNT(C26:F26)=4,F26&lt;4*0.4)</formula>
    </cfRule>
    <cfRule type="expression" priority="327" dxfId="2">
      <formula>AND(COUNT(C26:F26)=4,F26&gt;=4*0.4,F26&lt;4)</formula>
    </cfRule>
  </conditionalFormatting>
  <conditionalFormatting sqref="F27">
    <cfRule type="expression" priority="328" dxfId="0">
      <formula>AND(COUNT(C27:F27)=4,F27=4)</formula>
    </cfRule>
    <cfRule type="expression" priority="329" dxfId="1">
      <formula>AND(COUNT(C27:F27)=4,F27&lt;4*0.4)</formula>
    </cfRule>
    <cfRule type="expression" priority="330" dxfId="2">
      <formula>AND(COUNT(C27:F27)=4,F27&gt;=4*0.4,F27&lt;4)</formula>
    </cfRule>
  </conditionalFormatting>
  <conditionalFormatting sqref="F28">
    <cfRule type="expression" priority="331" dxfId="0">
      <formula>AND(COUNT(C28:F28)=4,F28=4)</formula>
    </cfRule>
    <cfRule type="expression" priority="332" dxfId="1">
      <formula>AND(COUNT(C28:F28)=4,F28&lt;4*0.4)</formula>
    </cfRule>
    <cfRule type="expression" priority="333" dxfId="2">
      <formula>AND(COUNT(C28:F28)=4,F28&gt;=4*0.4,F28&lt;4)</formula>
    </cfRule>
  </conditionalFormatting>
  <conditionalFormatting sqref="F29">
    <cfRule type="expression" priority="334" dxfId="0">
      <formula>AND(COUNT(C29:F29)=4,F29=4)</formula>
    </cfRule>
    <cfRule type="expression" priority="335" dxfId="1">
      <formula>AND(COUNT(C29:F29)=4,F29&lt;4*0.4)</formula>
    </cfRule>
    <cfRule type="expression" priority="336" dxfId="2">
      <formula>AND(COUNT(C29:F29)=4,F29&gt;=4*0.4,F29&lt;4)</formula>
    </cfRule>
  </conditionalFormatting>
  <conditionalFormatting sqref="F30">
    <cfRule type="expression" priority="337" dxfId="0">
      <formula>AND(COUNT(C30:F30)=4,F30=4)</formula>
    </cfRule>
    <cfRule type="expression" priority="338" dxfId="1">
      <formula>AND(COUNT(C30:F30)=4,F30&lt;4*0.4)</formula>
    </cfRule>
    <cfRule type="expression" priority="339" dxfId="2">
      <formula>AND(COUNT(C30:F30)=4,F30&gt;=4*0.4,F30&lt;4)</formula>
    </cfRule>
  </conditionalFormatting>
  <conditionalFormatting sqref="F31">
    <cfRule type="expression" priority="340" dxfId="0">
      <formula>AND(COUNT(C31:F31)=4,F31=4)</formula>
    </cfRule>
    <cfRule type="expression" priority="341" dxfId="1">
      <formula>AND(COUNT(C31:F31)=4,F31&lt;4*0.4)</formula>
    </cfRule>
    <cfRule type="expression" priority="342" dxfId="2">
      <formula>AND(COUNT(C31:F31)=4,F31&gt;=4*0.4,F31&lt;4)</formula>
    </cfRule>
  </conditionalFormatting>
  <conditionalFormatting sqref="F32">
    <cfRule type="expression" priority="343" dxfId="0">
      <formula>AND(COUNT(C32:F32)=4,F32=4)</formula>
    </cfRule>
    <cfRule type="expression" priority="344" dxfId="1">
      <formula>AND(COUNT(C32:F32)=4,F32&lt;4*0.4)</formula>
    </cfRule>
    <cfRule type="expression" priority="345" dxfId="2">
      <formula>AND(COUNT(C32:F32)=4,F32&gt;=4*0.4,F32&lt;4)</formula>
    </cfRule>
  </conditionalFormatting>
  <conditionalFormatting sqref="F33">
    <cfRule type="expression" priority="346" dxfId="0">
      <formula>AND(COUNT(C33:F33)=4,F33=4)</formula>
    </cfRule>
    <cfRule type="expression" priority="347" dxfId="1">
      <formula>AND(COUNT(C33:F33)=4,F33&lt;4*0.4)</formula>
    </cfRule>
    <cfRule type="expression" priority="348" dxfId="2">
      <formula>AND(COUNT(C33:F33)=4,F33&gt;=4*0.4,F33&lt;4)</formula>
    </cfRule>
  </conditionalFormatting>
  <conditionalFormatting sqref="F34">
    <cfRule type="expression" priority="349" dxfId="0">
      <formula>AND(COUNT(C34:F34)=4,F34=4)</formula>
    </cfRule>
    <cfRule type="expression" priority="350" dxfId="1">
      <formula>AND(COUNT(C34:F34)=4,F34&lt;4*0.4)</formula>
    </cfRule>
    <cfRule type="expression" priority="351" dxfId="2">
      <formula>AND(COUNT(C34:F34)=4,F34&gt;=4*0.4,F34&lt;4)</formula>
    </cfRule>
  </conditionalFormatting>
  <conditionalFormatting sqref="F35">
    <cfRule type="expression" priority="352" dxfId="0">
      <formula>AND(COUNT(C35:F35)=4,F35=4)</formula>
    </cfRule>
    <cfRule type="expression" priority="353" dxfId="1">
      <formula>AND(COUNT(C35:F35)=4,F35&lt;4*0.4)</formula>
    </cfRule>
    <cfRule type="expression" priority="354" dxfId="2">
      <formula>AND(COUNT(C35:F35)=4,F35&gt;=4*0.4,F35&lt;4)</formula>
    </cfRule>
  </conditionalFormatting>
  <conditionalFormatting sqref="F36">
    <cfRule type="expression" priority="355" dxfId="0">
      <formula>AND(COUNT(C36:F36)=4,F36=4)</formula>
    </cfRule>
    <cfRule type="expression" priority="356" dxfId="1">
      <formula>AND(COUNT(C36:F36)=4,F36&lt;4*0.4)</formula>
    </cfRule>
    <cfRule type="expression" priority="357" dxfId="2">
      <formula>AND(COUNT(C36:F36)=4,F36&gt;=4*0.4,F36&lt;4)</formula>
    </cfRule>
  </conditionalFormatting>
  <conditionalFormatting sqref="F37">
    <cfRule type="expression" priority="358" dxfId="0">
      <formula>AND(COUNT(C37:F37)=4,F37=4)</formula>
    </cfRule>
    <cfRule type="expression" priority="359" dxfId="1">
      <formula>AND(COUNT(C37:F37)=4,F37&lt;4*0.4)</formula>
    </cfRule>
    <cfRule type="expression" priority="360" dxfId="2">
      <formula>AND(COUNT(C37:F37)=4,F37&gt;=4*0.4,F37&lt;4)</formula>
    </cfRule>
  </conditionalFormatting>
  <conditionalFormatting sqref="F38">
    <cfRule type="expression" priority="361" dxfId="0">
      <formula>AND(COUNT(C38:F38)=4,F38=4)</formula>
    </cfRule>
    <cfRule type="expression" priority="362" dxfId="1">
      <formula>AND(COUNT(C38:F38)=4,F38&lt;4*0.4)</formula>
    </cfRule>
    <cfRule type="expression" priority="363" dxfId="2">
      <formula>AND(COUNT(C38:F38)=4,F38&gt;=4*0.4,F38&lt;4)</formula>
    </cfRule>
  </conditionalFormatting>
  <conditionalFormatting sqref="F39">
    <cfRule type="expression" priority="364" dxfId="0">
      <formula>AND(COUNT(C39:F39)=4,F39=4)</formula>
    </cfRule>
    <cfRule type="expression" priority="365" dxfId="1">
      <formula>AND(COUNT(C39:F39)=4,F39&lt;4*0.4)</formula>
    </cfRule>
    <cfRule type="expression" priority="366" dxfId="2">
      <formula>AND(COUNT(C39:F39)=4,F39&gt;=4*0.4,F39&lt;4)</formula>
    </cfRule>
  </conditionalFormatting>
  <conditionalFormatting sqref="F40">
    <cfRule type="expression" priority="367" dxfId="0">
      <formula>AND(COUNT(C40:F40)=4,F40=4)</formula>
    </cfRule>
    <cfRule type="expression" priority="368" dxfId="1">
      <formula>AND(COUNT(C40:F40)=4,F40&lt;4*0.4)</formula>
    </cfRule>
    <cfRule type="expression" priority="369" dxfId="2">
      <formula>AND(COUNT(C40:F40)=4,F40&gt;=4*0.4,F40&lt;4)</formula>
    </cfRule>
  </conditionalFormatting>
  <conditionalFormatting sqref="F41">
    <cfRule type="expression" priority="370" dxfId="0">
      <formula>AND(COUNT(C41:F41)=4,F41=4)</formula>
    </cfRule>
    <cfRule type="expression" priority="371" dxfId="1">
      <formula>AND(COUNT(C41:F41)=4,F41&lt;4*0.4)</formula>
    </cfRule>
    <cfRule type="expression" priority="372" dxfId="2">
      <formula>AND(COUNT(C41:F41)=4,F41&gt;=4*0.4,F41&lt;4)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Mini Test 5.2 — The Normal Distribution</t>
        </is>
      </c>
    </row>
    <row r="2">
      <c r="A2" s="2" t="inlineStr">
        <is>
          <t>Every block below pulls live from 'MT 5.2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SUMPRODUCT(--ISNUMBER('MT 5.2 Results'!I12:I41))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IF('MT 5.2 Results'!I12="","","Mini Test 5.2 — The Normal Distribution")</f>
        <v/>
      </c>
      <c r="K5">
        <f>IF('MT 5.2 Results'!I13="","","Mini Test 5.2 — The Normal Distribution")</f>
        <v/>
      </c>
    </row>
    <row r="6">
      <c r="A6">
        <f>IF('MT 5.2 Results'!I12="","","Name: "&amp;'MT 5.2 Results'!B12&amp;"   Class: "&amp;'MT 5.2 Results'!$B$3&amp;"   Date: "&amp;TEXT('MT 5.2 Results'!$B$5,"DD/MM/YY"))</f>
        <v/>
      </c>
      <c r="K6">
        <f>IF('MT 5.2 Results'!I13="","","Name: "&amp;'MT 5.2 Results'!B13&amp;"   Class: "&amp;'MT 5.2 Results'!$B$3&amp;"   Date: "&amp;TEXT('MT 5.2 Results'!$B$5,"DD/MM/YY"))</f>
        <v/>
      </c>
    </row>
    <row r="7">
      <c r="A7">
        <f>IF('MT 5.2 Results'!I12="","","Total: "&amp;'MT 5.2 Results'!G12&amp;"/26 ("&amp;TEXT('MT 5.2 Results'!H12,"0%")&amp;")   Overall: "&amp;'MT 5.2 Results'!I12)</f>
        <v/>
      </c>
      <c r="K7">
        <f>IF('MT 5.2 Results'!I13="","","Total: "&amp;'MT 5.2 Results'!G13&amp;"/26 ("&amp;TEXT('MT 5.2 Results'!H13,"0%")&amp;")   Overall: "&amp;'MT 5.2 Results'!I13)</f>
        <v/>
      </c>
    </row>
    <row r="8">
      <c r="A8">
        <f>IF('MT 5.2 Results'!I12="","",IF('MT 5.2 Results'!I12="Green",Parameters!$C$306,IF('MT 5.2 Results'!I12="Yellow",Parameters!$C$305,Parameters!$C$304)))</f>
        <v/>
      </c>
      <c r="K8">
        <f>IF('MT 5.2 Results'!I13="","",IF('MT 5.2 Results'!I13="Green",Parameters!$C$306,IF('MT 5.2 Results'!I13="Yellow",Parameters!$C$305,Parameters!$C$304)))</f>
        <v/>
      </c>
    </row>
    <row r="10">
      <c r="A10">
        <f>IF('MT 5.2 Results'!I12="","","Breakdown:")</f>
        <v/>
      </c>
      <c r="K10">
        <f>IF('MT 5.2 Results'!I13="","","Breakdown:")</f>
        <v/>
      </c>
    </row>
    <row r="11">
      <c r="A11">
        <f>IF('MT 5.2 Results'!I12="","","Q1 Standardising &amp; finding probabilities: "&amp;'MT 5.2 Results'!C12&amp;"/6")</f>
        <v/>
      </c>
      <c r="K11">
        <f>IF('MT 5.2 Results'!I13="","","Q1 Standardising &amp; finding probabilities: "&amp;'MT 5.2 Results'!C13&amp;"/6")</f>
        <v/>
      </c>
    </row>
    <row r="12">
      <c r="A12">
        <f>IF('MT 5.2 Results'!I12="","","Q2 Inverse normal problems using percentage points: "&amp;'MT 5.2 Results'!D12&amp;"/8")</f>
        <v/>
      </c>
      <c r="K12">
        <f>IF('MT 5.2 Results'!I13="","","Q2 Inverse normal problems using percentage points: "&amp;'MT 5.2 Results'!D13&amp;"/8")</f>
        <v/>
      </c>
    </row>
    <row r="13">
      <c r="A13">
        <f>IF('MT 5.2 Results'!I12="","","Q3 Standardising and reading probabilities from a diagram: "&amp;'MT 5.2 Results'!E12&amp;"/8")</f>
        <v/>
      </c>
      <c r="K13">
        <f>IF('MT 5.2 Results'!I13="","","Q3 Standardising and reading probabilities from a diagram: "&amp;'MT 5.2 Results'!E13&amp;"/8")</f>
        <v/>
      </c>
    </row>
    <row r="14">
      <c r="A14">
        <f>IF('MT 5.2 Results'!I12="","","Q4 Limitations &amp; practical implications of the model: "&amp;'MT 5.2 Results'!F12&amp;"/4")</f>
        <v/>
      </c>
      <c r="K14">
        <f>IF('MT 5.2 Results'!I13="","","Q4 Limitations &amp; practical implications of the model: "&amp;'MT 5.2 Results'!F13&amp;"/4")</f>
        <v/>
      </c>
    </row>
    <row r="15">
      <c r="A15">
        <f>IF(OR('MT 5.2 Results'!I12="",'MT 5.2 Results'!J12=""),"",'MT 5.2 Results'!J12)</f>
        <v/>
      </c>
      <c r="K15">
        <f>IF(OR('MT 5.2 Results'!I13="",'MT 5.2 Results'!J13=""),"",'MT 5.2 Results'!J13)</f>
        <v/>
      </c>
    </row>
    <row r="17">
      <c r="A17">
        <f>IF('MT 5.2 Results'!I12="","","Comments:")</f>
        <v/>
      </c>
      <c r="K17">
        <f>IF('MT 5.2 Results'!I13="","","Comments:")</f>
        <v/>
      </c>
    </row>
    <row r="21">
      <c r="A21">
        <f>IF('MT 5.2 Results'!I14="","","Mini Test 5.2 — The Normal Distribution")</f>
        <v/>
      </c>
      <c r="K21">
        <f>IF('MT 5.2 Results'!I15="","","Mini Test 5.2 — The Normal Distribution")</f>
        <v/>
      </c>
    </row>
    <row r="22">
      <c r="A22">
        <f>IF('MT 5.2 Results'!I14="","","Name: "&amp;'MT 5.2 Results'!B14&amp;"   Class: "&amp;'MT 5.2 Results'!$B$3&amp;"   Date: "&amp;TEXT('MT 5.2 Results'!$B$5,"DD/MM/YY"))</f>
        <v/>
      </c>
      <c r="K22">
        <f>IF('MT 5.2 Results'!I15="","","Name: "&amp;'MT 5.2 Results'!B15&amp;"   Class: "&amp;'MT 5.2 Results'!$B$3&amp;"   Date: "&amp;TEXT('MT 5.2 Results'!$B$5,"DD/MM/YY"))</f>
        <v/>
      </c>
    </row>
    <row r="23">
      <c r="A23">
        <f>IF('MT 5.2 Results'!I14="","","Total: "&amp;'MT 5.2 Results'!G14&amp;"/26 ("&amp;TEXT('MT 5.2 Results'!H14,"0%")&amp;")   Overall: "&amp;'MT 5.2 Results'!I14)</f>
        <v/>
      </c>
      <c r="K23">
        <f>IF('MT 5.2 Results'!I15="","","Total: "&amp;'MT 5.2 Results'!G15&amp;"/26 ("&amp;TEXT('MT 5.2 Results'!H15,"0%")&amp;")   Overall: "&amp;'MT 5.2 Results'!I15)</f>
        <v/>
      </c>
    </row>
    <row r="24">
      <c r="A24">
        <f>IF('MT 5.2 Results'!I14="","",IF('MT 5.2 Results'!I14="Green",Parameters!$C$306,IF('MT 5.2 Results'!I14="Yellow",Parameters!$C$305,Parameters!$C$304)))</f>
        <v/>
      </c>
      <c r="K24">
        <f>IF('MT 5.2 Results'!I15="","",IF('MT 5.2 Results'!I15="Green",Parameters!$C$306,IF('MT 5.2 Results'!I15="Yellow",Parameters!$C$305,Parameters!$C$304)))</f>
        <v/>
      </c>
    </row>
    <row r="26">
      <c r="A26">
        <f>IF('MT 5.2 Results'!I14="","","Breakdown:")</f>
        <v/>
      </c>
      <c r="K26">
        <f>IF('MT 5.2 Results'!I15="","","Breakdown:")</f>
        <v/>
      </c>
    </row>
    <row r="27">
      <c r="A27">
        <f>IF('MT 5.2 Results'!I14="","","Q1 Standardising &amp; finding probabilities: "&amp;'MT 5.2 Results'!C14&amp;"/6")</f>
        <v/>
      </c>
      <c r="K27">
        <f>IF('MT 5.2 Results'!I15="","","Q1 Standardising &amp; finding probabilities: "&amp;'MT 5.2 Results'!C15&amp;"/6")</f>
        <v/>
      </c>
    </row>
    <row r="28">
      <c r="A28">
        <f>IF('MT 5.2 Results'!I14="","","Q2 Inverse normal problems using percentage points: "&amp;'MT 5.2 Results'!D14&amp;"/8")</f>
        <v/>
      </c>
      <c r="K28">
        <f>IF('MT 5.2 Results'!I15="","","Q2 Inverse normal problems using percentage points: "&amp;'MT 5.2 Results'!D15&amp;"/8")</f>
        <v/>
      </c>
    </row>
    <row r="29">
      <c r="A29">
        <f>IF('MT 5.2 Results'!I14="","","Q3 Standardising and reading probabilities from a diagram: "&amp;'MT 5.2 Results'!E14&amp;"/8")</f>
        <v/>
      </c>
      <c r="K29">
        <f>IF('MT 5.2 Results'!I15="","","Q3 Standardising and reading probabilities from a diagram: "&amp;'MT 5.2 Results'!E15&amp;"/8")</f>
        <v/>
      </c>
    </row>
    <row r="30">
      <c r="A30">
        <f>IF('MT 5.2 Results'!I14="","","Q4 Limitations &amp; practical implications of the model: "&amp;'MT 5.2 Results'!F14&amp;"/4")</f>
        <v/>
      </c>
      <c r="K30">
        <f>IF('MT 5.2 Results'!I15="","","Q4 Limitations &amp; practical implications of the model: "&amp;'MT 5.2 Results'!F15&amp;"/4")</f>
        <v/>
      </c>
    </row>
    <row r="31">
      <c r="A31">
        <f>IF(OR('MT 5.2 Results'!I14="",'MT 5.2 Results'!J14=""),"",'MT 5.2 Results'!J14)</f>
        <v/>
      </c>
      <c r="K31">
        <f>IF(OR('MT 5.2 Results'!I15="",'MT 5.2 Results'!J15=""),"",'MT 5.2 Results'!J15)</f>
        <v/>
      </c>
    </row>
    <row r="33">
      <c r="A33">
        <f>IF('MT 5.2 Results'!I14="","","Comments:")</f>
        <v/>
      </c>
      <c r="K33">
        <f>IF('MT 5.2 Results'!I15="","","Comments:")</f>
        <v/>
      </c>
    </row>
    <row r="37">
      <c r="A37">
        <f>IF('MT 5.2 Results'!I16="","","Mini Test 5.2 — The Normal Distribution")</f>
        <v/>
      </c>
      <c r="K37">
        <f>IF('MT 5.2 Results'!I17="","","Mini Test 5.2 — The Normal Distribution")</f>
        <v/>
      </c>
    </row>
    <row r="38">
      <c r="A38">
        <f>IF('MT 5.2 Results'!I16="","","Name: "&amp;'MT 5.2 Results'!B16&amp;"   Class: "&amp;'MT 5.2 Results'!$B$3&amp;"   Date: "&amp;TEXT('MT 5.2 Results'!$B$5,"DD/MM/YY"))</f>
        <v/>
      </c>
      <c r="K38">
        <f>IF('MT 5.2 Results'!I17="","","Name: "&amp;'MT 5.2 Results'!B17&amp;"   Class: "&amp;'MT 5.2 Results'!$B$3&amp;"   Date: "&amp;TEXT('MT 5.2 Results'!$B$5,"DD/MM/YY"))</f>
        <v/>
      </c>
    </row>
    <row r="39">
      <c r="A39">
        <f>IF('MT 5.2 Results'!I16="","","Total: "&amp;'MT 5.2 Results'!G16&amp;"/26 ("&amp;TEXT('MT 5.2 Results'!H16,"0%")&amp;")   Overall: "&amp;'MT 5.2 Results'!I16)</f>
        <v/>
      </c>
      <c r="K39">
        <f>IF('MT 5.2 Results'!I17="","","Total: "&amp;'MT 5.2 Results'!G17&amp;"/26 ("&amp;TEXT('MT 5.2 Results'!H17,"0%")&amp;")   Overall: "&amp;'MT 5.2 Results'!I17)</f>
        <v/>
      </c>
    </row>
    <row r="40">
      <c r="A40">
        <f>IF('MT 5.2 Results'!I16="","",IF('MT 5.2 Results'!I16="Green",Parameters!$C$306,IF('MT 5.2 Results'!I16="Yellow",Parameters!$C$305,Parameters!$C$304)))</f>
        <v/>
      </c>
      <c r="K40">
        <f>IF('MT 5.2 Results'!I17="","",IF('MT 5.2 Results'!I17="Green",Parameters!$C$306,IF('MT 5.2 Results'!I17="Yellow",Parameters!$C$305,Parameters!$C$304)))</f>
        <v/>
      </c>
    </row>
    <row r="42">
      <c r="A42">
        <f>IF('MT 5.2 Results'!I16="","","Breakdown:")</f>
        <v/>
      </c>
      <c r="K42">
        <f>IF('MT 5.2 Results'!I17="","","Breakdown:")</f>
        <v/>
      </c>
    </row>
    <row r="43">
      <c r="A43">
        <f>IF('MT 5.2 Results'!I16="","","Q1 Standardising &amp; finding probabilities: "&amp;'MT 5.2 Results'!C16&amp;"/6")</f>
        <v/>
      </c>
      <c r="K43">
        <f>IF('MT 5.2 Results'!I17="","","Q1 Standardising &amp; finding probabilities: "&amp;'MT 5.2 Results'!C17&amp;"/6")</f>
        <v/>
      </c>
    </row>
    <row r="44">
      <c r="A44">
        <f>IF('MT 5.2 Results'!I16="","","Q2 Inverse normal problems using percentage points: "&amp;'MT 5.2 Results'!D16&amp;"/8")</f>
        <v/>
      </c>
      <c r="K44">
        <f>IF('MT 5.2 Results'!I17="","","Q2 Inverse normal problems using percentage points: "&amp;'MT 5.2 Results'!D17&amp;"/8")</f>
        <v/>
      </c>
    </row>
    <row r="45">
      <c r="A45">
        <f>IF('MT 5.2 Results'!I16="","","Q3 Standardising and reading probabilities from a diagram: "&amp;'MT 5.2 Results'!E16&amp;"/8")</f>
        <v/>
      </c>
      <c r="K45">
        <f>IF('MT 5.2 Results'!I17="","","Q3 Standardising and reading probabilities from a diagram: "&amp;'MT 5.2 Results'!E17&amp;"/8")</f>
        <v/>
      </c>
    </row>
    <row r="46">
      <c r="A46">
        <f>IF('MT 5.2 Results'!I16="","","Q4 Limitations &amp; practical implications of the model: "&amp;'MT 5.2 Results'!F16&amp;"/4")</f>
        <v/>
      </c>
      <c r="K46">
        <f>IF('MT 5.2 Results'!I17="","","Q4 Limitations &amp; practical implications of the model: "&amp;'MT 5.2 Results'!F17&amp;"/4")</f>
        <v/>
      </c>
    </row>
    <row r="47">
      <c r="A47">
        <f>IF(OR('MT 5.2 Results'!I16="",'MT 5.2 Results'!J16=""),"",'MT 5.2 Results'!J16)</f>
        <v/>
      </c>
      <c r="K47">
        <f>IF(OR('MT 5.2 Results'!I17="",'MT 5.2 Results'!J17=""),"",'MT 5.2 Results'!J17)</f>
        <v/>
      </c>
    </row>
    <row r="49">
      <c r="A49">
        <f>IF('MT 5.2 Results'!I16="","","Comments:")</f>
        <v/>
      </c>
      <c r="K49">
        <f>IF('MT 5.2 Results'!I17="","","Comments:")</f>
        <v/>
      </c>
    </row>
    <row r="53">
      <c r="A53">
        <f>IF('MT 5.2 Results'!I18="","","Mini Test 5.2 — The Normal Distribution")</f>
        <v/>
      </c>
      <c r="K53">
        <f>IF('MT 5.2 Results'!I19="","","Mini Test 5.2 — The Normal Distribution")</f>
        <v/>
      </c>
    </row>
    <row r="54">
      <c r="A54">
        <f>IF('MT 5.2 Results'!I18="","","Name: "&amp;'MT 5.2 Results'!B18&amp;"   Class: "&amp;'MT 5.2 Results'!$B$3&amp;"   Date: "&amp;TEXT('MT 5.2 Results'!$B$5,"DD/MM/YY"))</f>
        <v/>
      </c>
      <c r="K54">
        <f>IF('MT 5.2 Results'!I19="","","Name: "&amp;'MT 5.2 Results'!B19&amp;"   Class: "&amp;'MT 5.2 Results'!$B$3&amp;"   Date: "&amp;TEXT('MT 5.2 Results'!$B$5,"DD/MM/YY"))</f>
        <v/>
      </c>
    </row>
    <row r="55">
      <c r="A55">
        <f>IF('MT 5.2 Results'!I18="","","Total: "&amp;'MT 5.2 Results'!G18&amp;"/26 ("&amp;TEXT('MT 5.2 Results'!H18,"0%")&amp;")   Overall: "&amp;'MT 5.2 Results'!I18)</f>
        <v/>
      </c>
      <c r="K55">
        <f>IF('MT 5.2 Results'!I19="","","Total: "&amp;'MT 5.2 Results'!G19&amp;"/26 ("&amp;TEXT('MT 5.2 Results'!H19,"0%")&amp;")   Overall: "&amp;'MT 5.2 Results'!I19)</f>
        <v/>
      </c>
    </row>
    <row r="56">
      <c r="A56">
        <f>IF('MT 5.2 Results'!I18="","",IF('MT 5.2 Results'!I18="Green",Parameters!$C$306,IF('MT 5.2 Results'!I18="Yellow",Parameters!$C$305,Parameters!$C$304)))</f>
        <v/>
      </c>
      <c r="K56">
        <f>IF('MT 5.2 Results'!I19="","",IF('MT 5.2 Results'!I19="Green",Parameters!$C$306,IF('MT 5.2 Results'!I19="Yellow",Parameters!$C$305,Parameters!$C$304)))</f>
        <v/>
      </c>
    </row>
    <row r="58">
      <c r="A58">
        <f>IF('MT 5.2 Results'!I18="","","Breakdown:")</f>
        <v/>
      </c>
      <c r="K58">
        <f>IF('MT 5.2 Results'!I19="","","Breakdown:")</f>
        <v/>
      </c>
    </row>
    <row r="59">
      <c r="A59">
        <f>IF('MT 5.2 Results'!I18="","","Q1 Standardising &amp; finding probabilities: "&amp;'MT 5.2 Results'!C18&amp;"/6")</f>
        <v/>
      </c>
      <c r="K59">
        <f>IF('MT 5.2 Results'!I19="","","Q1 Standardising &amp; finding probabilities: "&amp;'MT 5.2 Results'!C19&amp;"/6")</f>
        <v/>
      </c>
    </row>
    <row r="60">
      <c r="A60">
        <f>IF('MT 5.2 Results'!I18="","","Q2 Inverse normal problems using percentage points: "&amp;'MT 5.2 Results'!D18&amp;"/8")</f>
        <v/>
      </c>
      <c r="K60">
        <f>IF('MT 5.2 Results'!I19="","","Q2 Inverse normal problems using percentage points: "&amp;'MT 5.2 Results'!D19&amp;"/8")</f>
        <v/>
      </c>
    </row>
    <row r="61">
      <c r="A61">
        <f>IF('MT 5.2 Results'!I18="","","Q3 Standardising and reading probabilities from a diagram: "&amp;'MT 5.2 Results'!E18&amp;"/8")</f>
        <v/>
      </c>
      <c r="K61">
        <f>IF('MT 5.2 Results'!I19="","","Q3 Standardising and reading probabilities from a diagram: "&amp;'MT 5.2 Results'!E19&amp;"/8")</f>
        <v/>
      </c>
    </row>
    <row r="62">
      <c r="A62">
        <f>IF('MT 5.2 Results'!I18="","","Q4 Limitations &amp; practical implications of the model: "&amp;'MT 5.2 Results'!F18&amp;"/4")</f>
        <v/>
      </c>
      <c r="K62">
        <f>IF('MT 5.2 Results'!I19="","","Q4 Limitations &amp; practical implications of the model: "&amp;'MT 5.2 Results'!F19&amp;"/4")</f>
        <v/>
      </c>
    </row>
    <row r="63">
      <c r="A63">
        <f>IF(OR('MT 5.2 Results'!I18="",'MT 5.2 Results'!J18=""),"",'MT 5.2 Results'!J18)</f>
        <v/>
      </c>
      <c r="K63">
        <f>IF(OR('MT 5.2 Results'!I19="",'MT 5.2 Results'!J19=""),"",'MT 5.2 Results'!J19)</f>
        <v/>
      </c>
    </row>
    <row r="65">
      <c r="A65">
        <f>IF('MT 5.2 Results'!I18="","","Comments:")</f>
        <v/>
      </c>
      <c r="K65">
        <f>IF('MT 5.2 Results'!I19="","","Comments:")</f>
        <v/>
      </c>
    </row>
    <row r="69">
      <c r="A69">
        <f>IF('MT 5.2 Results'!I20="","","Mini Test 5.2 — The Normal Distribution")</f>
        <v/>
      </c>
      <c r="K69">
        <f>IF('MT 5.2 Results'!I21="","","Mini Test 5.2 — The Normal Distribution")</f>
        <v/>
      </c>
    </row>
    <row r="70">
      <c r="A70">
        <f>IF('MT 5.2 Results'!I20="","","Name: "&amp;'MT 5.2 Results'!B20&amp;"   Class: "&amp;'MT 5.2 Results'!$B$3&amp;"   Date: "&amp;TEXT('MT 5.2 Results'!$B$5,"DD/MM/YY"))</f>
        <v/>
      </c>
      <c r="K70">
        <f>IF('MT 5.2 Results'!I21="","","Name: "&amp;'MT 5.2 Results'!B21&amp;"   Class: "&amp;'MT 5.2 Results'!$B$3&amp;"   Date: "&amp;TEXT('MT 5.2 Results'!$B$5,"DD/MM/YY"))</f>
        <v/>
      </c>
    </row>
    <row r="71">
      <c r="A71">
        <f>IF('MT 5.2 Results'!I20="","","Total: "&amp;'MT 5.2 Results'!G20&amp;"/26 ("&amp;TEXT('MT 5.2 Results'!H20,"0%")&amp;")   Overall: "&amp;'MT 5.2 Results'!I20)</f>
        <v/>
      </c>
      <c r="K71">
        <f>IF('MT 5.2 Results'!I21="","","Total: "&amp;'MT 5.2 Results'!G21&amp;"/26 ("&amp;TEXT('MT 5.2 Results'!H21,"0%")&amp;")   Overall: "&amp;'MT 5.2 Results'!I21)</f>
        <v/>
      </c>
    </row>
    <row r="72">
      <c r="A72">
        <f>IF('MT 5.2 Results'!I20="","",IF('MT 5.2 Results'!I20="Green",Parameters!$C$306,IF('MT 5.2 Results'!I20="Yellow",Parameters!$C$305,Parameters!$C$304)))</f>
        <v/>
      </c>
      <c r="K72">
        <f>IF('MT 5.2 Results'!I21="","",IF('MT 5.2 Results'!I21="Green",Parameters!$C$306,IF('MT 5.2 Results'!I21="Yellow",Parameters!$C$305,Parameters!$C$304)))</f>
        <v/>
      </c>
    </row>
    <row r="74">
      <c r="A74">
        <f>IF('MT 5.2 Results'!I20="","","Breakdown:")</f>
        <v/>
      </c>
      <c r="K74">
        <f>IF('MT 5.2 Results'!I21="","","Breakdown:")</f>
        <v/>
      </c>
    </row>
    <row r="75">
      <c r="A75">
        <f>IF('MT 5.2 Results'!I20="","","Q1 Standardising &amp; finding probabilities: "&amp;'MT 5.2 Results'!C20&amp;"/6")</f>
        <v/>
      </c>
      <c r="K75">
        <f>IF('MT 5.2 Results'!I21="","","Q1 Standardising &amp; finding probabilities: "&amp;'MT 5.2 Results'!C21&amp;"/6")</f>
        <v/>
      </c>
    </row>
    <row r="76">
      <c r="A76">
        <f>IF('MT 5.2 Results'!I20="","","Q2 Inverse normal problems using percentage points: "&amp;'MT 5.2 Results'!D20&amp;"/8")</f>
        <v/>
      </c>
      <c r="K76">
        <f>IF('MT 5.2 Results'!I21="","","Q2 Inverse normal problems using percentage points: "&amp;'MT 5.2 Results'!D21&amp;"/8")</f>
        <v/>
      </c>
    </row>
    <row r="77">
      <c r="A77">
        <f>IF('MT 5.2 Results'!I20="","","Q3 Standardising and reading probabilities from a diagram: "&amp;'MT 5.2 Results'!E20&amp;"/8")</f>
        <v/>
      </c>
      <c r="K77">
        <f>IF('MT 5.2 Results'!I21="","","Q3 Standardising and reading probabilities from a diagram: "&amp;'MT 5.2 Results'!E21&amp;"/8")</f>
        <v/>
      </c>
    </row>
    <row r="78">
      <c r="A78">
        <f>IF('MT 5.2 Results'!I20="","","Q4 Limitations &amp; practical implications of the model: "&amp;'MT 5.2 Results'!F20&amp;"/4")</f>
        <v/>
      </c>
      <c r="K78">
        <f>IF('MT 5.2 Results'!I21="","","Q4 Limitations &amp; practical implications of the model: "&amp;'MT 5.2 Results'!F21&amp;"/4")</f>
        <v/>
      </c>
    </row>
    <row r="79">
      <c r="A79">
        <f>IF(OR('MT 5.2 Results'!I20="",'MT 5.2 Results'!J20=""),"",'MT 5.2 Results'!J20)</f>
        <v/>
      </c>
      <c r="K79">
        <f>IF(OR('MT 5.2 Results'!I21="",'MT 5.2 Results'!J21=""),"",'MT 5.2 Results'!J21)</f>
        <v/>
      </c>
    </row>
    <row r="81">
      <c r="A81">
        <f>IF('MT 5.2 Results'!I20="","","Comments:")</f>
        <v/>
      </c>
      <c r="K81">
        <f>IF('MT 5.2 Results'!I21="","","Comments:")</f>
        <v/>
      </c>
    </row>
    <row r="85">
      <c r="A85">
        <f>IF('MT 5.2 Results'!I22="","","Mini Test 5.2 — The Normal Distribution")</f>
        <v/>
      </c>
      <c r="K85">
        <f>IF('MT 5.2 Results'!I23="","","Mini Test 5.2 — The Normal Distribution")</f>
        <v/>
      </c>
    </row>
    <row r="86">
      <c r="A86">
        <f>IF('MT 5.2 Results'!I22="","","Name: "&amp;'MT 5.2 Results'!B22&amp;"   Class: "&amp;'MT 5.2 Results'!$B$3&amp;"   Date: "&amp;TEXT('MT 5.2 Results'!$B$5,"DD/MM/YY"))</f>
        <v/>
      </c>
      <c r="K86">
        <f>IF('MT 5.2 Results'!I23="","","Name: "&amp;'MT 5.2 Results'!B23&amp;"   Class: "&amp;'MT 5.2 Results'!$B$3&amp;"   Date: "&amp;TEXT('MT 5.2 Results'!$B$5,"DD/MM/YY"))</f>
        <v/>
      </c>
    </row>
    <row r="87">
      <c r="A87">
        <f>IF('MT 5.2 Results'!I22="","","Total: "&amp;'MT 5.2 Results'!G22&amp;"/26 ("&amp;TEXT('MT 5.2 Results'!H22,"0%")&amp;")   Overall: "&amp;'MT 5.2 Results'!I22)</f>
        <v/>
      </c>
      <c r="K87">
        <f>IF('MT 5.2 Results'!I23="","","Total: "&amp;'MT 5.2 Results'!G23&amp;"/26 ("&amp;TEXT('MT 5.2 Results'!H23,"0%")&amp;")   Overall: "&amp;'MT 5.2 Results'!I23)</f>
        <v/>
      </c>
    </row>
    <row r="88">
      <c r="A88">
        <f>IF('MT 5.2 Results'!I22="","",IF('MT 5.2 Results'!I22="Green",Parameters!$C$306,IF('MT 5.2 Results'!I22="Yellow",Parameters!$C$305,Parameters!$C$304)))</f>
        <v/>
      </c>
      <c r="K88">
        <f>IF('MT 5.2 Results'!I23="","",IF('MT 5.2 Results'!I23="Green",Parameters!$C$306,IF('MT 5.2 Results'!I23="Yellow",Parameters!$C$305,Parameters!$C$304)))</f>
        <v/>
      </c>
    </row>
    <row r="90">
      <c r="A90">
        <f>IF('MT 5.2 Results'!I22="","","Breakdown:")</f>
        <v/>
      </c>
      <c r="K90">
        <f>IF('MT 5.2 Results'!I23="","","Breakdown:")</f>
        <v/>
      </c>
    </row>
    <row r="91">
      <c r="A91">
        <f>IF('MT 5.2 Results'!I22="","","Q1 Standardising &amp; finding probabilities: "&amp;'MT 5.2 Results'!C22&amp;"/6")</f>
        <v/>
      </c>
      <c r="K91">
        <f>IF('MT 5.2 Results'!I23="","","Q1 Standardising &amp; finding probabilities: "&amp;'MT 5.2 Results'!C23&amp;"/6")</f>
        <v/>
      </c>
    </row>
    <row r="92">
      <c r="A92">
        <f>IF('MT 5.2 Results'!I22="","","Q2 Inverse normal problems using percentage points: "&amp;'MT 5.2 Results'!D22&amp;"/8")</f>
        <v/>
      </c>
      <c r="K92">
        <f>IF('MT 5.2 Results'!I23="","","Q2 Inverse normal problems using percentage points: "&amp;'MT 5.2 Results'!D23&amp;"/8")</f>
        <v/>
      </c>
    </row>
    <row r="93">
      <c r="A93">
        <f>IF('MT 5.2 Results'!I22="","","Q3 Standardising and reading probabilities from a diagram: "&amp;'MT 5.2 Results'!E22&amp;"/8")</f>
        <v/>
      </c>
      <c r="K93">
        <f>IF('MT 5.2 Results'!I23="","","Q3 Standardising and reading probabilities from a diagram: "&amp;'MT 5.2 Results'!E23&amp;"/8")</f>
        <v/>
      </c>
    </row>
    <row r="94">
      <c r="A94">
        <f>IF('MT 5.2 Results'!I22="","","Q4 Limitations &amp; practical implications of the model: "&amp;'MT 5.2 Results'!F22&amp;"/4")</f>
        <v/>
      </c>
      <c r="K94">
        <f>IF('MT 5.2 Results'!I23="","","Q4 Limitations &amp; practical implications of the model: "&amp;'MT 5.2 Results'!F23&amp;"/4")</f>
        <v/>
      </c>
    </row>
    <row r="95">
      <c r="A95">
        <f>IF(OR('MT 5.2 Results'!I22="",'MT 5.2 Results'!J22=""),"",'MT 5.2 Results'!J22)</f>
        <v/>
      </c>
      <c r="K95">
        <f>IF(OR('MT 5.2 Results'!I23="",'MT 5.2 Results'!J23=""),"",'MT 5.2 Results'!J23)</f>
        <v/>
      </c>
    </row>
    <row r="97">
      <c r="A97">
        <f>IF('MT 5.2 Results'!I22="","","Comments:")</f>
        <v/>
      </c>
      <c r="K97">
        <f>IF('MT 5.2 Results'!I23="","","Comments:")</f>
        <v/>
      </c>
    </row>
    <row r="101">
      <c r="A101">
        <f>IF('MT 5.2 Results'!I24="","","Mini Test 5.2 — The Normal Distribution")</f>
        <v/>
      </c>
      <c r="K101">
        <f>IF('MT 5.2 Results'!I25="","","Mini Test 5.2 — The Normal Distribution")</f>
        <v/>
      </c>
    </row>
    <row r="102">
      <c r="A102">
        <f>IF('MT 5.2 Results'!I24="","","Name: "&amp;'MT 5.2 Results'!B24&amp;"   Class: "&amp;'MT 5.2 Results'!$B$3&amp;"   Date: "&amp;TEXT('MT 5.2 Results'!$B$5,"DD/MM/YY"))</f>
        <v/>
      </c>
      <c r="K102">
        <f>IF('MT 5.2 Results'!I25="","","Name: "&amp;'MT 5.2 Results'!B25&amp;"   Class: "&amp;'MT 5.2 Results'!$B$3&amp;"   Date: "&amp;TEXT('MT 5.2 Results'!$B$5,"DD/MM/YY"))</f>
        <v/>
      </c>
    </row>
    <row r="103">
      <c r="A103">
        <f>IF('MT 5.2 Results'!I24="","","Total: "&amp;'MT 5.2 Results'!G24&amp;"/26 ("&amp;TEXT('MT 5.2 Results'!H24,"0%")&amp;")   Overall: "&amp;'MT 5.2 Results'!I24)</f>
        <v/>
      </c>
      <c r="K103">
        <f>IF('MT 5.2 Results'!I25="","","Total: "&amp;'MT 5.2 Results'!G25&amp;"/26 ("&amp;TEXT('MT 5.2 Results'!H25,"0%")&amp;")   Overall: "&amp;'MT 5.2 Results'!I25)</f>
        <v/>
      </c>
    </row>
    <row r="104">
      <c r="A104">
        <f>IF('MT 5.2 Results'!I24="","",IF('MT 5.2 Results'!I24="Green",Parameters!$C$306,IF('MT 5.2 Results'!I24="Yellow",Parameters!$C$305,Parameters!$C$304)))</f>
        <v/>
      </c>
      <c r="K104">
        <f>IF('MT 5.2 Results'!I25="","",IF('MT 5.2 Results'!I25="Green",Parameters!$C$306,IF('MT 5.2 Results'!I25="Yellow",Parameters!$C$305,Parameters!$C$304)))</f>
        <v/>
      </c>
    </row>
    <row r="106">
      <c r="A106">
        <f>IF('MT 5.2 Results'!I24="","","Breakdown:")</f>
        <v/>
      </c>
      <c r="K106">
        <f>IF('MT 5.2 Results'!I25="","","Breakdown:")</f>
        <v/>
      </c>
    </row>
    <row r="107">
      <c r="A107">
        <f>IF('MT 5.2 Results'!I24="","","Q1 Standardising &amp; finding probabilities: "&amp;'MT 5.2 Results'!C24&amp;"/6")</f>
        <v/>
      </c>
      <c r="K107">
        <f>IF('MT 5.2 Results'!I25="","","Q1 Standardising &amp; finding probabilities: "&amp;'MT 5.2 Results'!C25&amp;"/6")</f>
        <v/>
      </c>
    </row>
    <row r="108">
      <c r="A108">
        <f>IF('MT 5.2 Results'!I24="","","Q2 Inverse normal problems using percentage points: "&amp;'MT 5.2 Results'!D24&amp;"/8")</f>
        <v/>
      </c>
      <c r="K108">
        <f>IF('MT 5.2 Results'!I25="","","Q2 Inverse normal problems using percentage points: "&amp;'MT 5.2 Results'!D25&amp;"/8")</f>
        <v/>
      </c>
    </row>
    <row r="109">
      <c r="A109">
        <f>IF('MT 5.2 Results'!I24="","","Q3 Standardising and reading probabilities from a diagram: "&amp;'MT 5.2 Results'!E24&amp;"/8")</f>
        <v/>
      </c>
      <c r="K109">
        <f>IF('MT 5.2 Results'!I25="","","Q3 Standardising and reading probabilities from a diagram: "&amp;'MT 5.2 Results'!E25&amp;"/8")</f>
        <v/>
      </c>
    </row>
    <row r="110">
      <c r="A110">
        <f>IF('MT 5.2 Results'!I24="","","Q4 Limitations &amp; practical implications of the model: "&amp;'MT 5.2 Results'!F24&amp;"/4")</f>
        <v/>
      </c>
      <c r="K110">
        <f>IF('MT 5.2 Results'!I25="","","Q4 Limitations &amp; practical implications of the model: "&amp;'MT 5.2 Results'!F25&amp;"/4")</f>
        <v/>
      </c>
    </row>
    <row r="111">
      <c r="A111">
        <f>IF(OR('MT 5.2 Results'!I24="",'MT 5.2 Results'!J24=""),"",'MT 5.2 Results'!J24)</f>
        <v/>
      </c>
      <c r="K111">
        <f>IF(OR('MT 5.2 Results'!I25="",'MT 5.2 Results'!J25=""),"",'MT 5.2 Results'!J25)</f>
        <v/>
      </c>
    </row>
    <row r="113">
      <c r="A113">
        <f>IF('MT 5.2 Results'!I24="","","Comments:")</f>
        <v/>
      </c>
      <c r="K113">
        <f>IF('MT 5.2 Results'!I25="","","Comments:")</f>
        <v/>
      </c>
    </row>
    <row r="117">
      <c r="A117">
        <f>IF('MT 5.2 Results'!I26="","","Mini Test 5.2 — The Normal Distribution")</f>
        <v/>
      </c>
      <c r="K117">
        <f>IF('MT 5.2 Results'!I27="","","Mini Test 5.2 — The Normal Distribution")</f>
        <v/>
      </c>
    </row>
    <row r="118">
      <c r="A118">
        <f>IF('MT 5.2 Results'!I26="","","Name: "&amp;'MT 5.2 Results'!B26&amp;"   Class: "&amp;'MT 5.2 Results'!$B$3&amp;"   Date: "&amp;TEXT('MT 5.2 Results'!$B$5,"DD/MM/YY"))</f>
        <v/>
      </c>
      <c r="K118">
        <f>IF('MT 5.2 Results'!I27="","","Name: "&amp;'MT 5.2 Results'!B27&amp;"   Class: "&amp;'MT 5.2 Results'!$B$3&amp;"   Date: "&amp;TEXT('MT 5.2 Results'!$B$5,"DD/MM/YY"))</f>
        <v/>
      </c>
    </row>
    <row r="119">
      <c r="A119">
        <f>IF('MT 5.2 Results'!I26="","","Total: "&amp;'MT 5.2 Results'!G26&amp;"/26 ("&amp;TEXT('MT 5.2 Results'!H26,"0%")&amp;")   Overall: "&amp;'MT 5.2 Results'!I26)</f>
        <v/>
      </c>
      <c r="K119">
        <f>IF('MT 5.2 Results'!I27="","","Total: "&amp;'MT 5.2 Results'!G27&amp;"/26 ("&amp;TEXT('MT 5.2 Results'!H27,"0%")&amp;")   Overall: "&amp;'MT 5.2 Results'!I27)</f>
        <v/>
      </c>
    </row>
    <row r="120">
      <c r="A120">
        <f>IF('MT 5.2 Results'!I26="","",IF('MT 5.2 Results'!I26="Green",Parameters!$C$306,IF('MT 5.2 Results'!I26="Yellow",Parameters!$C$305,Parameters!$C$304)))</f>
        <v/>
      </c>
      <c r="K120">
        <f>IF('MT 5.2 Results'!I27="","",IF('MT 5.2 Results'!I27="Green",Parameters!$C$306,IF('MT 5.2 Results'!I27="Yellow",Parameters!$C$305,Parameters!$C$304)))</f>
        <v/>
      </c>
    </row>
    <row r="122">
      <c r="A122">
        <f>IF('MT 5.2 Results'!I26="","","Breakdown:")</f>
        <v/>
      </c>
      <c r="K122">
        <f>IF('MT 5.2 Results'!I27="","","Breakdown:")</f>
        <v/>
      </c>
    </row>
    <row r="123">
      <c r="A123">
        <f>IF('MT 5.2 Results'!I26="","","Q1 Standardising &amp; finding probabilities: "&amp;'MT 5.2 Results'!C26&amp;"/6")</f>
        <v/>
      </c>
      <c r="K123">
        <f>IF('MT 5.2 Results'!I27="","","Q1 Standardising &amp; finding probabilities: "&amp;'MT 5.2 Results'!C27&amp;"/6")</f>
        <v/>
      </c>
    </row>
    <row r="124">
      <c r="A124">
        <f>IF('MT 5.2 Results'!I26="","","Q2 Inverse normal problems using percentage points: "&amp;'MT 5.2 Results'!D26&amp;"/8")</f>
        <v/>
      </c>
      <c r="K124">
        <f>IF('MT 5.2 Results'!I27="","","Q2 Inverse normal problems using percentage points: "&amp;'MT 5.2 Results'!D27&amp;"/8")</f>
        <v/>
      </c>
    </row>
    <row r="125">
      <c r="A125">
        <f>IF('MT 5.2 Results'!I26="","","Q3 Standardising and reading probabilities from a diagram: "&amp;'MT 5.2 Results'!E26&amp;"/8")</f>
        <v/>
      </c>
      <c r="K125">
        <f>IF('MT 5.2 Results'!I27="","","Q3 Standardising and reading probabilities from a diagram: "&amp;'MT 5.2 Results'!E27&amp;"/8")</f>
        <v/>
      </c>
    </row>
    <row r="126">
      <c r="A126">
        <f>IF('MT 5.2 Results'!I26="","","Q4 Limitations &amp; practical implications of the model: "&amp;'MT 5.2 Results'!F26&amp;"/4")</f>
        <v/>
      </c>
      <c r="K126">
        <f>IF('MT 5.2 Results'!I27="","","Q4 Limitations &amp; practical implications of the model: "&amp;'MT 5.2 Results'!F27&amp;"/4")</f>
        <v/>
      </c>
    </row>
    <row r="127">
      <c r="A127">
        <f>IF(OR('MT 5.2 Results'!I26="",'MT 5.2 Results'!J26=""),"",'MT 5.2 Results'!J26)</f>
        <v/>
      </c>
      <c r="K127">
        <f>IF(OR('MT 5.2 Results'!I27="",'MT 5.2 Results'!J27=""),"",'MT 5.2 Results'!J27)</f>
        <v/>
      </c>
    </row>
    <row r="129">
      <c r="A129">
        <f>IF('MT 5.2 Results'!I26="","","Comments:")</f>
        <v/>
      </c>
      <c r="K129">
        <f>IF('MT 5.2 Results'!I27="","","Comments:")</f>
        <v/>
      </c>
    </row>
    <row r="133">
      <c r="A133">
        <f>IF('MT 5.2 Results'!I28="","","Mini Test 5.2 — The Normal Distribution")</f>
        <v/>
      </c>
      <c r="K133">
        <f>IF('MT 5.2 Results'!I29="","","Mini Test 5.2 — The Normal Distribution")</f>
        <v/>
      </c>
    </row>
    <row r="134">
      <c r="A134">
        <f>IF('MT 5.2 Results'!I28="","","Name: "&amp;'MT 5.2 Results'!B28&amp;"   Class: "&amp;'MT 5.2 Results'!$B$3&amp;"   Date: "&amp;TEXT('MT 5.2 Results'!$B$5,"DD/MM/YY"))</f>
        <v/>
      </c>
      <c r="K134">
        <f>IF('MT 5.2 Results'!I29="","","Name: "&amp;'MT 5.2 Results'!B29&amp;"   Class: "&amp;'MT 5.2 Results'!$B$3&amp;"   Date: "&amp;TEXT('MT 5.2 Results'!$B$5,"DD/MM/YY"))</f>
        <v/>
      </c>
    </row>
    <row r="135">
      <c r="A135">
        <f>IF('MT 5.2 Results'!I28="","","Total: "&amp;'MT 5.2 Results'!G28&amp;"/26 ("&amp;TEXT('MT 5.2 Results'!H28,"0%")&amp;")   Overall: "&amp;'MT 5.2 Results'!I28)</f>
        <v/>
      </c>
      <c r="K135">
        <f>IF('MT 5.2 Results'!I29="","","Total: "&amp;'MT 5.2 Results'!G29&amp;"/26 ("&amp;TEXT('MT 5.2 Results'!H29,"0%")&amp;")   Overall: "&amp;'MT 5.2 Results'!I29)</f>
        <v/>
      </c>
    </row>
    <row r="136">
      <c r="A136">
        <f>IF('MT 5.2 Results'!I28="","",IF('MT 5.2 Results'!I28="Green",Parameters!$C$306,IF('MT 5.2 Results'!I28="Yellow",Parameters!$C$305,Parameters!$C$304)))</f>
        <v/>
      </c>
      <c r="K136">
        <f>IF('MT 5.2 Results'!I29="","",IF('MT 5.2 Results'!I29="Green",Parameters!$C$306,IF('MT 5.2 Results'!I29="Yellow",Parameters!$C$305,Parameters!$C$304)))</f>
        <v/>
      </c>
    </row>
    <row r="138">
      <c r="A138">
        <f>IF('MT 5.2 Results'!I28="","","Breakdown:")</f>
        <v/>
      </c>
      <c r="K138">
        <f>IF('MT 5.2 Results'!I29="","","Breakdown:")</f>
        <v/>
      </c>
    </row>
    <row r="139">
      <c r="A139">
        <f>IF('MT 5.2 Results'!I28="","","Q1 Standardising &amp; finding probabilities: "&amp;'MT 5.2 Results'!C28&amp;"/6")</f>
        <v/>
      </c>
      <c r="K139">
        <f>IF('MT 5.2 Results'!I29="","","Q1 Standardising &amp; finding probabilities: "&amp;'MT 5.2 Results'!C29&amp;"/6")</f>
        <v/>
      </c>
    </row>
    <row r="140">
      <c r="A140">
        <f>IF('MT 5.2 Results'!I28="","","Q2 Inverse normal problems using percentage points: "&amp;'MT 5.2 Results'!D28&amp;"/8")</f>
        <v/>
      </c>
      <c r="K140">
        <f>IF('MT 5.2 Results'!I29="","","Q2 Inverse normal problems using percentage points: "&amp;'MT 5.2 Results'!D29&amp;"/8")</f>
        <v/>
      </c>
    </row>
    <row r="141">
      <c r="A141">
        <f>IF('MT 5.2 Results'!I28="","","Q3 Standardising and reading probabilities from a diagram: "&amp;'MT 5.2 Results'!E28&amp;"/8")</f>
        <v/>
      </c>
      <c r="K141">
        <f>IF('MT 5.2 Results'!I29="","","Q3 Standardising and reading probabilities from a diagram: "&amp;'MT 5.2 Results'!E29&amp;"/8")</f>
        <v/>
      </c>
    </row>
    <row r="142">
      <c r="A142">
        <f>IF('MT 5.2 Results'!I28="","","Q4 Limitations &amp; practical implications of the model: "&amp;'MT 5.2 Results'!F28&amp;"/4")</f>
        <v/>
      </c>
      <c r="K142">
        <f>IF('MT 5.2 Results'!I29="","","Q4 Limitations &amp; practical implications of the model: "&amp;'MT 5.2 Results'!F29&amp;"/4")</f>
        <v/>
      </c>
    </row>
    <row r="143">
      <c r="A143">
        <f>IF(OR('MT 5.2 Results'!I28="",'MT 5.2 Results'!J28=""),"",'MT 5.2 Results'!J28)</f>
        <v/>
      </c>
      <c r="K143">
        <f>IF(OR('MT 5.2 Results'!I29="",'MT 5.2 Results'!J29=""),"",'MT 5.2 Results'!J29)</f>
        <v/>
      </c>
    </row>
    <row r="145">
      <c r="A145">
        <f>IF('MT 5.2 Results'!I28="","","Comments:")</f>
        <v/>
      </c>
      <c r="K145">
        <f>IF('MT 5.2 Results'!I29="","","Comments:")</f>
        <v/>
      </c>
    </row>
    <row r="149">
      <c r="A149">
        <f>IF('MT 5.2 Results'!I30="","","Mini Test 5.2 — The Normal Distribution")</f>
        <v/>
      </c>
      <c r="K149">
        <f>IF('MT 5.2 Results'!I31="","","Mini Test 5.2 — The Normal Distribution")</f>
        <v/>
      </c>
    </row>
    <row r="150">
      <c r="A150">
        <f>IF('MT 5.2 Results'!I30="","","Name: "&amp;'MT 5.2 Results'!B30&amp;"   Class: "&amp;'MT 5.2 Results'!$B$3&amp;"   Date: "&amp;TEXT('MT 5.2 Results'!$B$5,"DD/MM/YY"))</f>
        <v/>
      </c>
      <c r="K150">
        <f>IF('MT 5.2 Results'!I31="","","Name: "&amp;'MT 5.2 Results'!B31&amp;"   Class: "&amp;'MT 5.2 Results'!$B$3&amp;"   Date: "&amp;TEXT('MT 5.2 Results'!$B$5,"DD/MM/YY"))</f>
        <v/>
      </c>
    </row>
    <row r="151">
      <c r="A151">
        <f>IF('MT 5.2 Results'!I30="","","Total: "&amp;'MT 5.2 Results'!G30&amp;"/26 ("&amp;TEXT('MT 5.2 Results'!H30,"0%")&amp;")   Overall: "&amp;'MT 5.2 Results'!I30)</f>
        <v/>
      </c>
      <c r="K151">
        <f>IF('MT 5.2 Results'!I31="","","Total: "&amp;'MT 5.2 Results'!G31&amp;"/26 ("&amp;TEXT('MT 5.2 Results'!H31,"0%")&amp;")   Overall: "&amp;'MT 5.2 Results'!I31)</f>
        <v/>
      </c>
    </row>
    <row r="152">
      <c r="A152">
        <f>IF('MT 5.2 Results'!I30="","",IF('MT 5.2 Results'!I30="Green",Parameters!$C$306,IF('MT 5.2 Results'!I30="Yellow",Parameters!$C$305,Parameters!$C$304)))</f>
        <v/>
      </c>
      <c r="K152">
        <f>IF('MT 5.2 Results'!I31="","",IF('MT 5.2 Results'!I31="Green",Parameters!$C$306,IF('MT 5.2 Results'!I31="Yellow",Parameters!$C$305,Parameters!$C$304)))</f>
        <v/>
      </c>
    </row>
    <row r="154">
      <c r="A154">
        <f>IF('MT 5.2 Results'!I30="","","Breakdown:")</f>
        <v/>
      </c>
      <c r="K154">
        <f>IF('MT 5.2 Results'!I31="","","Breakdown:")</f>
        <v/>
      </c>
    </row>
    <row r="155">
      <c r="A155">
        <f>IF('MT 5.2 Results'!I30="","","Q1 Standardising &amp; finding probabilities: "&amp;'MT 5.2 Results'!C30&amp;"/6")</f>
        <v/>
      </c>
      <c r="K155">
        <f>IF('MT 5.2 Results'!I31="","","Q1 Standardising &amp; finding probabilities: "&amp;'MT 5.2 Results'!C31&amp;"/6")</f>
        <v/>
      </c>
    </row>
    <row r="156">
      <c r="A156">
        <f>IF('MT 5.2 Results'!I30="","","Q2 Inverse normal problems using percentage points: "&amp;'MT 5.2 Results'!D30&amp;"/8")</f>
        <v/>
      </c>
      <c r="K156">
        <f>IF('MT 5.2 Results'!I31="","","Q2 Inverse normal problems using percentage points: "&amp;'MT 5.2 Results'!D31&amp;"/8")</f>
        <v/>
      </c>
    </row>
    <row r="157">
      <c r="A157">
        <f>IF('MT 5.2 Results'!I30="","","Q3 Standardising and reading probabilities from a diagram: "&amp;'MT 5.2 Results'!E30&amp;"/8")</f>
        <v/>
      </c>
      <c r="K157">
        <f>IF('MT 5.2 Results'!I31="","","Q3 Standardising and reading probabilities from a diagram: "&amp;'MT 5.2 Results'!E31&amp;"/8")</f>
        <v/>
      </c>
    </row>
    <row r="158">
      <c r="A158">
        <f>IF('MT 5.2 Results'!I30="","","Q4 Limitations &amp; practical implications of the model: "&amp;'MT 5.2 Results'!F30&amp;"/4")</f>
        <v/>
      </c>
      <c r="K158">
        <f>IF('MT 5.2 Results'!I31="","","Q4 Limitations &amp; practical implications of the model: "&amp;'MT 5.2 Results'!F31&amp;"/4")</f>
        <v/>
      </c>
    </row>
    <row r="159">
      <c r="A159">
        <f>IF(OR('MT 5.2 Results'!I30="",'MT 5.2 Results'!J30=""),"",'MT 5.2 Results'!J30)</f>
        <v/>
      </c>
      <c r="K159">
        <f>IF(OR('MT 5.2 Results'!I31="",'MT 5.2 Results'!J31=""),"",'MT 5.2 Results'!J31)</f>
        <v/>
      </c>
    </row>
    <row r="161">
      <c r="A161">
        <f>IF('MT 5.2 Results'!I30="","","Comments:")</f>
        <v/>
      </c>
      <c r="K161">
        <f>IF('MT 5.2 Results'!I31="","","Comments:")</f>
        <v/>
      </c>
    </row>
    <row r="165">
      <c r="A165">
        <f>IF('MT 5.2 Results'!I32="","","Mini Test 5.2 — The Normal Distribution")</f>
        <v/>
      </c>
      <c r="K165">
        <f>IF('MT 5.2 Results'!I33="","","Mini Test 5.2 — The Normal Distribution")</f>
        <v/>
      </c>
    </row>
    <row r="166">
      <c r="A166">
        <f>IF('MT 5.2 Results'!I32="","","Name: "&amp;'MT 5.2 Results'!B32&amp;"   Class: "&amp;'MT 5.2 Results'!$B$3&amp;"   Date: "&amp;TEXT('MT 5.2 Results'!$B$5,"DD/MM/YY"))</f>
        <v/>
      </c>
      <c r="K166">
        <f>IF('MT 5.2 Results'!I33="","","Name: "&amp;'MT 5.2 Results'!B33&amp;"   Class: "&amp;'MT 5.2 Results'!$B$3&amp;"   Date: "&amp;TEXT('MT 5.2 Results'!$B$5,"DD/MM/YY"))</f>
        <v/>
      </c>
    </row>
    <row r="167">
      <c r="A167">
        <f>IF('MT 5.2 Results'!I32="","","Total: "&amp;'MT 5.2 Results'!G32&amp;"/26 ("&amp;TEXT('MT 5.2 Results'!H32,"0%")&amp;")   Overall: "&amp;'MT 5.2 Results'!I32)</f>
        <v/>
      </c>
      <c r="K167">
        <f>IF('MT 5.2 Results'!I33="","","Total: "&amp;'MT 5.2 Results'!G33&amp;"/26 ("&amp;TEXT('MT 5.2 Results'!H33,"0%")&amp;")   Overall: "&amp;'MT 5.2 Results'!I33)</f>
        <v/>
      </c>
    </row>
    <row r="168">
      <c r="A168">
        <f>IF('MT 5.2 Results'!I32="","",IF('MT 5.2 Results'!I32="Green",Parameters!$C$306,IF('MT 5.2 Results'!I32="Yellow",Parameters!$C$305,Parameters!$C$304)))</f>
        <v/>
      </c>
      <c r="K168">
        <f>IF('MT 5.2 Results'!I33="","",IF('MT 5.2 Results'!I33="Green",Parameters!$C$306,IF('MT 5.2 Results'!I33="Yellow",Parameters!$C$305,Parameters!$C$304)))</f>
        <v/>
      </c>
    </row>
    <row r="170">
      <c r="A170">
        <f>IF('MT 5.2 Results'!I32="","","Breakdown:")</f>
        <v/>
      </c>
      <c r="K170">
        <f>IF('MT 5.2 Results'!I33="","","Breakdown:")</f>
        <v/>
      </c>
    </row>
    <row r="171">
      <c r="A171">
        <f>IF('MT 5.2 Results'!I32="","","Q1 Standardising &amp; finding probabilities: "&amp;'MT 5.2 Results'!C32&amp;"/6")</f>
        <v/>
      </c>
      <c r="K171">
        <f>IF('MT 5.2 Results'!I33="","","Q1 Standardising &amp; finding probabilities: "&amp;'MT 5.2 Results'!C33&amp;"/6")</f>
        <v/>
      </c>
    </row>
    <row r="172">
      <c r="A172">
        <f>IF('MT 5.2 Results'!I32="","","Q2 Inverse normal problems using percentage points: "&amp;'MT 5.2 Results'!D32&amp;"/8")</f>
        <v/>
      </c>
      <c r="K172">
        <f>IF('MT 5.2 Results'!I33="","","Q2 Inverse normal problems using percentage points: "&amp;'MT 5.2 Results'!D33&amp;"/8")</f>
        <v/>
      </c>
    </row>
    <row r="173">
      <c r="A173">
        <f>IF('MT 5.2 Results'!I32="","","Q3 Standardising and reading probabilities from a diagram: "&amp;'MT 5.2 Results'!E32&amp;"/8")</f>
        <v/>
      </c>
      <c r="K173">
        <f>IF('MT 5.2 Results'!I33="","","Q3 Standardising and reading probabilities from a diagram: "&amp;'MT 5.2 Results'!E33&amp;"/8")</f>
        <v/>
      </c>
    </row>
    <row r="174">
      <c r="A174">
        <f>IF('MT 5.2 Results'!I32="","","Q4 Limitations &amp; practical implications of the model: "&amp;'MT 5.2 Results'!F32&amp;"/4")</f>
        <v/>
      </c>
      <c r="K174">
        <f>IF('MT 5.2 Results'!I33="","","Q4 Limitations &amp; practical implications of the model: "&amp;'MT 5.2 Results'!F33&amp;"/4")</f>
        <v/>
      </c>
    </row>
    <row r="175">
      <c r="A175">
        <f>IF(OR('MT 5.2 Results'!I32="",'MT 5.2 Results'!J32=""),"",'MT 5.2 Results'!J32)</f>
        <v/>
      </c>
      <c r="K175">
        <f>IF(OR('MT 5.2 Results'!I33="",'MT 5.2 Results'!J33=""),"",'MT 5.2 Results'!J33)</f>
        <v/>
      </c>
    </row>
    <row r="177">
      <c r="A177">
        <f>IF('MT 5.2 Results'!I32="","","Comments:")</f>
        <v/>
      </c>
      <c r="K177">
        <f>IF('MT 5.2 Results'!I33="","","Comments:")</f>
        <v/>
      </c>
    </row>
    <row r="181">
      <c r="A181">
        <f>IF('MT 5.2 Results'!I34="","","Mini Test 5.2 — The Normal Distribution")</f>
        <v/>
      </c>
      <c r="K181">
        <f>IF('MT 5.2 Results'!I35="","","Mini Test 5.2 — The Normal Distribution")</f>
        <v/>
      </c>
    </row>
    <row r="182">
      <c r="A182">
        <f>IF('MT 5.2 Results'!I34="","","Name: "&amp;'MT 5.2 Results'!B34&amp;"   Class: "&amp;'MT 5.2 Results'!$B$3&amp;"   Date: "&amp;TEXT('MT 5.2 Results'!$B$5,"DD/MM/YY"))</f>
        <v/>
      </c>
      <c r="K182">
        <f>IF('MT 5.2 Results'!I35="","","Name: "&amp;'MT 5.2 Results'!B35&amp;"   Class: "&amp;'MT 5.2 Results'!$B$3&amp;"   Date: "&amp;TEXT('MT 5.2 Results'!$B$5,"DD/MM/YY"))</f>
        <v/>
      </c>
    </row>
    <row r="183">
      <c r="A183">
        <f>IF('MT 5.2 Results'!I34="","","Total: "&amp;'MT 5.2 Results'!G34&amp;"/26 ("&amp;TEXT('MT 5.2 Results'!H34,"0%")&amp;")   Overall: "&amp;'MT 5.2 Results'!I34)</f>
        <v/>
      </c>
      <c r="K183">
        <f>IF('MT 5.2 Results'!I35="","","Total: "&amp;'MT 5.2 Results'!G35&amp;"/26 ("&amp;TEXT('MT 5.2 Results'!H35,"0%")&amp;")   Overall: "&amp;'MT 5.2 Results'!I35)</f>
        <v/>
      </c>
    </row>
    <row r="184">
      <c r="A184">
        <f>IF('MT 5.2 Results'!I34="","",IF('MT 5.2 Results'!I34="Green",Parameters!$C$306,IF('MT 5.2 Results'!I34="Yellow",Parameters!$C$305,Parameters!$C$304)))</f>
        <v/>
      </c>
      <c r="K184">
        <f>IF('MT 5.2 Results'!I35="","",IF('MT 5.2 Results'!I35="Green",Parameters!$C$306,IF('MT 5.2 Results'!I35="Yellow",Parameters!$C$305,Parameters!$C$304)))</f>
        <v/>
      </c>
    </row>
    <row r="186">
      <c r="A186">
        <f>IF('MT 5.2 Results'!I34="","","Breakdown:")</f>
        <v/>
      </c>
      <c r="K186">
        <f>IF('MT 5.2 Results'!I35="","","Breakdown:")</f>
        <v/>
      </c>
    </row>
    <row r="187">
      <c r="A187">
        <f>IF('MT 5.2 Results'!I34="","","Q1 Standardising &amp; finding probabilities: "&amp;'MT 5.2 Results'!C34&amp;"/6")</f>
        <v/>
      </c>
      <c r="K187">
        <f>IF('MT 5.2 Results'!I35="","","Q1 Standardising &amp; finding probabilities: "&amp;'MT 5.2 Results'!C35&amp;"/6")</f>
        <v/>
      </c>
    </row>
    <row r="188">
      <c r="A188">
        <f>IF('MT 5.2 Results'!I34="","","Q2 Inverse normal problems using percentage points: "&amp;'MT 5.2 Results'!D34&amp;"/8")</f>
        <v/>
      </c>
      <c r="K188">
        <f>IF('MT 5.2 Results'!I35="","","Q2 Inverse normal problems using percentage points: "&amp;'MT 5.2 Results'!D35&amp;"/8")</f>
        <v/>
      </c>
    </row>
    <row r="189">
      <c r="A189">
        <f>IF('MT 5.2 Results'!I34="","","Q3 Standardising and reading probabilities from a diagram: "&amp;'MT 5.2 Results'!E34&amp;"/8")</f>
        <v/>
      </c>
      <c r="K189">
        <f>IF('MT 5.2 Results'!I35="","","Q3 Standardising and reading probabilities from a diagram: "&amp;'MT 5.2 Results'!E35&amp;"/8")</f>
        <v/>
      </c>
    </row>
    <row r="190">
      <c r="A190">
        <f>IF('MT 5.2 Results'!I34="","","Q4 Limitations &amp; practical implications of the model: "&amp;'MT 5.2 Results'!F34&amp;"/4")</f>
        <v/>
      </c>
      <c r="K190">
        <f>IF('MT 5.2 Results'!I35="","","Q4 Limitations &amp; practical implications of the model: "&amp;'MT 5.2 Results'!F35&amp;"/4")</f>
        <v/>
      </c>
    </row>
    <row r="191">
      <c r="A191">
        <f>IF(OR('MT 5.2 Results'!I34="",'MT 5.2 Results'!J34=""),"",'MT 5.2 Results'!J34)</f>
        <v/>
      </c>
      <c r="K191">
        <f>IF(OR('MT 5.2 Results'!I35="",'MT 5.2 Results'!J35=""),"",'MT 5.2 Results'!J35)</f>
        <v/>
      </c>
    </row>
    <row r="193">
      <c r="A193">
        <f>IF('MT 5.2 Results'!I34="","","Comments:")</f>
        <v/>
      </c>
      <c r="K193">
        <f>IF('MT 5.2 Results'!I35="","","Comments:")</f>
        <v/>
      </c>
    </row>
    <row r="197">
      <c r="A197">
        <f>IF('MT 5.2 Results'!I36="","","Mini Test 5.2 — The Normal Distribution")</f>
        <v/>
      </c>
      <c r="K197">
        <f>IF('MT 5.2 Results'!I37="","","Mini Test 5.2 — The Normal Distribution")</f>
        <v/>
      </c>
    </row>
    <row r="198">
      <c r="A198">
        <f>IF('MT 5.2 Results'!I36="","","Name: "&amp;'MT 5.2 Results'!B36&amp;"   Class: "&amp;'MT 5.2 Results'!$B$3&amp;"   Date: "&amp;TEXT('MT 5.2 Results'!$B$5,"DD/MM/YY"))</f>
        <v/>
      </c>
      <c r="K198">
        <f>IF('MT 5.2 Results'!I37="","","Name: "&amp;'MT 5.2 Results'!B37&amp;"   Class: "&amp;'MT 5.2 Results'!$B$3&amp;"   Date: "&amp;TEXT('MT 5.2 Results'!$B$5,"DD/MM/YY"))</f>
        <v/>
      </c>
    </row>
    <row r="199">
      <c r="A199">
        <f>IF('MT 5.2 Results'!I36="","","Total: "&amp;'MT 5.2 Results'!G36&amp;"/26 ("&amp;TEXT('MT 5.2 Results'!H36,"0%")&amp;")   Overall: "&amp;'MT 5.2 Results'!I36)</f>
        <v/>
      </c>
      <c r="K199">
        <f>IF('MT 5.2 Results'!I37="","","Total: "&amp;'MT 5.2 Results'!G37&amp;"/26 ("&amp;TEXT('MT 5.2 Results'!H37,"0%")&amp;")   Overall: "&amp;'MT 5.2 Results'!I37)</f>
        <v/>
      </c>
    </row>
    <row r="200">
      <c r="A200">
        <f>IF('MT 5.2 Results'!I36="","",IF('MT 5.2 Results'!I36="Green",Parameters!$C$306,IF('MT 5.2 Results'!I36="Yellow",Parameters!$C$305,Parameters!$C$304)))</f>
        <v/>
      </c>
      <c r="K200">
        <f>IF('MT 5.2 Results'!I37="","",IF('MT 5.2 Results'!I37="Green",Parameters!$C$306,IF('MT 5.2 Results'!I37="Yellow",Parameters!$C$305,Parameters!$C$304)))</f>
        <v/>
      </c>
    </row>
    <row r="202">
      <c r="A202">
        <f>IF('MT 5.2 Results'!I36="","","Breakdown:")</f>
        <v/>
      </c>
      <c r="K202">
        <f>IF('MT 5.2 Results'!I37="","","Breakdown:")</f>
        <v/>
      </c>
    </row>
    <row r="203">
      <c r="A203">
        <f>IF('MT 5.2 Results'!I36="","","Q1 Standardising &amp; finding probabilities: "&amp;'MT 5.2 Results'!C36&amp;"/6")</f>
        <v/>
      </c>
      <c r="K203">
        <f>IF('MT 5.2 Results'!I37="","","Q1 Standardising &amp; finding probabilities: "&amp;'MT 5.2 Results'!C37&amp;"/6")</f>
        <v/>
      </c>
    </row>
    <row r="204">
      <c r="A204">
        <f>IF('MT 5.2 Results'!I36="","","Q2 Inverse normal problems using percentage points: "&amp;'MT 5.2 Results'!D36&amp;"/8")</f>
        <v/>
      </c>
      <c r="K204">
        <f>IF('MT 5.2 Results'!I37="","","Q2 Inverse normal problems using percentage points: "&amp;'MT 5.2 Results'!D37&amp;"/8")</f>
        <v/>
      </c>
    </row>
    <row r="205">
      <c r="A205">
        <f>IF('MT 5.2 Results'!I36="","","Q3 Standardising and reading probabilities from a diagram: "&amp;'MT 5.2 Results'!E36&amp;"/8")</f>
        <v/>
      </c>
      <c r="K205">
        <f>IF('MT 5.2 Results'!I37="","","Q3 Standardising and reading probabilities from a diagram: "&amp;'MT 5.2 Results'!E37&amp;"/8")</f>
        <v/>
      </c>
    </row>
    <row r="206">
      <c r="A206">
        <f>IF('MT 5.2 Results'!I36="","","Q4 Limitations &amp; practical implications of the model: "&amp;'MT 5.2 Results'!F36&amp;"/4")</f>
        <v/>
      </c>
      <c r="K206">
        <f>IF('MT 5.2 Results'!I37="","","Q4 Limitations &amp; practical implications of the model: "&amp;'MT 5.2 Results'!F37&amp;"/4")</f>
        <v/>
      </c>
    </row>
    <row r="207">
      <c r="A207">
        <f>IF(OR('MT 5.2 Results'!I36="",'MT 5.2 Results'!J36=""),"",'MT 5.2 Results'!J36)</f>
        <v/>
      </c>
      <c r="K207">
        <f>IF(OR('MT 5.2 Results'!I37="",'MT 5.2 Results'!J37=""),"",'MT 5.2 Results'!J37)</f>
        <v/>
      </c>
    </row>
    <row r="209">
      <c r="A209">
        <f>IF('MT 5.2 Results'!I36="","","Comments:")</f>
        <v/>
      </c>
      <c r="K209">
        <f>IF('MT 5.2 Results'!I37="","","Comments:")</f>
        <v/>
      </c>
    </row>
    <row r="213">
      <c r="A213">
        <f>IF('MT 5.2 Results'!I38="","","Mini Test 5.2 — The Normal Distribution")</f>
        <v/>
      </c>
      <c r="K213">
        <f>IF('MT 5.2 Results'!I39="","","Mini Test 5.2 — The Normal Distribution")</f>
        <v/>
      </c>
    </row>
    <row r="214">
      <c r="A214">
        <f>IF('MT 5.2 Results'!I38="","","Name: "&amp;'MT 5.2 Results'!B38&amp;"   Class: "&amp;'MT 5.2 Results'!$B$3&amp;"   Date: "&amp;TEXT('MT 5.2 Results'!$B$5,"DD/MM/YY"))</f>
        <v/>
      </c>
      <c r="K214">
        <f>IF('MT 5.2 Results'!I39="","","Name: "&amp;'MT 5.2 Results'!B39&amp;"   Class: "&amp;'MT 5.2 Results'!$B$3&amp;"   Date: "&amp;TEXT('MT 5.2 Results'!$B$5,"DD/MM/YY"))</f>
        <v/>
      </c>
    </row>
    <row r="215">
      <c r="A215">
        <f>IF('MT 5.2 Results'!I38="","","Total: "&amp;'MT 5.2 Results'!G38&amp;"/26 ("&amp;TEXT('MT 5.2 Results'!H38,"0%")&amp;")   Overall: "&amp;'MT 5.2 Results'!I38)</f>
        <v/>
      </c>
      <c r="K215">
        <f>IF('MT 5.2 Results'!I39="","","Total: "&amp;'MT 5.2 Results'!G39&amp;"/26 ("&amp;TEXT('MT 5.2 Results'!H39,"0%")&amp;")   Overall: "&amp;'MT 5.2 Results'!I39)</f>
        <v/>
      </c>
    </row>
    <row r="216">
      <c r="A216">
        <f>IF('MT 5.2 Results'!I38="","",IF('MT 5.2 Results'!I38="Green",Parameters!$C$306,IF('MT 5.2 Results'!I38="Yellow",Parameters!$C$305,Parameters!$C$304)))</f>
        <v/>
      </c>
      <c r="K216">
        <f>IF('MT 5.2 Results'!I39="","",IF('MT 5.2 Results'!I39="Green",Parameters!$C$306,IF('MT 5.2 Results'!I39="Yellow",Parameters!$C$305,Parameters!$C$304)))</f>
        <v/>
      </c>
    </row>
    <row r="218">
      <c r="A218">
        <f>IF('MT 5.2 Results'!I38="","","Breakdown:")</f>
        <v/>
      </c>
      <c r="K218">
        <f>IF('MT 5.2 Results'!I39="","","Breakdown:")</f>
        <v/>
      </c>
    </row>
    <row r="219">
      <c r="A219">
        <f>IF('MT 5.2 Results'!I38="","","Q1 Standardising &amp; finding probabilities: "&amp;'MT 5.2 Results'!C38&amp;"/6")</f>
        <v/>
      </c>
      <c r="K219">
        <f>IF('MT 5.2 Results'!I39="","","Q1 Standardising &amp; finding probabilities: "&amp;'MT 5.2 Results'!C39&amp;"/6")</f>
        <v/>
      </c>
    </row>
    <row r="220">
      <c r="A220">
        <f>IF('MT 5.2 Results'!I38="","","Q2 Inverse normal problems using percentage points: "&amp;'MT 5.2 Results'!D38&amp;"/8")</f>
        <v/>
      </c>
      <c r="K220">
        <f>IF('MT 5.2 Results'!I39="","","Q2 Inverse normal problems using percentage points: "&amp;'MT 5.2 Results'!D39&amp;"/8")</f>
        <v/>
      </c>
    </row>
    <row r="221">
      <c r="A221">
        <f>IF('MT 5.2 Results'!I38="","","Q3 Standardising and reading probabilities from a diagram: "&amp;'MT 5.2 Results'!E38&amp;"/8")</f>
        <v/>
      </c>
      <c r="K221">
        <f>IF('MT 5.2 Results'!I39="","","Q3 Standardising and reading probabilities from a diagram: "&amp;'MT 5.2 Results'!E39&amp;"/8")</f>
        <v/>
      </c>
    </row>
    <row r="222">
      <c r="A222">
        <f>IF('MT 5.2 Results'!I38="","","Q4 Limitations &amp; practical implications of the model: "&amp;'MT 5.2 Results'!F38&amp;"/4")</f>
        <v/>
      </c>
      <c r="K222">
        <f>IF('MT 5.2 Results'!I39="","","Q4 Limitations &amp; practical implications of the model: "&amp;'MT 5.2 Results'!F39&amp;"/4")</f>
        <v/>
      </c>
    </row>
    <row r="223">
      <c r="A223">
        <f>IF(OR('MT 5.2 Results'!I38="",'MT 5.2 Results'!J38=""),"",'MT 5.2 Results'!J38)</f>
        <v/>
      </c>
      <c r="K223">
        <f>IF(OR('MT 5.2 Results'!I39="",'MT 5.2 Results'!J39=""),"",'MT 5.2 Results'!J39)</f>
        <v/>
      </c>
    </row>
    <row r="225">
      <c r="A225">
        <f>IF('MT 5.2 Results'!I38="","","Comments:")</f>
        <v/>
      </c>
      <c r="K225">
        <f>IF('MT 5.2 Results'!I39="","","Comments:")</f>
        <v/>
      </c>
    </row>
    <row r="229">
      <c r="A229">
        <f>IF('MT 5.2 Results'!I40="","","Mini Test 5.2 — The Normal Distribution")</f>
        <v/>
      </c>
      <c r="K229">
        <f>IF('MT 5.2 Results'!I41="","","Mini Test 5.2 — The Normal Distribution")</f>
        <v/>
      </c>
    </row>
    <row r="230">
      <c r="A230">
        <f>IF('MT 5.2 Results'!I40="","","Name: "&amp;'MT 5.2 Results'!B40&amp;"   Class: "&amp;'MT 5.2 Results'!$B$3&amp;"   Date: "&amp;TEXT('MT 5.2 Results'!$B$5,"DD/MM/YY"))</f>
        <v/>
      </c>
      <c r="K230">
        <f>IF('MT 5.2 Results'!I41="","","Name: "&amp;'MT 5.2 Results'!B41&amp;"   Class: "&amp;'MT 5.2 Results'!$B$3&amp;"   Date: "&amp;TEXT('MT 5.2 Results'!$B$5,"DD/MM/YY"))</f>
        <v/>
      </c>
    </row>
    <row r="231">
      <c r="A231">
        <f>IF('MT 5.2 Results'!I40="","","Total: "&amp;'MT 5.2 Results'!G40&amp;"/26 ("&amp;TEXT('MT 5.2 Results'!H40,"0%")&amp;")   Overall: "&amp;'MT 5.2 Results'!I40)</f>
        <v/>
      </c>
      <c r="K231">
        <f>IF('MT 5.2 Results'!I41="","","Total: "&amp;'MT 5.2 Results'!G41&amp;"/26 ("&amp;TEXT('MT 5.2 Results'!H41,"0%")&amp;")   Overall: "&amp;'MT 5.2 Results'!I41)</f>
        <v/>
      </c>
    </row>
    <row r="232">
      <c r="A232">
        <f>IF('MT 5.2 Results'!I40="","",IF('MT 5.2 Results'!I40="Green",Parameters!$C$306,IF('MT 5.2 Results'!I40="Yellow",Parameters!$C$305,Parameters!$C$304)))</f>
        <v/>
      </c>
      <c r="K232">
        <f>IF('MT 5.2 Results'!I41="","",IF('MT 5.2 Results'!I41="Green",Parameters!$C$306,IF('MT 5.2 Results'!I41="Yellow",Parameters!$C$305,Parameters!$C$304)))</f>
        <v/>
      </c>
    </row>
    <row r="234">
      <c r="A234">
        <f>IF('MT 5.2 Results'!I40="","","Breakdown:")</f>
        <v/>
      </c>
      <c r="K234">
        <f>IF('MT 5.2 Results'!I41="","","Breakdown:")</f>
        <v/>
      </c>
    </row>
    <row r="235">
      <c r="A235">
        <f>IF('MT 5.2 Results'!I40="","","Q1 Standardising &amp; finding probabilities: "&amp;'MT 5.2 Results'!C40&amp;"/6")</f>
        <v/>
      </c>
      <c r="K235">
        <f>IF('MT 5.2 Results'!I41="","","Q1 Standardising &amp; finding probabilities: "&amp;'MT 5.2 Results'!C41&amp;"/6")</f>
        <v/>
      </c>
    </row>
    <row r="236">
      <c r="A236">
        <f>IF('MT 5.2 Results'!I40="","","Q2 Inverse normal problems using percentage points: "&amp;'MT 5.2 Results'!D40&amp;"/8")</f>
        <v/>
      </c>
      <c r="K236">
        <f>IF('MT 5.2 Results'!I41="","","Q2 Inverse normal problems using percentage points: "&amp;'MT 5.2 Results'!D41&amp;"/8")</f>
        <v/>
      </c>
    </row>
    <row r="237">
      <c r="A237">
        <f>IF('MT 5.2 Results'!I40="","","Q3 Standardising and reading probabilities from a diagram: "&amp;'MT 5.2 Results'!E40&amp;"/8")</f>
        <v/>
      </c>
      <c r="K237">
        <f>IF('MT 5.2 Results'!I41="","","Q3 Standardising and reading probabilities from a diagram: "&amp;'MT 5.2 Results'!E41&amp;"/8")</f>
        <v/>
      </c>
    </row>
    <row r="238">
      <c r="A238">
        <f>IF('MT 5.2 Results'!I40="","","Q4 Limitations &amp; practical implications of the model: "&amp;'MT 5.2 Results'!F40&amp;"/4")</f>
        <v/>
      </c>
      <c r="K238">
        <f>IF('MT 5.2 Results'!I41="","","Q4 Limitations &amp; practical implications of the model: "&amp;'MT 5.2 Results'!F41&amp;"/4")</f>
        <v/>
      </c>
    </row>
    <row r="239">
      <c r="A239">
        <f>IF(OR('MT 5.2 Results'!I40="",'MT 5.2 Results'!J40=""),"",'MT 5.2 Results'!J40)</f>
        <v/>
      </c>
      <c r="K239">
        <f>IF(OR('MT 5.2 Results'!I41="",'MT 5.2 Results'!J41=""),"",'MT 5.2 Results'!J41)</f>
        <v/>
      </c>
    </row>
    <row r="241">
      <c r="A241">
        <f>IF('MT 5.2 Results'!I40="","","Comments:")</f>
        <v/>
      </c>
      <c r="K241">
        <f>IF('MT 5.2 Results'!I41="","","Comments:")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P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8" customWidth="1" min="9" max="9"/>
    <col width="10" customWidth="1" min="10" max="10"/>
    <col width="45" customWidth="1" min="11" max="11"/>
  </cols>
  <sheetData>
    <row r="1">
      <c r="A1" s="11" t="inlineStr">
        <is>
          <t>Chapter 5 End of Topic Test — The Normal Distribution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Properties &amp; sketch
(/6)</t>
        </is>
      </c>
      <c r="D9" s="12" t="inlineStr">
        <is>
          <t>Q2
Calculating probabilities
(/8)</t>
        </is>
      </c>
      <c r="E9" s="12" t="inlineStr">
        <is>
          <t>Q3
Probabilities &amp; inverse normal
(/8)</t>
        </is>
      </c>
      <c r="F9" s="12" t="inlineStr">
        <is>
          <t>Q4
Interpreting a diagram
(/7)</t>
        </is>
      </c>
      <c r="G9" s="12" t="inlineStr">
        <is>
          <t>Q5
Interpreting a study
(/10)</t>
        </is>
      </c>
      <c r="H9" s="12" t="inlineStr">
        <is>
          <t>Total
(/39)</t>
        </is>
      </c>
      <c r="I9" s="12" t="inlineStr">
        <is>
          <t>%</t>
        </is>
      </c>
      <c r="J9" s="12" t="inlineStr">
        <is>
          <t>Overall</t>
        </is>
      </c>
      <c r="K9" s="12" t="inlineStr">
        <is>
          <t>Focus for next steps</t>
        </is>
      </c>
      <c r="L9" s="12" t="inlineStr">
        <is>
          <t>Q1%</t>
        </is>
      </c>
      <c r="M9" s="12" t="inlineStr">
        <is>
          <t>Q2%</t>
        </is>
      </c>
      <c r="N9" s="12" t="inlineStr">
        <is>
          <t>Q3%</t>
        </is>
      </c>
      <c r="O9" s="12" t="inlineStr">
        <is>
          <t>Q4%</t>
        </is>
      </c>
      <c r="P9" s="12" t="inlineStr">
        <is>
          <t>Q5%</t>
        </is>
      </c>
    </row>
    <row r="10">
      <c r="A10" s="3" t="n"/>
      <c r="B10" s="3" t="inlineStr">
        <is>
          <t>Max marks</t>
        </is>
      </c>
      <c r="C10" s="3" t="n">
        <v>6</v>
      </c>
      <c r="D10" s="3" t="n">
        <v>8</v>
      </c>
      <c r="E10" s="3" t="n">
        <v>8</v>
      </c>
      <c r="F10" s="3" t="n">
        <v>7</v>
      </c>
      <c r="G10" s="3" t="n">
        <v>10</v>
      </c>
      <c r="H10" s="3" t="n">
        <v>39</v>
      </c>
      <c r="I10" s="3" t="inlineStr">
        <is>
          <t>100%</t>
        </is>
      </c>
      <c r="J10" s="3" t="n"/>
      <c r="K10" s="3" t="n"/>
      <c r="L10" s="3" t="n"/>
      <c r="M10" s="3" t="n"/>
      <c r="N10" s="3" t="n"/>
      <c r="O10" s="3" t="n"/>
      <c r="P10" s="3" t="n"/>
    </row>
    <row r="11">
      <c r="A11" s="13" t="n">
        <v>1</v>
      </c>
      <c r="B11" s="13" t="inlineStr">
        <is>
          <t>Example pupil (edit me)</t>
        </is>
      </c>
      <c r="C11" s="13" t="n">
        <v>5</v>
      </c>
      <c r="D11" s="13" t="n">
        <v>6</v>
      </c>
      <c r="E11" s="13" t="n">
        <v>6</v>
      </c>
      <c r="F11" s="13" t="n">
        <v>6</v>
      </c>
      <c r="G11" s="13" t="n">
        <v>8</v>
      </c>
      <c r="H11" s="13">
        <f>IF(COUNT(C11:G11)&lt;5,"",SUM(C11:G11))</f>
        <v/>
      </c>
      <c r="I11" s="13">
        <f>IF(COUNT(C11:G11)&lt;5,"",H11/39)</f>
        <v/>
      </c>
      <c r="J11" s="13">
        <f>IF(COUNT(C11:G11)&lt;5,"",IF(I11&gt;=0.8,"Green",IF(I11&gt;=0.5,"Yellow","Red")))</f>
        <v/>
      </c>
      <c r="K11" s="13">
        <f>IF(COUNT(C11:G11)&lt;5,"",IF(J11="Green","Well done! "&amp;Parameters!$C$322,"Revise: "&amp;_xlfn.TEXTJOIN(", ",TRUE(),IF(L11&lt;1,Parameters!$A$312,""),IF(M11&lt;1,Parameters!$A$313,""),IF(N11&lt;1,Parameters!$A$314,""),IF(O11&lt;1,Parameters!$A$315,""),IF(P11&lt;1,Parameters!$A$316,""))))</f>
        <v/>
      </c>
      <c r="L11" s="13">
        <f>IF(C11="","",C11/6)</f>
        <v/>
      </c>
      <c r="M11" s="13">
        <f>IF(D11="","",D11/8)</f>
        <v/>
      </c>
      <c r="N11" s="13">
        <f>IF(E11="","",E11/8)</f>
        <v/>
      </c>
      <c r="O11" s="13">
        <f>IF(F11="","",F11/7)</f>
        <v/>
      </c>
      <c r="P11" s="13">
        <f>IF(G11="","",G11/10)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4" t="n"/>
      <c r="H12" s="13">
        <f>IF(COUNT(C12:G12)&lt;5,"",SUM(C12:G12))</f>
        <v/>
      </c>
      <c r="I12" s="13">
        <f>IF(COUNT(C12:G12)&lt;5,"",H12/39)</f>
        <v/>
      </c>
      <c r="J12" s="13">
        <f>IF(COUNT(C12:G12)&lt;5,"",IF(I12&gt;=0.8,"Green",IF(I12&gt;=0.5,"Yellow","Red")))</f>
        <v/>
      </c>
      <c r="K12" s="13">
        <f>IF(COUNT(C12:G12)&lt;5,"",IF(J12="Green","Well done! "&amp;Parameters!$C$322,"Revise: "&amp;_xlfn.TEXTJOIN(", ",TRUE(),IF(L12&lt;1,Parameters!$A$312,""),IF(M12&lt;1,Parameters!$A$313,""),IF(N12&lt;1,Parameters!$A$314,""),IF(O12&lt;1,Parameters!$A$315,""),IF(P12&lt;1,Parameters!$A$316,""))))</f>
        <v/>
      </c>
      <c r="L12" s="13">
        <f>IF(C12="","",C12/6)</f>
        <v/>
      </c>
      <c r="M12" s="13">
        <f>IF(D12="","",D12/8)</f>
        <v/>
      </c>
      <c r="N12" s="13">
        <f>IF(E12="","",E12/8)</f>
        <v/>
      </c>
      <c r="O12" s="13">
        <f>IF(F12="","",F12/7)</f>
        <v/>
      </c>
      <c r="P12" s="13">
        <f>IF(G12="","",G12/10)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4" t="n"/>
      <c r="H13" s="13">
        <f>IF(COUNT(C13:G13)&lt;5,"",SUM(C13:G13))</f>
        <v/>
      </c>
      <c r="I13" s="13">
        <f>IF(COUNT(C13:G13)&lt;5,"",H13/39)</f>
        <v/>
      </c>
      <c r="J13" s="13">
        <f>IF(COUNT(C13:G13)&lt;5,"",IF(I13&gt;=0.8,"Green",IF(I13&gt;=0.5,"Yellow","Red")))</f>
        <v/>
      </c>
      <c r="K13" s="13">
        <f>IF(COUNT(C13:G13)&lt;5,"",IF(J13="Green","Well done! "&amp;Parameters!$C$322,"Revise: "&amp;_xlfn.TEXTJOIN(", ",TRUE(),IF(L13&lt;1,Parameters!$A$312,""),IF(M13&lt;1,Parameters!$A$313,""),IF(N13&lt;1,Parameters!$A$314,""),IF(O13&lt;1,Parameters!$A$315,""),IF(P13&lt;1,Parameters!$A$316,""))))</f>
        <v/>
      </c>
      <c r="L13" s="13">
        <f>IF(C13="","",C13/6)</f>
        <v/>
      </c>
      <c r="M13" s="13">
        <f>IF(D13="","",D13/8)</f>
        <v/>
      </c>
      <c r="N13" s="13">
        <f>IF(E13="","",E13/8)</f>
        <v/>
      </c>
      <c r="O13" s="13">
        <f>IF(F13="","",F13/7)</f>
        <v/>
      </c>
      <c r="P13" s="13">
        <f>IF(G13="","",G13/10)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4" t="n"/>
      <c r="H14" s="13">
        <f>IF(COUNT(C14:G14)&lt;5,"",SUM(C14:G14))</f>
        <v/>
      </c>
      <c r="I14" s="13">
        <f>IF(COUNT(C14:G14)&lt;5,"",H14/39)</f>
        <v/>
      </c>
      <c r="J14" s="13">
        <f>IF(COUNT(C14:G14)&lt;5,"",IF(I14&gt;=0.8,"Green",IF(I14&gt;=0.5,"Yellow","Red")))</f>
        <v/>
      </c>
      <c r="K14" s="13">
        <f>IF(COUNT(C14:G14)&lt;5,"",IF(J14="Green","Well done! "&amp;Parameters!$C$322,"Revise: "&amp;_xlfn.TEXTJOIN(", ",TRUE(),IF(L14&lt;1,Parameters!$A$312,""),IF(M14&lt;1,Parameters!$A$313,""),IF(N14&lt;1,Parameters!$A$314,""),IF(O14&lt;1,Parameters!$A$315,""),IF(P14&lt;1,Parameters!$A$316,""))))</f>
        <v/>
      </c>
      <c r="L14" s="13">
        <f>IF(C14="","",C14/6)</f>
        <v/>
      </c>
      <c r="M14" s="13">
        <f>IF(D14="","",D14/8)</f>
        <v/>
      </c>
      <c r="N14" s="13">
        <f>IF(E14="","",E14/8)</f>
        <v/>
      </c>
      <c r="O14" s="13">
        <f>IF(F14="","",F14/7)</f>
        <v/>
      </c>
      <c r="P14" s="13">
        <f>IF(G14="","",G14/10)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4" t="n"/>
      <c r="H15" s="13">
        <f>IF(COUNT(C15:G15)&lt;5,"",SUM(C15:G15))</f>
        <v/>
      </c>
      <c r="I15" s="13">
        <f>IF(COUNT(C15:G15)&lt;5,"",H15/39)</f>
        <v/>
      </c>
      <c r="J15" s="13">
        <f>IF(COUNT(C15:G15)&lt;5,"",IF(I15&gt;=0.8,"Green",IF(I15&gt;=0.5,"Yellow","Red")))</f>
        <v/>
      </c>
      <c r="K15" s="13">
        <f>IF(COUNT(C15:G15)&lt;5,"",IF(J15="Green","Well done! "&amp;Parameters!$C$322,"Revise: "&amp;_xlfn.TEXTJOIN(", ",TRUE(),IF(L15&lt;1,Parameters!$A$312,""),IF(M15&lt;1,Parameters!$A$313,""),IF(N15&lt;1,Parameters!$A$314,""),IF(O15&lt;1,Parameters!$A$315,""),IF(P15&lt;1,Parameters!$A$316,""))))</f>
        <v/>
      </c>
      <c r="L15" s="13">
        <f>IF(C15="","",C15/6)</f>
        <v/>
      </c>
      <c r="M15" s="13">
        <f>IF(D15="","",D15/8)</f>
        <v/>
      </c>
      <c r="N15" s="13">
        <f>IF(E15="","",E15/8)</f>
        <v/>
      </c>
      <c r="O15" s="13">
        <f>IF(F15="","",F15/7)</f>
        <v/>
      </c>
      <c r="P15" s="13">
        <f>IF(G15="","",G15/10)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4" t="n"/>
      <c r="H16" s="13">
        <f>IF(COUNT(C16:G16)&lt;5,"",SUM(C16:G16))</f>
        <v/>
      </c>
      <c r="I16" s="13">
        <f>IF(COUNT(C16:G16)&lt;5,"",H16/39)</f>
        <v/>
      </c>
      <c r="J16" s="13">
        <f>IF(COUNT(C16:G16)&lt;5,"",IF(I16&gt;=0.8,"Green",IF(I16&gt;=0.5,"Yellow","Red")))</f>
        <v/>
      </c>
      <c r="K16" s="13">
        <f>IF(COUNT(C16:G16)&lt;5,"",IF(J16="Green","Well done! "&amp;Parameters!$C$322,"Revise: "&amp;_xlfn.TEXTJOIN(", ",TRUE(),IF(L16&lt;1,Parameters!$A$312,""),IF(M16&lt;1,Parameters!$A$313,""),IF(N16&lt;1,Parameters!$A$314,""),IF(O16&lt;1,Parameters!$A$315,""),IF(P16&lt;1,Parameters!$A$316,""))))</f>
        <v/>
      </c>
      <c r="L16" s="13">
        <f>IF(C16="","",C16/6)</f>
        <v/>
      </c>
      <c r="M16" s="13">
        <f>IF(D16="","",D16/8)</f>
        <v/>
      </c>
      <c r="N16" s="13">
        <f>IF(E16="","",E16/8)</f>
        <v/>
      </c>
      <c r="O16" s="13">
        <f>IF(F16="","",F16/7)</f>
        <v/>
      </c>
      <c r="P16" s="13">
        <f>IF(G16="","",G16/10)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4" t="n"/>
      <c r="H17" s="13">
        <f>IF(COUNT(C17:G17)&lt;5,"",SUM(C17:G17))</f>
        <v/>
      </c>
      <c r="I17" s="13">
        <f>IF(COUNT(C17:G17)&lt;5,"",H17/39)</f>
        <v/>
      </c>
      <c r="J17" s="13">
        <f>IF(COUNT(C17:G17)&lt;5,"",IF(I17&gt;=0.8,"Green",IF(I17&gt;=0.5,"Yellow","Red")))</f>
        <v/>
      </c>
      <c r="K17" s="13">
        <f>IF(COUNT(C17:G17)&lt;5,"",IF(J17="Green","Well done! "&amp;Parameters!$C$322,"Revise: "&amp;_xlfn.TEXTJOIN(", ",TRUE(),IF(L17&lt;1,Parameters!$A$312,""),IF(M17&lt;1,Parameters!$A$313,""),IF(N17&lt;1,Parameters!$A$314,""),IF(O17&lt;1,Parameters!$A$315,""),IF(P17&lt;1,Parameters!$A$316,""))))</f>
        <v/>
      </c>
      <c r="L17" s="13">
        <f>IF(C17="","",C17/6)</f>
        <v/>
      </c>
      <c r="M17" s="13">
        <f>IF(D17="","",D17/8)</f>
        <v/>
      </c>
      <c r="N17" s="13">
        <f>IF(E17="","",E17/8)</f>
        <v/>
      </c>
      <c r="O17" s="13">
        <f>IF(F17="","",F17/7)</f>
        <v/>
      </c>
      <c r="P17" s="13">
        <f>IF(G17="","",G17/10)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4" t="n"/>
      <c r="H18" s="13">
        <f>IF(COUNT(C18:G18)&lt;5,"",SUM(C18:G18))</f>
        <v/>
      </c>
      <c r="I18" s="13">
        <f>IF(COUNT(C18:G18)&lt;5,"",H18/39)</f>
        <v/>
      </c>
      <c r="J18" s="13">
        <f>IF(COUNT(C18:G18)&lt;5,"",IF(I18&gt;=0.8,"Green",IF(I18&gt;=0.5,"Yellow","Red")))</f>
        <v/>
      </c>
      <c r="K18" s="13">
        <f>IF(COUNT(C18:G18)&lt;5,"",IF(J18="Green","Well done! "&amp;Parameters!$C$322,"Revise: "&amp;_xlfn.TEXTJOIN(", ",TRUE(),IF(L18&lt;1,Parameters!$A$312,""),IF(M18&lt;1,Parameters!$A$313,""),IF(N18&lt;1,Parameters!$A$314,""),IF(O18&lt;1,Parameters!$A$315,""),IF(P18&lt;1,Parameters!$A$316,""))))</f>
        <v/>
      </c>
      <c r="L18" s="13">
        <f>IF(C18="","",C18/6)</f>
        <v/>
      </c>
      <c r="M18" s="13">
        <f>IF(D18="","",D18/8)</f>
        <v/>
      </c>
      <c r="N18" s="13">
        <f>IF(E18="","",E18/8)</f>
        <v/>
      </c>
      <c r="O18" s="13">
        <f>IF(F18="","",F18/7)</f>
        <v/>
      </c>
      <c r="P18" s="13">
        <f>IF(G18="","",G18/10)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4" t="n"/>
      <c r="H19" s="13">
        <f>IF(COUNT(C19:G19)&lt;5,"",SUM(C19:G19))</f>
        <v/>
      </c>
      <c r="I19" s="13">
        <f>IF(COUNT(C19:G19)&lt;5,"",H19/39)</f>
        <v/>
      </c>
      <c r="J19" s="13">
        <f>IF(COUNT(C19:G19)&lt;5,"",IF(I19&gt;=0.8,"Green",IF(I19&gt;=0.5,"Yellow","Red")))</f>
        <v/>
      </c>
      <c r="K19" s="13">
        <f>IF(COUNT(C19:G19)&lt;5,"",IF(J19="Green","Well done! "&amp;Parameters!$C$322,"Revise: "&amp;_xlfn.TEXTJOIN(", ",TRUE(),IF(L19&lt;1,Parameters!$A$312,""),IF(M19&lt;1,Parameters!$A$313,""),IF(N19&lt;1,Parameters!$A$314,""),IF(O19&lt;1,Parameters!$A$315,""),IF(P19&lt;1,Parameters!$A$316,""))))</f>
        <v/>
      </c>
      <c r="L19" s="13">
        <f>IF(C19="","",C19/6)</f>
        <v/>
      </c>
      <c r="M19" s="13">
        <f>IF(D19="","",D19/8)</f>
        <v/>
      </c>
      <c r="N19" s="13">
        <f>IF(E19="","",E19/8)</f>
        <v/>
      </c>
      <c r="O19" s="13">
        <f>IF(F19="","",F19/7)</f>
        <v/>
      </c>
      <c r="P19" s="13">
        <f>IF(G19="","",G19/10)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4" t="n"/>
      <c r="H20" s="13">
        <f>IF(COUNT(C20:G20)&lt;5,"",SUM(C20:G20))</f>
        <v/>
      </c>
      <c r="I20" s="13">
        <f>IF(COUNT(C20:G20)&lt;5,"",H20/39)</f>
        <v/>
      </c>
      <c r="J20" s="13">
        <f>IF(COUNT(C20:G20)&lt;5,"",IF(I20&gt;=0.8,"Green",IF(I20&gt;=0.5,"Yellow","Red")))</f>
        <v/>
      </c>
      <c r="K20" s="13">
        <f>IF(COUNT(C20:G20)&lt;5,"",IF(J20="Green","Well done! "&amp;Parameters!$C$322,"Revise: "&amp;_xlfn.TEXTJOIN(", ",TRUE(),IF(L20&lt;1,Parameters!$A$312,""),IF(M20&lt;1,Parameters!$A$313,""),IF(N20&lt;1,Parameters!$A$314,""),IF(O20&lt;1,Parameters!$A$315,""),IF(P20&lt;1,Parameters!$A$316,""))))</f>
        <v/>
      </c>
      <c r="L20" s="13">
        <f>IF(C20="","",C20/6)</f>
        <v/>
      </c>
      <c r="M20" s="13">
        <f>IF(D20="","",D20/8)</f>
        <v/>
      </c>
      <c r="N20" s="13">
        <f>IF(E20="","",E20/8)</f>
        <v/>
      </c>
      <c r="O20" s="13">
        <f>IF(F20="","",F20/7)</f>
        <v/>
      </c>
      <c r="P20" s="13">
        <f>IF(G20="","",G20/10)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4" t="n"/>
      <c r="H21" s="13">
        <f>IF(COUNT(C21:G21)&lt;5,"",SUM(C21:G21))</f>
        <v/>
      </c>
      <c r="I21" s="13">
        <f>IF(COUNT(C21:G21)&lt;5,"",H21/39)</f>
        <v/>
      </c>
      <c r="J21" s="13">
        <f>IF(COUNT(C21:G21)&lt;5,"",IF(I21&gt;=0.8,"Green",IF(I21&gt;=0.5,"Yellow","Red")))</f>
        <v/>
      </c>
      <c r="K21" s="13">
        <f>IF(COUNT(C21:G21)&lt;5,"",IF(J21="Green","Well done! "&amp;Parameters!$C$322,"Revise: "&amp;_xlfn.TEXTJOIN(", ",TRUE(),IF(L21&lt;1,Parameters!$A$312,""),IF(M21&lt;1,Parameters!$A$313,""),IF(N21&lt;1,Parameters!$A$314,""),IF(O21&lt;1,Parameters!$A$315,""),IF(P21&lt;1,Parameters!$A$316,""))))</f>
        <v/>
      </c>
      <c r="L21" s="13">
        <f>IF(C21="","",C21/6)</f>
        <v/>
      </c>
      <c r="M21" s="13">
        <f>IF(D21="","",D21/8)</f>
        <v/>
      </c>
      <c r="N21" s="13">
        <f>IF(E21="","",E21/8)</f>
        <v/>
      </c>
      <c r="O21" s="13">
        <f>IF(F21="","",F21/7)</f>
        <v/>
      </c>
      <c r="P21" s="13">
        <f>IF(G21="","",G21/10)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4" t="n"/>
      <c r="H22" s="13">
        <f>IF(COUNT(C22:G22)&lt;5,"",SUM(C22:G22))</f>
        <v/>
      </c>
      <c r="I22" s="13">
        <f>IF(COUNT(C22:G22)&lt;5,"",H22/39)</f>
        <v/>
      </c>
      <c r="J22" s="13">
        <f>IF(COUNT(C22:G22)&lt;5,"",IF(I22&gt;=0.8,"Green",IF(I22&gt;=0.5,"Yellow","Red")))</f>
        <v/>
      </c>
      <c r="K22" s="13">
        <f>IF(COUNT(C22:G22)&lt;5,"",IF(J22="Green","Well done! "&amp;Parameters!$C$322,"Revise: "&amp;_xlfn.TEXTJOIN(", ",TRUE(),IF(L22&lt;1,Parameters!$A$312,""),IF(M22&lt;1,Parameters!$A$313,""),IF(N22&lt;1,Parameters!$A$314,""),IF(O22&lt;1,Parameters!$A$315,""),IF(P22&lt;1,Parameters!$A$316,""))))</f>
        <v/>
      </c>
      <c r="L22" s="13">
        <f>IF(C22="","",C22/6)</f>
        <v/>
      </c>
      <c r="M22" s="13">
        <f>IF(D22="","",D22/8)</f>
        <v/>
      </c>
      <c r="N22" s="13">
        <f>IF(E22="","",E22/8)</f>
        <v/>
      </c>
      <c r="O22" s="13">
        <f>IF(F22="","",F22/7)</f>
        <v/>
      </c>
      <c r="P22" s="13">
        <f>IF(G22="","",G22/10)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4" t="n"/>
      <c r="H23" s="13">
        <f>IF(COUNT(C23:G23)&lt;5,"",SUM(C23:G23))</f>
        <v/>
      </c>
      <c r="I23" s="13">
        <f>IF(COUNT(C23:G23)&lt;5,"",H23/39)</f>
        <v/>
      </c>
      <c r="J23" s="13">
        <f>IF(COUNT(C23:G23)&lt;5,"",IF(I23&gt;=0.8,"Green",IF(I23&gt;=0.5,"Yellow","Red")))</f>
        <v/>
      </c>
      <c r="K23" s="13">
        <f>IF(COUNT(C23:G23)&lt;5,"",IF(J23="Green","Well done! "&amp;Parameters!$C$322,"Revise: "&amp;_xlfn.TEXTJOIN(", ",TRUE(),IF(L23&lt;1,Parameters!$A$312,""),IF(M23&lt;1,Parameters!$A$313,""),IF(N23&lt;1,Parameters!$A$314,""),IF(O23&lt;1,Parameters!$A$315,""),IF(P23&lt;1,Parameters!$A$316,""))))</f>
        <v/>
      </c>
      <c r="L23" s="13">
        <f>IF(C23="","",C23/6)</f>
        <v/>
      </c>
      <c r="M23" s="13">
        <f>IF(D23="","",D23/8)</f>
        <v/>
      </c>
      <c r="N23" s="13">
        <f>IF(E23="","",E23/8)</f>
        <v/>
      </c>
      <c r="O23" s="13">
        <f>IF(F23="","",F23/7)</f>
        <v/>
      </c>
      <c r="P23" s="13">
        <f>IF(G23="","",G23/10)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4" t="n"/>
      <c r="H24" s="13">
        <f>IF(COUNT(C24:G24)&lt;5,"",SUM(C24:G24))</f>
        <v/>
      </c>
      <c r="I24" s="13">
        <f>IF(COUNT(C24:G24)&lt;5,"",H24/39)</f>
        <v/>
      </c>
      <c r="J24" s="13">
        <f>IF(COUNT(C24:G24)&lt;5,"",IF(I24&gt;=0.8,"Green",IF(I24&gt;=0.5,"Yellow","Red")))</f>
        <v/>
      </c>
      <c r="K24" s="13">
        <f>IF(COUNT(C24:G24)&lt;5,"",IF(J24="Green","Well done! "&amp;Parameters!$C$322,"Revise: "&amp;_xlfn.TEXTJOIN(", ",TRUE(),IF(L24&lt;1,Parameters!$A$312,""),IF(M24&lt;1,Parameters!$A$313,""),IF(N24&lt;1,Parameters!$A$314,""),IF(O24&lt;1,Parameters!$A$315,""),IF(P24&lt;1,Parameters!$A$316,""))))</f>
        <v/>
      </c>
      <c r="L24" s="13">
        <f>IF(C24="","",C24/6)</f>
        <v/>
      </c>
      <c r="M24" s="13">
        <f>IF(D24="","",D24/8)</f>
        <v/>
      </c>
      <c r="N24" s="13">
        <f>IF(E24="","",E24/8)</f>
        <v/>
      </c>
      <c r="O24" s="13">
        <f>IF(F24="","",F24/7)</f>
        <v/>
      </c>
      <c r="P24" s="13">
        <f>IF(G24="","",G24/10)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4" t="n"/>
      <c r="H25" s="13">
        <f>IF(COUNT(C25:G25)&lt;5,"",SUM(C25:G25))</f>
        <v/>
      </c>
      <c r="I25" s="13">
        <f>IF(COUNT(C25:G25)&lt;5,"",H25/39)</f>
        <v/>
      </c>
      <c r="J25" s="13">
        <f>IF(COUNT(C25:G25)&lt;5,"",IF(I25&gt;=0.8,"Green",IF(I25&gt;=0.5,"Yellow","Red")))</f>
        <v/>
      </c>
      <c r="K25" s="13">
        <f>IF(COUNT(C25:G25)&lt;5,"",IF(J25="Green","Well done! "&amp;Parameters!$C$322,"Revise: "&amp;_xlfn.TEXTJOIN(", ",TRUE(),IF(L25&lt;1,Parameters!$A$312,""),IF(M25&lt;1,Parameters!$A$313,""),IF(N25&lt;1,Parameters!$A$314,""),IF(O25&lt;1,Parameters!$A$315,""),IF(P25&lt;1,Parameters!$A$316,""))))</f>
        <v/>
      </c>
      <c r="L25" s="13">
        <f>IF(C25="","",C25/6)</f>
        <v/>
      </c>
      <c r="M25" s="13">
        <f>IF(D25="","",D25/8)</f>
        <v/>
      </c>
      <c r="N25" s="13">
        <f>IF(E25="","",E25/8)</f>
        <v/>
      </c>
      <c r="O25" s="13">
        <f>IF(F25="","",F25/7)</f>
        <v/>
      </c>
      <c r="P25" s="13">
        <f>IF(G25="","",G25/10)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4" t="n"/>
      <c r="H26" s="13">
        <f>IF(COUNT(C26:G26)&lt;5,"",SUM(C26:G26))</f>
        <v/>
      </c>
      <c r="I26" s="13">
        <f>IF(COUNT(C26:G26)&lt;5,"",H26/39)</f>
        <v/>
      </c>
      <c r="J26" s="13">
        <f>IF(COUNT(C26:G26)&lt;5,"",IF(I26&gt;=0.8,"Green",IF(I26&gt;=0.5,"Yellow","Red")))</f>
        <v/>
      </c>
      <c r="K26" s="13">
        <f>IF(COUNT(C26:G26)&lt;5,"",IF(J26="Green","Well done! "&amp;Parameters!$C$322,"Revise: "&amp;_xlfn.TEXTJOIN(", ",TRUE(),IF(L26&lt;1,Parameters!$A$312,""),IF(M26&lt;1,Parameters!$A$313,""),IF(N26&lt;1,Parameters!$A$314,""),IF(O26&lt;1,Parameters!$A$315,""),IF(P26&lt;1,Parameters!$A$316,""))))</f>
        <v/>
      </c>
      <c r="L26" s="13">
        <f>IF(C26="","",C26/6)</f>
        <v/>
      </c>
      <c r="M26" s="13">
        <f>IF(D26="","",D26/8)</f>
        <v/>
      </c>
      <c r="N26" s="13">
        <f>IF(E26="","",E26/8)</f>
        <v/>
      </c>
      <c r="O26" s="13">
        <f>IF(F26="","",F26/7)</f>
        <v/>
      </c>
      <c r="P26" s="13">
        <f>IF(G26="","",G26/10)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4" t="n"/>
      <c r="H27" s="13">
        <f>IF(COUNT(C27:G27)&lt;5,"",SUM(C27:G27))</f>
        <v/>
      </c>
      <c r="I27" s="13">
        <f>IF(COUNT(C27:G27)&lt;5,"",H27/39)</f>
        <v/>
      </c>
      <c r="J27" s="13">
        <f>IF(COUNT(C27:G27)&lt;5,"",IF(I27&gt;=0.8,"Green",IF(I27&gt;=0.5,"Yellow","Red")))</f>
        <v/>
      </c>
      <c r="K27" s="13">
        <f>IF(COUNT(C27:G27)&lt;5,"",IF(J27="Green","Well done! "&amp;Parameters!$C$322,"Revise: "&amp;_xlfn.TEXTJOIN(", ",TRUE(),IF(L27&lt;1,Parameters!$A$312,""),IF(M27&lt;1,Parameters!$A$313,""),IF(N27&lt;1,Parameters!$A$314,""),IF(O27&lt;1,Parameters!$A$315,""),IF(P27&lt;1,Parameters!$A$316,""))))</f>
        <v/>
      </c>
      <c r="L27" s="13">
        <f>IF(C27="","",C27/6)</f>
        <v/>
      </c>
      <c r="M27" s="13">
        <f>IF(D27="","",D27/8)</f>
        <v/>
      </c>
      <c r="N27" s="13">
        <f>IF(E27="","",E27/8)</f>
        <v/>
      </c>
      <c r="O27" s="13">
        <f>IF(F27="","",F27/7)</f>
        <v/>
      </c>
      <c r="P27" s="13">
        <f>IF(G27="","",G27/10)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4" t="n"/>
      <c r="H28" s="13">
        <f>IF(COUNT(C28:G28)&lt;5,"",SUM(C28:G28))</f>
        <v/>
      </c>
      <c r="I28" s="13">
        <f>IF(COUNT(C28:G28)&lt;5,"",H28/39)</f>
        <v/>
      </c>
      <c r="J28" s="13">
        <f>IF(COUNT(C28:G28)&lt;5,"",IF(I28&gt;=0.8,"Green",IF(I28&gt;=0.5,"Yellow","Red")))</f>
        <v/>
      </c>
      <c r="K28" s="13">
        <f>IF(COUNT(C28:G28)&lt;5,"",IF(J28="Green","Well done! "&amp;Parameters!$C$322,"Revise: "&amp;_xlfn.TEXTJOIN(", ",TRUE(),IF(L28&lt;1,Parameters!$A$312,""),IF(M28&lt;1,Parameters!$A$313,""),IF(N28&lt;1,Parameters!$A$314,""),IF(O28&lt;1,Parameters!$A$315,""),IF(P28&lt;1,Parameters!$A$316,""))))</f>
        <v/>
      </c>
      <c r="L28" s="13">
        <f>IF(C28="","",C28/6)</f>
        <v/>
      </c>
      <c r="M28" s="13">
        <f>IF(D28="","",D28/8)</f>
        <v/>
      </c>
      <c r="N28" s="13">
        <f>IF(E28="","",E28/8)</f>
        <v/>
      </c>
      <c r="O28" s="13">
        <f>IF(F28="","",F28/7)</f>
        <v/>
      </c>
      <c r="P28" s="13">
        <f>IF(G28="","",G28/10)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4" t="n"/>
      <c r="H29" s="13">
        <f>IF(COUNT(C29:G29)&lt;5,"",SUM(C29:G29))</f>
        <v/>
      </c>
      <c r="I29" s="13">
        <f>IF(COUNT(C29:G29)&lt;5,"",H29/39)</f>
        <v/>
      </c>
      <c r="J29" s="13">
        <f>IF(COUNT(C29:G29)&lt;5,"",IF(I29&gt;=0.8,"Green",IF(I29&gt;=0.5,"Yellow","Red")))</f>
        <v/>
      </c>
      <c r="K29" s="13">
        <f>IF(COUNT(C29:G29)&lt;5,"",IF(J29="Green","Well done! "&amp;Parameters!$C$322,"Revise: "&amp;_xlfn.TEXTJOIN(", ",TRUE(),IF(L29&lt;1,Parameters!$A$312,""),IF(M29&lt;1,Parameters!$A$313,""),IF(N29&lt;1,Parameters!$A$314,""),IF(O29&lt;1,Parameters!$A$315,""),IF(P29&lt;1,Parameters!$A$316,""))))</f>
        <v/>
      </c>
      <c r="L29" s="13">
        <f>IF(C29="","",C29/6)</f>
        <v/>
      </c>
      <c r="M29" s="13">
        <f>IF(D29="","",D29/8)</f>
        <v/>
      </c>
      <c r="N29" s="13">
        <f>IF(E29="","",E29/8)</f>
        <v/>
      </c>
      <c r="O29" s="13">
        <f>IF(F29="","",F29/7)</f>
        <v/>
      </c>
      <c r="P29" s="13">
        <f>IF(G29="","",G29/10)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4" t="n"/>
      <c r="H30" s="13">
        <f>IF(COUNT(C30:G30)&lt;5,"",SUM(C30:G30))</f>
        <v/>
      </c>
      <c r="I30" s="13">
        <f>IF(COUNT(C30:G30)&lt;5,"",H30/39)</f>
        <v/>
      </c>
      <c r="J30" s="13">
        <f>IF(COUNT(C30:G30)&lt;5,"",IF(I30&gt;=0.8,"Green",IF(I30&gt;=0.5,"Yellow","Red")))</f>
        <v/>
      </c>
      <c r="K30" s="13">
        <f>IF(COUNT(C30:G30)&lt;5,"",IF(J30="Green","Well done! "&amp;Parameters!$C$322,"Revise: "&amp;_xlfn.TEXTJOIN(", ",TRUE(),IF(L30&lt;1,Parameters!$A$312,""),IF(M30&lt;1,Parameters!$A$313,""),IF(N30&lt;1,Parameters!$A$314,""),IF(O30&lt;1,Parameters!$A$315,""),IF(P30&lt;1,Parameters!$A$316,""))))</f>
        <v/>
      </c>
      <c r="L30" s="13">
        <f>IF(C30="","",C30/6)</f>
        <v/>
      </c>
      <c r="M30" s="13">
        <f>IF(D30="","",D30/8)</f>
        <v/>
      </c>
      <c r="N30" s="13">
        <f>IF(E30="","",E30/8)</f>
        <v/>
      </c>
      <c r="O30" s="13">
        <f>IF(F30="","",F30/7)</f>
        <v/>
      </c>
      <c r="P30" s="13">
        <f>IF(G30="","",G30/10)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4" t="n"/>
      <c r="H31" s="13">
        <f>IF(COUNT(C31:G31)&lt;5,"",SUM(C31:G31))</f>
        <v/>
      </c>
      <c r="I31" s="13">
        <f>IF(COUNT(C31:G31)&lt;5,"",H31/39)</f>
        <v/>
      </c>
      <c r="J31" s="13">
        <f>IF(COUNT(C31:G31)&lt;5,"",IF(I31&gt;=0.8,"Green",IF(I31&gt;=0.5,"Yellow","Red")))</f>
        <v/>
      </c>
      <c r="K31" s="13">
        <f>IF(COUNT(C31:G31)&lt;5,"",IF(J31="Green","Well done! "&amp;Parameters!$C$322,"Revise: "&amp;_xlfn.TEXTJOIN(", ",TRUE(),IF(L31&lt;1,Parameters!$A$312,""),IF(M31&lt;1,Parameters!$A$313,""),IF(N31&lt;1,Parameters!$A$314,""),IF(O31&lt;1,Parameters!$A$315,""),IF(P31&lt;1,Parameters!$A$316,""))))</f>
        <v/>
      </c>
      <c r="L31" s="13">
        <f>IF(C31="","",C31/6)</f>
        <v/>
      </c>
      <c r="M31" s="13">
        <f>IF(D31="","",D31/8)</f>
        <v/>
      </c>
      <c r="N31" s="13">
        <f>IF(E31="","",E31/8)</f>
        <v/>
      </c>
      <c r="O31" s="13">
        <f>IF(F31="","",F31/7)</f>
        <v/>
      </c>
      <c r="P31" s="13">
        <f>IF(G31="","",G31/10)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4" t="n"/>
      <c r="H32" s="13">
        <f>IF(COUNT(C32:G32)&lt;5,"",SUM(C32:G32))</f>
        <v/>
      </c>
      <c r="I32" s="13">
        <f>IF(COUNT(C32:G32)&lt;5,"",H32/39)</f>
        <v/>
      </c>
      <c r="J32" s="13">
        <f>IF(COUNT(C32:G32)&lt;5,"",IF(I32&gt;=0.8,"Green",IF(I32&gt;=0.5,"Yellow","Red")))</f>
        <v/>
      </c>
      <c r="K32" s="13">
        <f>IF(COUNT(C32:G32)&lt;5,"",IF(J32="Green","Well done! "&amp;Parameters!$C$322,"Revise: "&amp;_xlfn.TEXTJOIN(", ",TRUE(),IF(L32&lt;1,Parameters!$A$312,""),IF(M32&lt;1,Parameters!$A$313,""),IF(N32&lt;1,Parameters!$A$314,""),IF(O32&lt;1,Parameters!$A$315,""),IF(P32&lt;1,Parameters!$A$316,""))))</f>
        <v/>
      </c>
      <c r="L32" s="13">
        <f>IF(C32="","",C32/6)</f>
        <v/>
      </c>
      <c r="M32" s="13">
        <f>IF(D32="","",D32/8)</f>
        <v/>
      </c>
      <c r="N32" s="13">
        <f>IF(E32="","",E32/8)</f>
        <v/>
      </c>
      <c r="O32" s="13">
        <f>IF(F32="","",F32/7)</f>
        <v/>
      </c>
      <c r="P32" s="13">
        <f>IF(G32="","",G32/10)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4" t="n"/>
      <c r="H33" s="13">
        <f>IF(COUNT(C33:G33)&lt;5,"",SUM(C33:G33))</f>
        <v/>
      </c>
      <c r="I33" s="13">
        <f>IF(COUNT(C33:G33)&lt;5,"",H33/39)</f>
        <v/>
      </c>
      <c r="J33" s="13">
        <f>IF(COUNT(C33:G33)&lt;5,"",IF(I33&gt;=0.8,"Green",IF(I33&gt;=0.5,"Yellow","Red")))</f>
        <v/>
      </c>
      <c r="K33" s="13">
        <f>IF(COUNT(C33:G33)&lt;5,"",IF(J33="Green","Well done! "&amp;Parameters!$C$322,"Revise: "&amp;_xlfn.TEXTJOIN(", ",TRUE(),IF(L33&lt;1,Parameters!$A$312,""),IF(M33&lt;1,Parameters!$A$313,""),IF(N33&lt;1,Parameters!$A$314,""),IF(O33&lt;1,Parameters!$A$315,""),IF(P33&lt;1,Parameters!$A$316,""))))</f>
        <v/>
      </c>
      <c r="L33" s="13">
        <f>IF(C33="","",C33/6)</f>
        <v/>
      </c>
      <c r="M33" s="13">
        <f>IF(D33="","",D33/8)</f>
        <v/>
      </c>
      <c r="N33" s="13">
        <f>IF(E33="","",E33/8)</f>
        <v/>
      </c>
      <c r="O33" s="13">
        <f>IF(F33="","",F33/7)</f>
        <v/>
      </c>
      <c r="P33" s="13">
        <f>IF(G33="","",G33/10)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4" t="n"/>
      <c r="H34" s="13">
        <f>IF(COUNT(C34:G34)&lt;5,"",SUM(C34:G34))</f>
        <v/>
      </c>
      <c r="I34" s="13">
        <f>IF(COUNT(C34:G34)&lt;5,"",H34/39)</f>
        <v/>
      </c>
      <c r="J34" s="13">
        <f>IF(COUNT(C34:G34)&lt;5,"",IF(I34&gt;=0.8,"Green",IF(I34&gt;=0.5,"Yellow","Red")))</f>
        <v/>
      </c>
      <c r="K34" s="13">
        <f>IF(COUNT(C34:G34)&lt;5,"",IF(J34="Green","Well done! "&amp;Parameters!$C$322,"Revise: "&amp;_xlfn.TEXTJOIN(", ",TRUE(),IF(L34&lt;1,Parameters!$A$312,""),IF(M34&lt;1,Parameters!$A$313,""),IF(N34&lt;1,Parameters!$A$314,""),IF(O34&lt;1,Parameters!$A$315,""),IF(P34&lt;1,Parameters!$A$316,""))))</f>
        <v/>
      </c>
      <c r="L34" s="13">
        <f>IF(C34="","",C34/6)</f>
        <v/>
      </c>
      <c r="M34" s="13">
        <f>IF(D34="","",D34/8)</f>
        <v/>
      </c>
      <c r="N34" s="13">
        <f>IF(E34="","",E34/8)</f>
        <v/>
      </c>
      <c r="O34" s="13">
        <f>IF(F34="","",F34/7)</f>
        <v/>
      </c>
      <c r="P34" s="13">
        <f>IF(G34="","",G34/10)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4" t="n"/>
      <c r="H35" s="13">
        <f>IF(COUNT(C35:G35)&lt;5,"",SUM(C35:G35))</f>
        <v/>
      </c>
      <c r="I35" s="13">
        <f>IF(COUNT(C35:G35)&lt;5,"",H35/39)</f>
        <v/>
      </c>
      <c r="J35" s="13">
        <f>IF(COUNT(C35:G35)&lt;5,"",IF(I35&gt;=0.8,"Green",IF(I35&gt;=0.5,"Yellow","Red")))</f>
        <v/>
      </c>
      <c r="K35" s="13">
        <f>IF(COUNT(C35:G35)&lt;5,"",IF(J35="Green","Well done! "&amp;Parameters!$C$322,"Revise: "&amp;_xlfn.TEXTJOIN(", ",TRUE(),IF(L35&lt;1,Parameters!$A$312,""),IF(M35&lt;1,Parameters!$A$313,""),IF(N35&lt;1,Parameters!$A$314,""),IF(O35&lt;1,Parameters!$A$315,""),IF(P35&lt;1,Parameters!$A$316,""))))</f>
        <v/>
      </c>
      <c r="L35" s="13">
        <f>IF(C35="","",C35/6)</f>
        <v/>
      </c>
      <c r="M35" s="13">
        <f>IF(D35="","",D35/8)</f>
        <v/>
      </c>
      <c r="N35" s="13">
        <f>IF(E35="","",E35/8)</f>
        <v/>
      </c>
      <c r="O35" s="13">
        <f>IF(F35="","",F35/7)</f>
        <v/>
      </c>
      <c r="P35" s="13">
        <f>IF(G35="","",G35/10)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4" t="n"/>
      <c r="H36" s="13">
        <f>IF(COUNT(C36:G36)&lt;5,"",SUM(C36:G36))</f>
        <v/>
      </c>
      <c r="I36" s="13">
        <f>IF(COUNT(C36:G36)&lt;5,"",H36/39)</f>
        <v/>
      </c>
      <c r="J36" s="13">
        <f>IF(COUNT(C36:G36)&lt;5,"",IF(I36&gt;=0.8,"Green",IF(I36&gt;=0.5,"Yellow","Red")))</f>
        <v/>
      </c>
      <c r="K36" s="13">
        <f>IF(COUNT(C36:G36)&lt;5,"",IF(J36="Green","Well done! "&amp;Parameters!$C$322,"Revise: "&amp;_xlfn.TEXTJOIN(", ",TRUE(),IF(L36&lt;1,Parameters!$A$312,""),IF(M36&lt;1,Parameters!$A$313,""),IF(N36&lt;1,Parameters!$A$314,""),IF(O36&lt;1,Parameters!$A$315,""),IF(P36&lt;1,Parameters!$A$316,""))))</f>
        <v/>
      </c>
      <c r="L36" s="13">
        <f>IF(C36="","",C36/6)</f>
        <v/>
      </c>
      <c r="M36" s="13">
        <f>IF(D36="","",D36/8)</f>
        <v/>
      </c>
      <c r="N36" s="13">
        <f>IF(E36="","",E36/8)</f>
        <v/>
      </c>
      <c r="O36" s="13">
        <f>IF(F36="","",F36/7)</f>
        <v/>
      </c>
      <c r="P36" s="13">
        <f>IF(G36="","",G36/10)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4" t="n"/>
      <c r="H37" s="13">
        <f>IF(COUNT(C37:G37)&lt;5,"",SUM(C37:G37))</f>
        <v/>
      </c>
      <c r="I37" s="13">
        <f>IF(COUNT(C37:G37)&lt;5,"",H37/39)</f>
        <v/>
      </c>
      <c r="J37" s="13">
        <f>IF(COUNT(C37:G37)&lt;5,"",IF(I37&gt;=0.8,"Green",IF(I37&gt;=0.5,"Yellow","Red")))</f>
        <v/>
      </c>
      <c r="K37" s="13">
        <f>IF(COUNT(C37:G37)&lt;5,"",IF(J37="Green","Well done! "&amp;Parameters!$C$322,"Revise: "&amp;_xlfn.TEXTJOIN(", ",TRUE(),IF(L37&lt;1,Parameters!$A$312,""),IF(M37&lt;1,Parameters!$A$313,""),IF(N37&lt;1,Parameters!$A$314,""),IF(O37&lt;1,Parameters!$A$315,""),IF(P37&lt;1,Parameters!$A$316,""))))</f>
        <v/>
      </c>
      <c r="L37" s="13">
        <f>IF(C37="","",C37/6)</f>
        <v/>
      </c>
      <c r="M37" s="13">
        <f>IF(D37="","",D37/8)</f>
        <v/>
      </c>
      <c r="N37" s="13">
        <f>IF(E37="","",E37/8)</f>
        <v/>
      </c>
      <c r="O37" s="13">
        <f>IF(F37="","",F37/7)</f>
        <v/>
      </c>
      <c r="P37" s="13">
        <f>IF(G37="","",G37/10)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4" t="n"/>
      <c r="H38" s="13">
        <f>IF(COUNT(C38:G38)&lt;5,"",SUM(C38:G38))</f>
        <v/>
      </c>
      <c r="I38" s="13">
        <f>IF(COUNT(C38:G38)&lt;5,"",H38/39)</f>
        <v/>
      </c>
      <c r="J38" s="13">
        <f>IF(COUNT(C38:G38)&lt;5,"",IF(I38&gt;=0.8,"Green",IF(I38&gt;=0.5,"Yellow","Red")))</f>
        <v/>
      </c>
      <c r="K38" s="13">
        <f>IF(COUNT(C38:G38)&lt;5,"",IF(J38="Green","Well done! "&amp;Parameters!$C$322,"Revise: "&amp;_xlfn.TEXTJOIN(", ",TRUE(),IF(L38&lt;1,Parameters!$A$312,""),IF(M38&lt;1,Parameters!$A$313,""),IF(N38&lt;1,Parameters!$A$314,""),IF(O38&lt;1,Parameters!$A$315,""),IF(P38&lt;1,Parameters!$A$316,""))))</f>
        <v/>
      </c>
      <c r="L38" s="13">
        <f>IF(C38="","",C38/6)</f>
        <v/>
      </c>
      <c r="M38" s="13">
        <f>IF(D38="","",D38/8)</f>
        <v/>
      </c>
      <c r="N38" s="13">
        <f>IF(E38="","",E38/8)</f>
        <v/>
      </c>
      <c r="O38" s="13">
        <f>IF(F38="","",F38/7)</f>
        <v/>
      </c>
      <c r="P38" s="13">
        <f>IF(G38="","",G38/10)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4" t="n"/>
      <c r="H39" s="13">
        <f>IF(COUNT(C39:G39)&lt;5,"",SUM(C39:G39))</f>
        <v/>
      </c>
      <c r="I39" s="13">
        <f>IF(COUNT(C39:G39)&lt;5,"",H39/39)</f>
        <v/>
      </c>
      <c r="J39" s="13">
        <f>IF(COUNT(C39:G39)&lt;5,"",IF(I39&gt;=0.8,"Green",IF(I39&gt;=0.5,"Yellow","Red")))</f>
        <v/>
      </c>
      <c r="K39" s="13">
        <f>IF(COUNT(C39:G39)&lt;5,"",IF(J39="Green","Well done! "&amp;Parameters!$C$322,"Revise: "&amp;_xlfn.TEXTJOIN(", ",TRUE(),IF(L39&lt;1,Parameters!$A$312,""),IF(M39&lt;1,Parameters!$A$313,""),IF(N39&lt;1,Parameters!$A$314,""),IF(O39&lt;1,Parameters!$A$315,""),IF(P39&lt;1,Parameters!$A$316,""))))</f>
        <v/>
      </c>
      <c r="L39" s="13">
        <f>IF(C39="","",C39/6)</f>
        <v/>
      </c>
      <c r="M39" s="13">
        <f>IF(D39="","",D39/8)</f>
        <v/>
      </c>
      <c r="N39" s="13">
        <f>IF(E39="","",E39/8)</f>
        <v/>
      </c>
      <c r="O39" s="13">
        <f>IF(F39="","",F39/7)</f>
        <v/>
      </c>
      <c r="P39" s="13">
        <f>IF(G39="","",G39/10)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4" t="n"/>
      <c r="H40" s="13">
        <f>IF(COUNT(C40:G40)&lt;5,"",SUM(C40:G40))</f>
        <v/>
      </c>
      <c r="I40" s="13">
        <f>IF(COUNT(C40:G40)&lt;5,"",H40/39)</f>
        <v/>
      </c>
      <c r="J40" s="13">
        <f>IF(COUNT(C40:G40)&lt;5,"",IF(I40&gt;=0.8,"Green",IF(I40&gt;=0.5,"Yellow","Red")))</f>
        <v/>
      </c>
      <c r="K40" s="13">
        <f>IF(COUNT(C40:G40)&lt;5,"",IF(J40="Green","Well done! "&amp;Parameters!$C$322,"Revise: "&amp;_xlfn.TEXTJOIN(", ",TRUE(),IF(L40&lt;1,Parameters!$A$312,""),IF(M40&lt;1,Parameters!$A$313,""),IF(N40&lt;1,Parameters!$A$314,""),IF(O40&lt;1,Parameters!$A$315,""),IF(P40&lt;1,Parameters!$A$316,""))))</f>
        <v/>
      </c>
      <c r="L40" s="13">
        <f>IF(C40="","",C40/6)</f>
        <v/>
      </c>
      <c r="M40" s="13">
        <f>IF(D40="","",D40/8)</f>
        <v/>
      </c>
      <c r="N40" s="13">
        <f>IF(E40="","",E40/8)</f>
        <v/>
      </c>
      <c r="O40" s="13">
        <f>IF(F40="","",F40/7)</f>
        <v/>
      </c>
      <c r="P40" s="13">
        <f>IF(G40="","",G40/10)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4" t="n"/>
      <c r="H41" s="13">
        <f>IF(COUNT(C41:G41)&lt;5,"",SUM(C41:G41))</f>
        <v/>
      </c>
      <c r="I41" s="13">
        <f>IF(COUNT(C41:G41)&lt;5,"",H41/39)</f>
        <v/>
      </c>
      <c r="J41" s="13">
        <f>IF(COUNT(C41:G41)&lt;5,"",IF(I41&gt;=0.8,"Green",IF(I41&gt;=0.5,"Yellow","Red")))</f>
        <v/>
      </c>
      <c r="K41" s="13">
        <f>IF(COUNT(C41:G41)&lt;5,"",IF(J41="Green","Well done! "&amp;Parameters!$C$322,"Revise: "&amp;_xlfn.TEXTJOIN(", ",TRUE(),IF(L41&lt;1,Parameters!$A$312,""),IF(M41&lt;1,Parameters!$A$313,""),IF(N41&lt;1,Parameters!$A$314,""),IF(O41&lt;1,Parameters!$A$315,""),IF(P41&lt;1,Parameters!$A$316,""))))</f>
        <v/>
      </c>
      <c r="L41" s="13">
        <f>IF(C41="","",C41/6)</f>
        <v/>
      </c>
      <c r="M41" s="13">
        <f>IF(D41="","",D41/8)</f>
        <v/>
      </c>
      <c r="N41" s="13">
        <f>IF(E41="","",E41/8)</f>
        <v/>
      </c>
      <c r="O41" s="13">
        <f>IF(F41="","",F41/7)</f>
        <v/>
      </c>
      <c r="P41" s="13">
        <f>IF(G41="","",G41/10)</f>
        <v/>
      </c>
    </row>
  </sheetData>
  <conditionalFormatting sqref="C11">
    <cfRule type="expression" priority="1" dxfId="0">
      <formula>AND(COUNT(C11:G11)=5,C11=6)</formula>
    </cfRule>
    <cfRule type="expression" priority="2" dxfId="1">
      <formula>AND(COUNT(C11:G11)=5,C11&lt;6*0.4)</formula>
    </cfRule>
    <cfRule type="expression" priority="3" dxfId="2">
      <formula>AND(COUNT(C11:G11)=5,C11&gt;=6*0.4,C11&lt;6)</formula>
    </cfRule>
  </conditionalFormatting>
  <conditionalFormatting sqref="C12">
    <cfRule type="expression" priority="4" dxfId="0">
      <formula>AND(COUNT(C12:G12)=5,C12=6)</formula>
    </cfRule>
    <cfRule type="expression" priority="5" dxfId="1">
      <formula>AND(COUNT(C12:G12)=5,C12&lt;6*0.4)</formula>
    </cfRule>
    <cfRule type="expression" priority="6" dxfId="2">
      <formula>AND(COUNT(C12:G12)=5,C12&gt;=6*0.4,C12&lt;6)</formula>
    </cfRule>
  </conditionalFormatting>
  <conditionalFormatting sqref="C13">
    <cfRule type="expression" priority="7" dxfId="0">
      <formula>AND(COUNT(C13:G13)=5,C13=6)</formula>
    </cfRule>
    <cfRule type="expression" priority="8" dxfId="1">
      <formula>AND(COUNT(C13:G13)=5,C13&lt;6*0.4)</formula>
    </cfRule>
    <cfRule type="expression" priority="9" dxfId="2">
      <formula>AND(COUNT(C13:G13)=5,C13&gt;=6*0.4,C13&lt;6)</formula>
    </cfRule>
  </conditionalFormatting>
  <conditionalFormatting sqref="C14">
    <cfRule type="expression" priority="10" dxfId="0">
      <formula>AND(COUNT(C14:G14)=5,C14=6)</formula>
    </cfRule>
    <cfRule type="expression" priority="11" dxfId="1">
      <formula>AND(COUNT(C14:G14)=5,C14&lt;6*0.4)</formula>
    </cfRule>
    <cfRule type="expression" priority="12" dxfId="2">
      <formula>AND(COUNT(C14:G14)=5,C14&gt;=6*0.4,C14&lt;6)</formula>
    </cfRule>
  </conditionalFormatting>
  <conditionalFormatting sqref="C15">
    <cfRule type="expression" priority="13" dxfId="0">
      <formula>AND(COUNT(C15:G15)=5,C15=6)</formula>
    </cfRule>
    <cfRule type="expression" priority="14" dxfId="1">
      <formula>AND(COUNT(C15:G15)=5,C15&lt;6*0.4)</formula>
    </cfRule>
    <cfRule type="expression" priority="15" dxfId="2">
      <formula>AND(COUNT(C15:G15)=5,C15&gt;=6*0.4,C15&lt;6)</formula>
    </cfRule>
  </conditionalFormatting>
  <conditionalFormatting sqref="C16">
    <cfRule type="expression" priority="16" dxfId="0">
      <formula>AND(COUNT(C16:G16)=5,C16=6)</formula>
    </cfRule>
    <cfRule type="expression" priority="17" dxfId="1">
      <formula>AND(COUNT(C16:G16)=5,C16&lt;6*0.4)</formula>
    </cfRule>
    <cfRule type="expression" priority="18" dxfId="2">
      <formula>AND(COUNT(C16:G16)=5,C16&gt;=6*0.4,C16&lt;6)</formula>
    </cfRule>
  </conditionalFormatting>
  <conditionalFormatting sqref="C17">
    <cfRule type="expression" priority="19" dxfId="0">
      <formula>AND(COUNT(C17:G17)=5,C17=6)</formula>
    </cfRule>
    <cfRule type="expression" priority="20" dxfId="1">
      <formula>AND(COUNT(C17:G17)=5,C17&lt;6*0.4)</formula>
    </cfRule>
    <cfRule type="expression" priority="21" dxfId="2">
      <formula>AND(COUNT(C17:G17)=5,C17&gt;=6*0.4,C17&lt;6)</formula>
    </cfRule>
  </conditionalFormatting>
  <conditionalFormatting sqref="C18">
    <cfRule type="expression" priority="22" dxfId="0">
      <formula>AND(COUNT(C18:G18)=5,C18=6)</formula>
    </cfRule>
    <cfRule type="expression" priority="23" dxfId="1">
      <formula>AND(COUNT(C18:G18)=5,C18&lt;6*0.4)</formula>
    </cfRule>
    <cfRule type="expression" priority="24" dxfId="2">
      <formula>AND(COUNT(C18:G18)=5,C18&gt;=6*0.4,C18&lt;6)</formula>
    </cfRule>
  </conditionalFormatting>
  <conditionalFormatting sqref="C19">
    <cfRule type="expression" priority="25" dxfId="0">
      <formula>AND(COUNT(C19:G19)=5,C19=6)</formula>
    </cfRule>
    <cfRule type="expression" priority="26" dxfId="1">
      <formula>AND(COUNT(C19:G19)=5,C19&lt;6*0.4)</formula>
    </cfRule>
    <cfRule type="expression" priority="27" dxfId="2">
      <formula>AND(COUNT(C19:G19)=5,C19&gt;=6*0.4,C19&lt;6)</formula>
    </cfRule>
  </conditionalFormatting>
  <conditionalFormatting sqref="C20">
    <cfRule type="expression" priority="28" dxfId="0">
      <formula>AND(COUNT(C20:G20)=5,C20=6)</formula>
    </cfRule>
    <cfRule type="expression" priority="29" dxfId="1">
      <formula>AND(COUNT(C20:G20)=5,C20&lt;6*0.4)</formula>
    </cfRule>
    <cfRule type="expression" priority="30" dxfId="2">
      <formula>AND(COUNT(C20:G20)=5,C20&gt;=6*0.4,C20&lt;6)</formula>
    </cfRule>
  </conditionalFormatting>
  <conditionalFormatting sqref="C21">
    <cfRule type="expression" priority="31" dxfId="0">
      <formula>AND(COUNT(C21:G21)=5,C21=6)</formula>
    </cfRule>
    <cfRule type="expression" priority="32" dxfId="1">
      <formula>AND(COUNT(C21:G21)=5,C21&lt;6*0.4)</formula>
    </cfRule>
    <cfRule type="expression" priority="33" dxfId="2">
      <formula>AND(COUNT(C21:G21)=5,C21&gt;=6*0.4,C21&lt;6)</formula>
    </cfRule>
  </conditionalFormatting>
  <conditionalFormatting sqref="C22">
    <cfRule type="expression" priority="34" dxfId="0">
      <formula>AND(COUNT(C22:G22)=5,C22=6)</formula>
    </cfRule>
    <cfRule type="expression" priority="35" dxfId="1">
      <formula>AND(COUNT(C22:G22)=5,C22&lt;6*0.4)</formula>
    </cfRule>
    <cfRule type="expression" priority="36" dxfId="2">
      <formula>AND(COUNT(C22:G22)=5,C22&gt;=6*0.4,C22&lt;6)</formula>
    </cfRule>
  </conditionalFormatting>
  <conditionalFormatting sqref="C23">
    <cfRule type="expression" priority="37" dxfId="0">
      <formula>AND(COUNT(C23:G23)=5,C23=6)</formula>
    </cfRule>
    <cfRule type="expression" priority="38" dxfId="1">
      <formula>AND(COUNT(C23:G23)=5,C23&lt;6*0.4)</formula>
    </cfRule>
    <cfRule type="expression" priority="39" dxfId="2">
      <formula>AND(COUNT(C23:G23)=5,C23&gt;=6*0.4,C23&lt;6)</formula>
    </cfRule>
  </conditionalFormatting>
  <conditionalFormatting sqref="C24">
    <cfRule type="expression" priority="40" dxfId="0">
      <formula>AND(COUNT(C24:G24)=5,C24=6)</formula>
    </cfRule>
    <cfRule type="expression" priority="41" dxfId="1">
      <formula>AND(COUNT(C24:G24)=5,C24&lt;6*0.4)</formula>
    </cfRule>
    <cfRule type="expression" priority="42" dxfId="2">
      <formula>AND(COUNT(C24:G24)=5,C24&gt;=6*0.4,C24&lt;6)</formula>
    </cfRule>
  </conditionalFormatting>
  <conditionalFormatting sqref="C25">
    <cfRule type="expression" priority="43" dxfId="0">
      <formula>AND(COUNT(C25:G25)=5,C25=6)</formula>
    </cfRule>
    <cfRule type="expression" priority="44" dxfId="1">
      <formula>AND(COUNT(C25:G25)=5,C25&lt;6*0.4)</formula>
    </cfRule>
    <cfRule type="expression" priority="45" dxfId="2">
      <formula>AND(COUNT(C25:G25)=5,C25&gt;=6*0.4,C25&lt;6)</formula>
    </cfRule>
  </conditionalFormatting>
  <conditionalFormatting sqref="C26">
    <cfRule type="expression" priority="46" dxfId="0">
      <formula>AND(COUNT(C26:G26)=5,C26=6)</formula>
    </cfRule>
    <cfRule type="expression" priority="47" dxfId="1">
      <formula>AND(COUNT(C26:G26)=5,C26&lt;6*0.4)</formula>
    </cfRule>
    <cfRule type="expression" priority="48" dxfId="2">
      <formula>AND(COUNT(C26:G26)=5,C26&gt;=6*0.4,C26&lt;6)</formula>
    </cfRule>
  </conditionalFormatting>
  <conditionalFormatting sqref="C27">
    <cfRule type="expression" priority="49" dxfId="0">
      <formula>AND(COUNT(C27:G27)=5,C27=6)</formula>
    </cfRule>
    <cfRule type="expression" priority="50" dxfId="1">
      <formula>AND(COUNT(C27:G27)=5,C27&lt;6*0.4)</formula>
    </cfRule>
    <cfRule type="expression" priority="51" dxfId="2">
      <formula>AND(COUNT(C27:G27)=5,C27&gt;=6*0.4,C27&lt;6)</formula>
    </cfRule>
  </conditionalFormatting>
  <conditionalFormatting sqref="C28">
    <cfRule type="expression" priority="52" dxfId="0">
      <formula>AND(COUNT(C28:G28)=5,C28=6)</formula>
    </cfRule>
    <cfRule type="expression" priority="53" dxfId="1">
      <formula>AND(COUNT(C28:G28)=5,C28&lt;6*0.4)</formula>
    </cfRule>
    <cfRule type="expression" priority="54" dxfId="2">
      <formula>AND(COUNT(C28:G28)=5,C28&gt;=6*0.4,C28&lt;6)</formula>
    </cfRule>
  </conditionalFormatting>
  <conditionalFormatting sqref="C29">
    <cfRule type="expression" priority="55" dxfId="0">
      <formula>AND(COUNT(C29:G29)=5,C29=6)</formula>
    </cfRule>
    <cfRule type="expression" priority="56" dxfId="1">
      <formula>AND(COUNT(C29:G29)=5,C29&lt;6*0.4)</formula>
    </cfRule>
    <cfRule type="expression" priority="57" dxfId="2">
      <formula>AND(COUNT(C29:G29)=5,C29&gt;=6*0.4,C29&lt;6)</formula>
    </cfRule>
  </conditionalFormatting>
  <conditionalFormatting sqref="C30">
    <cfRule type="expression" priority="58" dxfId="0">
      <formula>AND(COUNT(C30:G30)=5,C30=6)</formula>
    </cfRule>
    <cfRule type="expression" priority="59" dxfId="1">
      <formula>AND(COUNT(C30:G30)=5,C30&lt;6*0.4)</formula>
    </cfRule>
    <cfRule type="expression" priority="60" dxfId="2">
      <formula>AND(COUNT(C30:G30)=5,C30&gt;=6*0.4,C30&lt;6)</formula>
    </cfRule>
  </conditionalFormatting>
  <conditionalFormatting sqref="C31">
    <cfRule type="expression" priority="61" dxfId="0">
      <formula>AND(COUNT(C31:G31)=5,C31=6)</formula>
    </cfRule>
    <cfRule type="expression" priority="62" dxfId="1">
      <formula>AND(COUNT(C31:G31)=5,C31&lt;6*0.4)</formula>
    </cfRule>
    <cfRule type="expression" priority="63" dxfId="2">
      <formula>AND(COUNT(C31:G31)=5,C31&gt;=6*0.4,C31&lt;6)</formula>
    </cfRule>
  </conditionalFormatting>
  <conditionalFormatting sqref="C32">
    <cfRule type="expression" priority="64" dxfId="0">
      <formula>AND(COUNT(C32:G32)=5,C32=6)</formula>
    </cfRule>
    <cfRule type="expression" priority="65" dxfId="1">
      <formula>AND(COUNT(C32:G32)=5,C32&lt;6*0.4)</formula>
    </cfRule>
    <cfRule type="expression" priority="66" dxfId="2">
      <formula>AND(COUNT(C32:G32)=5,C32&gt;=6*0.4,C32&lt;6)</formula>
    </cfRule>
  </conditionalFormatting>
  <conditionalFormatting sqref="C33">
    <cfRule type="expression" priority="67" dxfId="0">
      <formula>AND(COUNT(C33:G33)=5,C33=6)</formula>
    </cfRule>
    <cfRule type="expression" priority="68" dxfId="1">
      <formula>AND(COUNT(C33:G33)=5,C33&lt;6*0.4)</formula>
    </cfRule>
    <cfRule type="expression" priority="69" dxfId="2">
      <formula>AND(COUNT(C33:G33)=5,C33&gt;=6*0.4,C33&lt;6)</formula>
    </cfRule>
  </conditionalFormatting>
  <conditionalFormatting sqref="C34">
    <cfRule type="expression" priority="70" dxfId="0">
      <formula>AND(COUNT(C34:G34)=5,C34=6)</formula>
    </cfRule>
    <cfRule type="expression" priority="71" dxfId="1">
      <formula>AND(COUNT(C34:G34)=5,C34&lt;6*0.4)</formula>
    </cfRule>
    <cfRule type="expression" priority="72" dxfId="2">
      <formula>AND(COUNT(C34:G34)=5,C34&gt;=6*0.4,C34&lt;6)</formula>
    </cfRule>
  </conditionalFormatting>
  <conditionalFormatting sqref="C35">
    <cfRule type="expression" priority="73" dxfId="0">
      <formula>AND(COUNT(C35:G35)=5,C35=6)</formula>
    </cfRule>
    <cfRule type="expression" priority="74" dxfId="1">
      <formula>AND(COUNT(C35:G35)=5,C35&lt;6*0.4)</formula>
    </cfRule>
    <cfRule type="expression" priority="75" dxfId="2">
      <formula>AND(COUNT(C35:G35)=5,C35&gt;=6*0.4,C35&lt;6)</formula>
    </cfRule>
  </conditionalFormatting>
  <conditionalFormatting sqref="C36">
    <cfRule type="expression" priority="76" dxfId="0">
      <formula>AND(COUNT(C36:G36)=5,C36=6)</formula>
    </cfRule>
    <cfRule type="expression" priority="77" dxfId="1">
      <formula>AND(COUNT(C36:G36)=5,C36&lt;6*0.4)</formula>
    </cfRule>
    <cfRule type="expression" priority="78" dxfId="2">
      <formula>AND(COUNT(C36:G36)=5,C36&gt;=6*0.4,C36&lt;6)</formula>
    </cfRule>
  </conditionalFormatting>
  <conditionalFormatting sqref="C37">
    <cfRule type="expression" priority="79" dxfId="0">
      <formula>AND(COUNT(C37:G37)=5,C37=6)</formula>
    </cfRule>
    <cfRule type="expression" priority="80" dxfId="1">
      <formula>AND(COUNT(C37:G37)=5,C37&lt;6*0.4)</formula>
    </cfRule>
    <cfRule type="expression" priority="81" dxfId="2">
      <formula>AND(COUNT(C37:G37)=5,C37&gt;=6*0.4,C37&lt;6)</formula>
    </cfRule>
  </conditionalFormatting>
  <conditionalFormatting sqref="C38">
    <cfRule type="expression" priority="82" dxfId="0">
      <formula>AND(COUNT(C38:G38)=5,C38=6)</formula>
    </cfRule>
    <cfRule type="expression" priority="83" dxfId="1">
      <formula>AND(COUNT(C38:G38)=5,C38&lt;6*0.4)</formula>
    </cfRule>
    <cfRule type="expression" priority="84" dxfId="2">
      <formula>AND(COUNT(C38:G38)=5,C38&gt;=6*0.4,C38&lt;6)</formula>
    </cfRule>
  </conditionalFormatting>
  <conditionalFormatting sqref="C39">
    <cfRule type="expression" priority="85" dxfId="0">
      <formula>AND(COUNT(C39:G39)=5,C39=6)</formula>
    </cfRule>
    <cfRule type="expression" priority="86" dxfId="1">
      <formula>AND(COUNT(C39:G39)=5,C39&lt;6*0.4)</formula>
    </cfRule>
    <cfRule type="expression" priority="87" dxfId="2">
      <formula>AND(COUNT(C39:G39)=5,C39&gt;=6*0.4,C39&lt;6)</formula>
    </cfRule>
  </conditionalFormatting>
  <conditionalFormatting sqref="C40">
    <cfRule type="expression" priority="88" dxfId="0">
      <formula>AND(COUNT(C40:G40)=5,C40=6)</formula>
    </cfRule>
    <cfRule type="expression" priority="89" dxfId="1">
      <formula>AND(COUNT(C40:G40)=5,C40&lt;6*0.4)</formula>
    </cfRule>
    <cfRule type="expression" priority="90" dxfId="2">
      <formula>AND(COUNT(C40:G40)=5,C40&gt;=6*0.4,C40&lt;6)</formula>
    </cfRule>
  </conditionalFormatting>
  <conditionalFormatting sqref="C41">
    <cfRule type="expression" priority="91" dxfId="0">
      <formula>AND(COUNT(C41:G41)=5,C41=6)</formula>
    </cfRule>
    <cfRule type="expression" priority="92" dxfId="1">
      <formula>AND(COUNT(C41:G41)=5,C41&lt;6*0.4)</formula>
    </cfRule>
    <cfRule type="expression" priority="93" dxfId="2">
      <formula>AND(COUNT(C41:G41)=5,C41&gt;=6*0.4,C41&lt;6)</formula>
    </cfRule>
  </conditionalFormatting>
  <conditionalFormatting sqref="D11">
    <cfRule type="expression" priority="94" dxfId="0">
      <formula>AND(COUNT(C11:G11)=5,D11=8)</formula>
    </cfRule>
    <cfRule type="expression" priority="95" dxfId="1">
      <formula>AND(COUNT(C11:G11)=5,D11&lt;8*0.4)</formula>
    </cfRule>
    <cfRule type="expression" priority="96" dxfId="2">
      <formula>AND(COUNT(C11:G11)=5,D11&gt;=8*0.4,D11&lt;8)</formula>
    </cfRule>
  </conditionalFormatting>
  <conditionalFormatting sqref="D12">
    <cfRule type="expression" priority="97" dxfId="0">
      <formula>AND(COUNT(C12:G12)=5,D12=8)</formula>
    </cfRule>
    <cfRule type="expression" priority="98" dxfId="1">
      <formula>AND(COUNT(C12:G12)=5,D12&lt;8*0.4)</formula>
    </cfRule>
    <cfRule type="expression" priority="99" dxfId="2">
      <formula>AND(COUNT(C12:G12)=5,D12&gt;=8*0.4,D12&lt;8)</formula>
    </cfRule>
  </conditionalFormatting>
  <conditionalFormatting sqref="D13">
    <cfRule type="expression" priority="100" dxfId="0">
      <formula>AND(COUNT(C13:G13)=5,D13=8)</formula>
    </cfRule>
    <cfRule type="expression" priority="101" dxfId="1">
      <formula>AND(COUNT(C13:G13)=5,D13&lt;8*0.4)</formula>
    </cfRule>
    <cfRule type="expression" priority="102" dxfId="2">
      <formula>AND(COUNT(C13:G13)=5,D13&gt;=8*0.4,D13&lt;8)</formula>
    </cfRule>
  </conditionalFormatting>
  <conditionalFormatting sqref="D14">
    <cfRule type="expression" priority="103" dxfId="0">
      <formula>AND(COUNT(C14:G14)=5,D14=8)</formula>
    </cfRule>
    <cfRule type="expression" priority="104" dxfId="1">
      <formula>AND(COUNT(C14:G14)=5,D14&lt;8*0.4)</formula>
    </cfRule>
    <cfRule type="expression" priority="105" dxfId="2">
      <formula>AND(COUNT(C14:G14)=5,D14&gt;=8*0.4,D14&lt;8)</formula>
    </cfRule>
  </conditionalFormatting>
  <conditionalFormatting sqref="D15">
    <cfRule type="expression" priority="106" dxfId="0">
      <formula>AND(COUNT(C15:G15)=5,D15=8)</formula>
    </cfRule>
    <cfRule type="expression" priority="107" dxfId="1">
      <formula>AND(COUNT(C15:G15)=5,D15&lt;8*0.4)</formula>
    </cfRule>
    <cfRule type="expression" priority="108" dxfId="2">
      <formula>AND(COUNT(C15:G15)=5,D15&gt;=8*0.4,D15&lt;8)</formula>
    </cfRule>
  </conditionalFormatting>
  <conditionalFormatting sqref="D16">
    <cfRule type="expression" priority="109" dxfId="0">
      <formula>AND(COUNT(C16:G16)=5,D16=8)</formula>
    </cfRule>
    <cfRule type="expression" priority="110" dxfId="1">
      <formula>AND(COUNT(C16:G16)=5,D16&lt;8*0.4)</formula>
    </cfRule>
    <cfRule type="expression" priority="111" dxfId="2">
      <formula>AND(COUNT(C16:G16)=5,D16&gt;=8*0.4,D16&lt;8)</formula>
    </cfRule>
  </conditionalFormatting>
  <conditionalFormatting sqref="D17">
    <cfRule type="expression" priority="112" dxfId="0">
      <formula>AND(COUNT(C17:G17)=5,D17=8)</formula>
    </cfRule>
    <cfRule type="expression" priority="113" dxfId="1">
      <formula>AND(COUNT(C17:G17)=5,D17&lt;8*0.4)</formula>
    </cfRule>
    <cfRule type="expression" priority="114" dxfId="2">
      <formula>AND(COUNT(C17:G17)=5,D17&gt;=8*0.4,D17&lt;8)</formula>
    </cfRule>
  </conditionalFormatting>
  <conditionalFormatting sqref="D18">
    <cfRule type="expression" priority="115" dxfId="0">
      <formula>AND(COUNT(C18:G18)=5,D18=8)</formula>
    </cfRule>
    <cfRule type="expression" priority="116" dxfId="1">
      <formula>AND(COUNT(C18:G18)=5,D18&lt;8*0.4)</formula>
    </cfRule>
    <cfRule type="expression" priority="117" dxfId="2">
      <formula>AND(COUNT(C18:G18)=5,D18&gt;=8*0.4,D18&lt;8)</formula>
    </cfRule>
  </conditionalFormatting>
  <conditionalFormatting sqref="D19">
    <cfRule type="expression" priority="118" dxfId="0">
      <formula>AND(COUNT(C19:G19)=5,D19=8)</formula>
    </cfRule>
    <cfRule type="expression" priority="119" dxfId="1">
      <formula>AND(COUNT(C19:G19)=5,D19&lt;8*0.4)</formula>
    </cfRule>
    <cfRule type="expression" priority="120" dxfId="2">
      <formula>AND(COUNT(C19:G19)=5,D19&gt;=8*0.4,D19&lt;8)</formula>
    </cfRule>
  </conditionalFormatting>
  <conditionalFormatting sqref="D20">
    <cfRule type="expression" priority="121" dxfId="0">
      <formula>AND(COUNT(C20:G20)=5,D20=8)</formula>
    </cfRule>
    <cfRule type="expression" priority="122" dxfId="1">
      <formula>AND(COUNT(C20:G20)=5,D20&lt;8*0.4)</formula>
    </cfRule>
    <cfRule type="expression" priority="123" dxfId="2">
      <formula>AND(COUNT(C20:G20)=5,D20&gt;=8*0.4,D20&lt;8)</formula>
    </cfRule>
  </conditionalFormatting>
  <conditionalFormatting sqref="D21">
    <cfRule type="expression" priority="124" dxfId="0">
      <formula>AND(COUNT(C21:G21)=5,D21=8)</formula>
    </cfRule>
    <cfRule type="expression" priority="125" dxfId="1">
      <formula>AND(COUNT(C21:G21)=5,D21&lt;8*0.4)</formula>
    </cfRule>
    <cfRule type="expression" priority="126" dxfId="2">
      <formula>AND(COUNT(C21:G21)=5,D21&gt;=8*0.4,D21&lt;8)</formula>
    </cfRule>
  </conditionalFormatting>
  <conditionalFormatting sqref="D22">
    <cfRule type="expression" priority="127" dxfId="0">
      <formula>AND(COUNT(C22:G22)=5,D22=8)</formula>
    </cfRule>
    <cfRule type="expression" priority="128" dxfId="1">
      <formula>AND(COUNT(C22:G22)=5,D22&lt;8*0.4)</formula>
    </cfRule>
    <cfRule type="expression" priority="129" dxfId="2">
      <formula>AND(COUNT(C22:G22)=5,D22&gt;=8*0.4,D22&lt;8)</formula>
    </cfRule>
  </conditionalFormatting>
  <conditionalFormatting sqref="D23">
    <cfRule type="expression" priority="130" dxfId="0">
      <formula>AND(COUNT(C23:G23)=5,D23=8)</formula>
    </cfRule>
    <cfRule type="expression" priority="131" dxfId="1">
      <formula>AND(COUNT(C23:G23)=5,D23&lt;8*0.4)</formula>
    </cfRule>
    <cfRule type="expression" priority="132" dxfId="2">
      <formula>AND(COUNT(C23:G23)=5,D23&gt;=8*0.4,D23&lt;8)</formula>
    </cfRule>
  </conditionalFormatting>
  <conditionalFormatting sqref="D24">
    <cfRule type="expression" priority="133" dxfId="0">
      <formula>AND(COUNT(C24:G24)=5,D24=8)</formula>
    </cfRule>
    <cfRule type="expression" priority="134" dxfId="1">
      <formula>AND(COUNT(C24:G24)=5,D24&lt;8*0.4)</formula>
    </cfRule>
    <cfRule type="expression" priority="135" dxfId="2">
      <formula>AND(COUNT(C24:G24)=5,D24&gt;=8*0.4,D24&lt;8)</formula>
    </cfRule>
  </conditionalFormatting>
  <conditionalFormatting sqref="D25">
    <cfRule type="expression" priority="136" dxfId="0">
      <formula>AND(COUNT(C25:G25)=5,D25=8)</formula>
    </cfRule>
    <cfRule type="expression" priority="137" dxfId="1">
      <formula>AND(COUNT(C25:G25)=5,D25&lt;8*0.4)</formula>
    </cfRule>
    <cfRule type="expression" priority="138" dxfId="2">
      <formula>AND(COUNT(C25:G25)=5,D25&gt;=8*0.4,D25&lt;8)</formula>
    </cfRule>
  </conditionalFormatting>
  <conditionalFormatting sqref="D26">
    <cfRule type="expression" priority="139" dxfId="0">
      <formula>AND(COUNT(C26:G26)=5,D26=8)</formula>
    </cfRule>
    <cfRule type="expression" priority="140" dxfId="1">
      <formula>AND(COUNT(C26:G26)=5,D26&lt;8*0.4)</formula>
    </cfRule>
    <cfRule type="expression" priority="141" dxfId="2">
      <formula>AND(COUNT(C26:G26)=5,D26&gt;=8*0.4,D26&lt;8)</formula>
    </cfRule>
  </conditionalFormatting>
  <conditionalFormatting sqref="D27">
    <cfRule type="expression" priority="142" dxfId="0">
      <formula>AND(COUNT(C27:G27)=5,D27=8)</formula>
    </cfRule>
    <cfRule type="expression" priority="143" dxfId="1">
      <formula>AND(COUNT(C27:G27)=5,D27&lt;8*0.4)</formula>
    </cfRule>
    <cfRule type="expression" priority="144" dxfId="2">
      <formula>AND(COUNT(C27:G27)=5,D27&gt;=8*0.4,D27&lt;8)</formula>
    </cfRule>
  </conditionalFormatting>
  <conditionalFormatting sqref="D28">
    <cfRule type="expression" priority="145" dxfId="0">
      <formula>AND(COUNT(C28:G28)=5,D28=8)</formula>
    </cfRule>
    <cfRule type="expression" priority="146" dxfId="1">
      <formula>AND(COUNT(C28:G28)=5,D28&lt;8*0.4)</formula>
    </cfRule>
    <cfRule type="expression" priority="147" dxfId="2">
      <formula>AND(COUNT(C28:G28)=5,D28&gt;=8*0.4,D28&lt;8)</formula>
    </cfRule>
  </conditionalFormatting>
  <conditionalFormatting sqref="D29">
    <cfRule type="expression" priority="148" dxfId="0">
      <formula>AND(COUNT(C29:G29)=5,D29=8)</formula>
    </cfRule>
    <cfRule type="expression" priority="149" dxfId="1">
      <formula>AND(COUNT(C29:G29)=5,D29&lt;8*0.4)</formula>
    </cfRule>
    <cfRule type="expression" priority="150" dxfId="2">
      <formula>AND(COUNT(C29:G29)=5,D29&gt;=8*0.4,D29&lt;8)</formula>
    </cfRule>
  </conditionalFormatting>
  <conditionalFormatting sqref="D30">
    <cfRule type="expression" priority="151" dxfId="0">
      <formula>AND(COUNT(C30:G30)=5,D30=8)</formula>
    </cfRule>
    <cfRule type="expression" priority="152" dxfId="1">
      <formula>AND(COUNT(C30:G30)=5,D30&lt;8*0.4)</formula>
    </cfRule>
    <cfRule type="expression" priority="153" dxfId="2">
      <formula>AND(COUNT(C30:G30)=5,D30&gt;=8*0.4,D30&lt;8)</formula>
    </cfRule>
  </conditionalFormatting>
  <conditionalFormatting sqref="D31">
    <cfRule type="expression" priority="154" dxfId="0">
      <formula>AND(COUNT(C31:G31)=5,D31=8)</formula>
    </cfRule>
    <cfRule type="expression" priority="155" dxfId="1">
      <formula>AND(COUNT(C31:G31)=5,D31&lt;8*0.4)</formula>
    </cfRule>
    <cfRule type="expression" priority="156" dxfId="2">
      <formula>AND(COUNT(C31:G31)=5,D31&gt;=8*0.4,D31&lt;8)</formula>
    </cfRule>
  </conditionalFormatting>
  <conditionalFormatting sqref="D32">
    <cfRule type="expression" priority="157" dxfId="0">
      <formula>AND(COUNT(C32:G32)=5,D32=8)</formula>
    </cfRule>
    <cfRule type="expression" priority="158" dxfId="1">
      <formula>AND(COUNT(C32:G32)=5,D32&lt;8*0.4)</formula>
    </cfRule>
    <cfRule type="expression" priority="159" dxfId="2">
      <formula>AND(COUNT(C32:G32)=5,D32&gt;=8*0.4,D32&lt;8)</formula>
    </cfRule>
  </conditionalFormatting>
  <conditionalFormatting sqref="D33">
    <cfRule type="expression" priority="160" dxfId="0">
      <formula>AND(COUNT(C33:G33)=5,D33=8)</formula>
    </cfRule>
    <cfRule type="expression" priority="161" dxfId="1">
      <formula>AND(COUNT(C33:G33)=5,D33&lt;8*0.4)</formula>
    </cfRule>
    <cfRule type="expression" priority="162" dxfId="2">
      <formula>AND(COUNT(C33:G33)=5,D33&gt;=8*0.4,D33&lt;8)</formula>
    </cfRule>
  </conditionalFormatting>
  <conditionalFormatting sqref="D34">
    <cfRule type="expression" priority="163" dxfId="0">
      <formula>AND(COUNT(C34:G34)=5,D34=8)</formula>
    </cfRule>
    <cfRule type="expression" priority="164" dxfId="1">
      <formula>AND(COUNT(C34:G34)=5,D34&lt;8*0.4)</formula>
    </cfRule>
    <cfRule type="expression" priority="165" dxfId="2">
      <formula>AND(COUNT(C34:G34)=5,D34&gt;=8*0.4,D34&lt;8)</formula>
    </cfRule>
  </conditionalFormatting>
  <conditionalFormatting sqref="D35">
    <cfRule type="expression" priority="166" dxfId="0">
      <formula>AND(COUNT(C35:G35)=5,D35=8)</formula>
    </cfRule>
    <cfRule type="expression" priority="167" dxfId="1">
      <formula>AND(COUNT(C35:G35)=5,D35&lt;8*0.4)</formula>
    </cfRule>
    <cfRule type="expression" priority="168" dxfId="2">
      <formula>AND(COUNT(C35:G35)=5,D35&gt;=8*0.4,D35&lt;8)</formula>
    </cfRule>
  </conditionalFormatting>
  <conditionalFormatting sqref="D36">
    <cfRule type="expression" priority="169" dxfId="0">
      <formula>AND(COUNT(C36:G36)=5,D36=8)</formula>
    </cfRule>
    <cfRule type="expression" priority="170" dxfId="1">
      <formula>AND(COUNT(C36:G36)=5,D36&lt;8*0.4)</formula>
    </cfRule>
    <cfRule type="expression" priority="171" dxfId="2">
      <formula>AND(COUNT(C36:G36)=5,D36&gt;=8*0.4,D36&lt;8)</formula>
    </cfRule>
  </conditionalFormatting>
  <conditionalFormatting sqref="D37">
    <cfRule type="expression" priority="172" dxfId="0">
      <formula>AND(COUNT(C37:G37)=5,D37=8)</formula>
    </cfRule>
    <cfRule type="expression" priority="173" dxfId="1">
      <formula>AND(COUNT(C37:G37)=5,D37&lt;8*0.4)</formula>
    </cfRule>
    <cfRule type="expression" priority="174" dxfId="2">
      <formula>AND(COUNT(C37:G37)=5,D37&gt;=8*0.4,D37&lt;8)</formula>
    </cfRule>
  </conditionalFormatting>
  <conditionalFormatting sqref="D38">
    <cfRule type="expression" priority="175" dxfId="0">
      <formula>AND(COUNT(C38:G38)=5,D38=8)</formula>
    </cfRule>
    <cfRule type="expression" priority="176" dxfId="1">
      <formula>AND(COUNT(C38:G38)=5,D38&lt;8*0.4)</formula>
    </cfRule>
    <cfRule type="expression" priority="177" dxfId="2">
      <formula>AND(COUNT(C38:G38)=5,D38&gt;=8*0.4,D38&lt;8)</formula>
    </cfRule>
  </conditionalFormatting>
  <conditionalFormatting sqref="D39">
    <cfRule type="expression" priority="178" dxfId="0">
      <formula>AND(COUNT(C39:G39)=5,D39=8)</formula>
    </cfRule>
    <cfRule type="expression" priority="179" dxfId="1">
      <formula>AND(COUNT(C39:G39)=5,D39&lt;8*0.4)</formula>
    </cfRule>
    <cfRule type="expression" priority="180" dxfId="2">
      <formula>AND(COUNT(C39:G39)=5,D39&gt;=8*0.4,D39&lt;8)</formula>
    </cfRule>
  </conditionalFormatting>
  <conditionalFormatting sqref="D40">
    <cfRule type="expression" priority="181" dxfId="0">
      <formula>AND(COUNT(C40:G40)=5,D40=8)</formula>
    </cfRule>
    <cfRule type="expression" priority="182" dxfId="1">
      <formula>AND(COUNT(C40:G40)=5,D40&lt;8*0.4)</formula>
    </cfRule>
    <cfRule type="expression" priority="183" dxfId="2">
      <formula>AND(COUNT(C40:G40)=5,D40&gt;=8*0.4,D40&lt;8)</formula>
    </cfRule>
  </conditionalFormatting>
  <conditionalFormatting sqref="D41">
    <cfRule type="expression" priority="184" dxfId="0">
      <formula>AND(COUNT(C41:G41)=5,D41=8)</formula>
    </cfRule>
    <cfRule type="expression" priority="185" dxfId="1">
      <formula>AND(COUNT(C41:G41)=5,D41&lt;8*0.4)</formula>
    </cfRule>
    <cfRule type="expression" priority="186" dxfId="2">
      <formula>AND(COUNT(C41:G41)=5,D41&gt;=8*0.4,D41&lt;8)</formula>
    </cfRule>
  </conditionalFormatting>
  <conditionalFormatting sqref="E11">
    <cfRule type="expression" priority="187" dxfId="0">
      <formula>AND(COUNT(C11:G11)=5,E11=8)</formula>
    </cfRule>
    <cfRule type="expression" priority="188" dxfId="1">
      <formula>AND(COUNT(C11:G11)=5,E11&lt;8*0.4)</formula>
    </cfRule>
    <cfRule type="expression" priority="189" dxfId="2">
      <formula>AND(COUNT(C11:G11)=5,E11&gt;=8*0.4,E11&lt;8)</formula>
    </cfRule>
  </conditionalFormatting>
  <conditionalFormatting sqref="E12">
    <cfRule type="expression" priority="190" dxfId="0">
      <formula>AND(COUNT(C12:G12)=5,E12=8)</formula>
    </cfRule>
    <cfRule type="expression" priority="191" dxfId="1">
      <formula>AND(COUNT(C12:G12)=5,E12&lt;8*0.4)</formula>
    </cfRule>
    <cfRule type="expression" priority="192" dxfId="2">
      <formula>AND(COUNT(C12:G12)=5,E12&gt;=8*0.4,E12&lt;8)</formula>
    </cfRule>
  </conditionalFormatting>
  <conditionalFormatting sqref="E13">
    <cfRule type="expression" priority="193" dxfId="0">
      <formula>AND(COUNT(C13:G13)=5,E13=8)</formula>
    </cfRule>
    <cfRule type="expression" priority="194" dxfId="1">
      <formula>AND(COUNT(C13:G13)=5,E13&lt;8*0.4)</formula>
    </cfRule>
    <cfRule type="expression" priority="195" dxfId="2">
      <formula>AND(COUNT(C13:G13)=5,E13&gt;=8*0.4,E13&lt;8)</formula>
    </cfRule>
  </conditionalFormatting>
  <conditionalFormatting sqref="E14">
    <cfRule type="expression" priority="196" dxfId="0">
      <formula>AND(COUNT(C14:G14)=5,E14=8)</formula>
    </cfRule>
    <cfRule type="expression" priority="197" dxfId="1">
      <formula>AND(COUNT(C14:G14)=5,E14&lt;8*0.4)</formula>
    </cfRule>
    <cfRule type="expression" priority="198" dxfId="2">
      <formula>AND(COUNT(C14:G14)=5,E14&gt;=8*0.4,E14&lt;8)</formula>
    </cfRule>
  </conditionalFormatting>
  <conditionalFormatting sqref="E15">
    <cfRule type="expression" priority="199" dxfId="0">
      <formula>AND(COUNT(C15:G15)=5,E15=8)</formula>
    </cfRule>
    <cfRule type="expression" priority="200" dxfId="1">
      <formula>AND(COUNT(C15:G15)=5,E15&lt;8*0.4)</formula>
    </cfRule>
    <cfRule type="expression" priority="201" dxfId="2">
      <formula>AND(COUNT(C15:G15)=5,E15&gt;=8*0.4,E15&lt;8)</formula>
    </cfRule>
  </conditionalFormatting>
  <conditionalFormatting sqref="E16">
    <cfRule type="expression" priority="202" dxfId="0">
      <formula>AND(COUNT(C16:G16)=5,E16=8)</formula>
    </cfRule>
    <cfRule type="expression" priority="203" dxfId="1">
      <formula>AND(COUNT(C16:G16)=5,E16&lt;8*0.4)</formula>
    </cfRule>
    <cfRule type="expression" priority="204" dxfId="2">
      <formula>AND(COUNT(C16:G16)=5,E16&gt;=8*0.4,E16&lt;8)</formula>
    </cfRule>
  </conditionalFormatting>
  <conditionalFormatting sqref="E17">
    <cfRule type="expression" priority="205" dxfId="0">
      <formula>AND(COUNT(C17:G17)=5,E17=8)</formula>
    </cfRule>
    <cfRule type="expression" priority="206" dxfId="1">
      <formula>AND(COUNT(C17:G17)=5,E17&lt;8*0.4)</formula>
    </cfRule>
    <cfRule type="expression" priority="207" dxfId="2">
      <formula>AND(COUNT(C17:G17)=5,E17&gt;=8*0.4,E17&lt;8)</formula>
    </cfRule>
  </conditionalFormatting>
  <conditionalFormatting sqref="E18">
    <cfRule type="expression" priority="208" dxfId="0">
      <formula>AND(COUNT(C18:G18)=5,E18=8)</formula>
    </cfRule>
    <cfRule type="expression" priority="209" dxfId="1">
      <formula>AND(COUNT(C18:G18)=5,E18&lt;8*0.4)</formula>
    </cfRule>
    <cfRule type="expression" priority="210" dxfId="2">
      <formula>AND(COUNT(C18:G18)=5,E18&gt;=8*0.4,E18&lt;8)</formula>
    </cfRule>
  </conditionalFormatting>
  <conditionalFormatting sqref="E19">
    <cfRule type="expression" priority="211" dxfId="0">
      <formula>AND(COUNT(C19:G19)=5,E19=8)</formula>
    </cfRule>
    <cfRule type="expression" priority="212" dxfId="1">
      <formula>AND(COUNT(C19:G19)=5,E19&lt;8*0.4)</formula>
    </cfRule>
    <cfRule type="expression" priority="213" dxfId="2">
      <formula>AND(COUNT(C19:G19)=5,E19&gt;=8*0.4,E19&lt;8)</formula>
    </cfRule>
  </conditionalFormatting>
  <conditionalFormatting sqref="E20">
    <cfRule type="expression" priority="214" dxfId="0">
      <formula>AND(COUNT(C20:G20)=5,E20=8)</formula>
    </cfRule>
    <cfRule type="expression" priority="215" dxfId="1">
      <formula>AND(COUNT(C20:G20)=5,E20&lt;8*0.4)</formula>
    </cfRule>
    <cfRule type="expression" priority="216" dxfId="2">
      <formula>AND(COUNT(C20:G20)=5,E20&gt;=8*0.4,E20&lt;8)</formula>
    </cfRule>
  </conditionalFormatting>
  <conditionalFormatting sqref="E21">
    <cfRule type="expression" priority="217" dxfId="0">
      <formula>AND(COUNT(C21:G21)=5,E21=8)</formula>
    </cfRule>
    <cfRule type="expression" priority="218" dxfId="1">
      <formula>AND(COUNT(C21:G21)=5,E21&lt;8*0.4)</formula>
    </cfRule>
    <cfRule type="expression" priority="219" dxfId="2">
      <formula>AND(COUNT(C21:G21)=5,E21&gt;=8*0.4,E21&lt;8)</formula>
    </cfRule>
  </conditionalFormatting>
  <conditionalFormatting sqref="E22">
    <cfRule type="expression" priority="220" dxfId="0">
      <formula>AND(COUNT(C22:G22)=5,E22=8)</formula>
    </cfRule>
    <cfRule type="expression" priority="221" dxfId="1">
      <formula>AND(COUNT(C22:G22)=5,E22&lt;8*0.4)</formula>
    </cfRule>
    <cfRule type="expression" priority="222" dxfId="2">
      <formula>AND(COUNT(C22:G22)=5,E22&gt;=8*0.4,E22&lt;8)</formula>
    </cfRule>
  </conditionalFormatting>
  <conditionalFormatting sqref="E23">
    <cfRule type="expression" priority="223" dxfId="0">
      <formula>AND(COUNT(C23:G23)=5,E23=8)</formula>
    </cfRule>
    <cfRule type="expression" priority="224" dxfId="1">
      <formula>AND(COUNT(C23:G23)=5,E23&lt;8*0.4)</formula>
    </cfRule>
    <cfRule type="expression" priority="225" dxfId="2">
      <formula>AND(COUNT(C23:G23)=5,E23&gt;=8*0.4,E23&lt;8)</formula>
    </cfRule>
  </conditionalFormatting>
  <conditionalFormatting sqref="E24">
    <cfRule type="expression" priority="226" dxfId="0">
      <formula>AND(COUNT(C24:G24)=5,E24=8)</formula>
    </cfRule>
    <cfRule type="expression" priority="227" dxfId="1">
      <formula>AND(COUNT(C24:G24)=5,E24&lt;8*0.4)</formula>
    </cfRule>
    <cfRule type="expression" priority="228" dxfId="2">
      <formula>AND(COUNT(C24:G24)=5,E24&gt;=8*0.4,E24&lt;8)</formula>
    </cfRule>
  </conditionalFormatting>
  <conditionalFormatting sqref="E25">
    <cfRule type="expression" priority="229" dxfId="0">
      <formula>AND(COUNT(C25:G25)=5,E25=8)</formula>
    </cfRule>
    <cfRule type="expression" priority="230" dxfId="1">
      <formula>AND(COUNT(C25:G25)=5,E25&lt;8*0.4)</formula>
    </cfRule>
    <cfRule type="expression" priority="231" dxfId="2">
      <formula>AND(COUNT(C25:G25)=5,E25&gt;=8*0.4,E25&lt;8)</formula>
    </cfRule>
  </conditionalFormatting>
  <conditionalFormatting sqref="E26">
    <cfRule type="expression" priority="232" dxfId="0">
      <formula>AND(COUNT(C26:G26)=5,E26=8)</formula>
    </cfRule>
    <cfRule type="expression" priority="233" dxfId="1">
      <formula>AND(COUNT(C26:G26)=5,E26&lt;8*0.4)</formula>
    </cfRule>
    <cfRule type="expression" priority="234" dxfId="2">
      <formula>AND(COUNT(C26:G26)=5,E26&gt;=8*0.4,E26&lt;8)</formula>
    </cfRule>
  </conditionalFormatting>
  <conditionalFormatting sqref="E27">
    <cfRule type="expression" priority="235" dxfId="0">
      <formula>AND(COUNT(C27:G27)=5,E27=8)</formula>
    </cfRule>
    <cfRule type="expression" priority="236" dxfId="1">
      <formula>AND(COUNT(C27:G27)=5,E27&lt;8*0.4)</formula>
    </cfRule>
    <cfRule type="expression" priority="237" dxfId="2">
      <formula>AND(COUNT(C27:G27)=5,E27&gt;=8*0.4,E27&lt;8)</formula>
    </cfRule>
  </conditionalFormatting>
  <conditionalFormatting sqref="E28">
    <cfRule type="expression" priority="238" dxfId="0">
      <formula>AND(COUNT(C28:G28)=5,E28=8)</formula>
    </cfRule>
    <cfRule type="expression" priority="239" dxfId="1">
      <formula>AND(COUNT(C28:G28)=5,E28&lt;8*0.4)</formula>
    </cfRule>
    <cfRule type="expression" priority="240" dxfId="2">
      <formula>AND(COUNT(C28:G28)=5,E28&gt;=8*0.4,E28&lt;8)</formula>
    </cfRule>
  </conditionalFormatting>
  <conditionalFormatting sqref="E29">
    <cfRule type="expression" priority="241" dxfId="0">
      <formula>AND(COUNT(C29:G29)=5,E29=8)</formula>
    </cfRule>
    <cfRule type="expression" priority="242" dxfId="1">
      <formula>AND(COUNT(C29:G29)=5,E29&lt;8*0.4)</formula>
    </cfRule>
    <cfRule type="expression" priority="243" dxfId="2">
      <formula>AND(COUNT(C29:G29)=5,E29&gt;=8*0.4,E29&lt;8)</formula>
    </cfRule>
  </conditionalFormatting>
  <conditionalFormatting sqref="E30">
    <cfRule type="expression" priority="244" dxfId="0">
      <formula>AND(COUNT(C30:G30)=5,E30=8)</formula>
    </cfRule>
    <cfRule type="expression" priority="245" dxfId="1">
      <formula>AND(COUNT(C30:G30)=5,E30&lt;8*0.4)</formula>
    </cfRule>
    <cfRule type="expression" priority="246" dxfId="2">
      <formula>AND(COUNT(C30:G30)=5,E30&gt;=8*0.4,E30&lt;8)</formula>
    </cfRule>
  </conditionalFormatting>
  <conditionalFormatting sqref="E31">
    <cfRule type="expression" priority="247" dxfId="0">
      <formula>AND(COUNT(C31:G31)=5,E31=8)</formula>
    </cfRule>
    <cfRule type="expression" priority="248" dxfId="1">
      <formula>AND(COUNT(C31:G31)=5,E31&lt;8*0.4)</formula>
    </cfRule>
    <cfRule type="expression" priority="249" dxfId="2">
      <formula>AND(COUNT(C31:G31)=5,E31&gt;=8*0.4,E31&lt;8)</formula>
    </cfRule>
  </conditionalFormatting>
  <conditionalFormatting sqref="E32">
    <cfRule type="expression" priority="250" dxfId="0">
      <formula>AND(COUNT(C32:G32)=5,E32=8)</formula>
    </cfRule>
    <cfRule type="expression" priority="251" dxfId="1">
      <formula>AND(COUNT(C32:G32)=5,E32&lt;8*0.4)</formula>
    </cfRule>
    <cfRule type="expression" priority="252" dxfId="2">
      <formula>AND(COUNT(C32:G32)=5,E32&gt;=8*0.4,E32&lt;8)</formula>
    </cfRule>
  </conditionalFormatting>
  <conditionalFormatting sqref="E33">
    <cfRule type="expression" priority="253" dxfId="0">
      <formula>AND(COUNT(C33:G33)=5,E33=8)</formula>
    </cfRule>
    <cfRule type="expression" priority="254" dxfId="1">
      <formula>AND(COUNT(C33:G33)=5,E33&lt;8*0.4)</formula>
    </cfRule>
    <cfRule type="expression" priority="255" dxfId="2">
      <formula>AND(COUNT(C33:G33)=5,E33&gt;=8*0.4,E33&lt;8)</formula>
    </cfRule>
  </conditionalFormatting>
  <conditionalFormatting sqref="E34">
    <cfRule type="expression" priority="256" dxfId="0">
      <formula>AND(COUNT(C34:G34)=5,E34=8)</formula>
    </cfRule>
    <cfRule type="expression" priority="257" dxfId="1">
      <formula>AND(COUNT(C34:G34)=5,E34&lt;8*0.4)</formula>
    </cfRule>
    <cfRule type="expression" priority="258" dxfId="2">
      <formula>AND(COUNT(C34:G34)=5,E34&gt;=8*0.4,E34&lt;8)</formula>
    </cfRule>
  </conditionalFormatting>
  <conditionalFormatting sqref="E35">
    <cfRule type="expression" priority="259" dxfId="0">
      <formula>AND(COUNT(C35:G35)=5,E35=8)</formula>
    </cfRule>
    <cfRule type="expression" priority="260" dxfId="1">
      <formula>AND(COUNT(C35:G35)=5,E35&lt;8*0.4)</formula>
    </cfRule>
    <cfRule type="expression" priority="261" dxfId="2">
      <formula>AND(COUNT(C35:G35)=5,E35&gt;=8*0.4,E35&lt;8)</formula>
    </cfRule>
  </conditionalFormatting>
  <conditionalFormatting sqref="E36">
    <cfRule type="expression" priority="262" dxfId="0">
      <formula>AND(COUNT(C36:G36)=5,E36=8)</formula>
    </cfRule>
    <cfRule type="expression" priority="263" dxfId="1">
      <formula>AND(COUNT(C36:G36)=5,E36&lt;8*0.4)</formula>
    </cfRule>
    <cfRule type="expression" priority="264" dxfId="2">
      <formula>AND(COUNT(C36:G36)=5,E36&gt;=8*0.4,E36&lt;8)</formula>
    </cfRule>
  </conditionalFormatting>
  <conditionalFormatting sqref="E37">
    <cfRule type="expression" priority="265" dxfId="0">
      <formula>AND(COUNT(C37:G37)=5,E37=8)</formula>
    </cfRule>
    <cfRule type="expression" priority="266" dxfId="1">
      <formula>AND(COUNT(C37:G37)=5,E37&lt;8*0.4)</formula>
    </cfRule>
    <cfRule type="expression" priority="267" dxfId="2">
      <formula>AND(COUNT(C37:G37)=5,E37&gt;=8*0.4,E37&lt;8)</formula>
    </cfRule>
  </conditionalFormatting>
  <conditionalFormatting sqref="E38">
    <cfRule type="expression" priority="268" dxfId="0">
      <formula>AND(COUNT(C38:G38)=5,E38=8)</formula>
    </cfRule>
    <cfRule type="expression" priority="269" dxfId="1">
      <formula>AND(COUNT(C38:G38)=5,E38&lt;8*0.4)</formula>
    </cfRule>
    <cfRule type="expression" priority="270" dxfId="2">
      <formula>AND(COUNT(C38:G38)=5,E38&gt;=8*0.4,E38&lt;8)</formula>
    </cfRule>
  </conditionalFormatting>
  <conditionalFormatting sqref="E39">
    <cfRule type="expression" priority="271" dxfId="0">
      <formula>AND(COUNT(C39:G39)=5,E39=8)</formula>
    </cfRule>
    <cfRule type="expression" priority="272" dxfId="1">
      <formula>AND(COUNT(C39:G39)=5,E39&lt;8*0.4)</formula>
    </cfRule>
    <cfRule type="expression" priority="273" dxfId="2">
      <formula>AND(COUNT(C39:G39)=5,E39&gt;=8*0.4,E39&lt;8)</formula>
    </cfRule>
  </conditionalFormatting>
  <conditionalFormatting sqref="E40">
    <cfRule type="expression" priority="274" dxfId="0">
      <formula>AND(COUNT(C40:G40)=5,E40=8)</formula>
    </cfRule>
    <cfRule type="expression" priority="275" dxfId="1">
      <formula>AND(COUNT(C40:G40)=5,E40&lt;8*0.4)</formula>
    </cfRule>
    <cfRule type="expression" priority="276" dxfId="2">
      <formula>AND(COUNT(C40:G40)=5,E40&gt;=8*0.4,E40&lt;8)</formula>
    </cfRule>
  </conditionalFormatting>
  <conditionalFormatting sqref="E41">
    <cfRule type="expression" priority="277" dxfId="0">
      <formula>AND(COUNT(C41:G41)=5,E41=8)</formula>
    </cfRule>
    <cfRule type="expression" priority="278" dxfId="1">
      <formula>AND(COUNT(C41:G41)=5,E41&lt;8*0.4)</formula>
    </cfRule>
    <cfRule type="expression" priority="279" dxfId="2">
      <formula>AND(COUNT(C41:G41)=5,E41&gt;=8*0.4,E41&lt;8)</formula>
    </cfRule>
  </conditionalFormatting>
  <conditionalFormatting sqref="F11">
    <cfRule type="expression" priority="280" dxfId="0">
      <formula>AND(COUNT(C11:G11)=5,F11=7)</formula>
    </cfRule>
    <cfRule type="expression" priority="281" dxfId="1">
      <formula>AND(COUNT(C11:G11)=5,F11&lt;7*0.4)</formula>
    </cfRule>
    <cfRule type="expression" priority="282" dxfId="2">
      <formula>AND(COUNT(C11:G11)=5,F11&gt;=7*0.4,F11&lt;7)</formula>
    </cfRule>
  </conditionalFormatting>
  <conditionalFormatting sqref="F12">
    <cfRule type="expression" priority="283" dxfId="0">
      <formula>AND(COUNT(C12:G12)=5,F12=7)</formula>
    </cfRule>
    <cfRule type="expression" priority="284" dxfId="1">
      <formula>AND(COUNT(C12:G12)=5,F12&lt;7*0.4)</formula>
    </cfRule>
    <cfRule type="expression" priority="285" dxfId="2">
      <formula>AND(COUNT(C12:G12)=5,F12&gt;=7*0.4,F12&lt;7)</formula>
    </cfRule>
  </conditionalFormatting>
  <conditionalFormatting sqref="F13">
    <cfRule type="expression" priority="286" dxfId="0">
      <formula>AND(COUNT(C13:G13)=5,F13=7)</formula>
    </cfRule>
    <cfRule type="expression" priority="287" dxfId="1">
      <formula>AND(COUNT(C13:G13)=5,F13&lt;7*0.4)</formula>
    </cfRule>
    <cfRule type="expression" priority="288" dxfId="2">
      <formula>AND(COUNT(C13:G13)=5,F13&gt;=7*0.4,F13&lt;7)</formula>
    </cfRule>
  </conditionalFormatting>
  <conditionalFormatting sqref="F14">
    <cfRule type="expression" priority="289" dxfId="0">
      <formula>AND(COUNT(C14:G14)=5,F14=7)</formula>
    </cfRule>
    <cfRule type="expression" priority="290" dxfId="1">
      <formula>AND(COUNT(C14:G14)=5,F14&lt;7*0.4)</formula>
    </cfRule>
    <cfRule type="expression" priority="291" dxfId="2">
      <formula>AND(COUNT(C14:G14)=5,F14&gt;=7*0.4,F14&lt;7)</formula>
    </cfRule>
  </conditionalFormatting>
  <conditionalFormatting sqref="F15">
    <cfRule type="expression" priority="292" dxfId="0">
      <formula>AND(COUNT(C15:G15)=5,F15=7)</formula>
    </cfRule>
    <cfRule type="expression" priority="293" dxfId="1">
      <formula>AND(COUNT(C15:G15)=5,F15&lt;7*0.4)</formula>
    </cfRule>
    <cfRule type="expression" priority="294" dxfId="2">
      <formula>AND(COUNT(C15:G15)=5,F15&gt;=7*0.4,F15&lt;7)</formula>
    </cfRule>
  </conditionalFormatting>
  <conditionalFormatting sqref="F16">
    <cfRule type="expression" priority="295" dxfId="0">
      <formula>AND(COUNT(C16:G16)=5,F16=7)</formula>
    </cfRule>
    <cfRule type="expression" priority="296" dxfId="1">
      <formula>AND(COUNT(C16:G16)=5,F16&lt;7*0.4)</formula>
    </cfRule>
    <cfRule type="expression" priority="297" dxfId="2">
      <formula>AND(COUNT(C16:G16)=5,F16&gt;=7*0.4,F16&lt;7)</formula>
    </cfRule>
  </conditionalFormatting>
  <conditionalFormatting sqref="F17">
    <cfRule type="expression" priority="298" dxfId="0">
      <formula>AND(COUNT(C17:G17)=5,F17=7)</formula>
    </cfRule>
    <cfRule type="expression" priority="299" dxfId="1">
      <formula>AND(COUNT(C17:G17)=5,F17&lt;7*0.4)</formula>
    </cfRule>
    <cfRule type="expression" priority="300" dxfId="2">
      <formula>AND(COUNT(C17:G17)=5,F17&gt;=7*0.4,F17&lt;7)</formula>
    </cfRule>
  </conditionalFormatting>
  <conditionalFormatting sqref="F18">
    <cfRule type="expression" priority="301" dxfId="0">
      <formula>AND(COUNT(C18:G18)=5,F18=7)</formula>
    </cfRule>
    <cfRule type="expression" priority="302" dxfId="1">
      <formula>AND(COUNT(C18:G18)=5,F18&lt;7*0.4)</formula>
    </cfRule>
    <cfRule type="expression" priority="303" dxfId="2">
      <formula>AND(COUNT(C18:G18)=5,F18&gt;=7*0.4,F18&lt;7)</formula>
    </cfRule>
  </conditionalFormatting>
  <conditionalFormatting sqref="F19">
    <cfRule type="expression" priority="304" dxfId="0">
      <formula>AND(COUNT(C19:G19)=5,F19=7)</formula>
    </cfRule>
    <cfRule type="expression" priority="305" dxfId="1">
      <formula>AND(COUNT(C19:G19)=5,F19&lt;7*0.4)</formula>
    </cfRule>
    <cfRule type="expression" priority="306" dxfId="2">
      <formula>AND(COUNT(C19:G19)=5,F19&gt;=7*0.4,F19&lt;7)</formula>
    </cfRule>
  </conditionalFormatting>
  <conditionalFormatting sqref="F20">
    <cfRule type="expression" priority="307" dxfId="0">
      <formula>AND(COUNT(C20:G20)=5,F20=7)</formula>
    </cfRule>
    <cfRule type="expression" priority="308" dxfId="1">
      <formula>AND(COUNT(C20:G20)=5,F20&lt;7*0.4)</formula>
    </cfRule>
    <cfRule type="expression" priority="309" dxfId="2">
      <formula>AND(COUNT(C20:G20)=5,F20&gt;=7*0.4,F20&lt;7)</formula>
    </cfRule>
  </conditionalFormatting>
  <conditionalFormatting sqref="F21">
    <cfRule type="expression" priority="310" dxfId="0">
      <formula>AND(COUNT(C21:G21)=5,F21=7)</formula>
    </cfRule>
    <cfRule type="expression" priority="311" dxfId="1">
      <formula>AND(COUNT(C21:G21)=5,F21&lt;7*0.4)</formula>
    </cfRule>
    <cfRule type="expression" priority="312" dxfId="2">
      <formula>AND(COUNT(C21:G21)=5,F21&gt;=7*0.4,F21&lt;7)</formula>
    </cfRule>
  </conditionalFormatting>
  <conditionalFormatting sqref="F22">
    <cfRule type="expression" priority="313" dxfId="0">
      <formula>AND(COUNT(C22:G22)=5,F22=7)</formula>
    </cfRule>
    <cfRule type="expression" priority="314" dxfId="1">
      <formula>AND(COUNT(C22:G22)=5,F22&lt;7*0.4)</formula>
    </cfRule>
    <cfRule type="expression" priority="315" dxfId="2">
      <formula>AND(COUNT(C22:G22)=5,F22&gt;=7*0.4,F22&lt;7)</formula>
    </cfRule>
  </conditionalFormatting>
  <conditionalFormatting sqref="F23">
    <cfRule type="expression" priority="316" dxfId="0">
      <formula>AND(COUNT(C23:G23)=5,F23=7)</formula>
    </cfRule>
    <cfRule type="expression" priority="317" dxfId="1">
      <formula>AND(COUNT(C23:G23)=5,F23&lt;7*0.4)</formula>
    </cfRule>
    <cfRule type="expression" priority="318" dxfId="2">
      <formula>AND(COUNT(C23:G23)=5,F23&gt;=7*0.4,F23&lt;7)</formula>
    </cfRule>
  </conditionalFormatting>
  <conditionalFormatting sqref="F24">
    <cfRule type="expression" priority="319" dxfId="0">
      <formula>AND(COUNT(C24:G24)=5,F24=7)</formula>
    </cfRule>
    <cfRule type="expression" priority="320" dxfId="1">
      <formula>AND(COUNT(C24:G24)=5,F24&lt;7*0.4)</formula>
    </cfRule>
    <cfRule type="expression" priority="321" dxfId="2">
      <formula>AND(COUNT(C24:G24)=5,F24&gt;=7*0.4,F24&lt;7)</formula>
    </cfRule>
  </conditionalFormatting>
  <conditionalFormatting sqref="F25">
    <cfRule type="expression" priority="322" dxfId="0">
      <formula>AND(COUNT(C25:G25)=5,F25=7)</formula>
    </cfRule>
    <cfRule type="expression" priority="323" dxfId="1">
      <formula>AND(COUNT(C25:G25)=5,F25&lt;7*0.4)</formula>
    </cfRule>
    <cfRule type="expression" priority="324" dxfId="2">
      <formula>AND(COUNT(C25:G25)=5,F25&gt;=7*0.4,F25&lt;7)</formula>
    </cfRule>
  </conditionalFormatting>
  <conditionalFormatting sqref="F26">
    <cfRule type="expression" priority="325" dxfId="0">
      <formula>AND(COUNT(C26:G26)=5,F26=7)</formula>
    </cfRule>
    <cfRule type="expression" priority="326" dxfId="1">
      <formula>AND(COUNT(C26:G26)=5,F26&lt;7*0.4)</formula>
    </cfRule>
    <cfRule type="expression" priority="327" dxfId="2">
      <formula>AND(COUNT(C26:G26)=5,F26&gt;=7*0.4,F26&lt;7)</formula>
    </cfRule>
  </conditionalFormatting>
  <conditionalFormatting sqref="F27">
    <cfRule type="expression" priority="328" dxfId="0">
      <formula>AND(COUNT(C27:G27)=5,F27=7)</formula>
    </cfRule>
    <cfRule type="expression" priority="329" dxfId="1">
      <formula>AND(COUNT(C27:G27)=5,F27&lt;7*0.4)</formula>
    </cfRule>
    <cfRule type="expression" priority="330" dxfId="2">
      <formula>AND(COUNT(C27:G27)=5,F27&gt;=7*0.4,F27&lt;7)</formula>
    </cfRule>
  </conditionalFormatting>
  <conditionalFormatting sqref="F28">
    <cfRule type="expression" priority="331" dxfId="0">
      <formula>AND(COUNT(C28:G28)=5,F28=7)</formula>
    </cfRule>
    <cfRule type="expression" priority="332" dxfId="1">
      <formula>AND(COUNT(C28:G28)=5,F28&lt;7*0.4)</formula>
    </cfRule>
    <cfRule type="expression" priority="333" dxfId="2">
      <formula>AND(COUNT(C28:G28)=5,F28&gt;=7*0.4,F28&lt;7)</formula>
    </cfRule>
  </conditionalFormatting>
  <conditionalFormatting sqref="F29">
    <cfRule type="expression" priority="334" dxfId="0">
      <formula>AND(COUNT(C29:G29)=5,F29=7)</formula>
    </cfRule>
    <cfRule type="expression" priority="335" dxfId="1">
      <formula>AND(COUNT(C29:G29)=5,F29&lt;7*0.4)</formula>
    </cfRule>
    <cfRule type="expression" priority="336" dxfId="2">
      <formula>AND(COUNT(C29:G29)=5,F29&gt;=7*0.4,F29&lt;7)</formula>
    </cfRule>
  </conditionalFormatting>
  <conditionalFormatting sqref="F30">
    <cfRule type="expression" priority="337" dxfId="0">
      <formula>AND(COUNT(C30:G30)=5,F30=7)</formula>
    </cfRule>
    <cfRule type="expression" priority="338" dxfId="1">
      <formula>AND(COUNT(C30:G30)=5,F30&lt;7*0.4)</formula>
    </cfRule>
    <cfRule type="expression" priority="339" dxfId="2">
      <formula>AND(COUNT(C30:G30)=5,F30&gt;=7*0.4,F30&lt;7)</formula>
    </cfRule>
  </conditionalFormatting>
  <conditionalFormatting sqref="F31">
    <cfRule type="expression" priority="340" dxfId="0">
      <formula>AND(COUNT(C31:G31)=5,F31=7)</formula>
    </cfRule>
    <cfRule type="expression" priority="341" dxfId="1">
      <formula>AND(COUNT(C31:G31)=5,F31&lt;7*0.4)</formula>
    </cfRule>
    <cfRule type="expression" priority="342" dxfId="2">
      <formula>AND(COUNT(C31:G31)=5,F31&gt;=7*0.4,F31&lt;7)</formula>
    </cfRule>
  </conditionalFormatting>
  <conditionalFormatting sqref="F32">
    <cfRule type="expression" priority="343" dxfId="0">
      <formula>AND(COUNT(C32:G32)=5,F32=7)</formula>
    </cfRule>
    <cfRule type="expression" priority="344" dxfId="1">
      <formula>AND(COUNT(C32:G32)=5,F32&lt;7*0.4)</formula>
    </cfRule>
    <cfRule type="expression" priority="345" dxfId="2">
      <formula>AND(COUNT(C32:G32)=5,F32&gt;=7*0.4,F32&lt;7)</formula>
    </cfRule>
  </conditionalFormatting>
  <conditionalFormatting sqref="F33">
    <cfRule type="expression" priority="346" dxfId="0">
      <formula>AND(COUNT(C33:G33)=5,F33=7)</formula>
    </cfRule>
    <cfRule type="expression" priority="347" dxfId="1">
      <formula>AND(COUNT(C33:G33)=5,F33&lt;7*0.4)</formula>
    </cfRule>
    <cfRule type="expression" priority="348" dxfId="2">
      <formula>AND(COUNT(C33:G33)=5,F33&gt;=7*0.4,F33&lt;7)</formula>
    </cfRule>
  </conditionalFormatting>
  <conditionalFormatting sqref="F34">
    <cfRule type="expression" priority="349" dxfId="0">
      <formula>AND(COUNT(C34:G34)=5,F34=7)</formula>
    </cfRule>
    <cfRule type="expression" priority="350" dxfId="1">
      <formula>AND(COUNT(C34:G34)=5,F34&lt;7*0.4)</formula>
    </cfRule>
    <cfRule type="expression" priority="351" dxfId="2">
      <formula>AND(COUNT(C34:G34)=5,F34&gt;=7*0.4,F34&lt;7)</formula>
    </cfRule>
  </conditionalFormatting>
  <conditionalFormatting sqref="F35">
    <cfRule type="expression" priority="352" dxfId="0">
      <formula>AND(COUNT(C35:G35)=5,F35=7)</formula>
    </cfRule>
    <cfRule type="expression" priority="353" dxfId="1">
      <formula>AND(COUNT(C35:G35)=5,F35&lt;7*0.4)</formula>
    </cfRule>
    <cfRule type="expression" priority="354" dxfId="2">
      <formula>AND(COUNT(C35:G35)=5,F35&gt;=7*0.4,F35&lt;7)</formula>
    </cfRule>
  </conditionalFormatting>
  <conditionalFormatting sqref="F36">
    <cfRule type="expression" priority="355" dxfId="0">
      <formula>AND(COUNT(C36:G36)=5,F36=7)</formula>
    </cfRule>
    <cfRule type="expression" priority="356" dxfId="1">
      <formula>AND(COUNT(C36:G36)=5,F36&lt;7*0.4)</formula>
    </cfRule>
    <cfRule type="expression" priority="357" dxfId="2">
      <formula>AND(COUNT(C36:G36)=5,F36&gt;=7*0.4,F36&lt;7)</formula>
    </cfRule>
  </conditionalFormatting>
  <conditionalFormatting sqref="F37">
    <cfRule type="expression" priority="358" dxfId="0">
      <formula>AND(COUNT(C37:G37)=5,F37=7)</formula>
    </cfRule>
    <cfRule type="expression" priority="359" dxfId="1">
      <formula>AND(COUNT(C37:G37)=5,F37&lt;7*0.4)</formula>
    </cfRule>
    <cfRule type="expression" priority="360" dxfId="2">
      <formula>AND(COUNT(C37:G37)=5,F37&gt;=7*0.4,F37&lt;7)</formula>
    </cfRule>
  </conditionalFormatting>
  <conditionalFormatting sqref="F38">
    <cfRule type="expression" priority="361" dxfId="0">
      <formula>AND(COUNT(C38:G38)=5,F38=7)</formula>
    </cfRule>
    <cfRule type="expression" priority="362" dxfId="1">
      <formula>AND(COUNT(C38:G38)=5,F38&lt;7*0.4)</formula>
    </cfRule>
    <cfRule type="expression" priority="363" dxfId="2">
      <formula>AND(COUNT(C38:G38)=5,F38&gt;=7*0.4,F38&lt;7)</formula>
    </cfRule>
  </conditionalFormatting>
  <conditionalFormatting sqref="F39">
    <cfRule type="expression" priority="364" dxfId="0">
      <formula>AND(COUNT(C39:G39)=5,F39=7)</formula>
    </cfRule>
    <cfRule type="expression" priority="365" dxfId="1">
      <formula>AND(COUNT(C39:G39)=5,F39&lt;7*0.4)</formula>
    </cfRule>
    <cfRule type="expression" priority="366" dxfId="2">
      <formula>AND(COUNT(C39:G39)=5,F39&gt;=7*0.4,F39&lt;7)</formula>
    </cfRule>
  </conditionalFormatting>
  <conditionalFormatting sqref="F40">
    <cfRule type="expression" priority="367" dxfId="0">
      <formula>AND(COUNT(C40:G40)=5,F40=7)</formula>
    </cfRule>
    <cfRule type="expression" priority="368" dxfId="1">
      <formula>AND(COUNT(C40:G40)=5,F40&lt;7*0.4)</formula>
    </cfRule>
    <cfRule type="expression" priority="369" dxfId="2">
      <formula>AND(COUNT(C40:G40)=5,F40&gt;=7*0.4,F40&lt;7)</formula>
    </cfRule>
  </conditionalFormatting>
  <conditionalFormatting sqref="F41">
    <cfRule type="expression" priority="370" dxfId="0">
      <formula>AND(COUNT(C41:G41)=5,F41=7)</formula>
    </cfRule>
    <cfRule type="expression" priority="371" dxfId="1">
      <formula>AND(COUNT(C41:G41)=5,F41&lt;7*0.4)</formula>
    </cfRule>
    <cfRule type="expression" priority="372" dxfId="2">
      <formula>AND(COUNT(C41:G41)=5,F41&gt;=7*0.4,F41&lt;7)</formula>
    </cfRule>
  </conditionalFormatting>
  <conditionalFormatting sqref="G11">
    <cfRule type="expression" priority="373" dxfId="0">
      <formula>AND(COUNT(C11:G11)=5,G11=10)</formula>
    </cfRule>
    <cfRule type="expression" priority="374" dxfId="1">
      <formula>AND(COUNT(C11:G11)=5,G11&lt;10*0.4)</formula>
    </cfRule>
    <cfRule type="expression" priority="375" dxfId="2">
      <formula>AND(COUNT(C11:G11)=5,G11&gt;=10*0.4,G11&lt;10)</formula>
    </cfRule>
  </conditionalFormatting>
  <conditionalFormatting sqref="G12">
    <cfRule type="expression" priority="376" dxfId="0">
      <formula>AND(COUNT(C12:G12)=5,G12=10)</formula>
    </cfRule>
    <cfRule type="expression" priority="377" dxfId="1">
      <formula>AND(COUNT(C12:G12)=5,G12&lt;10*0.4)</formula>
    </cfRule>
    <cfRule type="expression" priority="378" dxfId="2">
      <formula>AND(COUNT(C12:G12)=5,G12&gt;=10*0.4,G12&lt;10)</formula>
    </cfRule>
  </conditionalFormatting>
  <conditionalFormatting sqref="G13">
    <cfRule type="expression" priority="379" dxfId="0">
      <formula>AND(COUNT(C13:G13)=5,G13=10)</formula>
    </cfRule>
    <cfRule type="expression" priority="380" dxfId="1">
      <formula>AND(COUNT(C13:G13)=5,G13&lt;10*0.4)</formula>
    </cfRule>
    <cfRule type="expression" priority="381" dxfId="2">
      <formula>AND(COUNT(C13:G13)=5,G13&gt;=10*0.4,G13&lt;10)</formula>
    </cfRule>
  </conditionalFormatting>
  <conditionalFormatting sqref="G14">
    <cfRule type="expression" priority="382" dxfId="0">
      <formula>AND(COUNT(C14:G14)=5,G14=10)</formula>
    </cfRule>
    <cfRule type="expression" priority="383" dxfId="1">
      <formula>AND(COUNT(C14:G14)=5,G14&lt;10*0.4)</formula>
    </cfRule>
    <cfRule type="expression" priority="384" dxfId="2">
      <formula>AND(COUNT(C14:G14)=5,G14&gt;=10*0.4,G14&lt;10)</formula>
    </cfRule>
  </conditionalFormatting>
  <conditionalFormatting sqref="G15">
    <cfRule type="expression" priority="385" dxfId="0">
      <formula>AND(COUNT(C15:G15)=5,G15=10)</formula>
    </cfRule>
    <cfRule type="expression" priority="386" dxfId="1">
      <formula>AND(COUNT(C15:G15)=5,G15&lt;10*0.4)</formula>
    </cfRule>
    <cfRule type="expression" priority="387" dxfId="2">
      <formula>AND(COUNT(C15:G15)=5,G15&gt;=10*0.4,G15&lt;10)</formula>
    </cfRule>
  </conditionalFormatting>
  <conditionalFormatting sqref="G16">
    <cfRule type="expression" priority="388" dxfId="0">
      <formula>AND(COUNT(C16:G16)=5,G16=10)</formula>
    </cfRule>
    <cfRule type="expression" priority="389" dxfId="1">
      <formula>AND(COUNT(C16:G16)=5,G16&lt;10*0.4)</formula>
    </cfRule>
    <cfRule type="expression" priority="390" dxfId="2">
      <formula>AND(COUNT(C16:G16)=5,G16&gt;=10*0.4,G16&lt;10)</formula>
    </cfRule>
  </conditionalFormatting>
  <conditionalFormatting sqref="G17">
    <cfRule type="expression" priority="391" dxfId="0">
      <formula>AND(COUNT(C17:G17)=5,G17=10)</formula>
    </cfRule>
    <cfRule type="expression" priority="392" dxfId="1">
      <formula>AND(COUNT(C17:G17)=5,G17&lt;10*0.4)</formula>
    </cfRule>
    <cfRule type="expression" priority="393" dxfId="2">
      <formula>AND(COUNT(C17:G17)=5,G17&gt;=10*0.4,G17&lt;10)</formula>
    </cfRule>
  </conditionalFormatting>
  <conditionalFormatting sqref="G18">
    <cfRule type="expression" priority="394" dxfId="0">
      <formula>AND(COUNT(C18:G18)=5,G18=10)</formula>
    </cfRule>
    <cfRule type="expression" priority="395" dxfId="1">
      <formula>AND(COUNT(C18:G18)=5,G18&lt;10*0.4)</formula>
    </cfRule>
    <cfRule type="expression" priority="396" dxfId="2">
      <formula>AND(COUNT(C18:G18)=5,G18&gt;=10*0.4,G18&lt;10)</formula>
    </cfRule>
  </conditionalFormatting>
  <conditionalFormatting sqref="G19">
    <cfRule type="expression" priority="397" dxfId="0">
      <formula>AND(COUNT(C19:G19)=5,G19=10)</formula>
    </cfRule>
    <cfRule type="expression" priority="398" dxfId="1">
      <formula>AND(COUNT(C19:G19)=5,G19&lt;10*0.4)</formula>
    </cfRule>
    <cfRule type="expression" priority="399" dxfId="2">
      <formula>AND(COUNT(C19:G19)=5,G19&gt;=10*0.4,G19&lt;10)</formula>
    </cfRule>
  </conditionalFormatting>
  <conditionalFormatting sqref="G20">
    <cfRule type="expression" priority="400" dxfId="0">
      <formula>AND(COUNT(C20:G20)=5,G20=10)</formula>
    </cfRule>
    <cfRule type="expression" priority="401" dxfId="1">
      <formula>AND(COUNT(C20:G20)=5,G20&lt;10*0.4)</formula>
    </cfRule>
    <cfRule type="expression" priority="402" dxfId="2">
      <formula>AND(COUNT(C20:G20)=5,G20&gt;=10*0.4,G20&lt;10)</formula>
    </cfRule>
  </conditionalFormatting>
  <conditionalFormatting sqref="G21">
    <cfRule type="expression" priority="403" dxfId="0">
      <formula>AND(COUNT(C21:G21)=5,G21=10)</formula>
    </cfRule>
    <cfRule type="expression" priority="404" dxfId="1">
      <formula>AND(COUNT(C21:G21)=5,G21&lt;10*0.4)</formula>
    </cfRule>
    <cfRule type="expression" priority="405" dxfId="2">
      <formula>AND(COUNT(C21:G21)=5,G21&gt;=10*0.4,G21&lt;10)</formula>
    </cfRule>
  </conditionalFormatting>
  <conditionalFormatting sqref="G22">
    <cfRule type="expression" priority="406" dxfId="0">
      <formula>AND(COUNT(C22:G22)=5,G22=10)</formula>
    </cfRule>
    <cfRule type="expression" priority="407" dxfId="1">
      <formula>AND(COUNT(C22:G22)=5,G22&lt;10*0.4)</formula>
    </cfRule>
    <cfRule type="expression" priority="408" dxfId="2">
      <formula>AND(COUNT(C22:G22)=5,G22&gt;=10*0.4,G22&lt;10)</formula>
    </cfRule>
  </conditionalFormatting>
  <conditionalFormatting sqref="G23">
    <cfRule type="expression" priority="409" dxfId="0">
      <formula>AND(COUNT(C23:G23)=5,G23=10)</formula>
    </cfRule>
    <cfRule type="expression" priority="410" dxfId="1">
      <formula>AND(COUNT(C23:G23)=5,G23&lt;10*0.4)</formula>
    </cfRule>
    <cfRule type="expression" priority="411" dxfId="2">
      <formula>AND(COUNT(C23:G23)=5,G23&gt;=10*0.4,G23&lt;10)</formula>
    </cfRule>
  </conditionalFormatting>
  <conditionalFormatting sqref="G24">
    <cfRule type="expression" priority="412" dxfId="0">
      <formula>AND(COUNT(C24:G24)=5,G24=10)</formula>
    </cfRule>
    <cfRule type="expression" priority="413" dxfId="1">
      <formula>AND(COUNT(C24:G24)=5,G24&lt;10*0.4)</formula>
    </cfRule>
    <cfRule type="expression" priority="414" dxfId="2">
      <formula>AND(COUNT(C24:G24)=5,G24&gt;=10*0.4,G24&lt;10)</formula>
    </cfRule>
  </conditionalFormatting>
  <conditionalFormatting sqref="G25">
    <cfRule type="expression" priority="415" dxfId="0">
      <formula>AND(COUNT(C25:G25)=5,G25=10)</formula>
    </cfRule>
    <cfRule type="expression" priority="416" dxfId="1">
      <formula>AND(COUNT(C25:G25)=5,G25&lt;10*0.4)</formula>
    </cfRule>
    <cfRule type="expression" priority="417" dxfId="2">
      <formula>AND(COUNT(C25:G25)=5,G25&gt;=10*0.4,G25&lt;10)</formula>
    </cfRule>
  </conditionalFormatting>
  <conditionalFormatting sqref="G26">
    <cfRule type="expression" priority="418" dxfId="0">
      <formula>AND(COUNT(C26:G26)=5,G26=10)</formula>
    </cfRule>
    <cfRule type="expression" priority="419" dxfId="1">
      <formula>AND(COUNT(C26:G26)=5,G26&lt;10*0.4)</formula>
    </cfRule>
    <cfRule type="expression" priority="420" dxfId="2">
      <formula>AND(COUNT(C26:G26)=5,G26&gt;=10*0.4,G26&lt;10)</formula>
    </cfRule>
  </conditionalFormatting>
  <conditionalFormatting sqref="G27">
    <cfRule type="expression" priority="421" dxfId="0">
      <formula>AND(COUNT(C27:G27)=5,G27=10)</formula>
    </cfRule>
    <cfRule type="expression" priority="422" dxfId="1">
      <formula>AND(COUNT(C27:G27)=5,G27&lt;10*0.4)</formula>
    </cfRule>
    <cfRule type="expression" priority="423" dxfId="2">
      <formula>AND(COUNT(C27:G27)=5,G27&gt;=10*0.4,G27&lt;10)</formula>
    </cfRule>
  </conditionalFormatting>
  <conditionalFormatting sqref="G28">
    <cfRule type="expression" priority="424" dxfId="0">
      <formula>AND(COUNT(C28:G28)=5,G28=10)</formula>
    </cfRule>
    <cfRule type="expression" priority="425" dxfId="1">
      <formula>AND(COUNT(C28:G28)=5,G28&lt;10*0.4)</formula>
    </cfRule>
    <cfRule type="expression" priority="426" dxfId="2">
      <formula>AND(COUNT(C28:G28)=5,G28&gt;=10*0.4,G28&lt;10)</formula>
    </cfRule>
  </conditionalFormatting>
  <conditionalFormatting sqref="G29">
    <cfRule type="expression" priority="427" dxfId="0">
      <formula>AND(COUNT(C29:G29)=5,G29=10)</formula>
    </cfRule>
    <cfRule type="expression" priority="428" dxfId="1">
      <formula>AND(COUNT(C29:G29)=5,G29&lt;10*0.4)</formula>
    </cfRule>
    <cfRule type="expression" priority="429" dxfId="2">
      <formula>AND(COUNT(C29:G29)=5,G29&gt;=10*0.4,G29&lt;10)</formula>
    </cfRule>
  </conditionalFormatting>
  <conditionalFormatting sqref="G30">
    <cfRule type="expression" priority="430" dxfId="0">
      <formula>AND(COUNT(C30:G30)=5,G30=10)</formula>
    </cfRule>
    <cfRule type="expression" priority="431" dxfId="1">
      <formula>AND(COUNT(C30:G30)=5,G30&lt;10*0.4)</formula>
    </cfRule>
    <cfRule type="expression" priority="432" dxfId="2">
      <formula>AND(COUNT(C30:G30)=5,G30&gt;=10*0.4,G30&lt;10)</formula>
    </cfRule>
  </conditionalFormatting>
  <conditionalFormatting sqref="G31">
    <cfRule type="expression" priority="433" dxfId="0">
      <formula>AND(COUNT(C31:G31)=5,G31=10)</formula>
    </cfRule>
    <cfRule type="expression" priority="434" dxfId="1">
      <formula>AND(COUNT(C31:G31)=5,G31&lt;10*0.4)</formula>
    </cfRule>
    <cfRule type="expression" priority="435" dxfId="2">
      <formula>AND(COUNT(C31:G31)=5,G31&gt;=10*0.4,G31&lt;10)</formula>
    </cfRule>
  </conditionalFormatting>
  <conditionalFormatting sqref="G32">
    <cfRule type="expression" priority="436" dxfId="0">
      <formula>AND(COUNT(C32:G32)=5,G32=10)</formula>
    </cfRule>
    <cfRule type="expression" priority="437" dxfId="1">
      <formula>AND(COUNT(C32:G32)=5,G32&lt;10*0.4)</formula>
    </cfRule>
    <cfRule type="expression" priority="438" dxfId="2">
      <formula>AND(COUNT(C32:G32)=5,G32&gt;=10*0.4,G32&lt;10)</formula>
    </cfRule>
  </conditionalFormatting>
  <conditionalFormatting sqref="G33">
    <cfRule type="expression" priority="439" dxfId="0">
      <formula>AND(COUNT(C33:G33)=5,G33=10)</formula>
    </cfRule>
    <cfRule type="expression" priority="440" dxfId="1">
      <formula>AND(COUNT(C33:G33)=5,G33&lt;10*0.4)</formula>
    </cfRule>
    <cfRule type="expression" priority="441" dxfId="2">
      <formula>AND(COUNT(C33:G33)=5,G33&gt;=10*0.4,G33&lt;10)</formula>
    </cfRule>
  </conditionalFormatting>
  <conditionalFormatting sqref="G34">
    <cfRule type="expression" priority="442" dxfId="0">
      <formula>AND(COUNT(C34:G34)=5,G34=10)</formula>
    </cfRule>
    <cfRule type="expression" priority="443" dxfId="1">
      <formula>AND(COUNT(C34:G34)=5,G34&lt;10*0.4)</formula>
    </cfRule>
    <cfRule type="expression" priority="444" dxfId="2">
      <formula>AND(COUNT(C34:G34)=5,G34&gt;=10*0.4,G34&lt;10)</formula>
    </cfRule>
  </conditionalFormatting>
  <conditionalFormatting sqref="G35">
    <cfRule type="expression" priority="445" dxfId="0">
      <formula>AND(COUNT(C35:G35)=5,G35=10)</formula>
    </cfRule>
    <cfRule type="expression" priority="446" dxfId="1">
      <formula>AND(COUNT(C35:G35)=5,G35&lt;10*0.4)</formula>
    </cfRule>
    <cfRule type="expression" priority="447" dxfId="2">
      <formula>AND(COUNT(C35:G35)=5,G35&gt;=10*0.4,G35&lt;10)</formula>
    </cfRule>
  </conditionalFormatting>
  <conditionalFormatting sqref="G36">
    <cfRule type="expression" priority="448" dxfId="0">
      <formula>AND(COUNT(C36:G36)=5,G36=10)</formula>
    </cfRule>
    <cfRule type="expression" priority="449" dxfId="1">
      <formula>AND(COUNT(C36:G36)=5,G36&lt;10*0.4)</formula>
    </cfRule>
    <cfRule type="expression" priority="450" dxfId="2">
      <formula>AND(COUNT(C36:G36)=5,G36&gt;=10*0.4,G36&lt;10)</formula>
    </cfRule>
  </conditionalFormatting>
  <conditionalFormatting sqref="G37">
    <cfRule type="expression" priority="451" dxfId="0">
      <formula>AND(COUNT(C37:G37)=5,G37=10)</formula>
    </cfRule>
    <cfRule type="expression" priority="452" dxfId="1">
      <formula>AND(COUNT(C37:G37)=5,G37&lt;10*0.4)</formula>
    </cfRule>
    <cfRule type="expression" priority="453" dxfId="2">
      <formula>AND(COUNT(C37:G37)=5,G37&gt;=10*0.4,G37&lt;10)</formula>
    </cfRule>
  </conditionalFormatting>
  <conditionalFormatting sqref="G38">
    <cfRule type="expression" priority="454" dxfId="0">
      <formula>AND(COUNT(C38:G38)=5,G38=10)</formula>
    </cfRule>
    <cfRule type="expression" priority="455" dxfId="1">
      <formula>AND(COUNT(C38:G38)=5,G38&lt;10*0.4)</formula>
    </cfRule>
    <cfRule type="expression" priority="456" dxfId="2">
      <formula>AND(COUNT(C38:G38)=5,G38&gt;=10*0.4,G38&lt;10)</formula>
    </cfRule>
  </conditionalFormatting>
  <conditionalFormatting sqref="G39">
    <cfRule type="expression" priority="457" dxfId="0">
      <formula>AND(COUNT(C39:G39)=5,G39=10)</formula>
    </cfRule>
    <cfRule type="expression" priority="458" dxfId="1">
      <formula>AND(COUNT(C39:G39)=5,G39&lt;10*0.4)</formula>
    </cfRule>
    <cfRule type="expression" priority="459" dxfId="2">
      <formula>AND(COUNT(C39:G39)=5,G39&gt;=10*0.4,G39&lt;10)</formula>
    </cfRule>
  </conditionalFormatting>
  <conditionalFormatting sqref="G40">
    <cfRule type="expression" priority="460" dxfId="0">
      <formula>AND(COUNT(C40:G40)=5,G40=10)</formula>
    </cfRule>
    <cfRule type="expression" priority="461" dxfId="1">
      <formula>AND(COUNT(C40:G40)=5,G40&lt;10*0.4)</formula>
    </cfRule>
    <cfRule type="expression" priority="462" dxfId="2">
      <formula>AND(COUNT(C40:G40)=5,G40&gt;=10*0.4,G40&lt;10)</formula>
    </cfRule>
  </conditionalFormatting>
  <conditionalFormatting sqref="G41">
    <cfRule type="expression" priority="463" dxfId="0">
      <formula>AND(COUNT(C41:G41)=5,G41=10)</formula>
    </cfRule>
    <cfRule type="expression" priority="464" dxfId="1">
      <formula>AND(COUNT(C41:G41)=5,G41&lt;10*0.4)</formula>
    </cfRule>
    <cfRule type="expression" priority="465" dxfId="2">
      <formula>AND(COUNT(C41:G41)=5,G41&gt;=10*0.4,G41&lt;10)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24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Chapter 5 End of Topic Test — The Normal Distribution</t>
        </is>
      </c>
    </row>
    <row r="2">
      <c r="A2" s="2" t="inlineStr">
        <is>
          <t>Every block below pulls live from 'Ch5 EOT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SUMPRODUCT(--ISNUMBER('Ch5 EOT Results'!J12:J41))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IF('Ch5 EOT Results'!J12="","","Chapter 5 End of Topic Test — The Normal Distribution")</f>
        <v/>
      </c>
      <c r="K5">
        <f>IF('Ch5 EOT Results'!J13="","","Chapter 5 End of Topic Test — The Normal Distribution")</f>
        <v/>
      </c>
    </row>
    <row r="6">
      <c r="A6">
        <f>IF('Ch5 EOT Results'!J12="","","Name: "&amp;'Ch5 EOT Results'!B12&amp;"   Class: "&amp;'Ch5 EOT Results'!$B$3&amp;"   Date: "&amp;TEXT('Ch5 EOT Results'!$B$5,"DD/MM/YY"))</f>
        <v/>
      </c>
      <c r="K6">
        <f>IF('Ch5 EOT Results'!J13="","","Name: "&amp;'Ch5 EOT Results'!B13&amp;"   Class: "&amp;'Ch5 EOT Results'!$B$3&amp;"   Date: "&amp;TEXT('Ch5 EOT Results'!$B$5,"DD/MM/YY"))</f>
        <v/>
      </c>
    </row>
    <row r="7">
      <c r="A7">
        <f>IF('Ch5 EOT Results'!J12="","","Total: "&amp;'Ch5 EOT Results'!H12&amp;"/39 ("&amp;TEXT('Ch5 EOT Results'!I12,"0%")&amp;")   Overall: "&amp;'Ch5 EOT Results'!J12)</f>
        <v/>
      </c>
      <c r="K7">
        <f>IF('Ch5 EOT Results'!J13="","","Total: "&amp;'Ch5 EOT Results'!H13&amp;"/39 ("&amp;TEXT('Ch5 EOT Results'!I13,"0%")&amp;")   Overall: "&amp;'Ch5 EOT Results'!J13)</f>
        <v/>
      </c>
    </row>
    <row r="8">
      <c r="A8">
        <f>IF('Ch5 EOT Results'!J12="","",IF('Ch5 EOT Results'!J12="Green",Parameters!$C$322,IF('Ch5 EOT Results'!J12="Yellow",Parameters!$C$321,Parameters!$C$320)))</f>
        <v/>
      </c>
      <c r="K8">
        <f>IF('Ch5 EOT Results'!J13="","",IF('Ch5 EOT Results'!J13="Green",Parameters!$C$322,IF('Ch5 EOT Results'!J13="Yellow",Parameters!$C$321,Parameters!$C$320)))</f>
        <v/>
      </c>
    </row>
    <row r="10">
      <c r="A10">
        <f>IF('Ch5 EOT Results'!J12="","","Breakdown:")</f>
        <v/>
      </c>
      <c r="K10">
        <f>IF('Ch5 EOT Results'!J13="","","Breakdown:")</f>
        <v/>
      </c>
    </row>
    <row r="11">
      <c r="A11">
        <f>IF('Ch5 EOT Results'!J12="","","Q1 Properties, sketching a curve &amp; suitability of the model: "&amp;'Ch5 EOT Results'!C12&amp;"/6")</f>
        <v/>
      </c>
      <c r="K11">
        <f>IF('Ch5 EOT Results'!J13="","","Q1 Properties, sketching a curve &amp; suitability of the model: "&amp;'Ch5 EOT Results'!C13&amp;"/6")</f>
        <v/>
      </c>
    </row>
    <row r="12">
      <c r="A12">
        <f>IF('Ch5 EOT Results'!J12="","","Q2 Standardising &amp; finding probabilities in context: "&amp;'Ch5 EOT Results'!D12&amp;"/8")</f>
        <v/>
      </c>
      <c r="K12">
        <f>IF('Ch5 EOT Results'!J13="","","Q2 Standardising &amp; finding probabilities in context: "&amp;'Ch5 EOT Results'!D13&amp;"/8")</f>
        <v/>
      </c>
    </row>
    <row r="13">
      <c r="A13">
        <f>IF('Ch5 EOT Results'!J12="","","Q3 Probability, an inverse normal threshold &amp; model limitations: "&amp;'Ch5 EOT Results'!E12&amp;"/8")</f>
        <v/>
      </c>
      <c r="K13">
        <f>IF('Ch5 EOT Results'!J13="","","Q3 Probability, an inverse normal threshold &amp; model limitations: "&amp;'Ch5 EOT Results'!E13&amp;"/8")</f>
        <v/>
      </c>
    </row>
    <row r="14">
      <c r="A14">
        <f>IF('Ch5 EOT Results'!J12="","","Q4 Interpreting a normal curve diagram: "&amp;'Ch5 EOT Results'!F12&amp;"/7")</f>
        <v/>
      </c>
      <c r="K14">
        <f>IF('Ch5 EOT Results'!J13="","","Q4 Interpreting a normal curve diagram: "&amp;'Ch5 EOT Results'!F13&amp;"/7")</f>
        <v/>
      </c>
    </row>
    <row r="15">
      <c r="A15">
        <f>IF('Ch5 EOT Results'!J12="","","Q5 Notation, probability &amp; critiquing a normal model: "&amp;'Ch5 EOT Results'!G12&amp;"/10")</f>
        <v/>
      </c>
      <c r="K15">
        <f>IF('Ch5 EOT Results'!J13="","","Q5 Notation, probability &amp; critiquing a normal model: "&amp;'Ch5 EOT Results'!G13&amp;"/10")</f>
        <v/>
      </c>
    </row>
    <row r="16">
      <c r="A16">
        <f>IF(OR('Ch5 EOT Results'!J12="",'Ch5 EOT Results'!K12=""),"",'Ch5 EOT Results'!K12)</f>
        <v/>
      </c>
      <c r="K16">
        <f>IF(OR('Ch5 EOT Results'!J13="",'Ch5 EOT Results'!K13=""),"",'Ch5 EOT Results'!K13)</f>
        <v/>
      </c>
    </row>
    <row r="18">
      <c r="A18">
        <f>IF('Ch5 EOT Results'!J12="","","Comments:")</f>
        <v/>
      </c>
      <c r="K18">
        <f>IF('Ch5 EOT Results'!J13="","","Comments:")</f>
        <v/>
      </c>
    </row>
    <row r="21">
      <c r="A21">
        <f>IF('Ch5 EOT Results'!J14="","","Chapter 5 End of Topic Test — The Normal Distribution")</f>
        <v/>
      </c>
      <c r="K21">
        <f>IF('Ch5 EOT Results'!J15="","","Chapter 5 End of Topic Test — The Normal Distribution")</f>
        <v/>
      </c>
    </row>
    <row r="22">
      <c r="A22">
        <f>IF('Ch5 EOT Results'!J14="","","Name: "&amp;'Ch5 EOT Results'!B14&amp;"   Class: "&amp;'Ch5 EOT Results'!$B$3&amp;"   Date: "&amp;TEXT('Ch5 EOT Results'!$B$5,"DD/MM/YY"))</f>
        <v/>
      </c>
      <c r="K22">
        <f>IF('Ch5 EOT Results'!J15="","","Name: "&amp;'Ch5 EOT Results'!B15&amp;"   Class: "&amp;'Ch5 EOT Results'!$B$3&amp;"   Date: "&amp;TEXT('Ch5 EOT Results'!$B$5,"DD/MM/YY"))</f>
        <v/>
      </c>
    </row>
    <row r="23">
      <c r="A23">
        <f>IF('Ch5 EOT Results'!J14="","","Total: "&amp;'Ch5 EOT Results'!H14&amp;"/39 ("&amp;TEXT('Ch5 EOT Results'!I14,"0%")&amp;")   Overall: "&amp;'Ch5 EOT Results'!J14)</f>
        <v/>
      </c>
      <c r="K23">
        <f>IF('Ch5 EOT Results'!J15="","","Total: "&amp;'Ch5 EOT Results'!H15&amp;"/39 ("&amp;TEXT('Ch5 EOT Results'!I15,"0%")&amp;")   Overall: "&amp;'Ch5 EOT Results'!J15)</f>
        <v/>
      </c>
    </row>
    <row r="24">
      <c r="A24">
        <f>IF('Ch5 EOT Results'!J14="","",IF('Ch5 EOT Results'!J14="Green",Parameters!$C$322,IF('Ch5 EOT Results'!J14="Yellow",Parameters!$C$321,Parameters!$C$320)))</f>
        <v/>
      </c>
      <c r="K24">
        <f>IF('Ch5 EOT Results'!J15="","",IF('Ch5 EOT Results'!J15="Green",Parameters!$C$322,IF('Ch5 EOT Results'!J15="Yellow",Parameters!$C$321,Parameters!$C$320)))</f>
        <v/>
      </c>
    </row>
    <row r="26">
      <c r="A26">
        <f>IF('Ch5 EOT Results'!J14="","","Breakdown:")</f>
        <v/>
      </c>
      <c r="K26">
        <f>IF('Ch5 EOT Results'!J15="","","Breakdown:")</f>
        <v/>
      </c>
    </row>
    <row r="27">
      <c r="A27">
        <f>IF('Ch5 EOT Results'!J14="","","Q1 Properties, sketching a curve &amp; suitability of the model: "&amp;'Ch5 EOT Results'!C14&amp;"/6")</f>
        <v/>
      </c>
      <c r="K27">
        <f>IF('Ch5 EOT Results'!J15="","","Q1 Properties, sketching a curve &amp; suitability of the model: "&amp;'Ch5 EOT Results'!C15&amp;"/6")</f>
        <v/>
      </c>
    </row>
    <row r="28">
      <c r="A28">
        <f>IF('Ch5 EOT Results'!J14="","","Q2 Standardising &amp; finding probabilities in context: "&amp;'Ch5 EOT Results'!D14&amp;"/8")</f>
        <v/>
      </c>
      <c r="K28">
        <f>IF('Ch5 EOT Results'!J15="","","Q2 Standardising &amp; finding probabilities in context: "&amp;'Ch5 EOT Results'!D15&amp;"/8")</f>
        <v/>
      </c>
    </row>
    <row r="29">
      <c r="A29">
        <f>IF('Ch5 EOT Results'!J14="","","Q3 Probability, an inverse normal threshold &amp; model limitations: "&amp;'Ch5 EOT Results'!E14&amp;"/8")</f>
        <v/>
      </c>
      <c r="K29">
        <f>IF('Ch5 EOT Results'!J15="","","Q3 Probability, an inverse normal threshold &amp; model limitations: "&amp;'Ch5 EOT Results'!E15&amp;"/8")</f>
        <v/>
      </c>
    </row>
    <row r="30">
      <c r="A30">
        <f>IF('Ch5 EOT Results'!J14="","","Q4 Interpreting a normal curve diagram: "&amp;'Ch5 EOT Results'!F14&amp;"/7")</f>
        <v/>
      </c>
      <c r="K30">
        <f>IF('Ch5 EOT Results'!J15="","","Q4 Interpreting a normal curve diagram: "&amp;'Ch5 EOT Results'!F15&amp;"/7")</f>
        <v/>
      </c>
    </row>
    <row r="31">
      <c r="A31">
        <f>IF('Ch5 EOT Results'!J14="","","Q5 Notation, probability &amp; critiquing a normal model: "&amp;'Ch5 EOT Results'!G14&amp;"/10")</f>
        <v/>
      </c>
      <c r="K31">
        <f>IF('Ch5 EOT Results'!J15="","","Q5 Notation, probability &amp; critiquing a normal model: "&amp;'Ch5 EOT Results'!G15&amp;"/10")</f>
        <v/>
      </c>
    </row>
    <row r="32">
      <c r="A32">
        <f>IF(OR('Ch5 EOT Results'!J14="",'Ch5 EOT Results'!K14=""),"",'Ch5 EOT Results'!K14)</f>
        <v/>
      </c>
      <c r="K32">
        <f>IF(OR('Ch5 EOT Results'!J15="",'Ch5 EOT Results'!K15=""),"",'Ch5 EOT Results'!K15)</f>
        <v/>
      </c>
    </row>
    <row r="34">
      <c r="A34">
        <f>IF('Ch5 EOT Results'!J14="","","Comments:")</f>
        <v/>
      </c>
      <c r="K34">
        <f>IF('Ch5 EOT Results'!J15="","","Comments:")</f>
        <v/>
      </c>
    </row>
    <row r="37">
      <c r="A37">
        <f>IF('Ch5 EOT Results'!J16="","","Chapter 5 End of Topic Test — The Normal Distribution")</f>
        <v/>
      </c>
      <c r="K37">
        <f>IF('Ch5 EOT Results'!J17="","","Chapter 5 End of Topic Test — The Normal Distribution")</f>
        <v/>
      </c>
    </row>
    <row r="38">
      <c r="A38">
        <f>IF('Ch5 EOT Results'!J16="","","Name: "&amp;'Ch5 EOT Results'!B16&amp;"   Class: "&amp;'Ch5 EOT Results'!$B$3&amp;"   Date: "&amp;TEXT('Ch5 EOT Results'!$B$5,"DD/MM/YY"))</f>
        <v/>
      </c>
      <c r="K38">
        <f>IF('Ch5 EOT Results'!J17="","","Name: "&amp;'Ch5 EOT Results'!B17&amp;"   Class: "&amp;'Ch5 EOT Results'!$B$3&amp;"   Date: "&amp;TEXT('Ch5 EOT Results'!$B$5,"DD/MM/YY"))</f>
        <v/>
      </c>
    </row>
    <row r="39">
      <c r="A39">
        <f>IF('Ch5 EOT Results'!J16="","","Total: "&amp;'Ch5 EOT Results'!H16&amp;"/39 ("&amp;TEXT('Ch5 EOT Results'!I16,"0%")&amp;")   Overall: "&amp;'Ch5 EOT Results'!J16)</f>
        <v/>
      </c>
      <c r="K39">
        <f>IF('Ch5 EOT Results'!J17="","","Total: "&amp;'Ch5 EOT Results'!H17&amp;"/39 ("&amp;TEXT('Ch5 EOT Results'!I17,"0%")&amp;")   Overall: "&amp;'Ch5 EOT Results'!J17)</f>
        <v/>
      </c>
    </row>
    <row r="40">
      <c r="A40">
        <f>IF('Ch5 EOT Results'!J16="","",IF('Ch5 EOT Results'!J16="Green",Parameters!$C$322,IF('Ch5 EOT Results'!J16="Yellow",Parameters!$C$321,Parameters!$C$320)))</f>
        <v/>
      </c>
      <c r="K40">
        <f>IF('Ch5 EOT Results'!J17="","",IF('Ch5 EOT Results'!J17="Green",Parameters!$C$322,IF('Ch5 EOT Results'!J17="Yellow",Parameters!$C$321,Parameters!$C$320)))</f>
        <v/>
      </c>
    </row>
    <row r="42">
      <c r="A42">
        <f>IF('Ch5 EOT Results'!J16="","","Breakdown:")</f>
        <v/>
      </c>
      <c r="K42">
        <f>IF('Ch5 EOT Results'!J17="","","Breakdown:")</f>
        <v/>
      </c>
    </row>
    <row r="43">
      <c r="A43">
        <f>IF('Ch5 EOT Results'!J16="","","Q1 Properties, sketching a curve &amp; suitability of the model: "&amp;'Ch5 EOT Results'!C16&amp;"/6")</f>
        <v/>
      </c>
      <c r="K43">
        <f>IF('Ch5 EOT Results'!J17="","","Q1 Properties, sketching a curve &amp; suitability of the model: "&amp;'Ch5 EOT Results'!C17&amp;"/6")</f>
        <v/>
      </c>
    </row>
    <row r="44">
      <c r="A44">
        <f>IF('Ch5 EOT Results'!J16="","","Q2 Standardising &amp; finding probabilities in context: "&amp;'Ch5 EOT Results'!D16&amp;"/8")</f>
        <v/>
      </c>
      <c r="K44">
        <f>IF('Ch5 EOT Results'!J17="","","Q2 Standardising &amp; finding probabilities in context: "&amp;'Ch5 EOT Results'!D17&amp;"/8")</f>
        <v/>
      </c>
    </row>
    <row r="45">
      <c r="A45">
        <f>IF('Ch5 EOT Results'!J16="","","Q3 Probability, an inverse normal threshold &amp; model limitations: "&amp;'Ch5 EOT Results'!E16&amp;"/8")</f>
        <v/>
      </c>
      <c r="K45">
        <f>IF('Ch5 EOT Results'!J17="","","Q3 Probability, an inverse normal threshold &amp; model limitations: "&amp;'Ch5 EOT Results'!E17&amp;"/8")</f>
        <v/>
      </c>
    </row>
    <row r="46">
      <c r="A46">
        <f>IF('Ch5 EOT Results'!J16="","","Q4 Interpreting a normal curve diagram: "&amp;'Ch5 EOT Results'!F16&amp;"/7")</f>
        <v/>
      </c>
      <c r="K46">
        <f>IF('Ch5 EOT Results'!J17="","","Q4 Interpreting a normal curve diagram: "&amp;'Ch5 EOT Results'!F17&amp;"/7")</f>
        <v/>
      </c>
    </row>
    <row r="47">
      <c r="A47">
        <f>IF('Ch5 EOT Results'!J16="","","Q5 Notation, probability &amp; critiquing a normal model: "&amp;'Ch5 EOT Results'!G16&amp;"/10")</f>
        <v/>
      </c>
      <c r="K47">
        <f>IF('Ch5 EOT Results'!J17="","","Q5 Notation, probability &amp; critiquing a normal model: "&amp;'Ch5 EOT Results'!G17&amp;"/10")</f>
        <v/>
      </c>
    </row>
    <row r="48">
      <c r="A48">
        <f>IF(OR('Ch5 EOT Results'!J16="",'Ch5 EOT Results'!K16=""),"",'Ch5 EOT Results'!K16)</f>
        <v/>
      </c>
      <c r="K48">
        <f>IF(OR('Ch5 EOT Results'!J17="",'Ch5 EOT Results'!K17=""),"",'Ch5 EOT Results'!K17)</f>
        <v/>
      </c>
    </row>
    <row r="50">
      <c r="A50">
        <f>IF('Ch5 EOT Results'!J16="","","Comments:")</f>
        <v/>
      </c>
      <c r="K50">
        <f>IF('Ch5 EOT Results'!J17="","","Comments:")</f>
        <v/>
      </c>
    </row>
    <row r="53">
      <c r="A53">
        <f>IF('Ch5 EOT Results'!J18="","","Chapter 5 End of Topic Test — The Normal Distribution")</f>
        <v/>
      </c>
      <c r="K53">
        <f>IF('Ch5 EOT Results'!J19="","","Chapter 5 End of Topic Test — The Normal Distribution")</f>
        <v/>
      </c>
    </row>
    <row r="54">
      <c r="A54">
        <f>IF('Ch5 EOT Results'!J18="","","Name: "&amp;'Ch5 EOT Results'!B18&amp;"   Class: "&amp;'Ch5 EOT Results'!$B$3&amp;"   Date: "&amp;TEXT('Ch5 EOT Results'!$B$5,"DD/MM/YY"))</f>
        <v/>
      </c>
      <c r="K54">
        <f>IF('Ch5 EOT Results'!J19="","","Name: "&amp;'Ch5 EOT Results'!B19&amp;"   Class: "&amp;'Ch5 EOT Results'!$B$3&amp;"   Date: "&amp;TEXT('Ch5 EOT Results'!$B$5,"DD/MM/YY"))</f>
        <v/>
      </c>
    </row>
    <row r="55">
      <c r="A55">
        <f>IF('Ch5 EOT Results'!J18="","","Total: "&amp;'Ch5 EOT Results'!H18&amp;"/39 ("&amp;TEXT('Ch5 EOT Results'!I18,"0%")&amp;")   Overall: "&amp;'Ch5 EOT Results'!J18)</f>
        <v/>
      </c>
      <c r="K55">
        <f>IF('Ch5 EOT Results'!J19="","","Total: "&amp;'Ch5 EOT Results'!H19&amp;"/39 ("&amp;TEXT('Ch5 EOT Results'!I19,"0%")&amp;")   Overall: "&amp;'Ch5 EOT Results'!J19)</f>
        <v/>
      </c>
    </row>
    <row r="56">
      <c r="A56">
        <f>IF('Ch5 EOT Results'!J18="","",IF('Ch5 EOT Results'!J18="Green",Parameters!$C$322,IF('Ch5 EOT Results'!J18="Yellow",Parameters!$C$321,Parameters!$C$320)))</f>
        <v/>
      </c>
      <c r="K56">
        <f>IF('Ch5 EOT Results'!J19="","",IF('Ch5 EOT Results'!J19="Green",Parameters!$C$322,IF('Ch5 EOT Results'!J19="Yellow",Parameters!$C$321,Parameters!$C$320)))</f>
        <v/>
      </c>
    </row>
    <row r="58">
      <c r="A58">
        <f>IF('Ch5 EOT Results'!J18="","","Breakdown:")</f>
        <v/>
      </c>
      <c r="K58">
        <f>IF('Ch5 EOT Results'!J19="","","Breakdown:")</f>
        <v/>
      </c>
    </row>
    <row r="59">
      <c r="A59">
        <f>IF('Ch5 EOT Results'!J18="","","Q1 Properties, sketching a curve &amp; suitability of the model: "&amp;'Ch5 EOT Results'!C18&amp;"/6")</f>
        <v/>
      </c>
      <c r="K59">
        <f>IF('Ch5 EOT Results'!J19="","","Q1 Properties, sketching a curve &amp; suitability of the model: "&amp;'Ch5 EOT Results'!C19&amp;"/6")</f>
        <v/>
      </c>
    </row>
    <row r="60">
      <c r="A60">
        <f>IF('Ch5 EOT Results'!J18="","","Q2 Standardising &amp; finding probabilities in context: "&amp;'Ch5 EOT Results'!D18&amp;"/8")</f>
        <v/>
      </c>
      <c r="K60">
        <f>IF('Ch5 EOT Results'!J19="","","Q2 Standardising &amp; finding probabilities in context: "&amp;'Ch5 EOT Results'!D19&amp;"/8")</f>
        <v/>
      </c>
    </row>
    <row r="61">
      <c r="A61">
        <f>IF('Ch5 EOT Results'!J18="","","Q3 Probability, an inverse normal threshold &amp; model limitations: "&amp;'Ch5 EOT Results'!E18&amp;"/8")</f>
        <v/>
      </c>
      <c r="K61">
        <f>IF('Ch5 EOT Results'!J19="","","Q3 Probability, an inverse normal threshold &amp; model limitations: "&amp;'Ch5 EOT Results'!E19&amp;"/8")</f>
        <v/>
      </c>
    </row>
    <row r="62">
      <c r="A62">
        <f>IF('Ch5 EOT Results'!J18="","","Q4 Interpreting a normal curve diagram: "&amp;'Ch5 EOT Results'!F18&amp;"/7")</f>
        <v/>
      </c>
      <c r="K62">
        <f>IF('Ch5 EOT Results'!J19="","","Q4 Interpreting a normal curve diagram: "&amp;'Ch5 EOT Results'!F19&amp;"/7")</f>
        <v/>
      </c>
    </row>
    <row r="63">
      <c r="A63">
        <f>IF('Ch5 EOT Results'!J18="","","Q5 Notation, probability &amp; critiquing a normal model: "&amp;'Ch5 EOT Results'!G18&amp;"/10")</f>
        <v/>
      </c>
      <c r="K63">
        <f>IF('Ch5 EOT Results'!J19="","","Q5 Notation, probability &amp; critiquing a normal model: "&amp;'Ch5 EOT Results'!G19&amp;"/10")</f>
        <v/>
      </c>
    </row>
    <row r="64">
      <c r="A64">
        <f>IF(OR('Ch5 EOT Results'!J18="",'Ch5 EOT Results'!K18=""),"",'Ch5 EOT Results'!K18)</f>
        <v/>
      </c>
      <c r="K64">
        <f>IF(OR('Ch5 EOT Results'!J19="",'Ch5 EOT Results'!K19=""),"",'Ch5 EOT Results'!K19)</f>
        <v/>
      </c>
    </row>
    <row r="66">
      <c r="A66">
        <f>IF('Ch5 EOT Results'!J18="","","Comments:")</f>
        <v/>
      </c>
      <c r="K66">
        <f>IF('Ch5 EOT Results'!J19="","","Comments:")</f>
        <v/>
      </c>
    </row>
    <row r="69">
      <c r="A69">
        <f>IF('Ch5 EOT Results'!J20="","","Chapter 5 End of Topic Test — The Normal Distribution")</f>
        <v/>
      </c>
      <c r="K69">
        <f>IF('Ch5 EOT Results'!J21="","","Chapter 5 End of Topic Test — The Normal Distribution")</f>
        <v/>
      </c>
    </row>
    <row r="70">
      <c r="A70">
        <f>IF('Ch5 EOT Results'!J20="","","Name: "&amp;'Ch5 EOT Results'!B20&amp;"   Class: "&amp;'Ch5 EOT Results'!$B$3&amp;"   Date: "&amp;TEXT('Ch5 EOT Results'!$B$5,"DD/MM/YY"))</f>
        <v/>
      </c>
      <c r="K70">
        <f>IF('Ch5 EOT Results'!J21="","","Name: "&amp;'Ch5 EOT Results'!B21&amp;"   Class: "&amp;'Ch5 EOT Results'!$B$3&amp;"   Date: "&amp;TEXT('Ch5 EOT Results'!$B$5,"DD/MM/YY"))</f>
        <v/>
      </c>
    </row>
    <row r="71">
      <c r="A71">
        <f>IF('Ch5 EOT Results'!J20="","","Total: "&amp;'Ch5 EOT Results'!H20&amp;"/39 ("&amp;TEXT('Ch5 EOT Results'!I20,"0%")&amp;")   Overall: "&amp;'Ch5 EOT Results'!J20)</f>
        <v/>
      </c>
      <c r="K71">
        <f>IF('Ch5 EOT Results'!J21="","","Total: "&amp;'Ch5 EOT Results'!H21&amp;"/39 ("&amp;TEXT('Ch5 EOT Results'!I21,"0%")&amp;")   Overall: "&amp;'Ch5 EOT Results'!J21)</f>
        <v/>
      </c>
    </row>
    <row r="72">
      <c r="A72">
        <f>IF('Ch5 EOT Results'!J20="","",IF('Ch5 EOT Results'!J20="Green",Parameters!$C$322,IF('Ch5 EOT Results'!J20="Yellow",Parameters!$C$321,Parameters!$C$320)))</f>
        <v/>
      </c>
      <c r="K72">
        <f>IF('Ch5 EOT Results'!J21="","",IF('Ch5 EOT Results'!J21="Green",Parameters!$C$322,IF('Ch5 EOT Results'!J21="Yellow",Parameters!$C$321,Parameters!$C$320)))</f>
        <v/>
      </c>
    </row>
    <row r="74">
      <c r="A74">
        <f>IF('Ch5 EOT Results'!J20="","","Breakdown:")</f>
        <v/>
      </c>
      <c r="K74">
        <f>IF('Ch5 EOT Results'!J21="","","Breakdown:")</f>
        <v/>
      </c>
    </row>
    <row r="75">
      <c r="A75">
        <f>IF('Ch5 EOT Results'!J20="","","Q1 Properties, sketching a curve &amp; suitability of the model: "&amp;'Ch5 EOT Results'!C20&amp;"/6")</f>
        <v/>
      </c>
      <c r="K75">
        <f>IF('Ch5 EOT Results'!J21="","","Q1 Properties, sketching a curve &amp; suitability of the model: "&amp;'Ch5 EOT Results'!C21&amp;"/6")</f>
        <v/>
      </c>
    </row>
    <row r="76">
      <c r="A76">
        <f>IF('Ch5 EOT Results'!J20="","","Q2 Standardising &amp; finding probabilities in context: "&amp;'Ch5 EOT Results'!D20&amp;"/8")</f>
        <v/>
      </c>
      <c r="K76">
        <f>IF('Ch5 EOT Results'!J21="","","Q2 Standardising &amp; finding probabilities in context: "&amp;'Ch5 EOT Results'!D21&amp;"/8")</f>
        <v/>
      </c>
    </row>
    <row r="77">
      <c r="A77">
        <f>IF('Ch5 EOT Results'!J20="","","Q3 Probability, an inverse normal threshold &amp; model limitations: "&amp;'Ch5 EOT Results'!E20&amp;"/8")</f>
        <v/>
      </c>
      <c r="K77">
        <f>IF('Ch5 EOT Results'!J21="","","Q3 Probability, an inverse normal threshold &amp; model limitations: "&amp;'Ch5 EOT Results'!E21&amp;"/8")</f>
        <v/>
      </c>
    </row>
    <row r="78">
      <c r="A78">
        <f>IF('Ch5 EOT Results'!J20="","","Q4 Interpreting a normal curve diagram: "&amp;'Ch5 EOT Results'!F20&amp;"/7")</f>
        <v/>
      </c>
      <c r="K78">
        <f>IF('Ch5 EOT Results'!J21="","","Q4 Interpreting a normal curve diagram: "&amp;'Ch5 EOT Results'!F21&amp;"/7")</f>
        <v/>
      </c>
    </row>
    <row r="79">
      <c r="A79">
        <f>IF('Ch5 EOT Results'!J20="","","Q5 Notation, probability &amp; critiquing a normal model: "&amp;'Ch5 EOT Results'!G20&amp;"/10")</f>
        <v/>
      </c>
      <c r="K79">
        <f>IF('Ch5 EOT Results'!J21="","","Q5 Notation, probability &amp; critiquing a normal model: "&amp;'Ch5 EOT Results'!G21&amp;"/10")</f>
        <v/>
      </c>
    </row>
    <row r="80">
      <c r="A80">
        <f>IF(OR('Ch5 EOT Results'!J20="",'Ch5 EOT Results'!K20=""),"",'Ch5 EOT Results'!K20)</f>
        <v/>
      </c>
      <c r="K80">
        <f>IF(OR('Ch5 EOT Results'!J21="",'Ch5 EOT Results'!K21=""),"",'Ch5 EOT Results'!K21)</f>
        <v/>
      </c>
    </row>
    <row r="82">
      <c r="A82">
        <f>IF('Ch5 EOT Results'!J20="","","Comments:")</f>
        <v/>
      </c>
      <c r="K82">
        <f>IF('Ch5 EOT Results'!J21="","","Comments:")</f>
        <v/>
      </c>
    </row>
    <row r="85">
      <c r="A85">
        <f>IF('Ch5 EOT Results'!J22="","","Chapter 5 End of Topic Test — The Normal Distribution")</f>
        <v/>
      </c>
      <c r="K85">
        <f>IF('Ch5 EOT Results'!J23="","","Chapter 5 End of Topic Test — The Normal Distribution")</f>
        <v/>
      </c>
    </row>
    <row r="86">
      <c r="A86">
        <f>IF('Ch5 EOT Results'!J22="","","Name: "&amp;'Ch5 EOT Results'!B22&amp;"   Class: "&amp;'Ch5 EOT Results'!$B$3&amp;"   Date: "&amp;TEXT('Ch5 EOT Results'!$B$5,"DD/MM/YY"))</f>
        <v/>
      </c>
      <c r="K86">
        <f>IF('Ch5 EOT Results'!J23="","","Name: "&amp;'Ch5 EOT Results'!B23&amp;"   Class: "&amp;'Ch5 EOT Results'!$B$3&amp;"   Date: "&amp;TEXT('Ch5 EOT Results'!$B$5,"DD/MM/YY"))</f>
        <v/>
      </c>
    </row>
    <row r="87">
      <c r="A87">
        <f>IF('Ch5 EOT Results'!J22="","","Total: "&amp;'Ch5 EOT Results'!H22&amp;"/39 ("&amp;TEXT('Ch5 EOT Results'!I22,"0%")&amp;")   Overall: "&amp;'Ch5 EOT Results'!J22)</f>
        <v/>
      </c>
      <c r="K87">
        <f>IF('Ch5 EOT Results'!J23="","","Total: "&amp;'Ch5 EOT Results'!H23&amp;"/39 ("&amp;TEXT('Ch5 EOT Results'!I23,"0%")&amp;")   Overall: "&amp;'Ch5 EOT Results'!J23)</f>
        <v/>
      </c>
    </row>
    <row r="88">
      <c r="A88">
        <f>IF('Ch5 EOT Results'!J22="","",IF('Ch5 EOT Results'!J22="Green",Parameters!$C$322,IF('Ch5 EOT Results'!J22="Yellow",Parameters!$C$321,Parameters!$C$320)))</f>
        <v/>
      </c>
      <c r="K88">
        <f>IF('Ch5 EOT Results'!J23="","",IF('Ch5 EOT Results'!J23="Green",Parameters!$C$322,IF('Ch5 EOT Results'!J23="Yellow",Parameters!$C$321,Parameters!$C$320)))</f>
        <v/>
      </c>
    </row>
    <row r="90">
      <c r="A90">
        <f>IF('Ch5 EOT Results'!J22="","","Breakdown:")</f>
        <v/>
      </c>
      <c r="K90">
        <f>IF('Ch5 EOT Results'!J23="","","Breakdown:")</f>
        <v/>
      </c>
    </row>
    <row r="91">
      <c r="A91">
        <f>IF('Ch5 EOT Results'!J22="","","Q1 Properties, sketching a curve &amp; suitability of the model: "&amp;'Ch5 EOT Results'!C22&amp;"/6")</f>
        <v/>
      </c>
      <c r="K91">
        <f>IF('Ch5 EOT Results'!J23="","","Q1 Properties, sketching a curve &amp; suitability of the model: "&amp;'Ch5 EOT Results'!C23&amp;"/6")</f>
        <v/>
      </c>
    </row>
    <row r="92">
      <c r="A92">
        <f>IF('Ch5 EOT Results'!J22="","","Q2 Standardising &amp; finding probabilities in context: "&amp;'Ch5 EOT Results'!D22&amp;"/8")</f>
        <v/>
      </c>
      <c r="K92">
        <f>IF('Ch5 EOT Results'!J23="","","Q2 Standardising &amp; finding probabilities in context: "&amp;'Ch5 EOT Results'!D23&amp;"/8")</f>
        <v/>
      </c>
    </row>
    <row r="93">
      <c r="A93">
        <f>IF('Ch5 EOT Results'!J22="","","Q3 Probability, an inverse normal threshold &amp; model limitations: "&amp;'Ch5 EOT Results'!E22&amp;"/8")</f>
        <v/>
      </c>
      <c r="K93">
        <f>IF('Ch5 EOT Results'!J23="","","Q3 Probability, an inverse normal threshold &amp; model limitations: "&amp;'Ch5 EOT Results'!E23&amp;"/8")</f>
        <v/>
      </c>
    </row>
    <row r="94">
      <c r="A94">
        <f>IF('Ch5 EOT Results'!J22="","","Q4 Interpreting a normal curve diagram: "&amp;'Ch5 EOT Results'!F22&amp;"/7")</f>
        <v/>
      </c>
      <c r="K94">
        <f>IF('Ch5 EOT Results'!J23="","","Q4 Interpreting a normal curve diagram: "&amp;'Ch5 EOT Results'!F23&amp;"/7")</f>
        <v/>
      </c>
    </row>
    <row r="95">
      <c r="A95">
        <f>IF('Ch5 EOT Results'!J22="","","Q5 Notation, probability &amp; critiquing a normal model: "&amp;'Ch5 EOT Results'!G22&amp;"/10")</f>
        <v/>
      </c>
      <c r="K95">
        <f>IF('Ch5 EOT Results'!J23="","","Q5 Notation, probability &amp; critiquing a normal model: "&amp;'Ch5 EOT Results'!G23&amp;"/10")</f>
        <v/>
      </c>
    </row>
    <row r="96">
      <c r="A96">
        <f>IF(OR('Ch5 EOT Results'!J22="",'Ch5 EOT Results'!K22=""),"",'Ch5 EOT Results'!K22)</f>
        <v/>
      </c>
      <c r="K96">
        <f>IF(OR('Ch5 EOT Results'!J23="",'Ch5 EOT Results'!K23=""),"",'Ch5 EOT Results'!K23)</f>
        <v/>
      </c>
    </row>
    <row r="98">
      <c r="A98">
        <f>IF('Ch5 EOT Results'!J22="","","Comments:")</f>
        <v/>
      </c>
      <c r="K98">
        <f>IF('Ch5 EOT Results'!J23="","","Comments:")</f>
        <v/>
      </c>
    </row>
    <row r="101">
      <c r="A101">
        <f>IF('Ch5 EOT Results'!J24="","","Chapter 5 End of Topic Test — The Normal Distribution")</f>
        <v/>
      </c>
      <c r="K101">
        <f>IF('Ch5 EOT Results'!J25="","","Chapter 5 End of Topic Test — The Normal Distribution")</f>
        <v/>
      </c>
    </row>
    <row r="102">
      <c r="A102">
        <f>IF('Ch5 EOT Results'!J24="","","Name: "&amp;'Ch5 EOT Results'!B24&amp;"   Class: "&amp;'Ch5 EOT Results'!$B$3&amp;"   Date: "&amp;TEXT('Ch5 EOT Results'!$B$5,"DD/MM/YY"))</f>
        <v/>
      </c>
      <c r="K102">
        <f>IF('Ch5 EOT Results'!J25="","","Name: "&amp;'Ch5 EOT Results'!B25&amp;"   Class: "&amp;'Ch5 EOT Results'!$B$3&amp;"   Date: "&amp;TEXT('Ch5 EOT Results'!$B$5,"DD/MM/YY"))</f>
        <v/>
      </c>
    </row>
    <row r="103">
      <c r="A103">
        <f>IF('Ch5 EOT Results'!J24="","","Total: "&amp;'Ch5 EOT Results'!H24&amp;"/39 ("&amp;TEXT('Ch5 EOT Results'!I24,"0%")&amp;")   Overall: "&amp;'Ch5 EOT Results'!J24)</f>
        <v/>
      </c>
      <c r="K103">
        <f>IF('Ch5 EOT Results'!J25="","","Total: "&amp;'Ch5 EOT Results'!H25&amp;"/39 ("&amp;TEXT('Ch5 EOT Results'!I25,"0%")&amp;")   Overall: "&amp;'Ch5 EOT Results'!J25)</f>
        <v/>
      </c>
    </row>
    <row r="104">
      <c r="A104">
        <f>IF('Ch5 EOT Results'!J24="","",IF('Ch5 EOT Results'!J24="Green",Parameters!$C$322,IF('Ch5 EOT Results'!J24="Yellow",Parameters!$C$321,Parameters!$C$320)))</f>
        <v/>
      </c>
      <c r="K104">
        <f>IF('Ch5 EOT Results'!J25="","",IF('Ch5 EOT Results'!J25="Green",Parameters!$C$322,IF('Ch5 EOT Results'!J25="Yellow",Parameters!$C$321,Parameters!$C$320)))</f>
        <v/>
      </c>
    </row>
    <row r="106">
      <c r="A106">
        <f>IF('Ch5 EOT Results'!J24="","","Breakdown:")</f>
        <v/>
      </c>
      <c r="K106">
        <f>IF('Ch5 EOT Results'!J25="","","Breakdown:")</f>
        <v/>
      </c>
    </row>
    <row r="107">
      <c r="A107">
        <f>IF('Ch5 EOT Results'!J24="","","Q1 Properties, sketching a curve &amp; suitability of the model: "&amp;'Ch5 EOT Results'!C24&amp;"/6")</f>
        <v/>
      </c>
      <c r="K107">
        <f>IF('Ch5 EOT Results'!J25="","","Q1 Properties, sketching a curve &amp; suitability of the model: "&amp;'Ch5 EOT Results'!C25&amp;"/6")</f>
        <v/>
      </c>
    </row>
    <row r="108">
      <c r="A108">
        <f>IF('Ch5 EOT Results'!J24="","","Q2 Standardising &amp; finding probabilities in context: "&amp;'Ch5 EOT Results'!D24&amp;"/8")</f>
        <v/>
      </c>
      <c r="K108">
        <f>IF('Ch5 EOT Results'!J25="","","Q2 Standardising &amp; finding probabilities in context: "&amp;'Ch5 EOT Results'!D25&amp;"/8")</f>
        <v/>
      </c>
    </row>
    <row r="109">
      <c r="A109">
        <f>IF('Ch5 EOT Results'!J24="","","Q3 Probability, an inverse normal threshold &amp; model limitations: "&amp;'Ch5 EOT Results'!E24&amp;"/8")</f>
        <v/>
      </c>
      <c r="K109">
        <f>IF('Ch5 EOT Results'!J25="","","Q3 Probability, an inverse normal threshold &amp; model limitations: "&amp;'Ch5 EOT Results'!E25&amp;"/8")</f>
        <v/>
      </c>
    </row>
    <row r="110">
      <c r="A110">
        <f>IF('Ch5 EOT Results'!J24="","","Q4 Interpreting a normal curve diagram: "&amp;'Ch5 EOT Results'!F24&amp;"/7")</f>
        <v/>
      </c>
      <c r="K110">
        <f>IF('Ch5 EOT Results'!J25="","","Q4 Interpreting a normal curve diagram: "&amp;'Ch5 EOT Results'!F25&amp;"/7")</f>
        <v/>
      </c>
    </row>
    <row r="111">
      <c r="A111">
        <f>IF('Ch5 EOT Results'!J24="","","Q5 Notation, probability &amp; critiquing a normal model: "&amp;'Ch5 EOT Results'!G24&amp;"/10")</f>
        <v/>
      </c>
      <c r="K111">
        <f>IF('Ch5 EOT Results'!J25="","","Q5 Notation, probability &amp; critiquing a normal model: "&amp;'Ch5 EOT Results'!G25&amp;"/10")</f>
        <v/>
      </c>
    </row>
    <row r="112">
      <c r="A112">
        <f>IF(OR('Ch5 EOT Results'!J24="",'Ch5 EOT Results'!K24=""),"",'Ch5 EOT Results'!K24)</f>
        <v/>
      </c>
      <c r="K112">
        <f>IF(OR('Ch5 EOT Results'!J25="",'Ch5 EOT Results'!K25=""),"",'Ch5 EOT Results'!K25)</f>
        <v/>
      </c>
    </row>
    <row r="114">
      <c r="A114">
        <f>IF('Ch5 EOT Results'!J24="","","Comments:")</f>
        <v/>
      </c>
      <c r="K114">
        <f>IF('Ch5 EOT Results'!J25="","","Comments:")</f>
        <v/>
      </c>
    </row>
    <row r="117">
      <c r="A117">
        <f>IF('Ch5 EOT Results'!J26="","","Chapter 5 End of Topic Test — The Normal Distribution")</f>
        <v/>
      </c>
      <c r="K117">
        <f>IF('Ch5 EOT Results'!J27="","","Chapter 5 End of Topic Test — The Normal Distribution")</f>
        <v/>
      </c>
    </row>
    <row r="118">
      <c r="A118">
        <f>IF('Ch5 EOT Results'!J26="","","Name: "&amp;'Ch5 EOT Results'!B26&amp;"   Class: "&amp;'Ch5 EOT Results'!$B$3&amp;"   Date: "&amp;TEXT('Ch5 EOT Results'!$B$5,"DD/MM/YY"))</f>
        <v/>
      </c>
      <c r="K118">
        <f>IF('Ch5 EOT Results'!J27="","","Name: "&amp;'Ch5 EOT Results'!B27&amp;"   Class: "&amp;'Ch5 EOT Results'!$B$3&amp;"   Date: "&amp;TEXT('Ch5 EOT Results'!$B$5,"DD/MM/YY"))</f>
        <v/>
      </c>
    </row>
    <row r="119">
      <c r="A119">
        <f>IF('Ch5 EOT Results'!J26="","","Total: "&amp;'Ch5 EOT Results'!H26&amp;"/39 ("&amp;TEXT('Ch5 EOT Results'!I26,"0%")&amp;")   Overall: "&amp;'Ch5 EOT Results'!J26)</f>
        <v/>
      </c>
      <c r="K119">
        <f>IF('Ch5 EOT Results'!J27="","","Total: "&amp;'Ch5 EOT Results'!H27&amp;"/39 ("&amp;TEXT('Ch5 EOT Results'!I27,"0%")&amp;")   Overall: "&amp;'Ch5 EOT Results'!J27)</f>
        <v/>
      </c>
    </row>
    <row r="120">
      <c r="A120">
        <f>IF('Ch5 EOT Results'!J26="","",IF('Ch5 EOT Results'!J26="Green",Parameters!$C$322,IF('Ch5 EOT Results'!J26="Yellow",Parameters!$C$321,Parameters!$C$320)))</f>
        <v/>
      </c>
      <c r="K120">
        <f>IF('Ch5 EOT Results'!J27="","",IF('Ch5 EOT Results'!J27="Green",Parameters!$C$322,IF('Ch5 EOT Results'!J27="Yellow",Parameters!$C$321,Parameters!$C$320)))</f>
        <v/>
      </c>
    </row>
    <row r="122">
      <c r="A122">
        <f>IF('Ch5 EOT Results'!J26="","","Breakdown:")</f>
        <v/>
      </c>
      <c r="K122">
        <f>IF('Ch5 EOT Results'!J27="","","Breakdown:")</f>
        <v/>
      </c>
    </row>
    <row r="123">
      <c r="A123">
        <f>IF('Ch5 EOT Results'!J26="","","Q1 Properties, sketching a curve &amp; suitability of the model: "&amp;'Ch5 EOT Results'!C26&amp;"/6")</f>
        <v/>
      </c>
      <c r="K123">
        <f>IF('Ch5 EOT Results'!J27="","","Q1 Properties, sketching a curve &amp; suitability of the model: "&amp;'Ch5 EOT Results'!C27&amp;"/6")</f>
        <v/>
      </c>
    </row>
    <row r="124">
      <c r="A124">
        <f>IF('Ch5 EOT Results'!J26="","","Q2 Standardising &amp; finding probabilities in context: "&amp;'Ch5 EOT Results'!D26&amp;"/8")</f>
        <v/>
      </c>
      <c r="K124">
        <f>IF('Ch5 EOT Results'!J27="","","Q2 Standardising &amp; finding probabilities in context: "&amp;'Ch5 EOT Results'!D27&amp;"/8")</f>
        <v/>
      </c>
    </row>
    <row r="125">
      <c r="A125">
        <f>IF('Ch5 EOT Results'!J26="","","Q3 Probability, an inverse normal threshold &amp; model limitations: "&amp;'Ch5 EOT Results'!E26&amp;"/8")</f>
        <v/>
      </c>
      <c r="K125">
        <f>IF('Ch5 EOT Results'!J27="","","Q3 Probability, an inverse normal threshold &amp; model limitations: "&amp;'Ch5 EOT Results'!E27&amp;"/8")</f>
        <v/>
      </c>
    </row>
    <row r="126">
      <c r="A126">
        <f>IF('Ch5 EOT Results'!J26="","","Q4 Interpreting a normal curve diagram: "&amp;'Ch5 EOT Results'!F26&amp;"/7")</f>
        <v/>
      </c>
      <c r="K126">
        <f>IF('Ch5 EOT Results'!J27="","","Q4 Interpreting a normal curve diagram: "&amp;'Ch5 EOT Results'!F27&amp;"/7")</f>
        <v/>
      </c>
    </row>
    <row r="127">
      <c r="A127">
        <f>IF('Ch5 EOT Results'!J26="","","Q5 Notation, probability &amp; critiquing a normal model: "&amp;'Ch5 EOT Results'!G26&amp;"/10")</f>
        <v/>
      </c>
      <c r="K127">
        <f>IF('Ch5 EOT Results'!J27="","","Q5 Notation, probability &amp; critiquing a normal model: "&amp;'Ch5 EOT Results'!G27&amp;"/10")</f>
        <v/>
      </c>
    </row>
    <row r="128">
      <c r="A128">
        <f>IF(OR('Ch5 EOT Results'!J26="",'Ch5 EOT Results'!K26=""),"",'Ch5 EOT Results'!K26)</f>
        <v/>
      </c>
      <c r="K128">
        <f>IF(OR('Ch5 EOT Results'!J27="",'Ch5 EOT Results'!K27=""),"",'Ch5 EOT Results'!K27)</f>
        <v/>
      </c>
    </row>
    <row r="130">
      <c r="A130">
        <f>IF('Ch5 EOT Results'!J26="","","Comments:")</f>
        <v/>
      </c>
      <c r="K130">
        <f>IF('Ch5 EOT Results'!J27="","","Comments:")</f>
        <v/>
      </c>
    </row>
    <row r="133">
      <c r="A133">
        <f>IF('Ch5 EOT Results'!J28="","","Chapter 5 End of Topic Test — The Normal Distribution")</f>
        <v/>
      </c>
      <c r="K133">
        <f>IF('Ch5 EOT Results'!J29="","","Chapter 5 End of Topic Test — The Normal Distribution")</f>
        <v/>
      </c>
    </row>
    <row r="134">
      <c r="A134">
        <f>IF('Ch5 EOT Results'!J28="","","Name: "&amp;'Ch5 EOT Results'!B28&amp;"   Class: "&amp;'Ch5 EOT Results'!$B$3&amp;"   Date: "&amp;TEXT('Ch5 EOT Results'!$B$5,"DD/MM/YY"))</f>
        <v/>
      </c>
      <c r="K134">
        <f>IF('Ch5 EOT Results'!J29="","","Name: "&amp;'Ch5 EOT Results'!B29&amp;"   Class: "&amp;'Ch5 EOT Results'!$B$3&amp;"   Date: "&amp;TEXT('Ch5 EOT Results'!$B$5,"DD/MM/YY"))</f>
        <v/>
      </c>
    </row>
    <row r="135">
      <c r="A135">
        <f>IF('Ch5 EOT Results'!J28="","","Total: "&amp;'Ch5 EOT Results'!H28&amp;"/39 ("&amp;TEXT('Ch5 EOT Results'!I28,"0%")&amp;")   Overall: "&amp;'Ch5 EOT Results'!J28)</f>
        <v/>
      </c>
      <c r="K135">
        <f>IF('Ch5 EOT Results'!J29="","","Total: "&amp;'Ch5 EOT Results'!H29&amp;"/39 ("&amp;TEXT('Ch5 EOT Results'!I29,"0%")&amp;")   Overall: "&amp;'Ch5 EOT Results'!J29)</f>
        <v/>
      </c>
    </row>
    <row r="136">
      <c r="A136">
        <f>IF('Ch5 EOT Results'!J28="","",IF('Ch5 EOT Results'!J28="Green",Parameters!$C$322,IF('Ch5 EOT Results'!J28="Yellow",Parameters!$C$321,Parameters!$C$320)))</f>
        <v/>
      </c>
      <c r="K136">
        <f>IF('Ch5 EOT Results'!J29="","",IF('Ch5 EOT Results'!J29="Green",Parameters!$C$322,IF('Ch5 EOT Results'!J29="Yellow",Parameters!$C$321,Parameters!$C$320)))</f>
        <v/>
      </c>
    </row>
    <row r="138">
      <c r="A138">
        <f>IF('Ch5 EOT Results'!J28="","","Breakdown:")</f>
        <v/>
      </c>
      <c r="K138">
        <f>IF('Ch5 EOT Results'!J29="","","Breakdown:")</f>
        <v/>
      </c>
    </row>
    <row r="139">
      <c r="A139">
        <f>IF('Ch5 EOT Results'!J28="","","Q1 Properties, sketching a curve &amp; suitability of the model: "&amp;'Ch5 EOT Results'!C28&amp;"/6")</f>
        <v/>
      </c>
      <c r="K139">
        <f>IF('Ch5 EOT Results'!J29="","","Q1 Properties, sketching a curve &amp; suitability of the model: "&amp;'Ch5 EOT Results'!C29&amp;"/6")</f>
        <v/>
      </c>
    </row>
    <row r="140">
      <c r="A140">
        <f>IF('Ch5 EOT Results'!J28="","","Q2 Standardising &amp; finding probabilities in context: "&amp;'Ch5 EOT Results'!D28&amp;"/8")</f>
        <v/>
      </c>
      <c r="K140">
        <f>IF('Ch5 EOT Results'!J29="","","Q2 Standardising &amp; finding probabilities in context: "&amp;'Ch5 EOT Results'!D29&amp;"/8")</f>
        <v/>
      </c>
    </row>
    <row r="141">
      <c r="A141">
        <f>IF('Ch5 EOT Results'!J28="","","Q3 Probability, an inverse normal threshold &amp; model limitations: "&amp;'Ch5 EOT Results'!E28&amp;"/8")</f>
        <v/>
      </c>
      <c r="K141">
        <f>IF('Ch5 EOT Results'!J29="","","Q3 Probability, an inverse normal threshold &amp; model limitations: "&amp;'Ch5 EOT Results'!E29&amp;"/8")</f>
        <v/>
      </c>
    </row>
    <row r="142">
      <c r="A142">
        <f>IF('Ch5 EOT Results'!J28="","","Q4 Interpreting a normal curve diagram: "&amp;'Ch5 EOT Results'!F28&amp;"/7")</f>
        <v/>
      </c>
      <c r="K142">
        <f>IF('Ch5 EOT Results'!J29="","","Q4 Interpreting a normal curve diagram: "&amp;'Ch5 EOT Results'!F29&amp;"/7")</f>
        <v/>
      </c>
    </row>
    <row r="143">
      <c r="A143">
        <f>IF('Ch5 EOT Results'!J28="","","Q5 Notation, probability &amp; critiquing a normal model: "&amp;'Ch5 EOT Results'!G28&amp;"/10")</f>
        <v/>
      </c>
      <c r="K143">
        <f>IF('Ch5 EOT Results'!J29="","","Q5 Notation, probability &amp; critiquing a normal model: "&amp;'Ch5 EOT Results'!G29&amp;"/10")</f>
        <v/>
      </c>
    </row>
    <row r="144">
      <c r="A144">
        <f>IF(OR('Ch5 EOT Results'!J28="",'Ch5 EOT Results'!K28=""),"",'Ch5 EOT Results'!K28)</f>
        <v/>
      </c>
      <c r="K144">
        <f>IF(OR('Ch5 EOT Results'!J29="",'Ch5 EOT Results'!K29=""),"",'Ch5 EOT Results'!K29)</f>
        <v/>
      </c>
    </row>
    <row r="146">
      <c r="A146">
        <f>IF('Ch5 EOT Results'!J28="","","Comments:")</f>
        <v/>
      </c>
      <c r="K146">
        <f>IF('Ch5 EOT Results'!J29="","","Comments:")</f>
        <v/>
      </c>
    </row>
    <row r="149">
      <c r="A149">
        <f>IF('Ch5 EOT Results'!J30="","","Chapter 5 End of Topic Test — The Normal Distribution")</f>
        <v/>
      </c>
      <c r="K149">
        <f>IF('Ch5 EOT Results'!J31="","","Chapter 5 End of Topic Test — The Normal Distribution")</f>
        <v/>
      </c>
    </row>
    <row r="150">
      <c r="A150">
        <f>IF('Ch5 EOT Results'!J30="","","Name: "&amp;'Ch5 EOT Results'!B30&amp;"   Class: "&amp;'Ch5 EOT Results'!$B$3&amp;"   Date: "&amp;TEXT('Ch5 EOT Results'!$B$5,"DD/MM/YY"))</f>
        <v/>
      </c>
      <c r="K150">
        <f>IF('Ch5 EOT Results'!J31="","","Name: "&amp;'Ch5 EOT Results'!B31&amp;"   Class: "&amp;'Ch5 EOT Results'!$B$3&amp;"   Date: "&amp;TEXT('Ch5 EOT Results'!$B$5,"DD/MM/YY"))</f>
        <v/>
      </c>
    </row>
    <row r="151">
      <c r="A151">
        <f>IF('Ch5 EOT Results'!J30="","","Total: "&amp;'Ch5 EOT Results'!H30&amp;"/39 ("&amp;TEXT('Ch5 EOT Results'!I30,"0%")&amp;")   Overall: "&amp;'Ch5 EOT Results'!J30)</f>
        <v/>
      </c>
      <c r="K151">
        <f>IF('Ch5 EOT Results'!J31="","","Total: "&amp;'Ch5 EOT Results'!H31&amp;"/39 ("&amp;TEXT('Ch5 EOT Results'!I31,"0%")&amp;")   Overall: "&amp;'Ch5 EOT Results'!J31)</f>
        <v/>
      </c>
    </row>
    <row r="152">
      <c r="A152">
        <f>IF('Ch5 EOT Results'!J30="","",IF('Ch5 EOT Results'!J30="Green",Parameters!$C$322,IF('Ch5 EOT Results'!J30="Yellow",Parameters!$C$321,Parameters!$C$320)))</f>
        <v/>
      </c>
      <c r="K152">
        <f>IF('Ch5 EOT Results'!J31="","",IF('Ch5 EOT Results'!J31="Green",Parameters!$C$322,IF('Ch5 EOT Results'!J31="Yellow",Parameters!$C$321,Parameters!$C$320)))</f>
        <v/>
      </c>
    </row>
    <row r="154">
      <c r="A154">
        <f>IF('Ch5 EOT Results'!J30="","","Breakdown:")</f>
        <v/>
      </c>
      <c r="K154">
        <f>IF('Ch5 EOT Results'!J31="","","Breakdown:")</f>
        <v/>
      </c>
    </row>
    <row r="155">
      <c r="A155">
        <f>IF('Ch5 EOT Results'!J30="","","Q1 Properties, sketching a curve &amp; suitability of the model: "&amp;'Ch5 EOT Results'!C30&amp;"/6")</f>
        <v/>
      </c>
      <c r="K155">
        <f>IF('Ch5 EOT Results'!J31="","","Q1 Properties, sketching a curve &amp; suitability of the model: "&amp;'Ch5 EOT Results'!C31&amp;"/6")</f>
        <v/>
      </c>
    </row>
    <row r="156">
      <c r="A156">
        <f>IF('Ch5 EOT Results'!J30="","","Q2 Standardising &amp; finding probabilities in context: "&amp;'Ch5 EOT Results'!D30&amp;"/8")</f>
        <v/>
      </c>
      <c r="K156">
        <f>IF('Ch5 EOT Results'!J31="","","Q2 Standardising &amp; finding probabilities in context: "&amp;'Ch5 EOT Results'!D31&amp;"/8")</f>
        <v/>
      </c>
    </row>
    <row r="157">
      <c r="A157">
        <f>IF('Ch5 EOT Results'!J30="","","Q3 Probability, an inverse normal threshold &amp; model limitations: "&amp;'Ch5 EOT Results'!E30&amp;"/8")</f>
        <v/>
      </c>
      <c r="K157">
        <f>IF('Ch5 EOT Results'!J31="","","Q3 Probability, an inverse normal threshold &amp; model limitations: "&amp;'Ch5 EOT Results'!E31&amp;"/8")</f>
        <v/>
      </c>
    </row>
    <row r="158">
      <c r="A158">
        <f>IF('Ch5 EOT Results'!J30="","","Q4 Interpreting a normal curve diagram: "&amp;'Ch5 EOT Results'!F30&amp;"/7")</f>
        <v/>
      </c>
      <c r="K158">
        <f>IF('Ch5 EOT Results'!J31="","","Q4 Interpreting a normal curve diagram: "&amp;'Ch5 EOT Results'!F31&amp;"/7")</f>
        <v/>
      </c>
    </row>
    <row r="159">
      <c r="A159">
        <f>IF('Ch5 EOT Results'!J30="","","Q5 Notation, probability &amp; critiquing a normal model: "&amp;'Ch5 EOT Results'!G30&amp;"/10")</f>
        <v/>
      </c>
      <c r="K159">
        <f>IF('Ch5 EOT Results'!J31="","","Q5 Notation, probability &amp; critiquing a normal model: "&amp;'Ch5 EOT Results'!G31&amp;"/10")</f>
        <v/>
      </c>
    </row>
    <row r="160">
      <c r="A160">
        <f>IF(OR('Ch5 EOT Results'!J30="",'Ch5 EOT Results'!K30=""),"",'Ch5 EOT Results'!K30)</f>
        <v/>
      </c>
      <c r="K160">
        <f>IF(OR('Ch5 EOT Results'!J31="",'Ch5 EOT Results'!K31=""),"",'Ch5 EOT Results'!K31)</f>
        <v/>
      </c>
    </row>
    <row r="162">
      <c r="A162">
        <f>IF('Ch5 EOT Results'!J30="","","Comments:")</f>
        <v/>
      </c>
      <c r="K162">
        <f>IF('Ch5 EOT Results'!J31="","","Comments:")</f>
        <v/>
      </c>
    </row>
    <row r="165">
      <c r="A165">
        <f>IF('Ch5 EOT Results'!J32="","","Chapter 5 End of Topic Test — The Normal Distribution")</f>
        <v/>
      </c>
      <c r="K165">
        <f>IF('Ch5 EOT Results'!J33="","","Chapter 5 End of Topic Test — The Normal Distribution")</f>
        <v/>
      </c>
    </row>
    <row r="166">
      <c r="A166">
        <f>IF('Ch5 EOT Results'!J32="","","Name: "&amp;'Ch5 EOT Results'!B32&amp;"   Class: "&amp;'Ch5 EOT Results'!$B$3&amp;"   Date: "&amp;TEXT('Ch5 EOT Results'!$B$5,"DD/MM/YY"))</f>
        <v/>
      </c>
      <c r="K166">
        <f>IF('Ch5 EOT Results'!J33="","","Name: "&amp;'Ch5 EOT Results'!B33&amp;"   Class: "&amp;'Ch5 EOT Results'!$B$3&amp;"   Date: "&amp;TEXT('Ch5 EOT Results'!$B$5,"DD/MM/YY"))</f>
        <v/>
      </c>
    </row>
    <row r="167">
      <c r="A167">
        <f>IF('Ch5 EOT Results'!J32="","","Total: "&amp;'Ch5 EOT Results'!H32&amp;"/39 ("&amp;TEXT('Ch5 EOT Results'!I32,"0%")&amp;")   Overall: "&amp;'Ch5 EOT Results'!J32)</f>
        <v/>
      </c>
      <c r="K167">
        <f>IF('Ch5 EOT Results'!J33="","","Total: "&amp;'Ch5 EOT Results'!H33&amp;"/39 ("&amp;TEXT('Ch5 EOT Results'!I33,"0%")&amp;")   Overall: "&amp;'Ch5 EOT Results'!J33)</f>
        <v/>
      </c>
    </row>
    <row r="168">
      <c r="A168">
        <f>IF('Ch5 EOT Results'!J32="","",IF('Ch5 EOT Results'!J32="Green",Parameters!$C$322,IF('Ch5 EOT Results'!J32="Yellow",Parameters!$C$321,Parameters!$C$320)))</f>
        <v/>
      </c>
      <c r="K168">
        <f>IF('Ch5 EOT Results'!J33="","",IF('Ch5 EOT Results'!J33="Green",Parameters!$C$322,IF('Ch5 EOT Results'!J33="Yellow",Parameters!$C$321,Parameters!$C$320)))</f>
        <v/>
      </c>
    </row>
    <row r="170">
      <c r="A170">
        <f>IF('Ch5 EOT Results'!J32="","","Breakdown:")</f>
        <v/>
      </c>
      <c r="K170">
        <f>IF('Ch5 EOT Results'!J33="","","Breakdown:")</f>
        <v/>
      </c>
    </row>
    <row r="171">
      <c r="A171">
        <f>IF('Ch5 EOT Results'!J32="","","Q1 Properties, sketching a curve &amp; suitability of the model: "&amp;'Ch5 EOT Results'!C32&amp;"/6")</f>
        <v/>
      </c>
      <c r="K171">
        <f>IF('Ch5 EOT Results'!J33="","","Q1 Properties, sketching a curve &amp; suitability of the model: "&amp;'Ch5 EOT Results'!C33&amp;"/6")</f>
        <v/>
      </c>
    </row>
    <row r="172">
      <c r="A172">
        <f>IF('Ch5 EOT Results'!J32="","","Q2 Standardising &amp; finding probabilities in context: "&amp;'Ch5 EOT Results'!D32&amp;"/8")</f>
        <v/>
      </c>
      <c r="K172">
        <f>IF('Ch5 EOT Results'!J33="","","Q2 Standardising &amp; finding probabilities in context: "&amp;'Ch5 EOT Results'!D33&amp;"/8")</f>
        <v/>
      </c>
    </row>
    <row r="173">
      <c r="A173">
        <f>IF('Ch5 EOT Results'!J32="","","Q3 Probability, an inverse normal threshold &amp; model limitations: "&amp;'Ch5 EOT Results'!E32&amp;"/8")</f>
        <v/>
      </c>
      <c r="K173">
        <f>IF('Ch5 EOT Results'!J33="","","Q3 Probability, an inverse normal threshold &amp; model limitations: "&amp;'Ch5 EOT Results'!E33&amp;"/8")</f>
        <v/>
      </c>
    </row>
    <row r="174">
      <c r="A174">
        <f>IF('Ch5 EOT Results'!J32="","","Q4 Interpreting a normal curve diagram: "&amp;'Ch5 EOT Results'!F32&amp;"/7")</f>
        <v/>
      </c>
      <c r="K174">
        <f>IF('Ch5 EOT Results'!J33="","","Q4 Interpreting a normal curve diagram: "&amp;'Ch5 EOT Results'!F33&amp;"/7")</f>
        <v/>
      </c>
    </row>
    <row r="175">
      <c r="A175">
        <f>IF('Ch5 EOT Results'!J32="","","Q5 Notation, probability &amp; critiquing a normal model: "&amp;'Ch5 EOT Results'!G32&amp;"/10")</f>
        <v/>
      </c>
      <c r="K175">
        <f>IF('Ch5 EOT Results'!J33="","","Q5 Notation, probability &amp; critiquing a normal model: "&amp;'Ch5 EOT Results'!G33&amp;"/10")</f>
        <v/>
      </c>
    </row>
    <row r="176">
      <c r="A176">
        <f>IF(OR('Ch5 EOT Results'!J32="",'Ch5 EOT Results'!K32=""),"",'Ch5 EOT Results'!K32)</f>
        <v/>
      </c>
      <c r="K176">
        <f>IF(OR('Ch5 EOT Results'!J33="",'Ch5 EOT Results'!K33=""),"",'Ch5 EOT Results'!K33)</f>
        <v/>
      </c>
    </row>
    <row r="178">
      <c r="A178">
        <f>IF('Ch5 EOT Results'!J32="","","Comments:")</f>
        <v/>
      </c>
      <c r="K178">
        <f>IF('Ch5 EOT Results'!J33="","","Comments:")</f>
        <v/>
      </c>
    </row>
    <row r="181">
      <c r="A181">
        <f>IF('Ch5 EOT Results'!J34="","","Chapter 5 End of Topic Test — The Normal Distribution")</f>
        <v/>
      </c>
      <c r="K181">
        <f>IF('Ch5 EOT Results'!J35="","","Chapter 5 End of Topic Test — The Normal Distribution")</f>
        <v/>
      </c>
    </row>
    <row r="182">
      <c r="A182">
        <f>IF('Ch5 EOT Results'!J34="","","Name: "&amp;'Ch5 EOT Results'!B34&amp;"   Class: "&amp;'Ch5 EOT Results'!$B$3&amp;"   Date: "&amp;TEXT('Ch5 EOT Results'!$B$5,"DD/MM/YY"))</f>
        <v/>
      </c>
      <c r="K182">
        <f>IF('Ch5 EOT Results'!J35="","","Name: "&amp;'Ch5 EOT Results'!B35&amp;"   Class: "&amp;'Ch5 EOT Results'!$B$3&amp;"   Date: "&amp;TEXT('Ch5 EOT Results'!$B$5,"DD/MM/YY"))</f>
        <v/>
      </c>
    </row>
    <row r="183">
      <c r="A183">
        <f>IF('Ch5 EOT Results'!J34="","","Total: "&amp;'Ch5 EOT Results'!H34&amp;"/39 ("&amp;TEXT('Ch5 EOT Results'!I34,"0%")&amp;")   Overall: "&amp;'Ch5 EOT Results'!J34)</f>
        <v/>
      </c>
      <c r="K183">
        <f>IF('Ch5 EOT Results'!J35="","","Total: "&amp;'Ch5 EOT Results'!H35&amp;"/39 ("&amp;TEXT('Ch5 EOT Results'!I35,"0%")&amp;")   Overall: "&amp;'Ch5 EOT Results'!J35)</f>
        <v/>
      </c>
    </row>
    <row r="184">
      <c r="A184">
        <f>IF('Ch5 EOT Results'!J34="","",IF('Ch5 EOT Results'!J34="Green",Parameters!$C$322,IF('Ch5 EOT Results'!J34="Yellow",Parameters!$C$321,Parameters!$C$320)))</f>
        <v/>
      </c>
      <c r="K184">
        <f>IF('Ch5 EOT Results'!J35="","",IF('Ch5 EOT Results'!J35="Green",Parameters!$C$322,IF('Ch5 EOT Results'!J35="Yellow",Parameters!$C$321,Parameters!$C$320)))</f>
        <v/>
      </c>
    </row>
    <row r="186">
      <c r="A186">
        <f>IF('Ch5 EOT Results'!J34="","","Breakdown:")</f>
        <v/>
      </c>
      <c r="K186">
        <f>IF('Ch5 EOT Results'!J35="","","Breakdown:")</f>
        <v/>
      </c>
    </row>
    <row r="187">
      <c r="A187">
        <f>IF('Ch5 EOT Results'!J34="","","Q1 Properties, sketching a curve &amp; suitability of the model: "&amp;'Ch5 EOT Results'!C34&amp;"/6")</f>
        <v/>
      </c>
      <c r="K187">
        <f>IF('Ch5 EOT Results'!J35="","","Q1 Properties, sketching a curve &amp; suitability of the model: "&amp;'Ch5 EOT Results'!C35&amp;"/6")</f>
        <v/>
      </c>
    </row>
    <row r="188">
      <c r="A188">
        <f>IF('Ch5 EOT Results'!J34="","","Q2 Standardising &amp; finding probabilities in context: "&amp;'Ch5 EOT Results'!D34&amp;"/8")</f>
        <v/>
      </c>
      <c r="K188">
        <f>IF('Ch5 EOT Results'!J35="","","Q2 Standardising &amp; finding probabilities in context: "&amp;'Ch5 EOT Results'!D35&amp;"/8")</f>
        <v/>
      </c>
    </row>
    <row r="189">
      <c r="A189">
        <f>IF('Ch5 EOT Results'!J34="","","Q3 Probability, an inverse normal threshold &amp; model limitations: "&amp;'Ch5 EOT Results'!E34&amp;"/8")</f>
        <v/>
      </c>
      <c r="K189">
        <f>IF('Ch5 EOT Results'!J35="","","Q3 Probability, an inverse normal threshold &amp; model limitations: "&amp;'Ch5 EOT Results'!E35&amp;"/8")</f>
        <v/>
      </c>
    </row>
    <row r="190">
      <c r="A190">
        <f>IF('Ch5 EOT Results'!J34="","","Q4 Interpreting a normal curve diagram: "&amp;'Ch5 EOT Results'!F34&amp;"/7")</f>
        <v/>
      </c>
      <c r="K190">
        <f>IF('Ch5 EOT Results'!J35="","","Q4 Interpreting a normal curve diagram: "&amp;'Ch5 EOT Results'!F35&amp;"/7")</f>
        <v/>
      </c>
    </row>
    <row r="191">
      <c r="A191">
        <f>IF('Ch5 EOT Results'!J34="","","Q5 Notation, probability &amp; critiquing a normal model: "&amp;'Ch5 EOT Results'!G34&amp;"/10")</f>
        <v/>
      </c>
      <c r="K191">
        <f>IF('Ch5 EOT Results'!J35="","","Q5 Notation, probability &amp; critiquing a normal model: "&amp;'Ch5 EOT Results'!G35&amp;"/10")</f>
        <v/>
      </c>
    </row>
    <row r="192">
      <c r="A192">
        <f>IF(OR('Ch5 EOT Results'!J34="",'Ch5 EOT Results'!K34=""),"",'Ch5 EOT Results'!K34)</f>
        <v/>
      </c>
      <c r="K192">
        <f>IF(OR('Ch5 EOT Results'!J35="",'Ch5 EOT Results'!K35=""),"",'Ch5 EOT Results'!K35)</f>
        <v/>
      </c>
    </row>
    <row r="194">
      <c r="A194">
        <f>IF('Ch5 EOT Results'!J34="","","Comments:")</f>
        <v/>
      </c>
      <c r="K194">
        <f>IF('Ch5 EOT Results'!J35="","","Comments:")</f>
        <v/>
      </c>
    </row>
    <row r="197">
      <c r="A197">
        <f>IF('Ch5 EOT Results'!J36="","","Chapter 5 End of Topic Test — The Normal Distribution")</f>
        <v/>
      </c>
      <c r="K197">
        <f>IF('Ch5 EOT Results'!J37="","","Chapter 5 End of Topic Test — The Normal Distribution")</f>
        <v/>
      </c>
    </row>
    <row r="198">
      <c r="A198">
        <f>IF('Ch5 EOT Results'!J36="","","Name: "&amp;'Ch5 EOT Results'!B36&amp;"   Class: "&amp;'Ch5 EOT Results'!$B$3&amp;"   Date: "&amp;TEXT('Ch5 EOT Results'!$B$5,"DD/MM/YY"))</f>
        <v/>
      </c>
      <c r="K198">
        <f>IF('Ch5 EOT Results'!J37="","","Name: "&amp;'Ch5 EOT Results'!B37&amp;"   Class: "&amp;'Ch5 EOT Results'!$B$3&amp;"   Date: "&amp;TEXT('Ch5 EOT Results'!$B$5,"DD/MM/YY"))</f>
        <v/>
      </c>
    </row>
    <row r="199">
      <c r="A199">
        <f>IF('Ch5 EOT Results'!J36="","","Total: "&amp;'Ch5 EOT Results'!H36&amp;"/39 ("&amp;TEXT('Ch5 EOT Results'!I36,"0%")&amp;")   Overall: "&amp;'Ch5 EOT Results'!J36)</f>
        <v/>
      </c>
      <c r="K199">
        <f>IF('Ch5 EOT Results'!J37="","","Total: "&amp;'Ch5 EOT Results'!H37&amp;"/39 ("&amp;TEXT('Ch5 EOT Results'!I37,"0%")&amp;")   Overall: "&amp;'Ch5 EOT Results'!J37)</f>
        <v/>
      </c>
    </row>
    <row r="200">
      <c r="A200">
        <f>IF('Ch5 EOT Results'!J36="","",IF('Ch5 EOT Results'!J36="Green",Parameters!$C$322,IF('Ch5 EOT Results'!J36="Yellow",Parameters!$C$321,Parameters!$C$320)))</f>
        <v/>
      </c>
      <c r="K200">
        <f>IF('Ch5 EOT Results'!J37="","",IF('Ch5 EOT Results'!J37="Green",Parameters!$C$322,IF('Ch5 EOT Results'!J37="Yellow",Parameters!$C$321,Parameters!$C$320)))</f>
        <v/>
      </c>
    </row>
    <row r="202">
      <c r="A202">
        <f>IF('Ch5 EOT Results'!J36="","","Breakdown:")</f>
        <v/>
      </c>
      <c r="K202">
        <f>IF('Ch5 EOT Results'!J37="","","Breakdown:")</f>
        <v/>
      </c>
    </row>
    <row r="203">
      <c r="A203">
        <f>IF('Ch5 EOT Results'!J36="","","Q1 Properties, sketching a curve &amp; suitability of the model: "&amp;'Ch5 EOT Results'!C36&amp;"/6")</f>
        <v/>
      </c>
      <c r="K203">
        <f>IF('Ch5 EOT Results'!J37="","","Q1 Properties, sketching a curve &amp; suitability of the model: "&amp;'Ch5 EOT Results'!C37&amp;"/6")</f>
        <v/>
      </c>
    </row>
    <row r="204">
      <c r="A204">
        <f>IF('Ch5 EOT Results'!J36="","","Q2 Standardising &amp; finding probabilities in context: "&amp;'Ch5 EOT Results'!D36&amp;"/8")</f>
        <v/>
      </c>
      <c r="K204">
        <f>IF('Ch5 EOT Results'!J37="","","Q2 Standardising &amp; finding probabilities in context: "&amp;'Ch5 EOT Results'!D37&amp;"/8")</f>
        <v/>
      </c>
    </row>
    <row r="205">
      <c r="A205">
        <f>IF('Ch5 EOT Results'!J36="","","Q3 Probability, an inverse normal threshold &amp; model limitations: "&amp;'Ch5 EOT Results'!E36&amp;"/8")</f>
        <v/>
      </c>
      <c r="K205">
        <f>IF('Ch5 EOT Results'!J37="","","Q3 Probability, an inverse normal threshold &amp; model limitations: "&amp;'Ch5 EOT Results'!E37&amp;"/8")</f>
        <v/>
      </c>
    </row>
    <row r="206">
      <c r="A206">
        <f>IF('Ch5 EOT Results'!J36="","","Q4 Interpreting a normal curve diagram: "&amp;'Ch5 EOT Results'!F36&amp;"/7")</f>
        <v/>
      </c>
      <c r="K206">
        <f>IF('Ch5 EOT Results'!J37="","","Q4 Interpreting a normal curve diagram: "&amp;'Ch5 EOT Results'!F37&amp;"/7")</f>
        <v/>
      </c>
    </row>
    <row r="207">
      <c r="A207">
        <f>IF('Ch5 EOT Results'!J36="","","Q5 Notation, probability &amp; critiquing a normal model: "&amp;'Ch5 EOT Results'!G36&amp;"/10")</f>
        <v/>
      </c>
      <c r="K207">
        <f>IF('Ch5 EOT Results'!J37="","","Q5 Notation, probability &amp; critiquing a normal model: "&amp;'Ch5 EOT Results'!G37&amp;"/10")</f>
        <v/>
      </c>
    </row>
    <row r="208">
      <c r="A208">
        <f>IF(OR('Ch5 EOT Results'!J36="",'Ch5 EOT Results'!K36=""),"",'Ch5 EOT Results'!K36)</f>
        <v/>
      </c>
      <c r="K208">
        <f>IF(OR('Ch5 EOT Results'!J37="",'Ch5 EOT Results'!K37=""),"",'Ch5 EOT Results'!K37)</f>
        <v/>
      </c>
    </row>
    <row r="210">
      <c r="A210">
        <f>IF('Ch5 EOT Results'!J36="","","Comments:")</f>
        <v/>
      </c>
      <c r="K210">
        <f>IF('Ch5 EOT Results'!J37="","","Comments:")</f>
        <v/>
      </c>
    </row>
    <row r="213">
      <c r="A213">
        <f>IF('Ch5 EOT Results'!J38="","","Chapter 5 End of Topic Test — The Normal Distribution")</f>
        <v/>
      </c>
      <c r="K213">
        <f>IF('Ch5 EOT Results'!J39="","","Chapter 5 End of Topic Test — The Normal Distribution")</f>
        <v/>
      </c>
    </row>
    <row r="214">
      <c r="A214">
        <f>IF('Ch5 EOT Results'!J38="","","Name: "&amp;'Ch5 EOT Results'!B38&amp;"   Class: "&amp;'Ch5 EOT Results'!$B$3&amp;"   Date: "&amp;TEXT('Ch5 EOT Results'!$B$5,"DD/MM/YY"))</f>
        <v/>
      </c>
      <c r="K214">
        <f>IF('Ch5 EOT Results'!J39="","","Name: "&amp;'Ch5 EOT Results'!B39&amp;"   Class: "&amp;'Ch5 EOT Results'!$B$3&amp;"   Date: "&amp;TEXT('Ch5 EOT Results'!$B$5,"DD/MM/YY"))</f>
        <v/>
      </c>
    </row>
    <row r="215">
      <c r="A215">
        <f>IF('Ch5 EOT Results'!J38="","","Total: "&amp;'Ch5 EOT Results'!H38&amp;"/39 ("&amp;TEXT('Ch5 EOT Results'!I38,"0%")&amp;")   Overall: "&amp;'Ch5 EOT Results'!J38)</f>
        <v/>
      </c>
      <c r="K215">
        <f>IF('Ch5 EOT Results'!J39="","","Total: "&amp;'Ch5 EOT Results'!H39&amp;"/39 ("&amp;TEXT('Ch5 EOT Results'!I39,"0%")&amp;")   Overall: "&amp;'Ch5 EOT Results'!J39)</f>
        <v/>
      </c>
    </row>
    <row r="216">
      <c r="A216">
        <f>IF('Ch5 EOT Results'!J38="","",IF('Ch5 EOT Results'!J38="Green",Parameters!$C$322,IF('Ch5 EOT Results'!J38="Yellow",Parameters!$C$321,Parameters!$C$320)))</f>
        <v/>
      </c>
      <c r="K216">
        <f>IF('Ch5 EOT Results'!J39="","",IF('Ch5 EOT Results'!J39="Green",Parameters!$C$322,IF('Ch5 EOT Results'!J39="Yellow",Parameters!$C$321,Parameters!$C$320)))</f>
        <v/>
      </c>
    </row>
    <row r="218">
      <c r="A218">
        <f>IF('Ch5 EOT Results'!J38="","","Breakdown:")</f>
        <v/>
      </c>
      <c r="K218">
        <f>IF('Ch5 EOT Results'!J39="","","Breakdown:")</f>
        <v/>
      </c>
    </row>
    <row r="219">
      <c r="A219">
        <f>IF('Ch5 EOT Results'!J38="","","Q1 Properties, sketching a curve &amp; suitability of the model: "&amp;'Ch5 EOT Results'!C38&amp;"/6")</f>
        <v/>
      </c>
      <c r="K219">
        <f>IF('Ch5 EOT Results'!J39="","","Q1 Properties, sketching a curve &amp; suitability of the model: "&amp;'Ch5 EOT Results'!C39&amp;"/6")</f>
        <v/>
      </c>
    </row>
    <row r="220">
      <c r="A220">
        <f>IF('Ch5 EOT Results'!J38="","","Q2 Standardising &amp; finding probabilities in context: "&amp;'Ch5 EOT Results'!D38&amp;"/8")</f>
        <v/>
      </c>
      <c r="K220">
        <f>IF('Ch5 EOT Results'!J39="","","Q2 Standardising &amp; finding probabilities in context: "&amp;'Ch5 EOT Results'!D39&amp;"/8")</f>
        <v/>
      </c>
    </row>
    <row r="221">
      <c r="A221">
        <f>IF('Ch5 EOT Results'!J38="","","Q3 Probability, an inverse normal threshold &amp; model limitations: "&amp;'Ch5 EOT Results'!E38&amp;"/8")</f>
        <v/>
      </c>
      <c r="K221">
        <f>IF('Ch5 EOT Results'!J39="","","Q3 Probability, an inverse normal threshold &amp; model limitations: "&amp;'Ch5 EOT Results'!E39&amp;"/8")</f>
        <v/>
      </c>
    </row>
    <row r="222">
      <c r="A222">
        <f>IF('Ch5 EOT Results'!J38="","","Q4 Interpreting a normal curve diagram: "&amp;'Ch5 EOT Results'!F38&amp;"/7")</f>
        <v/>
      </c>
      <c r="K222">
        <f>IF('Ch5 EOT Results'!J39="","","Q4 Interpreting a normal curve diagram: "&amp;'Ch5 EOT Results'!F39&amp;"/7")</f>
        <v/>
      </c>
    </row>
    <row r="223">
      <c r="A223">
        <f>IF('Ch5 EOT Results'!J38="","","Q5 Notation, probability &amp; critiquing a normal model: "&amp;'Ch5 EOT Results'!G38&amp;"/10")</f>
        <v/>
      </c>
      <c r="K223">
        <f>IF('Ch5 EOT Results'!J39="","","Q5 Notation, probability &amp; critiquing a normal model: "&amp;'Ch5 EOT Results'!G39&amp;"/10")</f>
        <v/>
      </c>
    </row>
    <row r="224">
      <c r="A224">
        <f>IF(OR('Ch5 EOT Results'!J38="",'Ch5 EOT Results'!K38=""),"",'Ch5 EOT Results'!K38)</f>
        <v/>
      </c>
      <c r="K224">
        <f>IF(OR('Ch5 EOT Results'!J39="",'Ch5 EOT Results'!K39=""),"",'Ch5 EOT Results'!K39)</f>
        <v/>
      </c>
    </row>
    <row r="226">
      <c r="A226">
        <f>IF('Ch5 EOT Results'!J38="","","Comments:")</f>
        <v/>
      </c>
      <c r="K226">
        <f>IF('Ch5 EOT Results'!J39="","","Comments:")</f>
        <v/>
      </c>
    </row>
    <row r="229">
      <c r="A229">
        <f>IF('Ch5 EOT Results'!J40="","","Chapter 5 End of Topic Test — The Normal Distribution")</f>
        <v/>
      </c>
      <c r="K229">
        <f>IF('Ch5 EOT Results'!J41="","","Chapter 5 End of Topic Test — The Normal Distribution")</f>
        <v/>
      </c>
    </row>
    <row r="230">
      <c r="A230">
        <f>IF('Ch5 EOT Results'!J40="","","Name: "&amp;'Ch5 EOT Results'!B40&amp;"   Class: "&amp;'Ch5 EOT Results'!$B$3&amp;"   Date: "&amp;TEXT('Ch5 EOT Results'!$B$5,"DD/MM/YY"))</f>
        <v/>
      </c>
      <c r="K230">
        <f>IF('Ch5 EOT Results'!J41="","","Name: "&amp;'Ch5 EOT Results'!B41&amp;"   Class: "&amp;'Ch5 EOT Results'!$B$3&amp;"   Date: "&amp;TEXT('Ch5 EOT Results'!$B$5,"DD/MM/YY"))</f>
        <v/>
      </c>
    </row>
    <row r="231">
      <c r="A231">
        <f>IF('Ch5 EOT Results'!J40="","","Total: "&amp;'Ch5 EOT Results'!H40&amp;"/39 ("&amp;TEXT('Ch5 EOT Results'!I40,"0%")&amp;")   Overall: "&amp;'Ch5 EOT Results'!J40)</f>
        <v/>
      </c>
      <c r="K231">
        <f>IF('Ch5 EOT Results'!J41="","","Total: "&amp;'Ch5 EOT Results'!H41&amp;"/39 ("&amp;TEXT('Ch5 EOT Results'!I41,"0%")&amp;")   Overall: "&amp;'Ch5 EOT Results'!J41)</f>
        <v/>
      </c>
    </row>
    <row r="232">
      <c r="A232">
        <f>IF('Ch5 EOT Results'!J40="","",IF('Ch5 EOT Results'!J40="Green",Parameters!$C$322,IF('Ch5 EOT Results'!J40="Yellow",Parameters!$C$321,Parameters!$C$320)))</f>
        <v/>
      </c>
      <c r="K232">
        <f>IF('Ch5 EOT Results'!J41="","",IF('Ch5 EOT Results'!J41="Green",Parameters!$C$322,IF('Ch5 EOT Results'!J41="Yellow",Parameters!$C$321,Parameters!$C$320)))</f>
        <v/>
      </c>
    </row>
    <row r="234">
      <c r="A234">
        <f>IF('Ch5 EOT Results'!J40="","","Breakdown:")</f>
        <v/>
      </c>
      <c r="K234">
        <f>IF('Ch5 EOT Results'!J41="","","Breakdown:")</f>
        <v/>
      </c>
    </row>
    <row r="235">
      <c r="A235">
        <f>IF('Ch5 EOT Results'!J40="","","Q1 Properties, sketching a curve &amp; suitability of the model: "&amp;'Ch5 EOT Results'!C40&amp;"/6")</f>
        <v/>
      </c>
      <c r="K235">
        <f>IF('Ch5 EOT Results'!J41="","","Q1 Properties, sketching a curve &amp; suitability of the model: "&amp;'Ch5 EOT Results'!C41&amp;"/6")</f>
        <v/>
      </c>
    </row>
    <row r="236">
      <c r="A236">
        <f>IF('Ch5 EOT Results'!J40="","","Q2 Standardising &amp; finding probabilities in context: "&amp;'Ch5 EOT Results'!D40&amp;"/8")</f>
        <v/>
      </c>
      <c r="K236">
        <f>IF('Ch5 EOT Results'!J41="","","Q2 Standardising &amp; finding probabilities in context: "&amp;'Ch5 EOT Results'!D41&amp;"/8")</f>
        <v/>
      </c>
    </row>
    <row r="237">
      <c r="A237">
        <f>IF('Ch5 EOT Results'!J40="","","Q3 Probability, an inverse normal threshold &amp; model limitations: "&amp;'Ch5 EOT Results'!E40&amp;"/8")</f>
        <v/>
      </c>
      <c r="K237">
        <f>IF('Ch5 EOT Results'!J41="","","Q3 Probability, an inverse normal threshold &amp; model limitations: "&amp;'Ch5 EOT Results'!E41&amp;"/8")</f>
        <v/>
      </c>
    </row>
    <row r="238">
      <c r="A238">
        <f>IF('Ch5 EOT Results'!J40="","","Q4 Interpreting a normal curve diagram: "&amp;'Ch5 EOT Results'!F40&amp;"/7")</f>
        <v/>
      </c>
      <c r="K238">
        <f>IF('Ch5 EOT Results'!J41="","","Q4 Interpreting a normal curve diagram: "&amp;'Ch5 EOT Results'!F41&amp;"/7")</f>
        <v/>
      </c>
    </row>
    <row r="239">
      <c r="A239">
        <f>IF('Ch5 EOT Results'!J40="","","Q5 Notation, probability &amp; critiquing a normal model: "&amp;'Ch5 EOT Results'!G40&amp;"/10")</f>
        <v/>
      </c>
      <c r="K239">
        <f>IF('Ch5 EOT Results'!J41="","","Q5 Notation, probability &amp; critiquing a normal model: "&amp;'Ch5 EOT Results'!G41&amp;"/10")</f>
        <v/>
      </c>
    </row>
    <row r="240">
      <c r="A240">
        <f>IF(OR('Ch5 EOT Results'!J40="",'Ch5 EOT Results'!K40=""),"",'Ch5 EOT Results'!K40)</f>
        <v/>
      </c>
      <c r="K240">
        <f>IF(OR('Ch5 EOT Results'!J41="",'Ch5 EOT Results'!K41=""),"",'Ch5 EOT Results'!K41)</f>
        <v/>
      </c>
    </row>
    <row r="242">
      <c r="A242">
        <f>IF('Ch5 EOT Results'!J40="","","Comments:")</f>
        <v/>
      </c>
      <c r="K242">
        <f>IF('Ch5 EOT Results'!J41="","","Comments:")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8" customWidth="1" min="9" max="9"/>
    <col width="10" customWidth="1" min="10" max="10"/>
    <col width="45" customWidth="1" min="11" max="11"/>
  </cols>
  <sheetData>
    <row r="1">
      <c r="A1" s="11" t="inlineStr">
        <is>
          <t>Chapter 5 End of Topic Test 2 — The Normal Distribution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Properties &amp; sketch
(/6)</t>
        </is>
      </c>
      <c r="D9" s="12" t="inlineStr">
        <is>
          <t>Q2
Calculating probabilities
(/8)</t>
        </is>
      </c>
      <c r="E9" s="12" t="inlineStr">
        <is>
          <t>Q3
Screening test probabilities
(/8)</t>
        </is>
      </c>
      <c r="F9" s="12" t="inlineStr">
        <is>
          <t>Q4
Interpreting a diagram
(/7)</t>
        </is>
      </c>
      <c r="G9" s="12" t="inlineStr">
        <is>
          <t>Q5
Interpreting a study
(/10)</t>
        </is>
      </c>
      <c r="H9" s="12" t="inlineStr">
        <is>
          <t>Total
(/39)</t>
        </is>
      </c>
      <c r="I9" s="12" t="inlineStr">
        <is>
          <t>%</t>
        </is>
      </c>
      <c r="J9" s="12" t="inlineStr">
        <is>
          <t>Overall</t>
        </is>
      </c>
      <c r="K9" s="12" t="inlineStr">
        <is>
          <t>Focus for next steps</t>
        </is>
      </c>
      <c r="L9" s="12" t="inlineStr">
        <is>
          <t>Q1%</t>
        </is>
      </c>
      <c r="M9" s="12" t="inlineStr">
        <is>
          <t>Q2%</t>
        </is>
      </c>
      <c r="N9" s="12" t="inlineStr">
        <is>
          <t>Q3%</t>
        </is>
      </c>
      <c r="O9" s="12" t="inlineStr">
        <is>
          <t>Q4%</t>
        </is>
      </c>
      <c r="P9" s="12" t="inlineStr">
        <is>
          <t>Q5%</t>
        </is>
      </c>
    </row>
    <row r="10">
      <c r="A10" s="3" t="n"/>
      <c r="B10" s="3" t="inlineStr">
        <is>
          <t>Max marks</t>
        </is>
      </c>
      <c r="C10" s="3" t="n">
        <v>6</v>
      </c>
      <c r="D10" s="3" t="n">
        <v>8</v>
      </c>
      <c r="E10" s="3" t="n">
        <v>8</v>
      </c>
      <c r="F10" s="3" t="n">
        <v>7</v>
      </c>
      <c r="G10" s="3" t="n">
        <v>10</v>
      </c>
      <c r="H10" s="3" t="n">
        <v>39</v>
      </c>
      <c r="I10" s="3" t="inlineStr">
        <is>
          <t>100%</t>
        </is>
      </c>
      <c r="J10" s="3" t="n"/>
      <c r="K10" s="3" t="n"/>
      <c r="L10" s="3" t="n"/>
      <c r="M10" s="3" t="n"/>
      <c r="N10" s="3" t="n"/>
      <c r="O10" s="3" t="n"/>
      <c r="P10" s="3" t="n"/>
    </row>
    <row r="11">
      <c r="A11" s="13" t="n">
        <v>1</v>
      </c>
      <c r="B11" s="13" t="inlineStr">
        <is>
          <t>Example pupil (edit me)</t>
        </is>
      </c>
      <c r="C11" s="13" t="n">
        <v>5</v>
      </c>
      <c r="D11" s="13" t="n">
        <v>6</v>
      </c>
      <c r="E11" s="13" t="n">
        <v>6</v>
      </c>
      <c r="F11" s="13" t="n">
        <v>6</v>
      </c>
      <c r="G11" s="13" t="n">
        <v>8</v>
      </c>
      <c r="H11" s="13">
        <f>IF(COUNT(C11:G11)&lt;5,"",SUM(C11:G11))</f>
        <v/>
      </c>
      <c r="I11" s="13">
        <f>IF(COUNT(C11:G11)&lt;5,"",H11/39)</f>
        <v/>
      </c>
      <c r="J11" s="13">
        <f>IF(COUNT(C11:G11)&lt;5,"",IF(I11&gt;=0.8,"Green",IF(I11&gt;=0.5,"Yellow","Red")))</f>
        <v/>
      </c>
      <c r="K11" s="13">
        <f>IF(COUNT(C11:G11)&lt;5,"",IF(J11="Green","Well done! "&amp;Parameters!$C$338,"Revise: "&amp;_xlfn.TEXTJOIN(", ",TRUE(),IF(L11&lt;1,Parameters!$A$328,""),IF(M11&lt;1,Parameters!$A$329,""),IF(N11&lt;1,Parameters!$A$330,""),IF(O11&lt;1,Parameters!$A$331,""),IF(P11&lt;1,Parameters!$A$332,""))))</f>
        <v/>
      </c>
      <c r="L11" s="13">
        <f>IF(C11="","",C11/6)</f>
        <v/>
      </c>
      <c r="M11" s="13">
        <f>IF(D11="","",D11/8)</f>
        <v/>
      </c>
      <c r="N11" s="13">
        <f>IF(E11="","",E11/8)</f>
        <v/>
      </c>
      <c r="O11" s="13">
        <f>IF(F11="","",F11/7)</f>
        <v/>
      </c>
      <c r="P11" s="13">
        <f>IF(G11="","",G11/10)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4" t="n"/>
      <c r="H12" s="13">
        <f>IF(COUNT(C12:G12)&lt;5,"",SUM(C12:G12))</f>
        <v/>
      </c>
      <c r="I12" s="13">
        <f>IF(COUNT(C12:G12)&lt;5,"",H12/39)</f>
        <v/>
      </c>
      <c r="J12" s="13">
        <f>IF(COUNT(C12:G12)&lt;5,"",IF(I12&gt;=0.8,"Green",IF(I12&gt;=0.5,"Yellow","Red")))</f>
        <v/>
      </c>
      <c r="K12" s="13">
        <f>IF(COUNT(C12:G12)&lt;5,"",IF(J12="Green","Well done! "&amp;Parameters!$C$338,"Revise: "&amp;_xlfn.TEXTJOIN(", ",TRUE(),IF(L12&lt;1,Parameters!$A$328,""),IF(M12&lt;1,Parameters!$A$329,""),IF(N12&lt;1,Parameters!$A$330,""),IF(O12&lt;1,Parameters!$A$331,""),IF(P12&lt;1,Parameters!$A$332,""))))</f>
        <v/>
      </c>
      <c r="L12" s="13">
        <f>IF(C12="","",C12/6)</f>
        <v/>
      </c>
      <c r="M12" s="13">
        <f>IF(D12="","",D12/8)</f>
        <v/>
      </c>
      <c r="N12" s="13">
        <f>IF(E12="","",E12/8)</f>
        <v/>
      </c>
      <c r="O12" s="13">
        <f>IF(F12="","",F12/7)</f>
        <v/>
      </c>
      <c r="P12" s="13">
        <f>IF(G12="","",G12/10)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4" t="n"/>
      <c r="H13" s="13">
        <f>IF(COUNT(C13:G13)&lt;5,"",SUM(C13:G13))</f>
        <v/>
      </c>
      <c r="I13" s="13">
        <f>IF(COUNT(C13:G13)&lt;5,"",H13/39)</f>
        <v/>
      </c>
      <c r="J13" s="13">
        <f>IF(COUNT(C13:G13)&lt;5,"",IF(I13&gt;=0.8,"Green",IF(I13&gt;=0.5,"Yellow","Red")))</f>
        <v/>
      </c>
      <c r="K13" s="13">
        <f>IF(COUNT(C13:G13)&lt;5,"",IF(J13="Green","Well done! "&amp;Parameters!$C$338,"Revise: "&amp;_xlfn.TEXTJOIN(", ",TRUE(),IF(L13&lt;1,Parameters!$A$328,""),IF(M13&lt;1,Parameters!$A$329,""),IF(N13&lt;1,Parameters!$A$330,""),IF(O13&lt;1,Parameters!$A$331,""),IF(P13&lt;1,Parameters!$A$332,""))))</f>
        <v/>
      </c>
      <c r="L13" s="13">
        <f>IF(C13="","",C13/6)</f>
        <v/>
      </c>
      <c r="M13" s="13">
        <f>IF(D13="","",D13/8)</f>
        <v/>
      </c>
      <c r="N13" s="13">
        <f>IF(E13="","",E13/8)</f>
        <v/>
      </c>
      <c r="O13" s="13">
        <f>IF(F13="","",F13/7)</f>
        <v/>
      </c>
      <c r="P13" s="13">
        <f>IF(G13="","",G13/10)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4" t="n"/>
      <c r="H14" s="13">
        <f>IF(COUNT(C14:G14)&lt;5,"",SUM(C14:G14))</f>
        <v/>
      </c>
      <c r="I14" s="13">
        <f>IF(COUNT(C14:G14)&lt;5,"",H14/39)</f>
        <v/>
      </c>
      <c r="J14" s="13">
        <f>IF(COUNT(C14:G14)&lt;5,"",IF(I14&gt;=0.8,"Green",IF(I14&gt;=0.5,"Yellow","Red")))</f>
        <v/>
      </c>
      <c r="K14" s="13">
        <f>IF(COUNT(C14:G14)&lt;5,"",IF(J14="Green","Well done! "&amp;Parameters!$C$338,"Revise: "&amp;_xlfn.TEXTJOIN(", ",TRUE(),IF(L14&lt;1,Parameters!$A$328,""),IF(M14&lt;1,Parameters!$A$329,""),IF(N14&lt;1,Parameters!$A$330,""),IF(O14&lt;1,Parameters!$A$331,""),IF(P14&lt;1,Parameters!$A$332,""))))</f>
        <v/>
      </c>
      <c r="L14" s="13">
        <f>IF(C14="","",C14/6)</f>
        <v/>
      </c>
      <c r="M14" s="13">
        <f>IF(D14="","",D14/8)</f>
        <v/>
      </c>
      <c r="N14" s="13">
        <f>IF(E14="","",E14/8)</f>
        <v/>
      </c>
      <c r="O14" s="13">
        <f>IF(F14="","",F14/7)</f>
        <v/>
      </c>
      <c r="P14" s="13">
        <f>IF(G14="","",G14/10)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4" t="n"/>
      <c r="H15" s="13">
        <f>IF(COUNT(C15:G15)&lt;5,"",SUM(C15:G15))</f>
        <v/>
      </c>
      <c r="I15" s="13">
        <f>IF(COUNT(C15:G15)&lt;5,"",H15/39)</f>
        <v/>
      </c>
      <c r="J15" s="13">
        <f>IF(COUNT(C15:G15)&lt;5,"",IF(I15&gt;=0.8,"Green",IF(I15&gt;=0.5,"Yellow","Red")))</f>
        <v/>
      </c>
      <c r="K15" s="13">
        <f>IF(COUNT(C15:G15)&lt;5,"",IF(J15="Green","Well done! "&amp;Parameters!$C$338,"Revise: "&amp;_xlfn.TEXTJOIN(", ",TRUE(),IF(L15&lt;1,Parameters!$A$328,""),IF(M15&lt;1,Parameters!$A$329,""),IF(N15&lt;1,Parameters!$A$330,""),IF(O15&lt;1,Parameters!$A$331,""),IF(P15&lt;1,Parameters!$A$332,""))))</f>
        <v/>
      </c>
      <c r="L15" s="13">
        <f>IF(C15="","",C15/6)</f>
        <v/>
      </c>
      <c r="M15" s="13">
        <f>IF(D15="","",D15/8)</f>
        <v/>
      </c>
      <c r="N15" s="13">
        <f>IF(E15="","",E15/8)</f>
        <v/>
      </c>
      <c r="O15" s="13">
        <f>IF(F15="","",F15/7)</f>
        <v/>
      </c>
      <c r="P15" s="13">
        <f>IF(G15="","",G15/10)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4" t="n"/>
      <c r="H16" s="13">
        <f>IF(COUNT(C16:G16)&lt;5,"",SUM(C16:G16))</f>
        <v/>
      </c>
      <c r="I16" s="13">
        <f>IF(COUNT(C16:G16)&lt;5,"",H16/39)</f>
        <v/>
      </c>
      <c r="J16" s="13">
        <f>IF(COUNT(C16:G16)&lt;5,"",IF(I16&gt;=0.8,"Green",IF(I16&gt;=0.5,"Yellow","Red")))</f>
        <v/>
      </c>
      <c r="K16" s="13">
        <f>IF(COUNT(C16:G16)&lt;5,"",IF(J16="Green","Well done! "&amp;Parameters!$C$338,"Revise: "&amp;_xlfn.TEXTJOIN(", ",TRUE(),IF(L16&lt;1,Parameters!$A$328,""),IF(M16&lt;1,Parameters!$A$329,""),IF(N16&lt;1,Parameters!$A$330,""),IF(O16&lt;1,Parameters!$A$331,""),IF(P16&lt;1,Parameters!$A$332,""))))</f>
        <v/>
      </c>
      <c r="L16" s="13">
        <f>IF(C16="","",C16/6)</f>
        <v/>
      </c>
      <c r="M16" s="13">
        <f>IF(D16="","",D16/8)</f>
        <v/>
      </c>
      <c r="N16" s="13">
        <f>IF(E16="","",E16/8)</f>
        <v/>
      </c>
      <c r="O16" s="13">
        <f>IF(F16="","",F16/7)</f>
        <v/>
      </c>
      <c r="P16" s="13">
        <f>IF(G16="","",G16/10)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4" t="n"/>
      <c r="H17" s="13">
        <f>IF(COUNT(C17:G17)&lt;5,"",SUM(C17:G17))</f>
        <v/>
      </c>
      <c r="I17" s="13">
        <f>IF(COUNT(C17:G17)&lt;5,"",H17/39)</f>
        <v/>
      </c>
      <c r="J17" s="13">
        <f>IF(COUNT(C17:G17)&lt;5,"",IF(I17&gt;=0.8,"Green",IF(I17&gt;=0.5,"Yellow","Red")))</f>
        <v/>
      </c>
      <c r="K17" s="13">
        <f>IF(COUNT(C17:G17)&lt;5,"",IF(J17="Green","Well done! "&amp;Parameters!$C$338,"Revise: "&amp;_xlfn.TEXTJOIN(", ",TRUE(),IF(L17&lt;1,Parameters!$A$328,""),IF(M17&lt;1,Parameters!$A$329,""),IF(N17&lt;1,Parameters!$A$330,""),IF(O17&lt;1,Parameters!$A$331,""),IF(P17&lt;1,Parameters!$A$332,""))))</f>
        <v/>
      </c>
      <c r="L17" s="13">
        <f>IF(C17="","",C17/6)</f>
        <v/>
      </c>
      <c r="M17" s="13">
        <f>IF(D17="","",D17/8)</f>
        <v/>
      </c>
      <c r="N17" s="13">
        <f>IF(E17="","",E17/8)</f>
        <v/>
      </c>
      <c r="O17" s="13">
        <f>IF(F17="","",F17/7)</f>
        <v/>
      </c>
      <c r="P17" s="13">
        <f>IF(G17="","",G17/10)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4" t="n"/>
      <c r="H18" s="13">
        <f>IF(COUNT(C18:G18)&lt;5,"",SUM(C18:G18))</f>
        <v/>
      </c>
      <c r="I18" s="13">
        <f>IF(COUNT(C18:G18)&lt;5,"",H18/39)</f>
        <v/>
      </c>
      <c r="J18" s="13">
        <f>IF(COUNT(C18:G18)&lt;5,"",IF(I18&gt;=0.8,"Green",IF(I18&gt;=0.5,"Yellow","Red")))</f>
        <v/>
      </c>
      <c r="K18" s="13">
        <f>IF(COUNT(C18:G18)&lt;5,"",IF(J18="Green","Well done! "&amp;Parameters!$C$338,"Revise: "&amp;_xlfn.TEXTJOIN(", ",TRUE(),IF(L18&lt;1,Parameters!$A$328,""),IF(M18&lt;1,Parameters!$A$329,""),IF(N18&lt;1,Parameters!$A$330,""),IF(O18&lt;1,Parameters!$A$331,""),IF(P18&lt;1,Parameters!$A$332,""))))</f>
        <v/>
      </c>
      <c r="L18" s="13">
        <f>IF(C18="","",C18/6)</f>
        <v/>
      </c>
      <c r="M18" s="13">
        <f>IF(D18="","",D18/8)</f>
        <v/>
      </c>
      <c r="N18" s="13">
        <f>IF(E18="","",E18/8)</f>
        <v/>
      </c>
      <c r="O18" s="13">
        <f>IF(F18="","",F18/7)</f>
        <v/>
      </c>
      <c r="P18" s="13">
        <f>IF(G18="","",G18/10)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4" t="n"/>
      <c r="H19" s="13">
        <f>IF(COUNT(C19:G19)&lt;5,"",SUM(C19:G19))</f>
        <v/>
      </c>
      <c r="I19" s="13">
        <f>IF(COUNT(C19:G19)&lt;5,"",H19/39)</f>
        <v/>
      </c>
      <c r="J19" s="13">
        <f>IF(COUNT(C19:G19)&lt;5,"",IF(I19&gt;=0.8,"Green",IF(I19&gt;=0.5,"Yellow","Red")))</f>
        <v/>
      </c>
      <c r="K19" s="13">
        <f>IF(COUNT(C19:G19)&lt;5,"",IF(J19="Green","Well done! "&amp;Parameters!$C$338,"Revise: "&amp;_xlfn.TEXTJOIN(", ",TRUE(),IF(L19&lt;1,Parameters!$A$328,""),IF(M19&lt;1,Parameters!$A$329,""),IF(N19&lt;1,Parameters!$A$330,""),IF(O19&lt;1,Parameters!$A$331,""),IF(P19&lt;1,Parameters!$A$332,""))))</f>
        <v/>
      </c>
      <c r="L19" s="13">
        <f>IF(C19="","",C19/6)</f>
        <v/>
      </c>
      <c r="M19" s="13">
        <f>IF(D19="","",D19/8)</f>
        <v/>
      </c>
      <c r="N19" s="13">
        <f>IF(E19="","",E19/8)</f>
        <v/>
      </c>
      <c r="O19" s="13">
        <f>IF(F19="","",F19/7)</f>
        <v/>
      </c>
      <c r="P19" s="13">
        <f>IF(G19="","",G19/10)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4" t="n"/>
      <c r="H20" s="13">
        <f>IF(COUNT(C20:G20)&lt;5,"",SUM(C20:G20))</f>
        <v/>
      </c>
      <c r="I20" s="13">
        <f>IF(COUNT(C20:G20)&lt;5,"",H20/39)</f>
        <v/>
      </c>
      <c r="J20" s="13">
        <f>IF(COUNT(C20:G20)&lt;5,"",IF(I20&gt;=0.8,"Green",IF(I20&gt;=0.5,"Yellow","Red")))</f>
        <v/>
      </c>
      <c r="K20" s="13">
        <f>IF(COUNT(C20:G20)&lt;5,"",IF(J20="Green","Well done! "&amp;Parameters!$C$338,"Revise: "&amp;_xlfn.TEXTJOIN(", ",TRUE(),IF(L20&lt;1,Parameters!$A$328,""),IF(M20&lt;1,Parameters!$A$329,""),IF(N20&lt;1,Parameters!$A$330,""),IF(O20&lt;1,Parameters!$A$331,""),IF(P20&lt;1,Parameters!$A$332,""))))</f>
        <v/>
      </c>
      <c r="L20" s="13">
        <f>IF(C20="","",C20/6)</f>
        <v/>
      </c>
      <c r="M20" s="13">
        <f>IF(D20="","",D20/8)</f>
        <v/>
      </c>
      <c r="N20" s="13">
        <f>IF(E20="","",E20/8)</f>
        <v/>
      </c>
      <c r="O20" s="13">
        <f>IF(F20="","",F20/7)</f>
        <v/>
      </c>
      <c r="P20" s="13">
        <f>IF(G20="","",G20/10)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4" t="n"/>
      <c r="H21" s="13">
        <f>IF(COUNT(C21:G21)&lt;5,"",SUM(C21:G21))</f>
        <v/>
      </c>
      <c r="I21" s="13">
        <f>IF(COUNT(C21:G21)&lt;5,"",H21/39)</f>
        <v/>
      </c>
      <c r="J21" s="13">
        <f>IF(COUNT(C21:G21)&lt;5,"",IF(I21&gt;=0.8,"Green",IF(I21&gt;=0.5,"Yellow","Red")))</f>
        <v/>
      </c>
      <c r="K21" s="13">
        <f>IF(COUNT(C21:G21)&lt;5,"",IF(J21="Green","Well done! "&amp;Parameters!$C$338,"Revise: "&amp;_xlfn.TEXTJOIN(", ",TRUE(),IF(L21&lt;1,Parameters!$A$328,""),IF(M21&lt;1,Parameters!$A$329,""),IF(N21&lt;1,Parameters!$A$330,""),IF(O21&lt;1,Parameters!$A$331,""),IF(P21&lt;1,Parameters!$A$332,""))))</f>
        <v/>
      </c>
      <c r="L21" s="13">
        <f>IF(C21="","",C21/6)</f>
        <v/>
      </c>
      <c r="M21" s="13">
        <f>IF(D21="","",D21/8)</f>
        <v/>
      </c>
      <c r="N21" s="13">
        <f>IF(E21="","",E21/8)</f>
        <v/>
      </c>
      <c r="O21" s="13">
        <f>IF(F21="","",F21/7)</f>
        <v/>
      </c>
      <c r="P21" s="13">
        <f>IF(G21="","",G21/10)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4" t="n"/>
      <c r="H22" s="13">
        <f>IF(COUNT(C22:G22)&lt;5,"",SUM(C22:G22))</f>
        <v/>
      </c>
      <c r="I22" s="13">
        <f>IF(COUNT(C22:G22)&lt;5,"",H22/39)</f>
        <v/>
      </c>
      <c r="J22" s="13">
        <f>IF(COUNT(C22:G22)&lt;5,"",IF(I22&gt;=0.8,"Green",IF(I22&gt;=0.5,"Yellow","Red")))</f>
        <v/>
      </c>
      <c r="K22" s="13">
        <f>IF(COUNT(C22:G22)&lt;5,"",IF(J22="Green","Well done! "&amp;Parameters!$C$338,"Revise: "&amp;_xlfn.TEXTJOIN(", ",TRUE(),IF(L22&lt;1,Parameters!$A$328,""),IF(M22&lt;1,Parameters!$A$329,""),IF(N22&lt;1,Parameters!$A$330,""),IF(O22&lt;1,Parameters!$A$331,""),IF(P22&lt;1,Parameters!$A$332,""))))</f>
        <v/>
      </c>
      <c r="L22" s="13">
        <f>IF(C22="","",C22/6)</f>
        <v/>
      </c>
      <c r="M22" s="13">
        <f>IF(D22="","",D22/8)</f>
        <v/>
      </c>
      <c r="N22" s="13">
        <f>IF(E22="","",E22/8)</f>
        <v/>
      </c>
      <c r="O22" s="13">
        <f>IF(F22="","",F22/7)</f>
        <v/>
      </c>
      <c r="P22" s="13">
        <f>IF(G22="","",G22/10)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4" t="n"/>
      <c r="H23" s="13">
        <f>IF(COUNT(C23:G23)&lt;5,"",SUM(C23:G23))</f>
        <v/>
      </c>
      <c r="I23" s="13">
        <f>IF(COUNT(C23:G23)&lt;5,"",H23/39)</f>
        <v/>
      </c>
      <c r="J23" s="13">
        <f>IF(COUNT(C23:G23)&lt;5,"",IF(I23&gt;=0.8,"Green",IF(I23&gt;=0.5,"Yellow","Red")))</f>
        <v/>
      </c>
      <c r="K23" s="13">
        <f>IF(COUNT(C23:G23)&lt;5,"",IF(J23="Green","Well done! "&amp;Parameters!$C$338,"Revise: "&amp;_xlfn.TEXTJOIN(", ",TRUE(),IF(L23&lt;1,Parameters!$A$328,""),IF(M23&lt;1,Parameters!$A$329,""),IF(N23&lt;1,Parameters!$A$330,""),IF(O23&lt;1,Parameters!$A$331,""),IF(P23&lt;1,Parameters!$A$332,""))))</f>
        <v/>
      </c>
      <c r="L23" s="13">
        <f>IF(C23="","",C23/6)</f>
        <v/>
      </c>
      <c r="M23" s="13">
        <f>IF(D23="","",D23/8)</f>
        <v/>
      </c>
      <c r="N23" s="13">
        <f>IF(E23="","",E23/8)</f>
        <v/>
      </c>
      <c r="O23" s="13">
        <f>IF(F23="","",F23/7)</f>
        <v/>
      </c>
      <c r="P23" s="13">
        <f>IF(G23="","",G23/10)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4" t="n"/>
      <c r="H24" s="13">
        <f>IF(COUNT(C24:G24)&lt;5,"",SUM(C24:G24))</f>
        <v/>
      </c>
      <c r="I24" s="13">
        <f>IF(COUNT(C24:G24)&lt;5,"",H24/39)</f>
        <v/>
      </c>
      <c r="J24" s="13">
        <f>IF(COUNT(C24:G24)&lt;5,"",IF(I24&gt;=0.8,"Green",IF(I24&gt;=0.5,"Yellow","Red")))</f>
        <v/>
      </c>
      <c r="K24" s="13">
        <f>IF(COUNT(C24:G24)&lt;5,"",IF(J24="Green","Well done! "&amp;Parameters!$C$338,"Revise: "&amp;_xlfn.TEXTJOIN(", ",TRUE(),IF(L24&lt;1,Parameters!$A$328,""),IF(M24&lt;1,Parameters!$A$329,""),IF(N24&lt;1,Parameters!$A$330,""),IF(O24&lt;1,Parameters!$A$331,""),IF(P24&lt;1,Parameters!$A$332,""))))</f>
        <v/>
      </c>
      <c r="L24" s="13">
        <f>IF(C24="","",C24/6)</f>
        <v/>
      </c>
      <c r="M24" s="13">
        <f>IF(D24="","",D24/8)</f>
        <v/>
      </c>
      <c r="N24" s="13">
        <f>IF(E24="","",E24/8)</f>
        <v/>
      </c>
      <c r="O24" s="13">
        <f>IF(F24="","",F24/7)</f>
        <v/>
      </c>
      <c r="P24" s="13">
        <f>IF(G24="","",G24/10)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4" t="n"/>
      <c r="H25" s="13">
        <f>IF(COUNT(C25:G25)&lt;5,"",SUM(C25:G25))</f>
        <v/>
      </c>
      <c r="I25" s="13">
        <f>IF(COUNT(C25:G25)&lt;5,"",H25/39)</f>
        <v/>
      </c>
      <c r="J25" s="13">
        <f>IF(COUNT(C25:G25)&lt;5,"",IF(I25&gt;=0.8,"Green",IF(I25&gt;=0.5,"Yellow","Red")))</f>
        <v/>
      </c>
      <c r="K25" s="13">
        <f>IF(COUNT(C25:G25)&lt;5,"",IF(J25="Green","Well done! "&amp;Parameters!$C$338,"Revise: "&amp;_xlfn.TEXTJOIN(", ",TRUE(),IF(L25&lt;1,Parameters!$A$328,""),IF(M25&lt;1,Parameters!$A$329,""),IF(N25&lt;1,Parameters!$A$330,""),IF(O25&lt;1,Parameters!$A$331,""),IF(P25&lt;1,Parameters!$A$332,""))))</f>
        <v/>
      </c>
      <c r="L25" s="13">
        <f>IF(C25="","",C25/6)</f>
        <v/>
      </c>
      <c r="M25" s="13">
        <f>IF(D25="","",D25/8)</f>
        <v/>
      </c>
      <c r="N25" s="13">
        <f>IF(E25="","",E25/8)</f>
        <v/>
      </c>
      <c r="O25" s="13">
        <f>IF(F25="","",F25/7)</f>
        <v/>
      </c>
      <c r="P25" s="13">
        <f>IF(G25="","",G25/10)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4" t="n"/>
      <c r="H26" s="13">
        <f>IF(COUNT(C26:G26)&lt;5,"",SUM(C26:G26))</f>
        <v/>
      </c>
      <c r="I26" s="13">
        <f>IF(COUNT(C26:G26)&lt;5,"",H26/39)</f>
        <v/>
      </c>
      <c r="J26" s="13">
        <f>IF(COUNT(C26:G26)&lt;5,"",IF(I26&gt;=0.8,"Green",IF(I26&gt;=0.5,"Yellow","Red")))</f>
        <v/>
      </c>
      <c r="K26" s="13">
        <f>IF(COUNT(C26:G26)&lt;5,"",IF(J26="Green","Well done! "&amp;Parameters!$C$338,"Revise: "&amp;_xlfn.TEXTJOIN(", ",TRUE(),IF(L26&lt;1,Parameters!$A$328,""),IF(M26&lt;1,Parameters!$A$329,""),IF(N26&lt;1,Parameters!$A$330,""),IF(O26&lt;1,Parameters!$A$331,""),IF(P26&lt;1,Parameters!$A$332,""))))</f>
        <v/>
      </c>
      <c r="L26" s="13">
        <f>IF(C26="","",C26/6)</f>
        <v/>
      </c>
      <c r="M26" s="13">
        <f>IF(D26="","",D26/8)</f>
        <v/>
      </c>
      <c r="N26" s="13">
        <f>IF(E26="","",E26/8)</f>
        <v/>
      </c>
      <c r="O26" s="13">
        <f>IF(F26="","",F26/7)</f>
        <v/>
      </c>
      <c r="P26" s="13">
        <f>IF(G26="","",G26/10)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4" t="n"/>
      <c r="H27" s="13">
        <f>IF(COUNT(C27:G27)&lt;5,"",SUM(C27:G27))</f>
        <v/>
      </c>
      <c r="I27" s="13">
        <f>IF(COUNT(C27:G27)&lt;5,"",H27/39)</f>
        <v/>
      </c>
      <c r="J27" s="13">
        <f>IF(COUNT(C27:G27)&lt;5,"",IF(I27&gt;=0.8,"Green",IF(I27&gt;=0.5,"Yellow","Red")))</f>
        <v/>
      </c>
      <c r="K27" s="13">
        <f>IF(COUNT(C27:G27)&lt;5,"",IF(J27="Green","Well done! "&amp;Parameters!$C$338,"Revise: "&amp;_xlfn.TEXTJOIN(", ",TRUE(),IF(L27&lt;1,Parameters!$A$328,""),IF(M27&lt;1,Parameters!$A$329,""),IF(N27&lt;1,Parameters!$A$330,""),IF(O27&lt;1,Parameters!$A$331,""),IF(P27&lt;1,Parameters!$A$332,""))))</f>
        <v/>
      </c>
      <c r="L27" s="13">
        <f>IF(C27="","",C27/6)</f>
        <v/>
      </c>
      <c r="M27" s="13">
        <f>IF(D27="","",D27/8)</f>
        <v/>
      </c>
      <c r="N27" s="13">
        <f>IF(E27="","",E27/8)</f>
        <v/>
      </c>
      <c r="O27" s="13">
        <f>IF(F27="","",F27/7)</f>
        <v/>
      </c>
      <c r="P27" s="13">
        <f>IF(G27="","",G27/10)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4" t="n"/>
      <c r="H28" s="13">
        <f>IF(COUNT(C28:G28)&lt;5,"",SUM(C28:G28))</f>
        <v/>
      </c>
      <c r="I28" s="13">
        <f>IF(COUNT(C28:G28)&lt;5,"",H28/39)</f>
        <v/>
      </c>
      <c r="J28" s="13">
        <f>IF(COUNT(C28:G28)&lt;5,"",IF(I28&gt;=0.8,"Green",IF(I28&gt;=0.5,"Yellow","Red")))</f>
        <v/>
      </c>
      <c r="K28" s="13">
        <f>IF(COUNT(C28:G28)&lt;5,"",IF(J28="Green","Well done! "&amp;Parameters!$C$338,"Revise: "&amp;_xlfn.TEXTJOIN(", ",TRUE(),IF(L28&lt;1,Parameters!$A$328,""),IF(M28&lt;1,Parameters!$A$329,""),IF(N28&lt;1,Parameters!$A$330,""),IF(O28&lt;1,Parameters!$A$331,""),IF(P28&lt;1,Parameters!$A$332,""))))</f>
        <v/>
      </c>
      <c r="L28" s="13">
        <f>IF(C28="","",C28/6)</f>
        <v/>
      </c>
      <c r="M28" s="13">
        <f>IF(D28="","",D28/8)</f>
        <v/>
      </c>
      <c r="N28" s="13">
        <f>IF(E28="","",E28/8)</f>
        <v/>
      </c>
      <c r="O28" s="13">
        <f>IF(F28="","",F28/7)</f>
        <v/>
      </c>
      <c r="P28" s="13">
        <f>IF(G28="","",G28/10)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4" t="n"/>
      <c r="H29" s="13">
        <f>IF(COUNT(C29:G29)&lt;5,"",SUM(C29:G29))</f>
        <v/>
      </c>
      <c r="I29" s="13">
        <f>IF(COUNT(C29:G29)&lt;5,"",H29/39)</f>
        <v/>
      </c>
      <c r="J29" s="13">
        <f>IF(COUNT(C29:G29)&lt;5,"",IF(I29&gt;=0.8,"Green",IF(I29&gt;=0.5,"Yellow","Red")))</f>
        <v/>
      </c>
      <c r="K29" s="13">
        <f>IF(COUNT(C29:G29)&lt;5,"",IF(J29="Green","Well done! "&amp;Parameters!$C$338,"Revise: "&amp;_xlfn.TEXTJOIN(", ",TRUE(),IF(L29&lt;1,Parameters!$A$328,""),IF(M29&lt;1,Parameters!$A$329,""),IF(N29&lt;1,Parameters!$A$330,""),IF(O29&lt;1,Parameters!$A$331,""),IF(P29&lt;1,Parameters!$A$332,""))))</f>
        <v/>
      </c>
      <c r="L29" s="13">
        <f>IF(C29="","",C29/6)</f>
        <v/>
      </c>
      <c r="M29" s="13">
        <f>IF(D29="","",D29/8)</f>
        <v/>
      </c>
      <c r="N29" s="13">
        <f>IF(E29="","",E29/8)</f>
        <v/>
      </c>
      <c r="O29" s="13">
        <f>IF(F29="","",F29/7)</f>
        <v/>
      </c>
      <c r="P29" s="13">
        <f>IF(G29="","",G29/10)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4" t="n"/>
      <c r="H30" s="13">
        <f>IF(COUNT(C30:G30)&lt;5,"",SUM(C30:G30))</f>
        <v/>
      </c>
      <c r="I30" s="13">
        <f>IF(COUNT(C30:G30)&lt;5,"",H30/39)</f>
        <v/>
      </c>
      <c r="J30" s="13">
        <f>IF(COUNT(C30:G30)&lt;5,"",IF(I30&gt;=0.8,"Green",IF(I30&gt;=0.5,"Yellow","Red")))</f>
        <v/>
      </c>
      <c r="K30" s="13">
        <f>IF(COUNT(C30:G30)&lt;5,"",IF(J30="Green","Well done! "&amp;Parameters!$C$338,"Revise: "&amp;_xlfn.TEXTJOIN(", ",TRUE(),IF(L30&lt;1,Parameters!$A$328,""),IF(M30&lt;1,Parameters!$A$329,""),IF(N30&lt;1,Parameters!$A$330,""),IF(O30&lt;1,Parameters!$A$331,""),IF(P30&lt;1,Parameters!$A$332,""))))</f>
        <v/>
      </c>
      <c r="L30" s="13">
        <f>IF(C30="","",C30/6)</f>
        <v/>
      </c>
      <c r="M30" s="13">
        <f>IF(D30="","",D30/8)</f>
        <v/>
      </c>
      <c r="N30" s="13">
        <f>IF(E30="","",E30/8)</f>
        <v/>
      </c>
      <c r="O30" s="13">
        <f>IF(F30="","",F30/7)</f>
        <v/>
      </c>
      <c r="P30" s="13">
        <f>IF(G30="","",G30/10)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4" t="n"/>
      <c r="H31" s="13">
        <f>IF(COUNT(C31:G31)&lt;5,"",SUM(C31:G31))</f>
        <v/>
      </c>
      <c r="I31" s="13">
        <f>IF(COUNT(C31:G31)&lt;5,"",H31/39)</f>
        <v/>
      </c>
      <c r="J31" s="13">
        <f>IF(COUNT(C31:G31)&lt;5,"",IF(I31&gt;=0.8,"Green",IF(I31&gt;=0.5,"Yellow","Red")))</f>
        <v/>
      </c>
      <c r="K31" s="13">
        <f>IF(COUNT(C31:G31)&lt;5,"",IF(J31="Green","Well done! "&amp;Parameters!$C$338,"Revise: "&amp;_xlfn.TEXTJOIN(", ",TRUE(),IF(L31&lt;1,Parameters!$A$328,""),IF(M31&lt;1,Parameters!$A$329,""),IF(N31&lt;1,Parameters!$A$330,""),IF(O31&lt;1,Parameters!$A$331,""),IF(P31&lt;1,Parameters!$A$332,""))))</f>
        <v/>
      </c>
      <c r="L31" s="13">
        <f>IF(C31="","",C31/6)</f>
        <v/>
      </c>
      <c r="M31" s="13">
        <f>IF(D31="","",D31/8)</f>
        <v/>
      </c>
      <c r="N31" s="13">
        <f>IF(E31="","",E31/8)</f>
        <v/>
      </c>
      <c r="O31" s="13">
        <f>IF(F31="","",F31/7)</f>
        <v/>
      </c>
      <c r="P31" s="13">
        <f>IF(G31="","",G31/10)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4" t="n"/>
      <c r="H32" s="13">
        <f>IF(COUNT(C32:G32)&lt;5,"",SUM(C32:G32))</f>
        <v/>
      </c>
      <c r="I32" s="13">
        <f>IF(COUNT(C32:G32)&lt;5,"",H32/39)</f>
        <v/>
      </c>
      <c r="J32" s="13">
        <f>IF(COUNT(C32:G32)&lt;5,"",IF(I32&gt;=0.8,"Green",IF(I32&gt;=0.5,"Yellow","Red")))</f>
        <v/>
      </c>
      <c r="K32" s="13">
        <f>IF(COUNT(C32:G32)&lt;5,"",IF(J32="Green","Well done! "&amp;Parameters!$C$338,"Revise: "&amp;_xlfn.TEXTJOIN(", ",TRUE(),IF(L32&lt;1,Parameters!$A$328,""),IF(M32&lt;1,Parameters!$A$329,""),IF(N32&lt;1,Parameters!$A$330,""),IF(O32&lt;1,Parameters!$A$331,""),IF(P32&lt;1,Parameters!$A$332,""))))</f>
        <v/>
      </c>
      <c r="L32" s="13">
        <f>IF(C32="","",C32/6)</f>
        <v/>
      </c>
      <c r="M32" s="13">
        <f>IF(D32="","",D32/8)</f>
        <v/>
      </c>
      <c r="N32" s="13">
        <f>IF(E32="","",E32/8)</f>
        <v/>
      </c>
      <c r="O32" s="13">
        <f>IF(F32="","",F32/7)</f>
        <v/>
      </c>
      <c r="P32" s="13">
        <f>IF(G32="","",G32/10)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4" t="n"/>
      <c r="H33" s="13">
        <f>IF(COUNT(C33:G33)&lt;5,"",SUM(C33:G33))</f>
        <v/>
      </c>
      <c r="I33" s="13">
        <f>IF(COUNT(C33:G33)&lt;5,"",H33/39)</f>
        <v/>
      </c>
      <c r="J33" s="13">
        <f>IF(COUNT(C33:G33)&lt;5,"",IF(I33&gt;=0.8,"Green",IF(I33&gt;=0.5,"Yellow","Red")))</f>
        <v/>
      </c>
      <c r="K33" s="13">
        <f>IF(COUNT(C33:G33)&lt;5,"",IF(J33="Green","Well done! "&amp;Parameters!$C$338,"Revise: "&amp;_xlfn.TEXTJOIN(", ",TRUE(),IF(L33&lt;1,Parameters!$A$328,""),IF(M33&lt;1,Parameters!$A$329,""),IF(N33&lt;1,Parameters!$A$330,""),IF(O33&lt;1,Parameters!$A$331,""),IF(P33&lt;1,Parameters!$A$332,""))))</f>
        <v/>
      </c>
      <c r="L33" s="13">
        <f>IF(C33="","",C33/6)</f>
        <v/>
      </c>
      <c r="M33" s="13">
        <f>IF(D33="","",D33/8)</f>
        <v/>
      </c>
      <c r="N33" s="13">
        <f>IF(E33="","",E33/8)</f>
        <v/>
      </c>
      <c r="O33" s="13">
        <f>IF(F33="","",F33/7)</f>
        <v/>
      </c>
      <c r="P33" s="13">
        <f>IF(G33="","",G33/10)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4" t="n"/>
      <c r="H34" s="13">
        <f>IF(COUNT(C34:G34)&lt;5,"",SUM(C34:G34))</f>
        <v/>
      </c>
      <c r="I34" s="13">
        <f>IF(COUNT(C34:G34)&lt;5,"",H34/39)</f>
        <v/>
      </c>
      <c r="J34" s="13">
        <f>IF(COUNT(C34:G34)&lt;5,"",IF(I34&gt;=0.8,"Green",IF(I34&gt;=0.5,"Yellow","Red")))</f>
        <v/>
      </c>
      <c r="K34" s="13">
        <f>IF(COUNT(C34:G34)&lt;5,"",IF(J34="Green","Well done! "&amp;Parameters!$C$338,"Revise: "&amp;_xlfn.TEXTJOIN(", ",TRUE(),IF(L34&lt;1,Parameters!$A$328,""),IF(M34&lt;1,Parameters!$A$329,""),IF(N34&lt;1,Parameters!$A$330,""),IF(O34&lt;1,Parameters!$A$331,""),IF(P34&lt;1,Parameters!$A$332,""))))</f>
        <v/>
      </c>
      <c r="L34" s="13">
        <f>IF(C34="","",C34/6)</f>
        <v/>
      </c>
      <c r="M34" s="13">
        <f>IF(D34="","",D34/8)</f>
        <v/>
      </c>
      <c r="N34" s="13">
        <f>IF(E34="","",E34/8)</f>
        <v/>
      </c>
      <c r="O34" s="13">
        <f>IF(F34="","",F34/7)</f>
        <v/>
      </c>
      <c r="P34" s="13">
        <f>IF(G34="","",G34/10)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4" t="n"/>
      <c r="H35" s="13">
        <f>IF(COUNT(C35:G35)&lt;5,"",SUM(C35:G35))</f>
        <v/>
      </c>
      <c r="I35" s="13">
        <f>IF(COUNT(C35:G35)&lt;5,"",H35/39)</f>
        <v/>
      </c>
      <c r="J35" s="13">
        <f>IF(COUNT(C35:G35)&lt;5,"",IF(I35&gt;=0.8,"Green",IF(I35&gt;=0.5,"Yellow","Red")))</f>
        <v/>
      </c>
      <c r="K35" s="13">
        <f>IF(COUNT(C35:G35)&lt;5,"",IF(J35="Green","Well done! "&amp;Parameters!$C$338,"Revise: "&amp;_xlfn.TEXTJOIN(", ",TRUE(),IF(L35&lt;1,Parameters!$A$328,""),IF(M35&lt;1,Parameters!$A$329,""),IF(N35&lt;1,Parameters!$A$330,""),IF(O35&lt;1,Parameters!$A$331,""),IF(P35&lt;1,Parameters!$A$332,""))))</f>
        <v/>
      </c>
      <c r="L35" s="13">
        <f>IF(C35="","",C35/6)</f>
        <v/>
      </c>
      <c r="M35" s="13">
        <f>IF(D35="","",D35/8)</f>
        <v/>
      </c>
      <c r="N35" s="13">
        <f>IF(E35="","",E35/8)</f>
        <v/>
      </c>
      <c r="O35" s="13">
        <f>IF(F35="","",F35/7)</f>
        <v/>
      </c>
      <c r="P35" s="13">
        <f>IF(G35="","",G35/10)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4" t="n"/>
      <c r="H36" s="13">
        <f>IF(COUNT(C36:G36)&lt;5,"",SUM(C36:G36))</f>
        <v/>
      </c>
      <c r="I36" s="13">
        <f>IF(COUNT(C36:G36)&lt;5,"",H36/39)</f>
        <v/>
      </c>
      <c r="J36" s="13">
        <f>IF(COUNT(C36:G36)&lt;5,"",IF(I36&gt;=0.8,"Green",IF(I36&gt;=0.5,"Yellow","Red")))</f>
        <v/>
      </c>
      <c r="K36" s="13">
        <f>IF(COUNT(C36:G36)&lt;5,"",IF(J36="Green","Well done! "&amp;Parameters!$C$338,"Revise: "&amp;_xlfn.TEXTJOIN(", ",TRUE(),IF(L36&lt;1,Parameters!$A$328,""),IF(M36&lt;1,Parameters!$A$329,""),IF(N36&lt;1,Parameters!$A$330,""),IF(O36&lt;1,Parameters!$A$331,""),IF(P36&lt;1,Parameters!$A$332,""))))</f>
        <v/>
      </c>
      <c r="L36" s="13">
        <f>IF(C36="","",C36/6)</f>
        <v/>
      </c>
      <c r="M36" s="13">
        <f>IF(D36="","",D36/8)</f>
        <v/>
      </c>
      <c r="N36" s="13">
        <f>IF(E36="","",E36/8)</f>
        <v/>
      </c>
      <c r="O36" s="13">
        <f>IF(F36="","",F36/7)</f>
        <v/>
      </c>
      <c r="P36" s="13">
        <f>IF(G36="","",G36/10)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4" t="n"/>
      <c r="H37" s="13">
        <f>IF(COUNT(C37:G37)&lt;5,"",SUM(C37:G37))</f>
        <v/>
      </c>
      <c r="I37" s="13">
        <f>IF(COUNT(C37:G37)&lt;5,"",H37/39)</f>
        <v/>
      </c>
      <c r="J37" s="13">
        <f>IF(COUNT(C37:G37)&lt;5,"",IF(I37&gt;=0.8,"Green",IF(I37&gt;=0.5,"Yellow","Red")))</f>
        <v/>
      </c>
      <c r="K37" s="13">
        <f>IF(COUNT(C37:G37)&lt;5,"",IF(J37="Green","Well done! "&amp;Parameters!$C$338,"Revise: "&amp;_xlfn.TEXTJOIN(", ",TRUE(),IF(L37&lt;1,Parameters!$A$328,""),IF(M37&lt;1,Parameters!$A$329,""),IF(N37&lt;1,Parameters!$A$330,""),IF(O37&lt;1,Parameters!$A$331,""),IF(P37&lt;1,Parameters!$A$332,""))))</f>
        <v/>
      </c>
      <c r="L37" s="13">
        <f>IF(C37="","",C37/6)</f>
        <v/>
      </c>
      <c r="M37" s="13">
        <f>IF(D37="","",D37/8)</f>
        <v/>
      </c>
      <c r="N37" s="13">
        <f>IF(E37="","",E37/8)</f>
        <v/>
      </c>
      <c r="O37" s="13">
        <f>IF(F37="","",F37/7)</f>
        <v/>
      </c>
      <c r="P37" s="13">
        <f>IF(G37="","",G37/10)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4" t="n"/>
      <c r="H38" s="13">
        <f>IF(COUNT(C38:G38)&lt;5,"",SUM(C38:G38))</f>
        <v/>
      </c>
      <c r="I38" s="13">
        <f>IF(COUNT(C38:G38)&lt;5,"",H38/39)</f>
        <v/>
      </c>
      <c r="J38" s="13">
        <f>IF(COUNT(C38:G38)&lt;5,"",IF(I38&gt;=0.8,"Green",IF(I38&gt;=0.5,"Yellow","Red")))</f>
        <v/>
      </c>
      <c r="K38" s="13">
        <f>IF(COUNT(C38:G38)&lt;5,"",IF(J38="Green","Well done! "&amp;Parameters!$C$338,"Revise: "&amp;_xlfn.TEXTJOIN(", ",TRUE(),IF(L38&lt;1,Parameters!$A$328,""),IF(M38&lt;1,Parameters!$A$329,""),IF(N38&lt;1,Parameters!$A$330,""),IF(O38&lt;1,Parameters!$A$331,""),IF(P38&lt;1,Parameters!$A$332,""))))</f>
        <v/>
      </c>
      <c r="L38" s="13">
        <f>IF(C38="","",C38/6)</f>
        <v/>
      </c>
      <c r="M38" s="13">
        <f>IF(D38="","",D38/8)</f>
        <v/>
      </c>
      <c r="N38" s="13">
        <f>IF(E38="","",E38/8)</f>
        <v/>
      </c>
      <c r="O38" s="13">
        <f>IF(F38="","",F38/7)</f>
        <v/>
      </c>
      <c r="P38" s="13">
        <f>IF(G38="","",G38/10)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4" t="n"/>
      <c r="H39" s="13">
        <f>IF(COUNT(C39:G39)&lt;5,"",SUM(C39:G39))</f>
        <v/>
      </c>
      <c r="I39" s="13">
        <f>IF(COUNT(C39:G39)&lt;5,"",H39/39)</f>
        <v/>
      </c>
      <c r="J39" s="13">
        <f>IF(COUNT(C39:G39)&lt;5,"",IF(I39&gt;=0.8,"Green",IF(I39&gt;=0.5,"Yellow","Red")))</f>
        <v/>
      </c>
      <c r="K39" s="13">
        <f>IF(COUNT(C39:G39)&lt;5,"",IF(J39="Green","Well done! "&amp;Parameters!$C$338,"Revise: "&amp;_xlfn.TEXTJOIN(", ",TRUE(),IF(L39&lt;1,Parameters!$A$328,""),IF(M39&lt;1,Parameters!$A$329,""),IF(N39&lt;1,Parameters!$A$330,""),IF(O39&lt;1,Parameters!$A$331,""),IF(P39&lt;1,Parameters!$A$332,""))))</f>
        <v/>
      </c>
      <c r="L39" s="13">
        <f>IF(C39="","",C39/6)</f>
        <v/>
      </c>
      <c r="M39" s="13">
        <f>IF(D39="","",D39/8)</f>
        <v/>
      </c>
      <c r="N39" s="13">
        <f>IF(E39="","",E39/8)</f>
        <v/>
      </c>
      <c r="O39" s="13">
        <f>IF(F39="","",F39/7)</f>
        <v/>
      </c>
      <c r="P39" s="13">
        <f>IF(G39="","",G39/10)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4" t="n"/>
      <c r="H40" s="13">
        <f>IF(COUNT(C40:G40)&lt;5,"",SUM(C40:G40))</f>
        <v/>
      </c>
      <c r="I40" s="13">
        <f>IF(COUNT(C40:G40)&lt;5,"",H40/39)</f>
        <v/>
      </c>
      <c r="J40" s="13">
        <f>IF(COUNT(C40:G40)&lt;5,"",IF(I40&gt;=0.8,"Green",IF(I40&gt;=0.5,"Yellow","Red")))</f>
        <v/>
      </c>
      <c r="K40" s="13">
        <f>IF(COUNT(C40:G40)&lt;5,"",IF(J40="Green","Well done! "&amp;Parameters!$C$338,"Revise: "&amp;_xlfn.TEXTJOIN(", ",TRUE(),IF(L40&lt;1,Parameters!$A$328,""),IF(M40&lt;1,Parameters!$A$329,""),IF(N40&lt;1,Parameters!$A$330,""),IF(O40&lt;1,Parameters!$A$331,""),IF(P40&lt;1,Parameters!$A$332,""))))</f>
        <v/>
      </c>
      <c r="L40" s="13">
        <f>IF(C40="","",C40/6)</f>
        <v/>
      </c>
      <c r="M40" s="13">
        <f>IF(D40="","",D40/8)</f>
        <v/>
      </c>
      <c r="N40" s="13">
        <f>IF(E40="","",E40/8)</f>
        <v/>
      </c>
      <c r="O40" s="13">
        <f>IF(F40="","",F40/7)</f>
        <v/>
      </c>
      <c r="P40" s="13">
        <f>IF(G40="","",G40/10)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4" t="n"/>
      <c r="H41" s="13">
        <f>IF(COUNT(C41:G41)&lt;5,"",SUM(C41:G41))</f>
        <v/>
      </c>
      <c r="I41" s="13">
        <f>IF(COUNT(C41:G41)&lt;5,"",H41/39)</f>
        <v/>
      </c>
      <c r="J41" s="13">
        <f>IF(COUNT(C41:G41)&lt;5,"",IF(I41&gt;=0.8,"Green",IF(I41&gt;=0.5,"Yellow","Red")))</f>
        <v/>
      </c>
      <c r="K41" s="13">
        <f>IF(COUNT(C41:G41)&lt;5,"",IF(J41="Green","Well done! "&amp;Parameters!$C$338,"Revise: "&amp;_xlfn.TEXTJOIN(", ",TRUE(),IF(L41&lt;1,Parameters!$A$328,""),IF(M41&lt;1,Parameters!$A$329,""),IF(N41&lt;1,Parameters!$A$330,""),IF(O41&lt;1,Parameters!$A$331,""),IF(P41&lt;1,Parameters!$A$332,""))))</f>
        <v/>
      </c>
      <c r="L41" s="13">
        <f>IF(C41="","",C41/6)</f>
        <v/>
      </c>
      <c r="M41" s="13">
        <f>IF(D41="","",D41/8)</f>
        <v/>
      </c>
      <c r="N41" s="13">
        <f>IF(E41="","",E41/8)</f>
        <v/>
      </c>
      <c r="O41" s="13">
        <f>IF(F41="","",F41/7)</f>
        <v/>
      </c>
      <c r="P41" s="13">
        <f>IF(G41="","",G41/10)</f>
        <v/>
      </c>
    </row>
  </sheetData>
  <conditionalFormatting sqref="C11">
    <cfRule type="expression" priority="1" dxfId="0">
      <formula>AND(COUNT(C11:G11)=5,C11=6)</formula>
    </cfRule>
    <cfRule type="expression" priority="2" dxfId="1">
      <formula>AND(COUNT(C11:G11)=5,C11&lt;6*0.4)</formula>
    </cfRule>
    <cfRule type="expression" priority="3" dxfId="2">
      <formula>AND(COUNT(C11:G11)=5,C11&gt;=6*0.4,C11&lt;6)</formula>
    </cfRule>
  </conditionalFormatting>
  <conditionalFormatting sqref="C12">
    <cfRule type="expression" priority="4" dxfId="0">
      <formula>AND(COUNT(C12:G12)=5,C12=6)</formula>
    </cfRule>
    <cfRule type="expression" priority="5" dxfId="1">
      <formula>AND(COUNT(C12:G12)=5,C12&lt;6*0.4)</formula>
    </cfRule>
    <cfRule type="expression" priority="6" dxfId="2">
      <formula>AND(COUNT(C12:G12)=5,C12&gt;=6*0.4,C12&lt;6)</formula>
    </cfRule>
  </conditionalFormatting>
  <conditionalFormatting sqref="C13">
    <cfRule type="expression" priority="7" dxfId="0">
      <formula>AND(COUNT(C13:G13)=5,C13=6)</formula>
    </cfRule>
    <cfRule type="expression" priority="8" dxfId="1">
      <formula>AND(COUNT(C13:G13)=5,C13&lt;6*0.4)</formula>
    </cfRule>
    <cfRule type="expression" priority="9" dxfId="2">
      <formula>AND(COUNT(C13:G13)=5,C13&gt;=6*0.4,C13&lt;6)</formula>
    </cfRule>
  </conditionalFormatting>
  <conditionalFormatting sqref="C14">
    <cfRule type="expression" priority="10" dxfId="0">
      <formula>AND(COUNT(C14:G14)=5,C14=6)</formula>
    </cfRule>
    <cfRule type="expression" priority="11" dxfId="1">
      <formula>AND(COUNT(C14:G14)=5,C14&lt;6*0.4)</formula>
    </cfRule>
    <cfRule type="expression" priority="12" dxfId="2">
      <formula>AND(COUNT(C14:G14)=5,C14&gt;=6*0.4,C14&lt;6)</formula>
    </cfRule>
  </conditionalFormatting>
  <conditionalFormatting sqref="C15">
    <cfRule type="expression" priority="13" dxfId="0">
      <formula>AND(COUNT(C15:G15)=5,C15=6)</formula>
    </cfRule>
    <cfRule type="expression" priority="14" dxfId="1">
      <formula>AND(COUNT(C15:G15)=5,C15&lt;6*0.4)</formula>
    </cfRule>
    <cfRule type="expression" priority="15" dxfId="2">
      <formula>AND(COUNT(C15:G15)=5,C15&gt;=6*0.4,C15&lt;6)</formula>
    </cfRule>
  </conditionalFormatting>
  <conditionalFormatting sqref="C16">
    <cfRule type="expression" priority="16" dxfId="0">
      <formula>AND(COUNT(C16:G16)=5,C16=6)</formula>
    </cfRule>
    <cfRule type="expression" priority="17" dxfId="1">
      <formula>AND(COUNT(C16:G16)=5,C16&lt;6*0.4)</formula>
    </cfRule>
    <cfRule type="expression" priority="18" dxfId="2">
      <formula>AND(COUNT(C16:G16)=5,C16&gt;=6*0.4,C16&lt;6)</formula>
    </cfRule>
  </conditionalFormatting>
  <conditionalFormatting sqref="C17">
    <cfRule type="expression" priority="19" dxfId="0">
      <formula>AND(COUNT(C17:G17)=5,C17=6)</formula>
    </cfRule>
    <cfRule type="expression" priority="20" dxfId="1">
      <formula>AND(COUNT(C17:G17)=5,C17&lt;6*0.4)</formula>
    </cfRule>
    <cfRule type="expression" priority="21" dxfId="2">
      <formula>AND(COUNT(C17:G17)=5,C17&gt;=6*0.4,C17&lt;6)</formula>
    </cfRule>
  </conditionalFormatting>
  <conditionalFormatting sqref="C18">
    <cfRule type="expression" priority="22" dxfId="0">
      <formula>AND(COUNT(C18:G18)=5,C18=6)</formula>
    </cfRule>
    <cfRule type="expression" priority="23" dxfId="1">
      <formula>AND(COUNT(C18:G18)=5,C18&lt;6*0.4)</formula>
    </cfRule>
    <cfRule type="expression" priority="24" dxfId="2">
      <formula>AND(COUNT(C18:G18)=5,C18&gt;=6*0.4,C18&lt;6)</formula>
    </cfRule>
  </conditionalFormatting>
  <conditionalFormatting sqref="C19">
    <cfRule type="expression" priority="25" dxfId="0">
      <formula>AND(COUNT(C19:G19)=5,C19=6)</formula>
    </cfRule>
    <cfRule type="expression" priority="26" dxfId="1">
      <formula>AND(COUNT(C19:G19)=5,C19&lt;6*0.4)</formula>
    </cfRule>
    <cfRule type="expression" priority="27" dxfId="2">
      <formula>AND(COUNT(C19:G19)=5,C19&gt;=6*0.4,C19&lt;6)</formula>
    </cfRule>
  </conditionalFormatting>
  <conditionalFormatting sqref="C20">
    <cfRule type="expression" priority="28" dxfId="0">
      <formula>AND(COUNT(C20:G20)=5,C20=6)</formula>
    </cfRule>
    <cfRule type="expression" priority="29" dxfId="1">
      <formula>AND(COUNT(C20:G20)=5,C20&lt;6*0.4)</formula>
    </cfRule>
    <cfRule type="expression" priority="30" dxfId="2">
      <formula>AND(COUNT(C20:G20)=5,C20&gt;=6*0.4,C20&lt;6)</formula>
    </cfRule>
  </conditionalFormatting>
  <conditionalFormatting sqref="C21">
    <cfRule type="expression" priority="31" dxfId="0">
      <formula>AND(COUNT(C21:G21)=5,C21=6)</formula>
    </cfRule>
    <cfRule type="expression" priority="32" dxfId="1">
      <formula>AND(COUNT(C21:G21)=5,C21&lt;6*0.4)</formula>
    </cfRule>
    <cfRule type="expression" priority="33" dxfId="2">
      <formula>AND(COUNT(C21:G21)=5,C21&gt;=6*0.4,C21&lt;6)</formula>
    </cfRule>
  </conditionalFormatting>
  <conditionalFormatting sqref="C22">
    <cfRule type="expression" priority="34" dxfId="0">
      <formula>AND(COUNT(C22:G22)=5,C22=6)</formula>
    </cfRule>
    <cfRule type="expression" priority="35" dxfId="1">
      <formula>AND(COUNT(C22:G22)=5,C22&lt;6*0.4)</formula>
    </cfRule>
    <cfRule type="expression" priority="36" dxfId="2">
      <formula>AND(COUNT(C22:G22)=5,C22&gt;=6*0.4,C22&lt;6)</formula>
    </cfRule>
  </conditionalFormatting>
  <conditionalFormatting sqref="C23">
    <cfRule type="expression" priority="37" dxfId="0">
      <formula>AND(COUNT(C23:G23)=5,C23=6)</formula>
    </cfRule>
    <cfRule type="expression" priority="38" dxfId="1">
      <formula>AND(COUNT(C23:G23)=5,C23&lt;6*0.4)</formula>
    </cfRule>
    <cfRule type="expression" priority="39" dxfId="2">
      <formula>AND(COUNT(C23:G23)=5,C23&gt;=6*0.4,C23&lt;6)</formula>
    </cfRule>
  </conditionalFormatting>
  <conditionalFormatting sqref="C24">
    <cfRule type="expression" priority="40" dxfId="0">
      <formula>AND(COUNT(C24:G24)=5,C24=6)</formula>
    </cfRule>
    <cfRule type="expression" priority="41" dxfId="1">
      <formula>AND(COUNT(C24:G24)=5,C24&lt;6*0.4)</formula>
    </cfRule>
    <cfRule type="expression" priority="42" dxfId="2">
      <formula>AND(COUNT(C24:G24)=5,C24&gt;=6*0.4,C24&lt;6)</formula>
    </cfRule>
  </conditionalFormatting>
  <conditionalFormatting sqref="C25">
    <cfRule type="expression" priority="43" dxfId="0">
      <formula>AND(COUNT(C25:G25)=5,C25=6)</formula>
    </cfRule>
    <cfRule type="expression" priority="44" dxfId="1">
      <formula>AND(COUNT(C25:G25)=5,C25&lt;6*0.4)</formula>
    </cfRule>
    <cfRule type="expression" priority="45" dxfId="2">
      <formula>AND(COUNT(C25:G25)=5,C25&gt;=6*0.4,C25&lt;6)</formula>
    </cfRule>
  </conditionalFormatting>
  <conditionalFormatting sqref="C26">
    <cfRule type="expression" priority="46" dxfId="0">
      <formula>AND(COUNT(C26:G26)=5,C26=6)</formula>
    </cfRule>
    <cfRule type="expression" priority="47" dxfId="1">
      <formula>AND(COUNT(C26:G26)=5,C26&lt;6*0.4)</formula>
    </cfRule>
    <cfRule type="expression" priority="48" dxfId="2">
      <formula>AND(COUNT(C26:G26)=5,C26&gt;=6*0.4,C26&lt;6)</formula>
    </cfRule>
  </conditionalFormatting>
  <conditionalFormatting sqref="C27">
    <cfRule type="expression" priority="49" dxfId="0">
      <formula>AND(COUNT(C27:G27)=5,C27=6)</formula>
    </cfRule>
    <cfRule type="expression" priority="50" dxfId="1">
      <formula>AND(COUNT(C27:G27)=5,C27&lt;6*0.4)</formula>
    </cfRule>
    <cfRule type="expression" priority="51" dxfId="2">
      <formula>AND(COUNT(C27:G27)=5,C27&gt;=6*0.4,C27&lt;6)</formula>
    </cfRule>
  </conditionalFormatting>
  <conditionalFormatting sqref="C28">
    <cfRule type="expression" priority="52" dxfId="0">
      <formula>AND(COUNT(C28:G28)=5,C28=6)</formula>
    </cfRule>
    <cfRule type="expression" priority="53" dxfId="1">
      <formula>AND(COUNT(C28:G28)=5,C28&lt;6*0.4)</formula>
    </cfRule>
    <cfRule type="expression" priority="54" dxfId="2">
      <formula>AND(COUNT(C28:G28)=5,C28&gt;=6*0.4,C28&lt;6)</formula>
    </cfRule>
  </conditionalFormatting>
  <conditionalFormatting sqref="C29">
    <cfRule type="expression" priority="55" dxfId="0">
      <formula>AND(COUNT(C29:G29)=5,C29=6)</formula>
    </cfRule>
    <cfRule type="expression" priority="56" dxfId="1">
      <formula>AND(COUNT(C29:G29)=5,C29&lt;6*0.4)</formula>
    </cfRule>
    <cfRule type="expression" priority="57" dxfId="2">
      <formula>AND(COUNT(C29:G29)=5,C29&gt;=6*0.4,C29&lt;6)</formula>
    </cfRule>
  </conditionalFormatting>
  <conditionalFormatting sqref="C30">
    <cfRule type="expression" priority="58" dxfId="0">
      <formula>AND(COUNT(C30:G30)=5,C30=6)</formula>
    </cfRule>
    <cfRule type="expression" priority="59" dxfId="1">
      <formula>AND(COUNT(C30:G30)=5,C30&lt;6*0.4)</formula>
    </cfRule>
    <cfRule type="expression" priority="60" dxfId="2">
      <formula>AND(COUNT(C30:G30)=5,C30&gt;=6*0.4,C30&lt;6)</formula>
    </cfRule>
  </conditionalFormatting>
  <conditionalFormatting sqref="C31">
    <cfRule type="expression" priority="61" dxfId="0">
      <formula>AND(COUNT(C31:G31)=5,C31=6)</formula>
    </cfRule>
    <cfRule type="expression" priority="62" dxfId="1">
      <formula>AND(COUNT(C31:G31)=5,C31&lt;6*0.4)</formula>
    </cfRule>
    <cfRule type="expression" priority="63" dxfId="2">
      <formula>AND(COUNT(C31:G31)=5,C31&gt;=6*0.4,C31&lt;6)</formula>
    </cfRule>
  </conditionalFormatting>
  <conditionalFormatting sqref="C32">
    <cfRule type="expression" priority="64" dxfId="0">
      <formula>AND(COUNT(C32:G32)=5,C32=6)</formula>
    </cfRule>
    <cfRule type="expression" priority="65" dxfId="1">
      <formula>AND(COUNT(C32:G32)=5,C32&lt;6*0.4)</formula>
    </cfRule>
    <cfRule type="expression" priority="66" dxfId="2">
      <formula>AND(COUNT(C32:G32)=5,C32&gt;=6*0.4,C32&lt;6)</formula>
    </cfRule>
  </conditionalFormatting>
  <conditionalFormatting sqref="C33">
    <cfRule type="expression" priority="67" dxfId="0">
      <formula>AND(COUNT(C33:G33)=5,C33=6)</formula>
    </cfRule>
    <cfRule type="expression" priority="68" dxfId="1">
      <formula>AND(COUNT(C33:G33)=5,C33&lt;6*0.4)</formula>
    </cfRule>
    <cfRule type="expression" priority="69" dxfId="2">
      <formula>AND(COUNT(C33:G33)=5,C33&gt;=6*0.4,C33&lt;6)</formula>
    </cfRule>
  </conditionalFormatting>
  <conditionalFormatting sqref="C34">
    <cfRule type="expression" priority="70" dxfId="0">
      <formula>AND(COUNT(C34:G34)=5,C34=6)</formula>
    </cfRule>
    <cfRule type="expression" priority="71" dxfId="1">
      <formula>AND(COUNT(C34:G34)=5,C34&lt;6*0.4)</formula>
    </cfRule>
    <cfRule type="expression" priority="72" dxfId="2">
      <formula>AND(COUNT(C34:G34)=5,C34&gt;=6*0.4,C34&lt;6)</formula>
    </cfRule>
  </conditionalFormatting>
  <conditionalFormatting sqref="C35">
    <cfRule type="expression" priority="73" dxfId="0">
      <formula>AND(COUNT(C35:G35)=5,C35=6)</formula>
    </cfRule>
    <cfRule type="expression" priority="74" dxfId="1">
      <formula>AND(COUNT(C35:G35)=5,C35&lt;6*0.4)</formula>
    </cfRule>
    <cfRule type="expression" priority="75" dxfId="2">
      <formula>AND(COUNT(C35:G35)=5,C35&gt;=6*0.4,C35&lt;6)</formula>
    </cfRule>
  </conditionalFormatting>
  <conditionalFormatting sqref="C36">
    <cfRule type="expression" priority="76" dxfId="0">
      <formula>AND(COUNT(C36:G36)=5,C36=6)</formula>
    </cfRule>
    <cfRule type="expression" priority="77" dxfId="1">
      <formula>AND(COUNT(C36:G36)=5,C36&lt;6*0.4)</formula>
    </cfRule>
    <cfRule type="expression" priority="78" dxfId="2">
      <formula>AND(COUNT(C36:G36)=5,C36&gt;=6*0.4,C36&lt;6)</formula>
    </cfRule>
  </conditionalFormatting>
  <conditionalFormatting sqref="C37">
    <cfRule type="expression" priority="79" dxfId="0">
      <formula>AND(COUNT(C37:G37)=5,C37=6)</formula>
    </cfRule>
    <cfRule type="expression" priority="80" dxfId="1">
      <formula>AND(COUNT(C37:G37)=5,C37&lt;6*0.4)</formula>
    </cfRule>
    <cfRule type="expression" priority="81" dxfId="2">
      <formula>AND(COUNT(C37:G37)=5,C37&gt;=6*0.4,C37&lt;6)</formula>
    </cfRule>
  </conditionalFormatting>
  <conditionalFormatting sqref="C38">
    <cfRule type="expression" priority="82" dxfId="0">
      <formula>AND(COUNT(C38:G38)=5,C38=6)</formula>
    </cfRule>
    <cfRule type="expression" priority="83" dxfId="1">
      <formula>AND(COUNT(C38:G38)=5,C38&lt;6*0.4)</formula>
    </cfRule>
    <cfRule type="expression" priority="84" dxfId="2">
      <formula>AND(COUNT(C38:G38)=5,C38&gt;=6*0.4,C38&lt;6)</formula>
    </cfRule>
  </conditionalFormatting>
  <conditionalFormatting sqref="C39">
    <cfRule type="expression" priority="85" dxfId="0">
      <formula>AND(COUNT(C39:G39)=5,C39=6)</formula>
    </cfRule>
    <cfRule type="expression" priority="86" dxfId="1">
      <formula>AND(COUNT(C39:G39)=5,C39&lt;6*0.4)</formula>
    </cfRule>
    <cfRule type="expression" priority="87" dxfId="2">
      <formula>AND(COUNT(C39:G39)=5,C39&gt;=6*0.4,C39&lt;6)</formula>
    </cfRule>
  </conditionalFormatting>
  <conditionalFormatting sqref="C40">
    <cfRule type="expression" priority="88" dxfId="0">
      <formula>AND(COUNT(C40:G40)=5,C40=6)</formula>
    </cfRule>
    <cfRule type="expression" priority="89" dxfId="1">
      <formula>AND(COUNT(C40:G40)=5,C40&lt;6*0.4)</formula>
    </cfRule>
    <cfRule type="expression" priority="90" dxfId="2">
      <formula>AND(COUNT(C40:G40)=5,C40&gt;=6*0.4,C40&lt;6)</formula>
    </cfRule>
  </conditionalFormatting>
  <conditionalFormatting sqref="C41">
    <cfRule type="expression" priority="91" dxfId="0">
      <formula>AND(COUNT(C41:G41)=5,C41=6)</formula>
    </cfRule>
    <cfRule type="expression" priority="92" dxfId="1">
      <formula>AND(COUNT(C41:G41)=5,C41&lt;6*0.4)</formula>
    </cfRule>
    <cfRule type="expression" priority="93" dxfId="2">
      <formula>AND(COUNT(C41:G41)=5,C41&gt;=6*0.4,C41&lt;6)</formula>
    </cfRule>
  </conditionalFormatting>
  <conditionalFormatting sqref="D11">
    <cfRule type="expression" priority="94" dxfId="0">
      <formula>AND(COUNT(C11:G11)=5,D11=8)</formula>
    </cfRule>
    <cfRule type="expression" priority="95" dxfId="1">
      <formula>AND(COUNT(C11:G11)=5,D11&lt;8*0.4)</formula>
    </cfRule>
    <cfRule type="expression" priority="96" dxfId="2">
      <formula>AND(COUNT(C11:G11)=5,D11&gt;=8*0.4,D11&lt;8)</formula>
    </cfRule>
  </conditionalFormatting>
  <conditionalFormatting sqref="D12">
    <cfRule type="expression" priority="97" dxfId="0">
      <formula>AND(COUNT(C12:G12)=5,D12=8)</formula>
    </cfRule>
    <cfRule type="expression" priority="98" dxfId="1">
      <formula>AND(COUNT(C12:G12)=5,D12&lt;8*0.4)</formula>
    </cfRule>
    <cfRule type="expression" priority="99" dxfId="2">
      <formula>AND(COUNT(C12:G12)=5,D12&gt;=8*0.4,D12&lt;8)</formula>
    </cfRule>
  </conditionalFormatting>
  <conditionalFormatting sqref="D13">
    <cfRule type="expression" priority="100" dxfId="0">
      <formula>AND(COUNT(C13:G13)=5,D13=8)</formula>
    </cfRule>
    <cfRule type="expression" priority="101" dxfId="1">
      <formula>AND(COUNT(C13:G13)=5,D13&lt;8*0.4)</formula>
    </cfRule>
    <cfRule type="expression" priority="102" dxfId="2">
      <formula>AND(COUNT(C13:G13)=5,D13&gt;=8*0.4,D13&lt;8)</formula>
    </cfRule>
  </conditionalFormatting>
  <conditionalFormatting sqref="D14">
    <cfRule type="expression" priority="103" dxfId="0">
      <formula>AND(COUNT(C14:G14)=5,D14=8)</formula>
    </cfRule>
    <cfRule type="expression" priority="104" dxfId="1">
      <formula>AND(COUNT(C14:G14)=5,D14&lt;8*0.4)</formula>
    </cfRule>
    <cfRule type="expression" priority="105" dxfId="2">
      <formula>AND(COUNT(C14:G14)=5,D14&gt;=8*0.4,D14&lt;8)</formula>
    </cfRule>
  </conditionalFormatting>
  <conditionalFormatting sqref="D15">
    <cfRule type="expression" priority="106" dxfId="0">
      <formula>AND(COUNT(C15:G15)=5,D15=8)</formula>
    </cfRule>
    <cfRule type="expression" priority="107" dxfId="1">
      <formula>AND(COUNT(C15:G15)=5,D15&lt;8*0.4)</formula>
    </cfRule>
    <cfRule type="expression" priority="108" dxfId="2">
      <formula>AND(COUNT(C15:G15)=5,D15&gt;=8*0.4,D15&lt;8)</formula>
    </cfRule>
  </conditionalFormatting>
  <conditionalFormatting sqref="D16">
    <cfRule type="expression" priority="109" dxfId="0">
      <formula>AND(COUNT(C16:G16)=5,D16=8)</formula>
    </cfRule>
    <cfRule type="expression" priority="110" dxfId="1">
      <formula>AND(COUNT(C16:G16)=5,D16&lt;8*0.4)</formula>
    </cfRule>
    <cfRule type="expression" priority="111" dxfId="2">
      <formula>AND(COUNT(C16:G16)=5,D16&gt;=8*0.4,D16&lt;8)</formula>
    </cfRule>
  </conditionalFormatting>
  <conditionalFormatting sqref="D17">
    <cfRule type="expression" priority="112" dxfId="0">
      <formula>AND(COUNT(C17:G17)=5,D17=8)</formula>
    </cfRule>
    <cfRule type="expression" priority="113" dxfId="1">
      <formula>AND(COUNT(C17:G17)=5,D17&lt;8*0.4)</formula>
    </cfRule>
    <cfRule type="expression" priority="114" dxfId="2">
      <formula>AND(COUNT(C17:G17)=5,D17&gt;=8*0.4,D17&lt;8)</formula>
    </cfRule>
  </conditionalFormatting>
  <conditionalFormatting sqref="D18">
    <cfRule type="expression" priority="115" dxfId="0">
      <formula>AND(COUNT(C18:G18)=5,D18=8)</formula>
    </cfRule>
    <cfRule type="expression" priority="116" dxfId="1">
      <formula>AND(COUNT(C18:G18)=5,D18&lt;8*0.4)</formula>
    </cfRule>
    <cfRule type="expression" priority="117" dxfId="2">
      <formula>AND(COUNT(C18:G18)=5,D18&gt;=8*0.4,D18&lt;8)</formula>
    </cfRule>
  </conditionalFormatting>
  <conditionalFormatting sqref="D19">
    <cfRule type="expression" priority="118" dxfId="0">
      <formula>AND(COUNT(C19:G19)=5,D19=8)</formula>
    </cfRule>
    <cfRule type="expression" priority="119" dxfId="1">
      <formula>AND(COUNT(C19:G19)=5,D19&lt;8*0.4)</formula>
    </cfRule>
    <cfRule type="expression" priority="120" dxfId="2">
      <formula>AND(COUNT(C19:G19)=5,D19&gt;=8*0.4,D19&lt;8)</formula>
    </cfRule>
  </conditionalFormatting>
  <conditionalFormatting sqref="D20">
    <cfRule type="expression" priority="121" dxfId="0">
      <formula>AND(COUNT(C20:G20)=5,D20=8)</formula>
    </cfRule>
    <cfRule type="expression" priority="122" dxfId="1">
      <formula>AND(COUNT(C20:G20)=5,D20&lt;8*0.4)</formula>
    </cfRule>
    <cfRule type="expression" priority="123" dxfId="2">
      <formula>AND(COUNT(C20:G20)=5,D20&gt;=8*0.4,D20&lt;8)</formula>
    </cfRule>
  </conditionalFormatting>
  <conditionalFormatting sqref="D21">
    <cfRule type="expression" priority="124" dxfId="0">
      <formula>AND(COUNT(C21:G21)=5,D21=8)</formula>
    </cfRule>
    <cfRule type="expression" priority="125" dxfId="1">
      <formula>AND(COUNT(C21:G21)=5,D21&lt;8*0.4)</formula>
    </cfRule>
    <cfRule type="expression" priority="126" dxfId="2">
      <formula>AND(COUNT(C21:G21)=5,D21&gt;=8*0.4,D21&lt;8)</formula>
    </cfRule>
  </conditionalFormatting>
  <conditionalFormatting sqref="D22">
    <cfRule type="expression" priority="127" dxfId="0">
      <formula>AND(COUNT(C22:G22)=5,D22=8)</formula>
    </cfRule>
    <cfRule type="expression" priority="128" dxfId="1">
      <formula>AND(COUNT(C22:G22)=5,D22&lt;8*0.4)</formula>
    </cfRule>
    <cfRule type="expression" priority="129" dxfId="2">
      <formula>AND(COUNT(C22:G22)=5,D22&gt;=8*0.4,D22&lt;8)</formula>
    </cfRule>
  </conditionalFormatting>
  <conditionalFormatting sqref="D23">
    <cfRule type="expression" priority="130" dxfId="0">
      <formula>AND(COUNT(C23:G23)=5,D23=8)</formula>
    </cfRule>
    <cfRule type="expression" priority="131" dxfId="1">
      <formula>AND(COUNT(C23:G23)=5,D23&lt;8*0.4)</formula>
    </cfRule>
    <cfRule type="expression" priority="132" dxfId="2">
      <formula>AND(COUNT(C23:G23)=5,D23&gt;=8*0.4,D23&lt;8)</formula>
    </cfRule>
  </conditionalFormatting>
  <conditionalFormatting sqref="D24">
    <cfRule type="expression" priority="133" dxfId="0">
      <formula>AND(COUNT(C24:G24)=5,D24=8)</formula>
    </cfRule>
    <cfRule type="expression" priority="134" dxfId="1">
      <formula>AND(COUNT(C24:G24)=5,D24&lt;8*0.4)</formula>
    </cfRule>
    <cfRule type="expression" priority="135" dxfId="2">
      <formula>AND(COUNT(C24:G24)=5,D24&gt;=8*0.4,D24&lt;8)</formula>
    </cfRule>
  </conditionalFormatting>
  <conditionalFormatting sqref="D25">
    <cfRule type="expression" priority="136" dxfId="0">
      <formula>AND(COUNT(C25:G25)=5,D25=8)</formula>
    </cfRule>
    <cfRule type="expression" priority="137" dxfId="1">
      <formula>AND(COUNT(C25:G25)=5,D25&lt;8*0.4)</formula>
    </cfRule>
    <cfRule type="expression" priority="138" dxfId="2">
      <formula>AND(COUNT(C25:G25)=5,D25&gt;=8*0.4,D25&lt;8)</formula>
    </cfRule>
  </conditionalFormatting>
  <conditionalFormatting sqref="D26">
    <cfRule type="expression" priority="139" dxfId="0">
      <formula>AND(COUNT(C26:G26)=5,D26=8)</formula>
    </cfRule>
    <cfRule type="expression" priority="140" dxfId="1">
      <formula>AND(COUNT(C26:G26)=5,D26&lt;8*0.4)</formula>
    </cfRule>
    <cfRule type="expression" priority="141" dxfId="2">
      <formula>AND(COUNT(C26:G26)=5,D26&gt;=8*0.4,D26&lt;8)</formula>
    </cfRule>
  </conditionalFormatting>
  <conditionalFormatting sqref="D27">
    <cfRule type="expression" priority="142" dxfId="0">
      <formula>AND(COUNT(C27:G27)=5,D27=8)</formula>
    </cfRule>
    <cfRule type="expression" priority="143" dxfId="1">
      <formula>AND(COUNT(C27:G27)=5,D27&lt;8*0.4)</formula>
    </cfRule>
    <cfRule type="expression" priority="144" dxfId="2">
      <formula>AND(COUNT(C27:G27)=5,D27&gt;=8*0.4,D27&lt;8)</formula>
    </cfRule>
  </conditionalFormatting>
  <conditionalFormatting sqref="D28">
    <cfRule type="expression" priority="145" dxfId="0">
      <formula>AND(COUNT(C28:G28)=5,D28=8)</formula>
    </cfRule>
    <cfRule type="expression" priority="146" dxfId="1">
      <formula>AND(COUNT(C28:G28)=5,D28&lt;8*0.4)</formula>
    </cfRule>
    <cfRule type="expression" priority="147" dxfId="2">
      <formula>AND(COUNT(C28:G28)=5,D28&gt;=8*0.4,D28&lt;8)</formula>
    </cfRule>
  </conditionalFormatting>
  <conditionalFormatting sqref="D29">
    <cfRule type="expression" priority="148" dxfId="0">
      <formula>AND(COUNT(C29:G29)=5,D29=8)</formula>
    </cfRule>
    <cfRule type="expression" priority="149" dxfId="1">
      <formula>AND(COUNT(C29:G29)=5,D29&lt;8*0.4)</formula>
    </cfRule>
    <cfRule type="expression" priority="150" dxfId="2">
      <formula>AND(COUNT(C29:G29)=5,D29&gt;=8*0.4,D29&lt;8)</formula>
    </cfRule>
  </conditionalFormatting>
  <conditionalFormatting sqref="D30">
    <cfRule type="expression" priority="151" dxfId="0">
      <formula>AND(COUNT(C30:G30)=5,D30=8)</formula>
    </cfRule>
    <cfRule type="expression" priority="152" dxfId="1">
      <formula>AND(COUNT(C30:G30)=5,D30&lt;8*0.4)</formula>
    </cfRule>
    <cfRule type="expression" priority="153" dxfId="2">
      <formula>AND(COUNT(C30:G30)=5,D30&gt;=8*0.4,D30&lt;8)</formula>
    </cfRule>
  </conditionalFormatting>
  <conditionalFormatting sqref="D31">
    <cfRule type="expression" priority="154" dxfId="0">
      <formula>AND(COUNT(C31:G31)=5,D31=8)</formula>
    </cfRule>
    <cfRule type="expression" priority="155" dxfId="1">
      <formula>AND(COUNT(C31:G31)=5,D31&lt;8*0.4)</formula>
    </cfRule>
    <cfRule type="expression" priority="156" dxfId="2">
      <formula>AND(COUNT(C31:G31)=5,D31&gt;=8*0.4,D31&lt;8)</formula>
    </cfRule>
  </conditionalFormatting>
  <conditionalFormatting sqref="D32">
    <cfRule type="expression" priority="157" dxfId="0">
      <formula>AND(COUNT(C32:G32)=5,D32=8)</formula>
    </cfRule>
    <cfRule type="expression" priority="158" dxfId="1">
      <formula>AND(COUNT(C32:G32)=5,D32&lt;8*0.4)</formula>
    </cfRule>
    <cfRule type="expression" priority="159" dxfId="2">
      <formula>AND(COUNT(C32:G32)=5,D32&gt;=8*0.4,D32&lt;8)</formula>
    </cfRule>
  </conditionalFormatting>
  <conditionalFormatting sqref="D33">
    <cfRule type="expression" priority="160" dxfId="0">
      <formula>AND(COUNT(C33:G33)=5,D33=8)</formula>
    </cfRule>
    <cfRule type="expression" priority="161" dxfId="1">
      <formula>AND(COUNT(C33:G33)=5,D33&lt;8*0.4)</formula>
    </cfRule>
    <cfRule type="expression" priority="162" dxfId="2">
      <formula>AND(COUNT(C33:G33)=5,D33&gt;=8*0.4,D33&lt;8)</formula>
    </cfRule>
  </conditionalFormatting>
  <conditionalFormatting sqref="D34">
    <cfRule type="expression" priority="163" dxfId="0">
      <formula>AND(COUNT(C34:G34)=5,D34=8)</formula>
    </cfRule>
    <cfRule type="expression" priority="164" dxfId="1">
      <formula>AND(COUNT(C34:G34)=5,D34&lt;8*0.4)</formula>
    </cfRule>
    <cfRule type="expression" priority="165" dxfId="2">
      <formula>AND(COUNT(C34:G34)=5,D34&gt;=8*0.4,D34&lt;8)</formula>
    </cfRule>
  </conditionalFormatting>
  <conditionalFormatting sqref="D35">
    <cfRule type="expression" priority="166" dxfId="0">
      <formula>AND(COUNT(C35:G35)=5,D35=8)</formula>
    </cfRule>
    <cfRule type="expression" priority="167" dxfId="1">
      <formula>AND(COUNT(C35:G35)=5,D35&lt;8*0.4)</formula>
    </cfRule>
    <cfRule type="expression" priority="168" dxfId="2">
      <formula>AND(COUNT(C35:G35)=5,D35&gt;=8*0.4,D35&lt;8)</formula>
    </cfRule>
  </conditionalFormatting>
  <conditionalFormatting sqref="D36">
    <cfRule type="expression" priority="169" dxfId="0">
      <formula>AND(COUNT(C36:G36)=5,D36=8)</formula>
    </cfRule>
    <cfRule type="expression" priority="170" dxfId="1">
      <formula>AND(COUNT(C36:G36)=5,D36&lt;8*0.4)</formula>
    </cfRule>
    <cfRule type="expression" priority="171" dxfId="2">
      <formula>AND(COUNT(C36:G36)=5,D36&gt;=8*0.4,D36&lt;8)</formula>
    </cfRule>
  </conditionalFormatting>
  <conditionalFormatting sqref="D37">
    <cfRule type="expression" priority="172" dxfId="0">
      <formula>AND(COUNT(C37:G37)=5,D37=8)</formula>
    </cfRule>
    <cfRule type="expression" priority="173" dxfId="1">
      <formula>AND(COUNT(C37:G37)=5,D37&lt;8*0.4)</formula>
    </cfRule>
    <cfRule type="expression" priority="174" dxfId="2">
      <formula>AND(COUNT(C37:G37)=5,D37&gt;=8*0.4,D37&lt;8)</formula>
    </cfRule>
  </conditionalFormatting>
  <conditionalFormatting sqref="D38">
    <cfRule type="expression" priority="175" dxfId="0">
      <formula>AND(COUNT(C38:G38)=5,D38=8)</formula>
    </cfRule>
    <cfRule type="expression" priority="176" dxfId="1">
      <formula>AND(COUNT(C38:G38)=5,D38&lt;8*0.4)</formula>
    </cfRule>
    <cfRule type="expression" priority="177" dxfId="2">
      <formula>AND(COUNT(C38:G38)=5,D38&gt;=8*0.4,D38&lt;8)</formula>
    </cfRule>
  </conditionalFormatting>
  <conditionalFormatting sqref="D39">
    <cfRule type="expression" priority="178" dxfId="0">
      <formula>AND(COUNT(C39:G39)=5,D39=8)</formula>
    </cfRule>
    <cfRule type="expression" priority="179" dxfId="1">
      <formula>AND(COUNT(C39:G39)=5,D39&lt;8*0.4)</formula>
    </cfRule>
    <cfRule type="expression" priority="180" dxfId="2">
      <formula>AND(COUNT(C39:G39)=5,D39&gt;=8*0.4,D39&lt;8)</formula>
    </cfRule>
  </conditionalFormatting>
  <conditionalFormatting sqref="D40">
    <cfRule type="expression" priority="181" dxfId="0">
      <formula>AND(COUNT(C40:G40)=5,D40=8)</formula>
    </cfRule>
    <cfRule type="expression" priority="182" dxfId="1">
      <formula>AND(COUNT(C40:G40)=5,D40&lt;8*0.4)</formula>
    </cfRule>
    <cfRule type="expression" priority="183" dxfId="2">
      <formula>AND(COUNT(C40:G40)=5,D40&gt;=8*0.4,D40&lt;8)</formula>
    </cfRule>
  </conditionalFormatting>
  <conditionalFormatting sqref="D41">
    <cfRule type="expression" priority="184" dxfId="0">
      <formula>AND(COUNT(C41:G41)=5,D41=8)</formula>
    </cfRule>
    <cfRule type="expression" priority="185" dxfId="1">
      <formula>AND(COUNT(C41:G41)=5,D41&lt;8*0.4)</formula>
    </cfRule>
    <cfRule type="expression" priority="186" dxfId="2">
      <formula>AND(COUNT(C41:G41)=5,D41&gt;=8*0.4,D41&lt;8)</formula>
    </cfRule>
  </conditionalFormatting>
  <conditionalFormatting sqref="E11">
    <cfRule type="expression" priority="187" dxfId="0">
      <formula>AND(COUNT(C11:G11)=5,E11=8)</formula>
    </cfRule>
    <cfRule type="expression" priority="188" dxfId="1">
      <formula>AND(COUNT(C11:G11)=5,E11&lt;8*0.4)</formula>
    </cfRule>
    <cfRule type="expression" priority="189" dxfId="2">
      <formula>AND(COUNT(C11:G11)=5,E11&gt;=8*0.4,E11&lt;8)</formula>
    </cfRule>
  </conditionalFormatting>
  <conditionalFormatting sqref="E12">
    <cfRule type="expression" priority="190" dxfId="0">
      <formula>AND(COUNT(C12:G12)=5,E12=8)</formula>
    </cfRule>
    <cfRule type="expression" priority="191" dxfId="1">
      <formula>AND(COUNT(C12:G12)=5,E12&lt;8*0.4)</formula>
    </cfRule>
    <cfRule type="expression" priority="192" dxfId="2">
      <formula>AND(COUNT(C12:G12)=5,E12&gt;=8*0.4,E12&lt;8)</formula>
    </cfRule>
  </conditionalFormatting>
  <conditionalFormatting sqref="E13">
    <cfRule type="expression" priority="193" dxfId="0">
      <formula>AND(COUNT(C13:G13)=5,E13=8)</formula>
    </cfRule>
    <cfRule type="expression" priority="194" dxfId="1">
      <formula>AND(COUNT(C13:G13)=5,E13&lt;8*0.4)</formula>
    </cfRule>
    <cfRule type="expression" priority="195" dxfId="2">
      <formula>AND(COUNT(C13:G13)=5,E13&gt;=8*0.4,E13&lt;8)</formula>
    </cfRule>
  </conditionalFormatting>
  <conditionalFormatting sqref="E14">
    <cfRule type="expression" priority="196" dxfId="0">
      <formula>AND(COUNT(C14:G14)=5,E14=8)</formula>
    </cfRule>
    <cfRule type="expression" priority="197" dxfId="1">
      <formula>AND(COUNT(C14:G14)=5,E14&lt;8*0.4)</formula>
    </cfRule>
    <cfRule type="expression" priority="198" dxfId="2">
      <formula>AND(COUNT(C14:G14)=5,E14&gt;=8*0.4,E14&lt;8)</formula>
    </cfRule>
  </conditionalFormatting>
  <conditionalFormatting sqref="E15">
    <cfRule type="expression" priority="199" dxfId="0">
      <formula>AND(COUNT(C15:G15)=5,E15=8)</formula>
    </cfRule>
    <cfRule type="expression" priority="200" dxfId="1">
      <formula>AND(COUNT(C15:G15)=5,E15&lt;8*0.4)</formula>
    </cfRule>
    <cfRule type="expression" priority="201" dxfId="2">
      <formula>AND(COUNT(C15:G15)=5,E15&gt;=8*0.4,E15&lt;8)</formula>
    </cfRule>
  </conditionalFormatting>
  <conditionalFormatting sqref="E16">
    <cfRule type="expression" priority="202" dxfId="0">
      <formula>AND(COUNT(C16:G16)=5,E16=8)</formula>
    </cfRule>
    <cfRule type="expression" priority="203" dxfId="1">
      <formula>AND(COUNT(C16:G16)=5,E16&lt;8*0.4)</formula>
    </cfRule>
    <cfRule type="expression" priority="204" dxfId="2">
      <formula>AND(COUNT(C16:G16)=5,E16&gt;=8*0.4,E16&lt;8)</formula>
    </cfRule>
  </conditionalFormatting>
  <conditionalFormatting sqref="E17">
    <cfRule type="expression" priority="205" dxfId="0">
      <formula>AND(COUNT(C17:G17)=5,E17=8)</formula>
    </cfRule>
    <cfRule type="expression" priority="206" dxfId="1">
      <formula>AND(COUNT(C17:G17)=5,E17&lt;8*0.4)</formula>
    </cfRule>
    <cfRule type="expression" priority="207" dxfId="2">
      <formula>AND(COUNT(C17:G17)=5,E17&gt;=8*0.4,E17&lt;8)</formula>
    </cfRule>
  </conditionalFormatting>
  <conditionalFormatting sqref="E18">
    <cfRule type="expression" priority="208" dxfId="0">
      <formula>AND(COUNT(C18:G18)=5,E18=8)</formula>
    </cfRule>
    <cfRule type="expression" priority="209" dxfId="1">
      <formula>AND(COUNT(C18:G18)=5,E18&lt;8*0.4)</formula>
    </cfRule>
    <cfRule type="expression" priority="210" dxfId="2">
      <formula>AND(COUNT(C18:G18)=5,E18&gt;=8*0.4,E18&lt;8)</formula>
    </cfRule>
  </conditionalFormatting>
  <conditionalFormatting sqref="E19">
    <cfRule type="expression" priority="211" dxfId="0">
      <formula>AND(COUNT(C19:G19)=5,E19=8)</formula>
    </cfRule>
    <cfRule type="expression" priority="212" dxfId="1">
      <formula>AND(COUNT(C19:G19)=5,E19&lt;8*0.4)</formula>
    </cfRule>
    <cfRule type="expression" priority="213" dxfId="2">
      <formula>AND(COUNT(C19:G19)=5,E19&gt;=8*0.4,E19&lt;8)</formula>
    </cfRule>
  </conditionalFormatting>
  <conditionalFormatting sqref="E20">
    <cfRule type="expression" priority="214" dxfId="0">
      <formula>AND(COUNT(C20:G20)=5,E20=8)</formula>
    </cfRule>
    <cfRule type="expression" priority="215" dxfId="1">
      <formula>AND(COUNT(C20:G20)=5,E20&lt;8*0.4)</formula>
    </cfRule>
    <cfRule type="expression" priority="216" dxfId="2">
      <formula>AND(COUNT(C20:G20)=5,E20&gt;=8*0.4,E20&lt;8)</formula>
    </cfRule>
  </conditionalFormatting>
  <conditionalFormatting sqref="E21">
    <cfRule type="expression" priority="217" dxfId="0">
      <formula>AND(COUNT(C21:G21)=5,E21=8)</formula>
    </cfRule>
    <cfRule type="expression" priority="218" dxfId="1">
      <formula>AND(COUNT(C21:G21)=5,E21&lt;8*0.4)</formula>
    </cfRule>
    <cfRule type="expression" priority="219" dxfId="2">
      <formula>AND(COUNT(C21:G21)=5,E21&gt;=8*0.4,E21&lt;8)</formula>
    </cfRule>
  </conditionalFormatting>
  <conditionalFormatting sqref="E22">
    <cfRule type="expression" priority="220" dxfId="0">
      <formula>AND(COUNT(C22:G22)=5,E22=8)</formula>
    </cfRule>
    <cfRule type="expression" priority="221" dxfId="1">
      <formula>AND(COUNT(C22:G22)=5,E22&lt;8*0.4)</formula>
    </cfRule>
    <cfRule type="expression" priority="222" dxfId="2">
      <formula>AND(COUNT(C22:G22)=5,E22&gt;=8*0.4,E22&lt;8)</formula>
    </cfRule>
  </conditionalFormatting>
  <conditionalFormatting sqref="E23">
    <cfRule type="expression" priority="223" dxfId="0">
      <formula>AND(COUNT(C23:G23)=5,E23=8)</formula>
    </cfRule>
    <cfRule type="expression" priority="224" dxfId="1">
      <formula>AND(COUNT(C23:G23)=5,E23&lt;8*0.4)</formula>
    </cfRule>
    <cfRule type="expression" priority="225" dxfId="2">
      <formula>AND(COUNT(C23:G23)=5,E23&gt;=8*0.4,E23&lt;8)</formula>
    </cfRule>
  </conditionalFormatting>
  <conditionalFormatting sqref="E24">
    <cfRule type="expression" priority="226" dxfId="0">
      <formula>AND(COUNT(C24:G24)=5,E24=8)</formula>
    </cfRule>
    <cfRule type="expression" priority="227" dxfId="1">
      <formula>AND(COUNT(C24:G24)=5,E24&lt;8*0.4)</formula>
    </cfRule>
    <cfRule type="expression" priority="228" dxfId="2">
      <formula>AND(COUNT(C24:G24)=5,E24&gt;=8*0.4,E24&lt;8)</formula>
    </cfRule>
  </conditionalFormatting>
  <conditionalFormatting sqref="E25">
    <cfRule type="expression" priority="229" dxfId="0">
      <formula>AND(COUNT(C25:G25)=5,E25=8)</formula>
    </cfRule>
    <cfRule type="expression" priority="230" dxfId="1">
      <formula>AND(COUNT(C25:G25)=5,E25&lt;8*0.4)</formula>
    </cfRule>
    <cfRule type="expression" priority="231" dxfId="2">
      <formula>AND(COUNT(C25:G25)=5,E25&gt;=8*0.4,E25&lt;8)</formula>
    </cfRule>
  </conditionalFormatting>
  <conditionalFormatting sqref="E26">
    <cfRule type="expression" priority="232" dxfId="0">
      <formula>AND(COUNT(C26:G26)=5,E26=8)</formula>
    </cfRule>
    <cfRule type="expression" priority="233" dxfId="1">
      <formula>AND(COUNT(C26:G26)=5,E26&lt;8*0.4)</formula>
    </cfRule>
    <cfRule type="expression" priority="234" dxfId="2">
      <formula>AND(COUNT(C26:G26)=5,E26&gt;=8*0.4,E26&lt;8)</formula>
    </cfRule>
  </conditionalFormatting>
  <conditionalFormatting sqref="E27">
    <cfRule type="expression" priority="235" dxfId="0">
      <formula>AND(COUNT(C27:G27)=5,E27=8)</formula>
    </cfRule>
    <cfRule type="expression" priority="236" dxfId="1">
      <formula>AND(COUNT(C27:G27)=5,E27&lt;8*0.4)</formula>
    </cfRule>
    <cfRule type="expression" priority="237" dxfId="2">
      <formula>AND(COUNT(C27:G27)=5,E27&gt;=8*0.4,E27&lt;8)</formula>
    </cfRule>
  </conditionalFormatting>
  <conditionalFormatting sqref="E28">
    <cfRule type="expression" priority="238" dxfId="0">
      <formula>AND(COUNT(C28:G28)=5,E28=8)</formula>
    </cfRule>
    <cfRule type="expression" priority="239" dxfId="1">
      <formula>AND(COUNT(C28:G28)=5,E28&lt;8*0.4)</formula>
    </cfRule>
    <cfRule type="expression" priority="240" dxfId="2">
      <formula>AND(COUNT(C28:G28)=5,E28&gt;=8*0.4,E28&lt;8)</formula>
    </cfRule>
  </conditionalFormatting>
  <conditionalFormatting sqref="E29">
    <cfRule type="expression" priority="241" dxfId="0">
      <formula>AND(COUNT(C29:G29)=5,E29=8)</formula>
    </cfRule>
    <cfRule type="expression" priority="242" dxfId="1">
      <formula>AND(COUNT(C29:G29)=5,E29&lt;8*0.4)</formula>
    </cfRule>
    <cfRule type="expression" priority="243" dxfId="2">
      <formula>AND(COUNT(C29:G29)=5,E29&gt;=8*0.4,E29&lt;8)</formula>
    </cfRule>
  </conditionalFormatting>
  <conditionalFormatting sqref="E30">
    <cfRule type="expression" priority="244" dxfId="0">
      <formula>AND(COUNT(C30:G30)=5,E30=8)</formula>
    </cfRule>
    <cfRule type="expression" priority="245" dxfId="1">
      <formula>AND(COUNT(C30:G30)=5,E30&lt;8*0.4)</formula>
    </cfRule>
    <cfRule type="expression" priority="246" dxfId="2">
      <formula>AND(COUNT(C30:G30)=5,E30&gt;=8*0.4,E30&lt;8)</formula>
    </cfRule>
  </conditionalFormatting>
  <conditionalFormatting sqref="E31">
    <cfRule type="expression" priority="247" dxfId="0">
      <formula>AND(COUNT(C31:G31)=5,E31=8)</formula>
    </cfRule>
    <cfRule type="expression" priority="248" dxfId="1">
      <formula>AND(COUNT(C31:G31)=5,E31&lt;8*0.4)</formula>
    </cfRule>
    <cfRule type="expression" priority="249" dxfId="2">
      <formula>AND(COUNT(C31:G31)=5,E31&gt;=8*0.4,E31&lt;8)</formula>
    </cfRule>
  </conditionalFormatting>
  <conditionalFormatting sqref="E32">
    <cfRule type="expression" priority="250" dxfId="0">
      <formula>AND(COUNT(C32:G32)=5,E32=8)</formula>
    </cfRule>
    <cfRule type="expression" priority="251" dxfId="1">
      <formula>AND(COUNT(C32:G32)=5,E32&lt;8*0.4)</formula>
    </cfRule>
    <cfRule type="expression" priority="252" dxfId="2">
      <formula>AND(COUNT(C32:G32)=5,E32&gt;=8*0.4,E32&lt;8)</formula>
    </cfRule>
  </conditionalFormatting>
  <conditionalFormatting sqref="E33">
    <cfRule type="expression" priority="253" dxfId="0">
      <formula>AND(COUNT(C33:G33)=5,E33=8)</formula>
    </cfRule>
    <cfRule type="expression" priority="254" dxfId="1">
      <formula>AND(COUNT(C33:G33)=5,E33&lt;8*0.4)</formula>
    </cfRule>
    <cfRule type="expression" priority="255" dxfId="2">
      <formula>AND(COUNT(C33:G33)=5,E33&gt;=8*0.4,E33&lt;8)</formula>
    </cfRule>
  </conditionalFormatting>
  <conditionalFormatting sqref="E34">
    <cfRule type="expression" priority="256" dxfId="0">
      <formula>AND(COUNT(C34:G34)=5,E34=8)</formula>
    </cfRule>
    <cfRule type="expression" priority="257" dxfId="1">
      <formula>AND(COUNT(C34:G34)=5,E34&lt;8*0.4)</formula>
    </cfRule>
    <cfRule type="expression" priority="258" dxfId="2">
      <formula>AND(COUNT(C34:G34)=5,E34&gt;=8*0.4,E34&lt;8)</formula>
    </cfRule>
  </conditionalFormatting>
  <conditionalFormatting sqref="E35">
    <cfRule type="expression" priority="259" dxfId="0">
      <formula>AND(COUNT(C35:G35)=5,E35=8)</formula>
    </cfRule>
    <cfRule type="expression" priority="260" dxfId="1">
      <formula>AND(COUNT(C35:G35)=5,E35&lt;8*0.4)</formula>
    </cfRule>
    <cfRule type="expression" priority="261" dxfId="2">
      <formula>AND(COUNT(C35:G35)=5,E35&gt;=8*0.4,E35&lt;8)</formula>
    </cfRule>
  </conditionalFormatting>
  <conditionalFormatting sqref="E36">
    <cfRule type="expression" priority="262" dxfId="0">
      <formula>AND(COUNT(C36:G36)=5,E36=8)</formula>
    </cfRule>
    <cfRule type="expression" priority="263" dxfId="1">
      <formula>AND(COUNT(C36:G36)=5,E36&lt;8*0.4)</formula>
    </cfRule>
    <cfRule type="expression" priority="264" dxfId="2">
      <formula>AND(COUNT(C36:G36)=5,E36&gt;=8*0.4,E36&lt;8)</formula>
    </cfRule>
  </conditionalFormatting>
  <conditionalFormatting sqref="E37">
    <cfRule type="expression" priority="265" dxfId="0">
      <formula>AND(COUNT(C37:G37)=5,E37=8)</formula>
    </cfRule>
    <cfRule type="expression" priority="266" dxfId="1">
      <formula>AND(COUNT(C37:G37)=5,E37&lt;8*0.4)</formula>
    </cfRule>
    <cfRule type="expression" priority="267" dxfId="2">
      <formula>AND(COUNT(C37:G37)=5,E37&gt;=8*0.4,E37&lt;8)</formula>
    </cfRule>
  </conditionalFormatting>
  <conditionalFormatting sqref="E38">
    <cfRule type="expression" priority="268" dxfId="0">
      <formula>AND(COUNT(C38:G38)=5,E38=8)</formula>
    </cfRule>
    <cfRule type="expression" priority="269" dxfId="1">
      <formula>AND(COUNT(C38:G38)=5,E38&lt;8*0.4)</formula>
    </cfRule>
    <cfRule type="expression" priority="270" dxfId="2">
      <formula>AND(COUNT(C38:G38)=5,E38&gt;=8*0.4,E38&lt;8)</formula>
    </cfRule>
  </conditionalFormatting>
  <conditionalFormatting sqref="E39">
    <cfRule type="expression" priority="271" dxfId="0">
      <formula>AND(COUNT(C39:G39)=5,E39=8)</formula>
    </cfRule>
    <cfRule type="expression" priority="272" dxfId="1">
      <formula>AND(COUNT(C39:G39)=5,E39&lt;8*0.4)</formula>
    </cfRule>
    <cfRule type="expression" priority="273" dxfId="2">
      <formula>AND(COUNT(C39:G39)=5,E39&gt;=8*0.4,E39&lt;8)</formula>
    </cfRule>
  </conditionalFormatting>
  <conditionalFormatting sqref="E40">
    <cfRule type="expression" priority="274" dxfId="0">
      <formula>AND(COUNT(C40:G40)=5,E40=8)</formula>
    </cfRule>
    <cfRule type="expression" priority="275" dxfId="1">
      <formula>AND(COUNT(C40:G40)=5,E40&lt;8*0.4)</formula>
    </cfRule>
    <cfRule type="expression" priority="276" dxfId="2">
      <formula>AND(COUNT(C40:G40)=5,E40&gt;=8*0.4,E40&lt;8)</formula>
    </cfRule>
  </conditionalFormatting>
  <conditionalFormatting sqref="E41">
    <cfRule type="expression" priority="277" dxfId="0">
      <formula>AND(COUNT(C41:G41)=5,E41=8)</formula>
    </cfRule>
    <cfRule type="expression" priority="278" dxfId="1">
      <formula>AND(COUNT(C41:G41)=5,E41&lt;8*0.4)</formula>
    </cfRule>
    <cfRule type="expression" priority="279" dxfId="2">
      <formula>AND(COUNT(C41:G41)=5,E41&gt;=8*0.4,E41&lt;8)</formula>
    </cfRule>
  </conditionalFormatting>
  <conditionalFormatting sqref="F11">
    <cfRule type="expression" priority="280" dxfId="0">
      <formula>AND(COUNT(C11:G11)=5,F11=7)</formula>
    </cfRule>
    <cfRule type="expression" priority="281" dxfId="1">
      <formula>AND(COUNT(C11:G11)=5,F11&lt;7*0.4)</formula>
    </cfRule>
    <cfRule type="expression" priority="282" dxfId="2">
      <formula>AND(COUNT(C11:G11)=5,F11&gt;=7*0.4,F11&lt;7)</formula>
    </cfRule>
  </conditionalFormatting>
  <conditionalFormatting sqref="F12">
    <cfRule type="expression" priority="283" dxfId="0">
      <formula>AND(COUNT(C12:G12)=5,F12=7)</formula>
    </cfRule>
    <cfRule type="expression" priority="284" dxfId="1">
      <formula>AND(COUNT(C12:G12)=5,F12&lt;7*0.4)</formula>
    </cfRule>
    <cfRule type="expression" priority="285" dxfId="2">
      <formula>AND(COUNT(C12:G12)=5,F12&gt;=7*0.4,F12&lt;7)</formula>
    </cfRule>
  </conditionalFormatting>
  <conditionalFormatting sqref="F13">
    <cfRule type="expression" priority="286" dxfId="0">
      <formula>AND(COUNT(C13:G13)=5,F13=7)</formula>
    </cfRule>
    <cfRule type="expression" priority="287" dxfId="1">
      <formula>AND(COUNT(C13:G13)=5,F13&lt;7*0.4)</formula>
    </cfRule>
    <cfRule type="expression" priority="288" dxfId="2">
      <formula>AND(COUNT(C13:G13)=5,F13&gt;=7*0.4,F13&lt;7)</formula>
    </cfRule>
  </conditionalFormatting>
  <conditionalFormatting sqref="F14">
    <cfRule type="expression" priority="289" dxfId="0">
      <formula>AND(COUNT(C14:G14)=5,F14=7)</formula>
    </cfRule>
    <cfRule type="expression" priority="290" dxfId="1">
      <formula>AND(COUNT(C14:G14)=5,F14&lt;7*0.4)</formula>
    </cfRule>
    <cfRule type="expression" priority="291" dxfId="2">
      <formula>AND(COUNT(C14:G14)=5,F14&gt;=7*0.4,F14&lt;7)</formula>
    </cfRule>
  </conditionalFormatting>
  <conditionalFormatting sqref="F15">
    <cfRule type="expression" priority="292" dxfId="0">
      <formula>AND(COUNT(C15:G15)=5,F15=7)</formula>
    </cfRule>
    <cfRule type="expression" priority="293" dxfId="1">
      <formula>AND(COUNT(C15:G15)=5,F15&lt;7*0.4)</formula>
    </cfRule>
    <cfRule type="expression" priority="294" dxfId="2">
      <formula>AND(COUNT(C15:G15)=5,F15&gt;=7*0.4,F15&lt;7)</formula>
    </cfRule>
  </conditionalFormatting>
  <conditionalFormatting sqref="F16">
    <cfRule type="expression" priority="295" dxfId="0">
      <formula>AND(COUNT(C16:G16)=5,F16=7)</formula>
    </cfRule>
    <cfRule type="expression" priority="296" dxfId="1">
      <formula>AND(COUNT(C16:G16)=5,F16&lt;7*0.4)</formula>
    </cfRule>
    <cfRule type="expression" priority="297" dxfId="2">
      <formula>AND(COUNT(C16:G16)=5,F16&gt;=7*0.4,F16&lt;7)</formula>
    </cfRule>
  </conditionalFormatting>
  <conditionalFormatting sqref="F17">
    <cfRule type="expression" priority="298" dxfId="0">
      <formula>AND(COUNT(C17:G17)=5,F17=7)</formula>
    </cfRule>
    <cfRule type="expression" priority="299" dxfId="1">
      <formula>AND(COUNT(C17:G17)=5,F17&lt;7*0.4)</formula>
    </cfRule>
    <cfRule type="expression" priority="300" dxfId="2">
      <formula>AND(COUNT(C17:G17)=5,F17&gt;=7*0.4,F17&lt;7)</formula>
    </cfRule>
  </conditionalFormatting>
  <conditionalFormatting sqref="F18">
    <cfRule type="expression" priority="301" dxfId="0">
      <formula>AND(COUNT(C18:G18)=5,F18=7)</formula>
    </cfRule>
    <cfRule type="expression" priority="302" dxfId="1">
      <formula>AND(COUNT(C18:G18)=5,F18&lt;7*0.4)</formula>
    </cfRule>
    <cfRule type="expression" priority="303" dxfId="2">
      <formula>AND(COUNT(C18:G18)=5,F18&gt;=7*0.4,F18&lt;7)</formula>
    </cfRule>
  </conditionalFormatting>
  <conditionalFormatting sqref="F19">
    <cfRule type="expression" priority="304" dxfId="0">
      <formula>AND(COUNT(C19:G19)=5,F19=7)</formula>
    </cfRule>
    <cfRule type="expression" priority="305" dxfId="1">
      <formula>AND(COUNT(C19:G19)=5,F19&lt;7*0.4)</formula>
    </cfRule>
    <cfRule type="expression" priority="306" dxfId="2">
      <formula>AND(COUNT(C19:G19)=5,F19&gt;=7*0.4,F19&lt;7)</formula>
    </cfRule>
  </conditionalFormatting>
  <conditionalFormatting sqref="F20">
    <cfRule type="expression" priority="307" dxfId="0">
      <formula>AND(COUNT(C20:G20)=5,F20=7)</formula>
    </cfRule>
    <cfRule type="expression" priority="308" dxfId="1">
      <formula>AND(COUNT(C20:G20)=5,F20&lt;7*0.4)</formula>
    </cfRule>
    <cfRule type="expression" priority="309" dxfId="2">
      <formula>AND(COUNT(C20:G20)=5,F20&gt;=7*0.4,F20&lt;7)</formula>
    </cfRule>
  </conditionalFormatting>
  <conditionalFormatting sqref="F21">
    <cfRule type="expression" priority="310" dxfId="0">
      <formula>AND(COUNT(C21:G21)=5,F21=7)</formula>
    </cfRule>
    <cfRule type="expression" priority="311" dxfId="1">
      <formula>AND(COUNT(C21:G21)=5,F21&lt;7*0.4)</formula>
    </cfRule>
    <cfRule type="expression" priority="312" dxfId="2">
      <formula>AND(COUNT(C21:G21)=5,F21&gt;=7*0.4,F21&lt;7)</formula>
    </cfRule>
  </conditionalFormatting>
  <conditionalFormatting sqref="F22">
    <cfRule type="expression" priority="313" dxfId="0">
      <formula>AND(COUNT(C22:G22)=5,F22=7)</formula>
    </cfRule>
    <cfRule type="expression" priority="314" dxfId="1">
      <formula>AND(COUNT(C22:G22)=5,F22&lt;7*0.4)</formula>
    </cfRule>
    <cfRule type="expression" priority="315" dxfId="2">
      <formula>AND(COUNT(C22:G22)=5,F22&gt;=7*0.4,F22&lt;7)</formula>
    </cfRule>
  </conditionalFormatting>
  <conditionalFormatting sqref="F23">
    <cfRule type="expression" priority="316" dxfId="0">
      <formula>AND(COUNT(C23:G23)=5,F23=7)</formula>
    </cfRule>
    <cfRule type="expression" priority="317" dxfId="1">
      <formula>AND(COUNT(C23:G23)=5,F23&lt;7*0.4)</formula>
    </cfRule>
    <cfRule type="expression" priority="318" dxfId="2">
      <formula>AND(COUNT(C23:G23)=5,F23&gt;=7*0.4,F23&lt;7)</formula>
    </cfRule>
  </conditionalFormatting>
  <conditionalFormatting sqref="F24">
    <cfRule type="expression" priority="319" dxfId="0">
      <formula>AND(COUNT(C24:G24)=5,F24=7)</formula>
    </cfRule>
    <cfRule type="expression" priority="320" dxfId="1">
      <formula>AND(COUNT(C24:G24)=5,F24&lt;7*0.4)</formula>
    </cfRule>
    <cfRule type="expression" priority="321" dxfId="2">
      <formula>AND(COUNT(C24:G24)=5,F24&gt;=7*0.4,F24&lt;7)</formula>
    </cfRule>
  </conditionalFormatting>
  <conditionalFormatting sqref="F25">
    <cfRule type="expression" priority="322" dxfId="0">
      <formula>AND(COUNT(C25:G25)=5,F25=7)</formula>
    </cfRule>
    <cfRule type="expression" priority="323" dxfId="1">
      <formula>AND(COUNT(C25:G25)=5,F25&lt;7*0.4)</formula>
    </cfRule>
    <cfRule type="expression" priority="324" dxfId="2">
      <formula>AND(COUNT(C25:G25)=5,F25&gt;=7*0.4,F25&lt;7)</formula>
    </cfRule>
  </conditionalFormatting>
  <conditionalFormatting sqref="F26">
    <cfRule type="expression" priority="325" dxfId="0">
      <formula>AND(COUNT(C26:G26)=5,F26=7)</formula>
    </cfRule>
    <cfRule type="expression" priority="326" dxfId="1">
      <formula>AND(COUNT(C26:G26)=5,F26&lt;7*0.4)</formula>
    </cfRule>
    <cfRule type="expression" priority="327" dxfId="2">
      <formula>AND(COUNT(C26:G26)=5,F26&gt;=7*0.4,F26&lt;7)</formula>
    </cfRule>
  </conditionalFormatting>
  <conditionalFormatting sqref="F27">
    <cfRule type="expression" priority="328" dxfId="0">
      <formula>AND(COUNT(C27:G27)=5,F27=7)</formula>
    </cfRule>
    <cfRule type="expression" priority="329" dxfId="1">
      <formula>AND(COUNT(C27:G27)=5,F27&lt;7*0.4)</formula>
    </cfRule>
    <cfRule type="expression" priority="330" dxfId="2">
      <formula>AND(COUNT(C27:G27)=5,F27&gt;=7*0.4,F27&lt;7)</formula>
    </cfRule>
  </conditionalFormatting>
  <conditionalFormatting sqref="F28">
    <cfRule type="expression" priority="331" dxfId="0">
      <formula>AND(COUNT(C28:G28)=5,F28=7)</formula>
    </cfRule>
    <cfRule type="expression" priority="332" dxfId="1">
      <formula>AND(COUNT(C28:G28)=5,F28&lt;7*0.4)</formula>
    </cfRule>
    <cfRule type="expression" priority="333" dxfId="2">
      <formula>AND(COUNT(C28:G28)=5,F28&gt;=7*0.4,F28&lt;7)</formula>
    </cfRule>
  </conditionalFormatting>
  <conditionalFormatting sqref="F29">
    <cfRule type="expression" priority="334" dxfId="0">
      <formula>AND(COUNT(C29:G29)=5,F29=7)</formula>
    </cfRule>
    <cfRule type="expression" priority="335" dxfId="1">
      <formula>AND(COUNT(C29:G29)=5,F29&lt;7*0.4)</formula>
    </cfRule>
    <cfRule type="expression" priority="336" dxfId="2">
      <formula>AND(COUNT(C29:G29)=5,F29&gt;=7*0.4,F29&lt;7)</formula>
    </cfRule>
  </conditionalFormatting>
  <conditionalFormatting sqref="F30">
    <cfRule type="expression" priority="337" dxfId="0">
      <formula>AND(COUNT(C30:G30)=5,F30=7)</formula>
    </cfRule>
    <cfRule type="expression" priority="338" dxfId="1">
      <formula>AND(COUNT(C30:G30)=5,F30&lt;7*0.4)</formula>
    </cfRule>
    <cfRule type="expression" priority="339" dxfId="2">
      <formula>AND(COUNT(C30:G30)=5,F30&gt;=7*0.4,F30&lt;7)</formula>
    </cfRule>
  </conditionalFormatting>
  <conditionalFormatting sqref="F31">
    <cfRule type="expression" priority="340" dxfId="0">
      <formula>AND(COUNT(C31:G31)=5,F31=7)</formula>
    </cfRule>
    <cfRule type="expression" priority="341" dxfId="1">
      <formula>AND(COUNT(C31:G31)=5,F31&lt;7*0.4)</formula>
    </cfRule>
    <cfRule type="expression" priority="342" dxfId="2">
      <formula>AND(COUNT(C31:G31)=5,F31&gt;=7*0.4,F31&lt;7)</formula>
    </cfRule>
  </conditionalFormatting>
  <conditionalFormatting sqref="F32">
    <cfRule type="expression" priority="343" dxfId="0">
      <formula>AND(COUNT(C32:G32)=5,F32=7)</formula>
    </cfRule>
    <cfRule type="expression" priority="344" dxfId="1">
      <formula>AND(COUNT(C32:G32)=5,F32&lt;7*0.4)</formula>
    </cfRule>
    <cfRule type="expression" priority="345" dxfId="2">
      <formula>AND(COUNT(C32:G32)=5,F32&gt;=7*0.4,F32&lt;7)</formula>
    </cfRule>
  </conditionalFormatting>
  <conditionalFormatting sqref="F33">
    <cfRule type="expression" priority="346" dxfId="0">
      <formula>AND(COUNT(C33:G33)=5,F33=7)</formula>
    </cfRule>
    <cfRule type="expression" priority="347" dxfId="1">
      <formula>AND(COUNT(C33:G33)=5,F33&lt;7*0.4)</formula>
    </cfRule>
    <cfRule type="expression" priority="348" dxfId="2">
      <formula>AND(COUNT(C33:G33)=5,F33&gt;=7*0.4,F33&lt;7)</formula>
    </cfRule>
  </conditionalFormatting>
  <conditionalFormatting sqref="F34">
    <cfRule type="expression" priority="349" dxfId="0">
      <formula>AND(COUNT(C34:G34)=5,F34=7)</formula>
    </cfRule>
    <cfRule type="expression" priority="350" dxfId="1">
      <formula>AND(COUNT(C34:G34)=5,F34&lt;7*0.4)</formula>
    </cfRule>
    <cfRule type="expression" priority="351" dxfId="2">
      <formula>AND(COUNT(C34:G34)=5,F34&gt;=7*0.4,F34&lt;7)</formula>
    </cfRule>
  </conditionalFormatting>
  <conditionalFormatting sqref="F35">
    <cfRule type="expression" priority="352" dxfId="0">
      <formula>AND(COUNT(C35:G35)=5,F35=7)</formula>
    </cfRule>
    <cfRule type="expression" priority="353" dxfId="1">
      <formula>AND(COUNT(C35:G35)=5,F35&lt;7*0.4)</formula>
    </cfRule>
    <cfRule type="expression" priority="354" dxfId="2">
      <formula>AND(COUNT(C35:G35)=5,F35&gt;=7*0.4,F35&lt;7)</formula>
    </cfRule>
  </conditionalFormatting>
  <conditionalFormatting sqref="F36">
    <cfRule type="expression" priority="355" dxfId="0">
      <formula>AND(COUNT(C36:G36)=5,F36=7)</formula>
    </cfRule>
    <cfRule type="expression" priority="356" dxfId="1">
      <formula>AND(COUNT(C36:G36)=5,F36&lt;7*0.4)</formula>
    </cfRule>
    <cfRule type="expression" priority="357" dxfId="2">
      <formula>AND(COUNT(C36:G36)=5,F36&gt;=7*0.4,F36&lt;7)</formula>
    </cfRule>
  </conditionalFormatting>
  <conditionalFormatting sqref="F37">
    <cfRule type="expression" priority="358" dxfId="0">
      <formula>AND(COUNT(C37:G37)=5,F37=7)</formula>
    </cfRule>
    <cfRule type="expression" priority="359" dxfId="1">
      <formula>AND(COUNT(C37:G37)=5,F37&lt;7*0.4)</formula>
    </cfRule>
    <cfRule type="expression" priority="360" dxfId="2">
      <formula>AND(COUNT(C37:G37)=5,F37&gt;=7*0.4,F37&lt;7)</formula>
    </cfRule>
  </conditionalFormatting>
  <conditionalFormatting sqref="F38">
    <cfRule type="expression" priority="361" dxfId="0">
      <formula>AND(COUNT(C38:G38)=5,F38=7)</formula>
    </cfRule>
    <cfRule type="expression" priority="362" dxfId="1">
      <formula>AND(COUNT(C38:G38)=5,F38&lt;7*0.4)</formula>
    </cfRule>
    <cfRule type="expression" priority="363" dxfId="2">
      <formula>AND(COUNT(C38:G38)=5,F38&gt;=7*0.4,F38&lt;7)</formula>
    </cfRule>
  </conditionalFormatting>
  <conditionalFormatting sqref="F39">
    <cfRule type="expression" priority="364" dxfId="0">
      <formula>AND(COUNT(C39:G39)=5,F39=7)</formula>
    </cfRule>
    <cfRule type="expression" priority="365" dxfId="1">
      <formula>AND(COUNT(C39:G39)=5,F39&lt;7*0.4)</formula>
    </cfRule>
    <cfRule type="expression" priority="366" dxfId="2">
      <formula>AND(COUNT(C39:G39)=5,F39&gt;=7*0.4,F39&lt;7)</formula>
    </cfRule>
  </conditionalFormatting>
  <conditionalFormatting sqref="F40">
    <cfRule type="expression" priority="367" dxfId="0">
      <formula>AND(COUNT(C40:G40)=5,F40=7)</formula>
    </cfRule>
    <cfRule type="expression" priority="368" dxfId="1">
      <formula>AND(COUNT(C40:G40)=5,F40&lt;7*0.4)</formula>
    </cfRule>
    <cfRule type="expression" priority="369" dxfId="2">
      <formula>AND(COUNT(C40:G40)=5,F40&gt;=7*0.4,F40&lt;7)</formula>
    </cfRule>
  </conditionalFormatting>
  <conditionalFormatting sqref="F41">
    <cfRule type="expression" priority="370" dxfId="0">
      <formula>AND(COUNT(C41:G41)=5,F41=7)</formula>
    </cfRule>
    <cfRule type="expression" priority="371" dxfId="1">
      <formula>AND(COUNT(C41:G41)=5,F41&lt;7*0.4)</formula>
    </cfRule>
    <cfRule type="expression" priority="372" dxfId="2">
      <formula>AND(COUNT(C41:G41)=5,F41&gt;=7*0.4,F41&lt;7)</formula>
    </cfRule>
  </conditionalFormatting>
  <conditionalFormatting sqref="G11">
    <cfRule type="expression" priority="373" dxfId="0">
      <formula>AND(COUNT(C11:G11)=5,G11=10)</formula>
    </cfRule>
    <cfRule type="expression" priority="374" dxfId="1">
      <formula>AND(COUNT(C11:G11)=5,G11&lt;10*0.4)</formula>
    </cfRule>
    <cfRule type="expression" priority="375" dxfId="2">
      <formula>AND(COUNT(C11:G11)=5,G11&gt;=10*0.4,G11&lt;10)</formula>
    </cfRule>
  </conditionalFormatting>
  <conditionalFormatting sqref="G12">
    <cfRule type="expression" priority="376" dxfId="0">
      <formula>AND(COUNT(C12:G12)=5,G12=10)</formula>
    </cfRule>
    <cfRule type="expression" priority="377" dxfId="1">
      <formula>AND(COUNT(C12:G12)=5,G12&lt;10*0.4)</formula>
    </cfRule>
    <cfRule type="expression" priority="378" dxfId="2">
      <formula>AND(COUNT(C12:G12)=5,G12&gt;=10*0.4,G12&lt;10)</formula>
    </cfRule>
  </conditionalFormatting>
  <conditionalFormatting sqref="G13">
    <cfRule type="expression" priority="379" dxfId="0">
      <formula>AND(COUNT(C13:G13)=5,G13=10)</formula>
    </cfRule>
    <cfRule type="expression" priority="380" dxfId="1">
      <formula>AND(COUNT(C13:G13)=5,G13&lt;10*0.4)</formula>
    </cfRule>
    <cfRule type="expression" priority="381" dxfId="2">
      <formula>AND(COUNT(C13:G13)=5,G13&gt;=10*0.4,G13&lt;10)</formula>
    </cfRule>
  </conditionalFormatting>
  <conditionalFormatting sqref="G14">
    <cfRule type="expression" priority="382" dxfId="0">
      <formula>AND(COUNT(C14:G14)=5,G14=10)</formula>
    </cfRule>
    <cfRule type="expression" priority="383" dxfId="1">
      <formula>AND(COUNT(C14:G14)=5,G14&lt;10*0.4)</formula>
    </cfRule>
    <cfRule type="expression" priority="384" dxfId="2">
      <formula>AND(COUNT(C14:G14)=5,G14&gt;=10*0.4,G14&lt;10)</formula>
    </cfRule>
  </conditionalFormatting>
  <conditionalFormatting sqref="G15">
    <cfRule type="expression" priority="385" dxfId="0">
      <formula>AND(COUNT(C15:G15)=5,G15=10)</formula>
    </cfRule>
    <cfRule type="expression" priority="386" dxfId="1">
      <formula>AND(COUNT(C15:G15)=5,G15&lt;10*0.4)</formula>
    </cfRule>
    <cfRule type="expression" priority="387" dxfId="2">
      <formula>AND(COUNT(C15:G15)=5,G15&gt;=10*0.4,G15&lt;10)</formula>
    </cfRule>
  </conditionalFormatting>
  <conditionalFormatting sqref="G16">
    <cfRule type="expression" priority="388" dxfId="0">
      <formula>AND(COUNT(C16:G16)=5,G16=10)</formula>
    </cfRule>
    <cfRule type="expression" priority="389" dxfId="1">
      <formula>AND(COUNT(C16:G16)=5,G16&lt;10*0.4)</formula>
    </cfRule>
    <cfRule type="expression" priority="390" dxfId="2">
      <formula>AND(COUNT(C16:G16)=5,G16&gt;=10*0.4,G16&lt;10)</formula>
    </cfRule>
  </conditionalFormatting>
  <conditionalFormatting sqref="G17">
    <cfRule type="expression" priority="391" dxfId="0">
      <formula>AND(COUNT(C17:G17)=5,G17=10)</formula>
    </cfRule>
    <cfRule type="expression" priority="392" dxfId="1">
      <formula>AND(COUNT(C17:G17)=5,G17&lt;10*0.4)</formula>
    </cfRule>
    <cfRule type="expression" priority="393" dxfId="2">
      <formula>AND(COUNT(C17:G17)=5,G17&gt;=10*0.4,G17&lt;10)</formula>
    </cfRule>
  </conditionalFormatting>
  <conditionalFormatting sqref="G18">
    <cfRule type="expression" priority="394" dxfId="0">
      <formula>AND(COUNT(C18:G18)=5,G18=10)</formula>
    </cfRule>
    <cfRule type="expression" priority="395" dxfId="1">
      <formula>AND(COUNT(C18:G18)=5,G18&lt;10*0.4)</formula>
    </cfRule>
    <cfRule type="expression" priority="396" dxfId="2">
      <formula>AND(COUNT(C18:G18)=5,G18&gt;=10*0.4,G18&lt;10)</formula>
    </cfRule>
  </conditionalFormatting>
  <conditionalFormatting sqref="G19">
    <cfRule type="expression" priority="397" dxfId="0">
      <formula>AND(COUNT(C19:G19)=5,G19=10)</formula>
    </cfRule>
    <cfRule type="expression" priority="398" dxfId="1">
      <formula>AND(COUNT(C19:G19)=5,G19&lt;10*0.4)</formula>
    </cfRule>
    <cfRule type="expression" priority="399" dxfId="2">
      <formula>AND(COUNT(C19:G19)=5,G19&gt;=10*0.4,G19&lt;10)</formula>
    </cfRule>
  </conditionalFormatting>
  <conditionalFormatting sqref="G20">
    <cfRule type="expression" priority="400" dxfId="0">
      <formula>AND(COUNT(C20:G20)=5,G20=10)</formula>
    </cfRule>
    <cfRule type="expression" priority="401" dxfId="1">
      <formula>AND(COUNT(C20:G20)=5,G20&lt;10*0.4)</formula>
    </cfRule>
    <cfRule type="expression" priority="402" dxfId="2">
      <formula>AND(COUNT(C20:G20)=5,G20&gt;=10*0.4,G20&lt;10)</formula>
    </cfRule>
  </conditionalFormatting>
  <conditionalFormatting sqref="G21">
    <cfRule type="expression" priority="403" dxfId="0">
      <formula>AND(COUNT(C21:G21)=5,G21=10)</formula>
    </cfRule>
    <cfRule type="expression" priority="404" dxfId="1">
      <formula>AND(COUNT(C21:G21)=5,G21&lt;10*0.4)</formula>
    </cfRule>
    <cfRule type="expression" priority="405" dxfId="2">
      <formula>AND(COUNT(C21:G21)=5,G21&gt;=10*0.4,G21&lt;10)</formula>
    </cfRule>
  </conditionalFormatting>
  <conditionalFormatting sqref="G22">
    <cfRule type="expression" priority="406" dxfId="0">
      <formula>AND(COUNT(C22:G22)=5,G22=10)</formula>
    </cfRule>
    <cfRule type="expression" priority="407" dxfId="1">
      <formula>AND(COUNT(C22:G22)=5,G22&lt;10*0.4)</formula>
    </cfRule>
    <cfRule type="expression" priority="408" dxfId="2">
      <formula>AND(COUNT(C22:G22)=5,G22&gt;=10*0.4,G22&lt;10)</formula>
    </cfRule>
  </conditionalFormatting>
  <conditionalFormatting sqref="G23">
    <cfRule type="expression" priority="409" dxfId="0">
      <formula>AND(COUNT(C23:G23)=5,G23=10)</formula>
    </cfRule>
    <cfRule type="expression" priority="410" dxfId="1">
      <formula>AND(COUNT(C23:G23)=5,G23&lt;10*0.4)</formula>
    </cfRule>
    <cfRule type="expression" priority="411" dxfId="2">
      <formula>AND(COUNT(C23:G23)=5,G23&gt;=10*0.4,G23&lt;10)</formula>
    </cfRule>
  </conditionalFormatting>
  <conditionalFormatting sqref="G24">
    <cfRule type="expression" priority="412" dxfId="0">
      <formula>AND(COUNT(C24:G24)=5,G24=10)</formula>
    </cfRule>
    <cfRule type="expression" priority="413" dxfId="1">
      <formula>AND(COUNT(C24:G24)=5,G24&lt;10*0.4)</formula>
    </cfRule>
    <cfRule type="expression" priority="414" dxfId="2">
      <formula>AND(COUNT(C24:G24)=5,G24&gt;=10*0.4,G24&lt;10)</formula>
    </cfRule>
  </conditionalFormatting>
  <conditionalFormatting sqref="G25">
    <cfRule type="expression" priority="415" dxfId="0">
      <formula>AND(COUNT(C25:G25)=5,G25=10)</formula>
    </cfRule>
    <cfRule type="expression" priority="416" dxfId="1">
      <formula>AND(COUNT(C25:G25)=5,G25&lt;10*0.4)</formula>
    </cfRule>
    <cfRule type="expression" priority="417" dxfId="2">
      <formula>AND(COUNT(C25:G25)=5,G25&gt;=10*0.4,G25&lt;10)</formula>
    </cfRule>
  </conditionalFormatting>
  <conditionalFormatting sqref="G26">
    <cfRule type="expression" priority="418" dxfId="0">
      <formula>AND(COUNT(C26:G26)=5,G26=10)</formula>
    </cfRule>
    <cfRule type="expression" priority="419" dxfId="1">
      <formula>AND(COUNT(C26:G26)=5,G26&lt;10*0.4)</formula>
    </cfRule>
    <cfRule type="expression" priority="420" dxfId="2">
      <formula>AND(COUNT(C26:G26)=5,G26&gt;=10*0.4,G26&lt;10)</formula>
    </cfRule>
  </conditionalFormatting>
  <conditionalFormatting sqref="G27">
    <cfRule type="expression" priority="421" dxfId="0">
      <formula>AND(COUNT(C27:G27)=5,G27=10)</formula>
    </cfRule>
    <cfRule type="expression" priority="422" dxfId="1">
      <formula>AND(COUNT(C27:G27)=5,G27&lt;10*0.4)</formula>
    </cfRule>
    <cfRule type="expression" priority="423" dxfId="2">
      <formula>AND(COUNT(C27:G27)=5,G27&gt;=10*0.4,G27&lt;10)</formula>
    </cfRule>
  </conditionalFormatting>
  <conditionalFormatting sqref="G28">
    <cfRule type="expression" priority="424" dxfId="0">
      <formula>AND(COUNT(C28:G28)=5,G28=10)</formula>
    </cfRule>
    <cfRule type="expression" priority="425" dxfId="1">
      <formula>AND(COUNT(C28:G28)=5,G28&lt;10*0.4)</formula>
    </cfRule>
    <cfRule type="expression" priority="426" dxfId="2">
      <formula>AND(COUNT(C28:G28)=5,G28&gt;=10*0.4,G28&lt;10)</formula>
    </cfRule>
  </conditionalFormatting>
  <conditionalFormatting sqref="G29">
    <cfRule type="expression" priority="427" dxfId="0">
      <formula>AND(COUNT(C29:G29)=5,G29=10)</formula>
    </cfRule>
    <cfRule type="expression" priority="428" dxfId="1">
      <formula>AND(COUNT(C29:G29)=5,G29&lt;10*0.4)</formula>
    </cfRule>
    <cfRule type="expression" priority="429" dxfId="2">
      <formula>AND(COUNT(C29:G29)=5,G29&gt;=10*0.4,G29&lt;10)</formula>
    </cfRule>
  </conditionalFormatting>
  <conditionalFormatting sqref="G30">
    <cfRule type="expression" priority="430" dxfId="0">
      <formula>AND(COUNT(C30:G30)=5,G30=10)</formula>
    </cfRule>
    <cfRule type="expression" priority="431" dxfId="1">
      <formula>AND(COUNT(C30:G30)=5,G30&lt;10*0.4)</formula>
    </cfRule>
    <cfRule type="expression" priority="432" dxfId="2">
      <formula>AND(COUNT(C30:G30)=5,G30&gt;=10*0.4,G30&lt;10)</formula>
    </cfRule>
  </conditionalFormatting>
  <conditionalFormatting sqref="G31">
    <cfRule type="expression" priority="433" dxfId="0">
      <formula>AND(COUNT(C31:G31)=5,G31=10)</formula>
    </cfRule>
    <cfRule type="expression" priority="434" dxfId="1">
      <formula>AND(COUNT(C31:G31)=5,G31&lt;10*0.4)</formula>
    </cfRule>
    <cfRule type="expression" priority="435" dxfId="2">
      <formula>AND(COUNT(C31:G31)=5,G31&gt;=10*0.4,G31&lt;10)</formula>
    </cfRule>
  </conditionalFormatting>
  <conditionalFormatting sqref="G32">
    <cfRule type="expression" priority="436" dxfId="0">
      <formula>AND(COUNT(C32:G32)=5,G32=10)</formula>
    </cfRule>
    <cfRule type="expression" priority="437" dxfId="1">
      <formula>AND(COUNT(C32:G32)=5,G32&lt;10*0.4)</formula>
    </cfRule>
    <cfRule type="expression" priority="438" dxfId="2">
      <formula>AND(COUNT(C32:G32)=5,G32&gt;=10*0.4,G32&lt;10)</formula>
    </cfRule>
  </conditionalFormatting>
  <conditionalFormatting sqref="G33">
    <cfRule type="expression" priority="439" dxfId="0">
      <formula>AND(COUNT(C33:G33)=5,G33=10)</formula>
    </cfRule>
    <cfRule type="expression" priority="440" dxfId="1">
      <formula>AND(COUNT(C33:G33)=5,G33&lt;10*0.4)</formula>
    </cfRule>
    <cfRule type="expression" priority="441" dxfId="2">
      <formula>AND(COUNT(C33:G33)=5,G33&gt;=10*0.4,G33&lt;10)</formula>
    </cfRule>
  </conditionalFormatting>
  <conditionalFormatting sqref="G34">
    <cfRule type="expression" priority="442" dxfId="0">
      <formula>AND(COUNT(C34:G34)=5,G34=10)</formula>
    </cfRule>
    <cfRule type="expression" priority="443" dxfId="1">
      <formula>AND(COUNT(C34:G34)=5,G34&lt;10*0.4)</formula>
    </cfRule>
    <cfRule type="expression" priority="444" dxfId="2">
      <formula>AND(COUNT(C34:G34)=5,G34&gt;=10*0.4,G34&lt;10)</formula>
    </cfRule>
  </conditionalFormatting>
  <conditionalFormatting sqref="G35">
    <cfRule type="expression" priority="445" dxfId="0">
      <formula>AND(COUNT(C35:G35)=5,G35=10)</formula>
    </cfRule>
    <cfRule type="expression" priority="446" dxfId="1">
      <formula>AND(COUNT(C35:G35)=5,G35&lt;10*0.4)</formula>
    </cfRule>
    <cfRule type="expression" priority="447" dxfId="2">
      <formula>AND(COUNT(C35:G35)=5,G35&gt;=10*0.4,G35&lt;10)</formula>
    </cfRule>
  </conditionalFormatting>
  <conditionalFormatting sqref="G36">
    <cfRule type="expression" priority="448" dxfId="0">
      <formula>AND(COUNT(C36:G36)=5,G36=10)</formula>
    </cfRule>
    <cfRule type="expression" priority="449" dxfId="1">
      <formula>AND(COUNT(C36:G36)=5,G36&lt;10*0.4)</formula>
    </cfRule>
    <cfRule type="expression" priority="450" dxfId="2">
      <formula>AND(COUNT(C36:G36)=5,G36&gt;=10*0.4,G36&lt;10)</formula>
    </cfRule>
  </conditionalFormatting>
  <conditionalFormatting sqref="G37">
    <cfRule type="expression" priority="451" dxfId="0">
      <formula>AND(COUNT(C37:G37)=5,G37=10)</formula>
    </cfRule>
    <cfRule type="expression" priority="452" dxfId="1">
      <formula>AND(COUNT(C37:G37)=5,G37&lt;10*0.4)</formula>
    </cfRule>
    <cfRule type="expression" priority="453" dxfId="2">
      <formula>AND(COUNT(C37:G37)=5,G37&gt;=10*0.4,G37&lt;10)</formula>
    </cfRule>
  </conditionalFormatting>
  <conditionalFormatting sqref="G38">
    <cfRule type="expression" priority="454" dxfId="0">
      <formula>AND(COUNT(C38:G38)=5,G38=10)</formula>
    </cfRule>
    <cfRule type="expression" priority="455" dxfId="1">
      <formula>AND(COUNT(C38:G38)=5,G38&lt;10*0.4)</formula>
    </cfRule>
    <cfRule type="expression" priority="456" dxfId="2">
      <formula>AND(COUNT(C38:G38)=5,G38&gt;=10*0.4,G38&lt;10)</formula>
    </cfRule>
  </conditionalFormatting>
  <conditionalFormatting sqref="G39">
    <cfRule type="expression" priority="457" dxfId="0">
      <formula>AND(COUNT(C39:G39)=5,G39=10)</formula>
    </cfRule>
    <cfRule type="expression" priority="458" dxfId="1">
      <formula>AND(COUNT(C39:G39)=5,G39&lt;10*0.4)</formula>
    </cfRule>
    <cfRule type="expression" priority="459" dxfId="2">
      <formula>AND(COUNT(C39:G39)=5,G39&gt;=10*0.4,G39&lt;10)</formula>
    </cfRule>
  </conditionalFormatting>
  <conditionalFormatting sqref="G40">
    <cfRule type="expression" priority="460" dxfId="0">
      <formula>AND(COUNT(C40:G40)=5,G40=10)</formula>
    </cfRule>
    <cfRule type="expression" priority="461" dxfId="1">
      <formula>AND(COUNT(C40:G40)=5,G40&lt;10*0.4)</formula>
    </cfRule>
    <cfRule type="expression" priority="462" dxfId="2">
      <formula>AND(COUNT(C40:G40)=5,G40&gt;=10*0.4,G40&lt;10)</formula>
    </cfRule>
  </conditionalFormatting>
  <conditionalFormatting sqref="G41">
    <cfRule type="expression" priority="463" dxfId="0">
      <formula>AND(COUNT(C41:G41)=5,G41=10)</formula>
    </cfRule>
    <cfRule type="expression" priority="464" dxfId="1">
      <formula>AND(COUNT(C41:G41)=5,G41&lt;10*0.4)</formula>
    </cfRule>
    <cfRule type="expression" priority="465" dxfId="2">
      <formula>AND(COUNT(C41:G41)=5,G41&gt;=10*0.4,G41&lt;10)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24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Chapter 5 End of Topic Test 2 — The Normal Distribution</t>
        </is>
      </c>
    </row>
    <row r="2">
      <c r="A2" s="2" t="inlineStr">
        <is>
          <t>Every block below pulls live from 'Ch5 EOT2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SUMPRODUCT(--ISNUMBER('Ch5 EOT2 Results'!J12:J41))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IF('Ch5 EOT2 Results'!J12="","","Chapter 5 End of Topic Test 2 — The Normal Distribution")</f>
        <v/>
      </c>
      <c r="K5">
        <f>IF('Ch5 EOT2 Results'!J13="","","Chapter 5 End of Topic Test 2 — The Normal Distribution")</f>
        <v/>
      </c>
    </row>
    <row r="6">
      <c r="A6">
        <f>IF('Ch5 EOT2 Results'!J12="","","Name: "&amp;'Ch5 EOT2 Results'!B12&amp;"   Class: "&amp;'Ch5 EOT2 Results'!$B$3&amp;"   Date: "&amp;TEXT('Ch5 EOT2 Results'!$B$5,"DD/MM/YY"))</f>
        <v/>
      </c>
      <c r="K6">
        <f>IF('Ch5 EOT2 Results'!J13="","","Name: "&amp;'Ch5 EOT2 Results'!B13&amp;"   Class: "&amp;'Ch5 EOT2 Results'!$B$3&amp;"   Date: "&amp;TEXT('Ch5 EOT2 Results'!$B$5,"DD/MM/YY"))</f>
        <v/>
      </c>
    </row>
    <row r="7">
      <c r="A7">
        <f>IF('Ch5 EOT2 Results'!J12="","","Total: "&amp;'Ch5 EOT2 Results'!H12&amp;"/39 ("&amp;TEXT('Ch5 EOT2 Results'!I12,"0%")&amp;")   Overall: "&amp;'Ch5 EOT2 Results'!J12)</f>
        <v/>
      </c>
      <c r="K7">
        <f>IF('Ch5 EOT2 Results'!J13="","","Total: "&amp;'Ch5 EOT2 Results'!H13&amp;"/39 ("&amp;TEXT('Ch5 EOT2 Results'!I13,"0%")&amp;")   Overall: "&amp;'Ch5 EOT2 Results'!J13)</f>
        <v/>
      </c>
    </row>
    <row r="8">
      <c r="A8">
        <f>IF('Ch5 EOT2 Results'!J12="","",IF('Ch5 EOT2 Results'!J12="Green",Parameters!$C$338,IF('Ch5 EOT2 Results'!J12="Yellow",Parameters!$C$337,Parameters!$C$336)))</f>
        <v/>
      </c>
      <c r="K8">
        <f>IF('Ch5 EOT2 Results'!J13="","",IF('Ch5 EOT2 Results'!J13="Green",Parameters!$C$338,IF('Ch5 EOT2 Results'!J13="Yellow",Parameters!$C$337,Parameters!$C$336)))</f>
        <v/>
      </c>
    </row>
    <row r="10">
      <c r="A10">
        <f>IF('Ch5 EOT2 Results'!J12="","","Breakdown:")</f>
        <v/>
      </c>
      <c r="K10">
        <f>IF('Ch5 EOT2 Results'!J13="","","Breakdown:")</f>
        <v/>
      </c>
    </row>
    <row r="11">
      <c r="A11">
        <f>IF('Ch5 EOT2 Results'!J12="","","Q1 Properties, sketching a curve &amp; suitability of the model: "&amp;'Ch5 EOT2 Results'!C12&amp;"/6")</f>
        <v/>
      </c>
      <c r="K11">
        <f>IF('Ch5 EOT2 Results'!J13="","","Q1 Properties, sketching a curve &amp; suitability of the model: "&amp;'Ch5 EOT2 Results'!C13&amp;"/6")</f>
        <v/>
      </c>
    </row>
    <row r="12">
      <c r="A12">
        <f>IF('Ch5 EOT2 Results'!J12="","","Q2 Standardising &amp; finding probabilities in context: "&amp;'Ch5 EOT2 Results'!D12&amp;"/8")</f>
        <v/>
      </c>
      <c r="K12">
        <f>IF('Ch5 EOT2 Results'!J13="","","Q2 Standardising &amp; finding probabilities in context: "&amp;'Ch5 EOT2 Results'!D13&amp;"/8")</f>
        <v/>
      </c>
    </row>
    <row r="13">
      <c r="A13">
        <f>IF('Ch5 EOT2 Results'!J12="","","Q3 Probability, an inverse normal threshold &amp; model limitations: "&amp;'Ch5 EOT2 Results'!E12&amp;"/8")</f>
        <v/>
      </c>
      <c r="K13">
        <f>IF('Ch5 EOT2 Results'!J13="","","Q3 Probability, an inverse normal threshold &amp; model limitations: "&amp;'Ch5 EOT2 Results'!E13&amp;"/8")</f>
        <v/>
      </c>
    </row>
    <row r="14">
      <c r="A14">
        <f>IF('Ch5 EOT2 Results'!J12="","","Q4 Interpreting a normal curve diagram: "&amp;'Ch5 EOT2 Results'!F12&amp;"/7")</f>
        <v/>
      </c>
      <c r="K14">
        <f>IF('Ch5 EOT2 Results'!J13="","","Q4 Interpreting a normal curve diagram: "&amp;'Ch5 EOT2 Results'!F13&amp;"/7")</f>
        <v/>
      </c>
    </row>
    <row r="15">
      <c r="A15">
        <f>IF('Ch5 EOT2 Results'!J12="","","Q5 Notation, probability &amp; critiquing a normal model: "&amp;'Ch5 EOT2 Results'!G12&amp;"/10")</f>
        <v/>
      </c>
      <c r="K15">
        <f>IF('Ch5 EOT2 Results'!J13="","","Q5 Notation, probability &amp; critiquing a normal model: "&amp;'Ch5 EOT2 Results'!G13&amp;"/10")</f>
        <v/>
      </c>
    </row>
    <row r="16">
      <c r="A16">
        <f>IF(OR('Ch5 EOT2 Results'!J12="",'Ch5 EOT2 Results'!K12=""),"",'Ch5 EOT2 Results'!K12)</f>
        <v/>
      </c>
      <c r="K16">
        <f>IF(OR('Ch5 EOT2 Results'!J13="",'Ch5 EOT2 Results'!K13=""),"",'Ch5 EOT2 Results'!K13)</f>
        <v/>
      </c>
    </row>
    <row r="18">
      <c r="A18">
        <f>IF('Ch5 EOT2 Results'!J12="","","Comments:")</f>
        <v/>
      </c>
      <c r="K18">
        <f>IF('Ch5 EOT2 Results'!J13="","","Comments:")</f>
        <v/>
      </c>
    </row>
    <row r="21">
      <c r="A21">
        <f>IF('Ch5 EOT2 Results'!J14="","","Chapter 5 End of Topic Test 2 — The Normal Distribution")</f>
        <v/>
      </c>
      <c r="K21">
        <f>IF('Ch5 EOT2 Results'!J15="","","Chapter 5 End of Topic Test 2 — The Normal Distribution")</f>
        <v/>
      </c>
    </row>
    <row r="22">
      <c r="A22">
        <f>IF('Ch5 EOT2 Results'!J14="","","Name: "&amp;'Ch5 EOT2 Results'!B14&amp;"   Class: "&amp;'Ch5 EOT2 Results'!$B$3&amp;"   Date: "&amp;TEXT('Ch5 EOT2 Results'!$B$5,"DD/MM/YY"))</f>
        <v/>
      </c>
      <c r="K22">
        <f>IF('Ch5 EOT2 Results'!J15="","","Name: "&amp;'Ch5 EOT2 Results'!B15&amp;"   Class: "&amp;'Ch5 EOT2 Results'!$B$3&amp;"   Date: "&amp;TEXT('Ch5 EOT2 Results'!$B$5,"DD/MM/YY"))</f>
        <v/>
      </c>
    </row>
    <row r="23">
      <c r="A23">
        <f>IF('Ch5 EOT2 Results'!J14="","","Total: "&amp;'Ch5 EOT2 Results'!H14&amp;"/39 ("&amp;TEXT('Ch5 EOT2 Results'!I14,"0%")&amp;")   Overall: "&amp;'Ch5 EOT2 Results'!J14)</f>
        <v/>
      </c>
      <c r="K23">
        <f>IF('Ch5 EOT2 Results'!J15="","","Total: "&amp;'Ch5 EOT2 Results'!H15&amp;"/39 ("&amp;TEXT('Ch5 EOT2 Results'!I15,"0%")&amp;")   Overall: "&amp;'Ch5 EOT2 Results'!J15)</f>
        <v/>
      </c>
    </row>
    <row r="24">
      <c r="A24">
        <f>IF('Ch5 EOT2 Results'!J14="","",IF('Ch5 EOT2 Results'!J14="Green",Parameters!$C$338,IF('Ch5 EOT2 Results'!J14="Yellow",Parameters!$C$337,Parameters!$C$336)))</f>
        <v/>
      </c>
      <c r="K24">
        <f>IF('Ch5 EOT2 Results'!J15="","",IF('Ch5 EOT2 Results'!J15="Green",Parameters!$C$338,IF('Ch5 EOT2 Results'!J15="Yellow",Parameters!$C$337,Parameters!$C$336)))</f>
        <v/>
      </c>
    </row>
    <row r="26">
      <c r="A26">
        <f>IF('Ch5 EOT2 Results'!J14="","","Breakdown:")</f>
        <v/>
      </c>
      <c r="K26">
        <f>IF('Ch5 EOT2 Results'!J15="","","Breakdown:")</f>
        <v/>
      </c>
    </row>
    <row r="27">
      <c r="A27">
        <f>IF('Ch5 EOT2 Results'!J14="","","Q1 Properties, sketching a curve &amp; suitability of the model: "&amp;'Ch5 EOT2 Results'!C14&amp;"/6")</f>
        <v/>
      </c>
      <c r="K27">
        <f>IF('Ch5 EOT2 Results'!J15="","","Q1 Properties, sketching a curve &amp; suitability of the model: "&amp;'Ch5 EOT2 Results'!C15&amp;"/6")</f>
        <v/>
      </c>
    </row>
    <row r="28">
      <c r="A28">
        <f>IF('Ch5 EOT2 Results'!J14="","","Q2 Standardising &amp; finding probabilities in context: "&amp;'Ch5 EOT2 Results'!D14&amp;"/8")</f>
        <v/>
      </c>
      <c r="K28">
        <f>IF('Ch5 EOT2 Results'!J15="","","Q2 Standardising &amp; finding probabilities in context: "&amp;'Ch5 EOT2 Results'!D15&amp;"/8")</f>
        <v/>
      </c>
    </row>
    <row r="29">
      <c r="A29">
        <f>IF('Ch5 EOT2 Results'!J14="","","Q3 Probability, an inverse normal threshold &amp; model limitations: "&amp;'Ch5 EOT2 Results'!E14&amp;"/8")</f>
        <v/>
      </c>
      <c r="K29">
        <f>IF('Ch5 EOT2 Results'!J15="","","Q3 Probability, an inverse normal threshold &amp; model limitations: "&amp;'Ch5 EOT2 Results'!E15&amp;"/8")</f>
        <v/>
      </c>
    </row>
    <row r="30">
      <c r="A30">
        <f>IF('Ch5 EOT2 Results'!J14="","","Q4 Interpreting a normal curve diagram: "&amp;'Ch5 EOT2 Results'!F14&amp;"/7")</f>
        <v/>
      </c>
      <c r="K30">
        <f>IF('Ch5 EOT2 Results'!J15="","","Q4 Interpreting a normal curve diagram: "&amp;'Ch5 EOT2 Results'!F15&amp;"/7")</f>
        <v/>
      </c>
    </row>
    <row r="31">
      <c r="A31">
        <f>IF('Ch5 EOT2 Results'!J14="","","Q5 Notation, probability &amp; critiquing a normal model: "&amp;'Ch5 EOT2 Results'!G14&amp;"/10")</f>
        <v/>
      </c>
      <c r="K31">
        <f>IF('Ch5 EOT2 Results'!J15="","","Q5 Notation, probability &amp; critiquing a normal model: "&amp;'Ch5 EOT2 Results'!G15&amp;"/10")</f>
        <v/>
      </c>
    </row>
    <row r="32">
      <c r="A32">
        <f>IF(OR('Ch5 EOT2 Results'!J14="",'Ch5 EOT2 Results'!K14=""),"",'Ch5 EOT2 Results'!K14)</f>
        <v/>
      </c>
      <c r="K32">
        <f>IF(OR('Ch5 EOT2 Results'!J15="",'Ch5 EOT2 Results'!K15=""),"",'Ch5 EOT2 Results'!K15)</f>
        <v/>
      </c>
    </row>
    <row r="34">
      <c r="A34">
        <f>IF('Ch5 EOT2 Results'!J14="","","Comments:")</f>
        <v/>
      </c>
      <c r="K34">
        <f>IF('Ch5 EOT2 Results'!J15="","","Comments:")</f>
        <v/>
      </c>
    </row>
    <row r="37">
      <c r="A37">
        <f>IF('Ch5 EOT2 Results'!J16="","","Chapter 5 End of Topic Test 2 — The Normal Distribution")</f>
        <v/>
      </c>
      <c r="K37">
        <f>IF('Ch5 EOT2 Results'!J17="","","Chapter 5 End of Topic Test 2 — The Normal Distribution")</f>
        <v/>
      </c>
    </row>
    <row r="38">
      <c r="A38">
        <f>IF('Ch5 EOT2 Results'!J16="","","Name: "&amp;'Ch5 EOT2 Results'!B16&amp;"   Class: "&amp;'Ch5 EOT2 Results'!$B$3&amp;"   Date: "&amp;TEXT('Ch5 EOT2 Results'!$B$5,"DD/MM/YY"))</f>
        <v/>
      </c>
      <c r="K38">
        <f>IF('Ch5 EOT2 Results'!J17="","","Name: "&amp;'Ch5 EOT2 Results'!B17&amp;"   Class: "&amp;'Ch5 EOT2 Results'!$B$3&amp;"   Date: "&amp;TEXT('Ch5 EOT2 Results'!$B$5,"DD/MM/YY"))</f>
        <v/>
      </c>
    </row>
    <row r="39">
      <c r="A39">
        <f>IF('Ch5 EOT2 Results'!J16="","","Total: "&amp;'Ch5 EOT2 Results'!H16&amp;"/39 ("&amp;TEXT('Ch5 EOT2 Results'!I16,"0%")&amp;")   Overall: "&amp;'Ch5 EOT2 Results'!J16)</f>
        <v/>
      </c>
      <c r="K39">
        <f>IF('Ch5 EOT2 Results'!J17="","","Total: "&amp;'Ch5 EOT2 Results'!H17&amp;"/39 ("&amp;TEXT('Ch5 EOT2 Results'!I17,"0%")&amp;")   Overall: "&amp;'Ch5 EOT2 Results'!J17)</f>
        <v/>
      </c>
    </row>
    <row r="40">
      <c r="A40">
        <f>IF('Ch5 EOT2 Results'!J16="","",IF('Ch5 EOT2 Results'!J16="Green",Parameters!$C$338,IF('Ch5 EOT2 Results'!J16="Yellow",Parameters!$C$337,Parameters!$C$336)))</f>
        <v/>
      </c>
      <c r="K40">
        <f>IF('Ch5 EOT2 Results'!J17="","",IF('Ch5 EOT2 Results'!J17="Green",Parameters!$C$338,IF('Ch5 EOT2 Results'!J17="Yellow",Parameters!$C$337,Parameters!$C$336)))</f>
        <v/>
      </c>
    </row>
    <row r="42">
      <c r="A42">
        <f>IF('Ch5 EOT2 Results'!J16="","","Breakdown:")</f>
        <v/>
      </c>
      <c r="K42">
        <f>IF('Ch5 EOT2 Results'!J17="","","Breakdown:")</f>
        <v/>
      </c>
    </row>
    <row r="43">
      <c r="A43">
        <f>IF('Ch5 EOT2 Results'!J16="","","Q1 Properties, sketching a curve &amp; suitability of the model: "&amp;'Ch5 EOT2 Results'!C16&amp;"/6")</f>
        <v/>
      </c>
      <c r="K43">
        <f>IF('Ch5 EOT2 Results'!J17="","","Q1 Properties, sketching a curve &amp; suitability of the model: "&amp;'Ch5 EOT2 Results'!C17&amp;"/6")</f>
        <v/>
      </c>
    </row>
    <row r="44">
      <c r="A44">
        <f>IF('Ch5 EOT2 Results'!J16="","","Q2 Standardising &amp; finding probabilities in context: "&amp;'Ch5 EOT2 Results'!D16&amp;"/8")</f>
        <v/>
      </c>
      <c r="K44">
        <f>IF('Ch5 EOT2 Results'!J17="","","Q2 Standardising &amp; finding probabilities in context: "&amp;'Ch5 EOT2 Results'!D17&amp;"/8")</f>
        <v/>
      </c>
    </row>
    <row r="45">
      <c r="A45">
        <f>IF('Ch5 EOT2 Results'!J16="","","Q3 Probability, an inverse normal threshold &amp; model limitations: "&amp;'Ch5 EOT2 Results'!E16&amp;"/8")</f>
        <v/>
      </c>
      <c r="K45">
        <f>IF('Ch5 EOT2 Results'!J17="","","Q3 Probability, an inverse normal threshold &amp; model limitations: "&amp;'Ch5 EOT2 Results'!E17&amp;"/8")</f>
        <v/>
      </c>
    </row>
    <row r="46">
      <c r="A46">
        <f>IF('Ch5 EOT2 Results'!J16="","","Q4 Interpreting a normal curve diagram: "&amp;'Ch5 EOT2 Results'!F16&amp;"/7")</f>
        <v/>
      </c>
      <c r="K46">
        <f>IF('Ch5 EOT2 Results'!J17="","","Q4 Interpreting a normal curve diagram: "&amp;'Ch5 EOT2 Results'!F17&amp;"/7")</f>
        <v/>
      </c>
    </row>
    <row r="47">
      <c r="A47">
        <f>IF('Ch5 EOT2 Results'!J16="","","Q5 Notation, probability &amp; critiquing a normal model: "&amp;'Ch5 EOT2 Results'!G16&amp;"/10")</f>
        <v/>
      </c>
      <c r="K47">
        <f>IF('Ch5 EOT2 Results'!J17="","","Q5 Notation, probability &amp; critiquing a normal model: "&amp;'Ch5 EOT2 Results'!G17&amp;"/10")</f>
        <v/>
      </c>
    </row>
    <row r="48">
      <c r="A48">
        <f>IF(OR('Ch5 EOT2 Results'!J16="",'Ch5 EOT2 Results'!K16=""),"",'Ch5 EOT2 Results'!K16)</f>
        <v/>
      </c>
      <c r="K48">
        <f>IF(OR('Ch5 EOT2 Results'!J17="",'Ch5 EOT2 Results'!K17=""),"",'Ch5 EOT2 Results'!K17)</f>
        <v/>
      </c>
    </row>
    <row r="50">
      <c r="A50">
        <f>IF('Ch5 EOT2 Results'!J16="","","Comments:")</f>
        <v/>
      </c>
      <c r="K50">
        <f>IF('Ch5 EOT2 Results'!J17="","","Comments:")</f>
        <v/>
      </c>
    </row>
    <row r="53">
      <c r="A53">
        <f>IF('Ch5 EOT2 Results'!J18="","","Chapter 5 End of Topic Test 2 — The Normal Distribution")</f>
        <v/>
      </c>
      <c r="K53">
        <f>IF('Ch5 EOT2 Results'!J19="","","Chapter 5 End of Topic Test 2 — The Normal Distribution")</f>
        <v/>
      </c>
    </row>
    <row r="54">
      <c r="A54">
        <f>IF('Ch5 EOT2 Results'!J18="","","Name: "&amp;'Ch5 EOT2 Results'!B18&amp;"   Class: "&amp;'Ch5 EOT2 Results'!$B$3&amp;"   Date: "&amp;TEXT('Ch5 EOT2 Results'!$B$5,"DD/MM/YY"))</f>
        <v/>
      </c>
      <c r="K54">
        <f>IF('Ch5 EOT2 Results'!J19="","","Name: "&amp;'Ch5 EOT2 Results'!B19&amp;"   Class: "&amp;'Ch5 EOT2 Results'!$B$3&amp;"   Date: "&amp;TEXT('Ch5 EOT2 Results'!$B$5,"DD/MM/YY"))</f>
        <v/>
      </c>
    </row>
    <row r="55">
      <c r="A55">
        <f>IF('Ch5 EOT2 Results'!J18="","","Total: "&amp;'Ch5 EOT2 Results'!H18&amp;"/39 ("&amp;TEXT('Ch5 EOT2 Results'!I18,"0%")&amp;")   Overall: "&amp;'Ch5 EOT2 Results'!J18)</f>
        <v/>
      </c>
      <c r="K55">
        <f>IF('Ch5 EOT2 Results'!J19="","","Total: "&amp;'Ch5 EOT2 Results'!H19&amp;"/39 ("&amp;TEXT('Ch5 EOT2 Results'!I19,"0%")&amp;")   Overall: "&amp;'Ch5 EOT2 Results'!J19)</f>
        <v/>
      </c>
    </row>
    <row r="56">
      <c r="A56">
        <f>IF('Ch5 EOT2 Results'!J18="","",IF('Ch5 EOT2 Results'!J18="Green",Parameters!$C$338,IF('Ch5 EOT2 Results'!J18="Yellow",Parameters!$C$337,Parameters!$C$336)))</f>
        <v/>
      </c>
      <c r="K56">
        <f>IF('Ch5 EOT2 Results'!J19="","",IF('Ch5 EOT2 Results'!J19="Green",Parameters!$C$338,IF('Ch5 EOT2 Results'!J19="Yellow",Parameters!$C$337,Parameters!$C$336)))</f>
        <v/>
      </c>
    </row>
    <row r="58">
      <c r="A58">
        <f>IF('Ch5 EOT2 Results'!J18="","","Breakdown:")</f>
        <v/>
      </c>
      <c r="K58">
        <f>IF('Ch5 EOT2 Results'!J19="","","Breakdown:")</f>
        <v/>
      </c>
    </row>
    <row r="59">
      <c r="A59">
        <f>IF('Ch5 EOT2 Results'!J18="","","Q1 Properties, sketching a curve &amp; suitability of the model: "&amp;'Ch5 EOT2 Results'!C18&amp;"/6")</f>
        <v/>
      </c>
      <c r="K59">
        <f>IF('Ch5 EOT2 Results'!J19="","","Q1 Properties, sketching a curve &amp; suitability of the model: "&amp;'Ch5 EOT2 Results'!C19&amp;"/6")</f>
        <v/>
      </c>
    </row>
    <row r="60">
      <c r="A60">
        <f>IF('Ch5 EOT2 Results'!J18="","","Q2 Standardising &amp; finding probabilities in context: "&amp;'Ch5 EOT2 Results'!D18&amp;"/8")</f>
        <v/>
      </c>
      <c r="K60">
        <f>IF('Ch5 EOT2 Results'!J19="","","Q2 Standardising &amp; finding probabilities in context: "&amp;'Ch5 EOT2 Results'!D19&amp;"/8")</f>
        <v/>
      </c>
    </row>
    <row r="61">
      <c r="A61">
        <f>IF('Ch5 EOT2 Results'!J18="","","Q3 Probability, an inverse normal threshold &amp; model limitations: "&amp;'Ch5 EOT2 Results'!E18&amp;"/8")</f>
        <v/>
      </c>
      <c r="K61">
        <f>IF('Ch5 EOT2 Results'!J19="","","Q3 Probability, an inverse normal threshold &amp; model limitations: "&amp;'Ch5 EOT2 Results'!E19&amp;"/8")</f>
        <v/>
      </c>
    </row>
    <row r="62">
      <c r="A62">
        <f>IF('Ch5 EOT2 Results'!J18="","","Q4 Interpreting a normal curve diagram: "&amp;'Ch5 EOT2 Results'!F18&amp;"/7")</f>
        <v/>
      </c>
      <c r="K62">
        <f>IF('Ch5 EOT2 Results'!J19="","","Q4 Interpreting a normal curve diagram: "&amp;'Ch5 EOT2 Results'!F19&amp;"/7")</f>
        <v/>
      </c>
    </row>
    <row r="63">
      <c r="A63">
        <f>IF('Ch5 EOT2 Results'!J18="","","Q5 Notation, probability &amp; critiquing a normal model: "&amp;'Ch5 EOT2 Results'!G18&amp;"/10")</f>
        <v/>
      </c>
      <c r="K63">
        <f>IF('Ch5 EOT2 Results'!J19="","","Q5 Notation, probability &amp; critiquing a normal model: "&amp;'Ch5 EOT2 Results'!G19&amp;"/10")</f>
        <v/>
      </c>
    </row>
    <row r="64">
      <c r="A64">
        <f>IF(OR('Ch5 EOT2 Results'!J18="",'Ch5 EOT2 Results'!K18=""),"",'Ch5 EOT2 Results'!K18)</f>
        <v/>
      </c>
      <c r="K64">
        <f>IF(OR('Ch5 EOT2 Results'!J19="",'Ch5 EOT2 Results'!K19=""),"",'Ch5 EOT2 Results'!K19)</f>
        <v/>
      </c>
    </row>
    <row r="66">
      <c r="A66">
        <f>IF('Ch5 EOT2 Results'!J18="","","Comments:")</f>
        <v/>
      </c>
      <c r="K66">
        <f>IF('Ch5 EOT2 Results'!J19="","","Comments:")</f>
        <v/>
      </c>
    </row>
    <row r="69">
      <c r="A69">
        <f>IF('Ch5 EOT2 Results'!J20="","","Chapter 5 End of Topic Test 2 — The Normal Distribution")</f>
        <v/>
      </c>
      <c r="K69">
        <f>IF('Ch5 EOT2 Results'!J21="","","Chapter 5 End of Topic Test 2 — The Normal Distribution")</f>
        <v/>
      </c>
    </row>
    <row r="70">
      <c r="A70">
        <f>IF('Ch5 EOT2 Results'!J20="","","Name: "&amp;'Ch5 EOT2 Results'!B20&amp;"   Class: "&amp;'Ch5 EOT2 Results'!$B$3&amp;"   Date: "&amp;TEXT('Ch5 EOT2 Results'!$B$5,"DD/MM/YY"))</f>
        <v/>
      </c>
      <c r="K70">
        <f>IF('Ch5 EOT2 Results'!J21="","","Name: "&amp;'Ch5 EOT2 Results'!B21&amp;"   Class: "&amp;'Ch5 EOT2 Results'!$B$3&amp;"   Date: "&amp;TEXT('Ch5 EOT2 Results'!$B$5,"DD/MM/YY"))</f>
        <v/>
      </c>
    </row>
    <row r="71">
      <c r="A71">
        <f>IF('Ch5 EOT2 Results'!J20="","","Total: "&amp;'Ch5 EOT2 Results'!H20&amp;"/39 ("&amp;TEXT('Ch5 EOT2 Results'!I20,"0%")&amp;")   Overall: "&amp;'Ch5 EOT2 Results'!J20)</f>
        <v/>
      </c>
      <c r="K71">
        <f>IF('Ch5 EOT2 Results'!J21="","","Total: "&amp;'Ch5 EOT2 Results'!H21&amp;"/39 ("&amp;TEXT('Ch5 EOT2 Results'!I21,"0%")&amp;")   Overall: "&amp;'Ch5 EOT2 Results'!J21)</f>
        <v/>
      </c>
    </row>
    <row r="72">
      <c r="A72">
        <f>IF('Ch5 EOT2 Results'!J20="","",IF('Ch5 EOT2 Results'!J20="Green",Parameters!$C$338,IF('Ch5 EOT2 Results'!J20="Yellow",Parameters!$C$337,Parameters!$C$336)))</f>
        <v/>
      </c>
      <c r="K72">
        <f>IF('Ch5 EOT2 Results'!J21="","",IF('Ch5 EOT2 Results'!J21="Green",Parameters!$C$338,IF('Ch5 EOT2 Results'!J21="Yellow",Parameters!$C$337,Parameters!$C$336)))</f>
        <v/>
      </c>
    </row>
    <row r="74">
      <c r="A74">
        <f>IF('Ch5 EOT2 Results'!J20="","","Breakdown:")</f>
        <v/>
      </c>
      <c r="K74">
        <f>IF('Ch5 EOT2 Results'!J21="","","Breakdown:")</f>
        <v/>
      </c>
    </row>
    <row r="75">
      <c r="A75">
        <f>IF('Ch5 EOT2 Results'!J20="","","Q1 Properties, sketching a curve &amp; suitability of the model: "&amp;'Ch5 EOT2 Results'!C20&amp;"/6")</f>
        <v/>
      </c>
      <c r="K75">
        <f>IF('Ch5 EOT2 Results'!J21="","","Q1 Properties, sketching a curve &amp; suitability of the model: "&amp;'Ch5 EOT2 Results'!C21&amp;"/6")</f>
        <v/>
      </c>
    </row>
    <row r="76">
      <c r="A76">
        <f>IF('Ch5 EOT2 Results'!J20="","","Q2 Standardising &amp; finding probabilities in context: "&amp;'Ch5 EOT2 Results'!D20&amp;"/8")</f>
        <v/>
      </c>
      <c r="K76">
        <f>IF('Ch5 EOT2 Results'!J21="","","Q2 Standardising &amp; finding probabilities in context: "&amp;'Ch5 EOT2 Results'!D21&amp;"/8")</f>
        <v/>
      </c>
    </row>
    <row r="77">
      <c r="A77">
        <f>IF('Ch5 EOT2 Results'!J20="","","Q3 Probability, an inverse normal threshold &amp; model limitations: "&amp;'Ch5 EOT2 Results'!E20&amp;"/8")</f>
        <v/>
      </c>
      <c r="K77">
        <f>IF('Ch5 EOT2 Results'!J21="","","Q3 Probability, an inverse normal threshold &amp; model limitations: "&amp;'Ch5 EOT2 Results'!E21&amp;"/8")</f>
        <v/>
      </c>
    </row>
    <row r="78">
      <c r="A78">
        <f>IF('Ch5 EOT2 Results'!J20="","","Q4 Interpreting a normal curve diagram: "&amp;'Ch5 EOT2 Results'!F20&amp;"/7")</f>
        <v/>
      </c>
      <c r="K78">
        <f>IF('Ch5 EOT2 Results'!J21="","","Q4 Interpreting a normal curve diagram: "&amp;'Ch5 EOT2 Results'!F21&amp;"/7")</f>
        <v/>
      </c>
    </row>
    <row r="79">
      <c r="A79">
        <f>IF('Ch5 EOT2 Results'!J20="","","Q5 Notation, probability &amp; critiquing a normal model: "&amp;'Ch5 EOT2 Results'!G20&amp;"/10")</f>
        <v/>
      </c>
      <c r="K79">
        <f>IF('Ch5 EOT2 Results'!J21="","","Q5 Notation, probability &amp; critiquing a normal model: "&amp;'Ch5 EOT2 Results'!G21&amp;"/10")</f>
        <v/>
      </c>
    </row>
    <row r="80">
      <c r="A80">
        <f>IF(OR('Ch5 EOT2 Results'!J20="",'Ch5 EOT2 Results'!K20=""),"",'Ch5 EOT2 Results'!K20)</f>
        <v/>
      </c>
      <c r="K80">
        <f>IF(OR('Ch5 EOT2 Results'!J21="",'Ch5 EOT2 Results'!K21=""),"",'Ch5 EOT2 Results'!K21)</f>
        <v/>
      </c>
    </row>
    <row r="82">
      <c r="A82">
        <f>IF('Ch5 EOT2 Results'!J20="","","Comments:")</f>
        <v/>
      </c>
      <c r="K82">
        <f>IF('Ch5 EOT2 Results'!J21="","","Comments:")</f>
        <v/>
      </c>
    </row>
    <row r="85">
      <c r="A85">
        <f>IF('Ch5 EOT2 Results'!J22="","","Chapter 5 End of Topic Test 2 — The Normal Distribution")</f>
        <v/>
      </c>
      <c r="K85">
        <f>IF('Ch5 EOT2 Results'!J23="","","Chapter 5 End of Topic Test 2 — The Normal Distribution")</f>
        <v/>
      </c>
    </row>
    <row r="86">
      <c r="A86">
        <f>IF('Ch5 EOT2 Results'!J22="","","Name: "&amp;'Ch5 EOT2 Results'!B22&amp;"   Class: "&amp;'Ch5 EOT2 Results'!$B$3&amp;"   Date: "&amp;TEXT('Ch5 EOT2 Results'!$B$5,"DD/MM/YY"))</f>
        <v/>
      </c>
      <c r="K86">
        <f>IF('Ch5 EOT2 Results'!J23="","","Name: "&amp;'Ch5 EOT2 Results'!B23&amp;"   Class: "&amp;'Ch5 EOT2 Results'!$B$3&amp;"   Date: "&amp;TEXT('Ch5 EOT2 Results'!$B$5,"DD/MM/YY"))</f>
        <v/>
      </c>
    </row>
    <row r="87">
      <c r="A87">
        <f>IF('Ch5 EOT2 Results'!J22="","","Total: "&amp;'Ch5 EOT2 Results'!H22&amp;"/39 ("&amp;TEXT('Ch5 EOT2 Results'!I22,"0%")&amp;")   Overall: "&amp;'Ch5 EOT2 Results'!J22)</f>
        <v/>
      </c>
      <c r="K87">
        <f>IF('Ch5 EOT2 Results'!J23="","","Total: "&amp;'Ch5 EOT2 Results'!H23&amp;"/39 ("&amp;TEXT('Ch5 EOT2 Results'!I23,"0%")&amp;")   Overall: "&amp;'Ch5 EOT2 Results'!J23)</f>
        <v/>
      </c>
    </row>
    <row r="88">
      <c r="A88">
        <f>IF('Ch5 EOT2 Results'!J22="","",IF('Ch5 EOT2 Results'!J22="Green",Parameters!$C$338,IF('Ch5 EOT2 Results'!J22="Yellow",Parameters!$C$337,Parameters!$C$336)))</f>
        <v/>
      </c>
      <c r="K88">
        <f>IF('Ch5 EOT2 Results'!J23="","",IF('Ch5 EOT2 Results'!J23="Green",Parameters!$C$338,IF('Ch5 EOT2 Results'!J23="Yellow",Parameters!$C$337,Parameters!$C$336)))</f>
        <v/>
      </c>
    </row>
    <row r="90">
      <c r="A90">
        <f>IF('Ch5 EOT2 Results'!J22="","","Breakdown:")</f>
        <v/>
      </c>
      <c r="K90">
        <f>IF('Ch5 EOT2 Results'!J23="","","Breakdown:")</f>
        <v/>
      </c>
    </row>
    <row r="91">
      <c r="A91">
        <f>IF('Ch5 EOT2 Results'!J22="","","Q1 Properties, sketching a curve &amp; suitability of the model: "&amp;'Ch5 EOT2 Results'!C22&amp;"/6")</f>
        <v/>
      </c>
      <c r="K91">
        <f>IF('Ch5 EOT2 Results'!J23="","","Q1 Properties, sketching a curve &amp; suitability of the model: "&amp;'Ch5 EOT2 Results'!C23&amp;"/6")</f>
        <v/>
      </c>
    </row>
    <row r="92">
      <c r="A92">
        <f>IF('Ch5 EOT2 Results'!J22="","","Q2 Standardising &amp; finding probabilities in context: "&amp;'Ch5 EOT2 Results'!D22&amp;"/8")</f>
        <v/>
      </c>
      <c r="K92">
        <f>IF('Ch5 EOT2 Results'!J23="","","Q2 Standardising &amp; finding probabilities in context: "&amp;'Ch5 EOT2 Results'!D23&amp;"/8")</f>
        <v/>
      </c>
    </row>
    <row r="93">
      <c r="A93">
        <f>IF('Ch5 EOT2 Results'!J22="","","Q3 Probability, an inverse normal threshold &amp; model limitations: "&amp;'Ch5 EOT2 Results'!E22&amp;"/8")</f>
        <v/>
      </c>
      <c r="K93">
        <f>IF('Ch5 EOT2 Results'!J23="","","Q3 Probability, an inverse normal threshold &amp; model limitations: "&amp;'Ch5 EOT2 Results'!E23&amp;"/8")</f>
        <v/>
      </c>
    </row>
    <row r="94">
      <c r="A94">
        <f>IF('Ch5 EOT2 Results'!J22="","","Q4 Interpreting a normal curve diagram: "&amp;'Ch5 EOT2 Results'!F22&amp;"/7")</f>
        <v/>
      </c>
      <c r="K94">
        <f>IF('Ch5 EOT2 Results'!J23="","","Q4 Interpreting a normal curve diagram: "&amp;'Ch5 EOT2 Results'!F23&amp;"/7")</f>
        <v/>
      </c>
    </row>
    <row r="95">
      <c r="A95">
        <f>IF('Ch5 EOT2 Results'!J22="","","Q5 Notation, probability &amp; critiquing a normal model: "&amp;'Ch5 EOT2 Results'!G22&amp;"/10")</f>
        <v/>
      </c>
      <c r="K95">
        <f>IF('Ch5 EOT2 Results'!J23="","","Q5 Notation, probability &amp; critiquing a normal model: "&amp;'Ch5 EOT2 Results'!G23&amp;"/10")</f>
        <v/>
      </c>
    </row>
    <row r="96">
      <c r="A96">
        <f>IF(OR('Ch5 EOT2 Results'!J22="",'Ch5 EOT2 Results'!K22=""),"",'Ch5 EOT2 Results'!K22)</f>
        <v/>
      </c>
      <c r="K96">
        <f>IF(OR('Ch5 EOT2 Results'!J23="",'Ch5 EOT2 Results'!K23=""),"",'Ch5 EOT2 Results'!K23)</f>
        <v/>
      </c>
    </row>
    <row r="98">
      <c r="A98">
        <f>IF('Ch5 EOT2 Results'!J22="","","Comments:")</f>
        <v/>
      </c>
      <c r="K98">
        <f>IF('Ch5 EOT2 Results'!J23="","","Comments:")</f>
        <v/>
      </c>
    </row>
    <row r="101">
      <c r="A101">
        <f>IF('Ch5 EOT2 Results'!J24="","","Chapter 5 End of Topic Test 2 — The Normal Distribution")</f>
        <v/>
      </c>
      <c r="K101">
        <f>IF('Ch5 EOT2 Results'!J25="","","Chapter 5 End of Topic Test 2 — The Normal Distribution")</f>
        <v/>
      </c>
    </row>
    <row r="102">
      <c r="A102">
        <f>IF('Ch5 EOT2 Results'!J24="","","Name: "&amp;'Ch5 EOT2 Results'!B24&amp;"   Class: "&amp;'Ch5 EOT2 Results'!$B$3&amp;"   Date: "&amp;TEXT('Ch5 EOT2 Results'!$B$5,"DD/MM/YY"))</f>
        <v/>
      </c>
      <c r="K102">
        <f>IF('Ch5 EOT2 Results'!J25="","","Name: "&amp;'Ch5 EOT2 Results'!B25&amp;"   Class: "&amp;'Ch5 EOT2 Results'!$B$3&amp;"   Date: "&amp;TEXT('Ch5 EOT2 Results'!$B$5,"DD/MM/YY"))</f>
        <v/>
      </c>
    </row>
    <row r="103">
      <c r="A103">
        <f>IF('Ch5 EOT2 Results'!J24="","","Total: "&amp;'Ch5 EOT2 Results'!H24&amp;"/39 ("&amp;TEXT('Ch5 EOT2 Results'!I24,"0%")&amp;")   Overall: "&amp;'Ch5 EOT2 Results'!J24)</f>
        <v/>
      </c>
      <c r="K103">
        <f>IF('Ch5 EOT2 Results'!J25="","","Total: "&amp;'Ch5 EOT2 Results'!H25&amp;"/39 ("&amp;TEXT('Ch5 EOT2 Results'!I25,"0%")&amp;")   Overall: "&amp;'Ch5 EOT2 Results'!J25)</f>
        <v/>
      </c>
    </row>
    <row r="104">
      <c r="A104">
        <f>IF('Ch5 EOT2 Results'!J24="","",IF('Ch5 EOT2 Results'!J24="Green",Parameters!$C$338,IF('Ch5 EOT2 Results'!J24="Yellow",Parameters!$C$337,Parameters!$C$336)))</f>
        <v/>
      </c>
      <c r="K104">
        <f>IF('Ch5 EOT2 Results'!J25="","",IF('Ch5 EOT2 Results'!J25="Green",Parameters!$C$338,IF('Ch5 EOT2 Results'!J25="Yellow",Parameters!$C$337,Parameters!$C$336)))</f>
        <v/>
      </c>
    </row>
    <row r="106">
      <c r="A106">
        <f>IF('Ch5 EOT2 Results'!J24="","","Breakdown:")</f>
        <v/>
      </c>
      <c r="K106">
        <f>IF('Ch5 EOT2 Results'!J25="","","Breakdown:")</f>
        <v/>
      </c>
    </row>
    <row r="107">
      <c r="A107">
        <f>IF('Ch5 EOT2 Results'!J24="","","Q1 Properties, sketching a curve &amp; suitability of the model: "&amp;'Ch5 EOT2 Results'!C24&amp;"/6")</f>
        <v/>
      </c>
      <c r="K107">
        <f>IF('Ch5 EOT2 Results'!J25="","","Q1 Properties, sketching a curve &amp; suitability of the model: "&amp;'Ch5 EOT2 Results'!C25&amp;"/6")</f>
        <v/>
      </c>
    </row>
    <row r="108">
      <c r="A108">
        <f>IF('Ch5 EOT2 Results'!J24="","","Q2 Standardising &amp; finding probabilities in context: "&amp;'Ch5 EOT2 Results'!D24&amp;"/8")</f>
        <v/>
      </c>
      <c r="K108">
        <f>IF('Ch5 EOT2 Results'!J25="","","Q2 Standardising &amp; finding probabilities in context: "&amp;'Ch5 EOT2 Results'!D25&amp;"/8")</f>
        <v/>
      </c>
    </row>
    <row r="109">
      <c r="A109">
        <f>IF('Ch5 EOT2 Results'!J24="","","Q3 Probability, an inverse normal threshold &amp; model limitations: "&amp;'Ch5 EOT2 Results'!E24&amp;"/8")</f>
        <v/>
      </c>
      <c r="K109">
        <f>IF('Ch5 EOT2 Results'!J25="","","Q3 Probability, an inverse normal threshold &amp; model limitations: "&amp;'Ch5 EOT2 Results'!E25&amp;"/8")</f>
        <v/>
      </c>
    </row>
    <row r="110">
      <c r="A110">
        <f>IF('Ch5 EOT2 Results'!J24="","","Q4 Interpreting a normal curve diagram: "&amp;'Ch5 EOT2 Results'!F24&amp;"/7")</f>
        <v/>
      </c>
      <c r="K110">
        <f>IF('Ch5 EOT2 Results'!J25="","","Q4 Interpreting a normal curve diagram: "&amp;'Ch5 EOT2 Results'!F25&amp;"/7")</f>
        <v/>
      </c>
    </row>
    <row r="111">
      <c r="A111">
        <f>IF('Ch5 EOT2 Results'!J24="","","Q5 Notation, probability &amp; critiquing a normal model: "&amp;'Ch5 EOT2 Results'!G24&amp;"/10")</f>
        <v/>
      </c>
      <c r="K111">
        <f>IF('Ch5 EOT2 Results'!J25="","","Q5 Notation, probability &amp; critiquing a normal model: "&amp;'Ch5 EOT2 Results'!G25&amp;"/10")</f>
        <v/>
      </c>
    </row>
    <row r="112">
      <c r="A112">
        <f>IF(OR('Ch5 EOT2 Results'!J24="",'Ch5 EOT2 Results'!K24=""),"",'Ch5 EOT2 Results'!K24)</f>
        <v/>
      </c>
      <c r="K112">
        <f>IF(OR('Ch5 EOT2 Results'!J25="",'Ch5 EOT2 Results'!K25=""),"",'Ch5 EOT2 Results'!K25)</f>
        <v/>
      </c>
    </row>
    <row r="114">
      <c r="A114">
        <f>IF('Ch5 EOT2 Results'!J24="","","Comments:")</f>
        <v/>
      </c>
      <c r="K114">
        <f>IF('Ch5 EOT2 Results'!J25="","","Comments:")</f>
        <v/>
      </c>
    </row>
    <row r="117">
      <c r="A117">
        <f>IF('Ch5 EOT2 Results'!J26="","","Chapter 5 End of Topic Test 2 — The Normal Distribution")</f>
        <v/>
      </c>
      <c r="K117">
        <f>IF('Ch5 EOT2 Results'!J27="","","Chapter 5 End of Topic Test 2 — The Normal Distribution")</f>
        <v/>
      </c>
    </row>
    <row r="118">
      <c r="A118">
        <f>IF('Ch5 EOT2 Results'!J26="","","Name: "&amp;'Ch5 EOT2 Results'!B26&amp;"   Class: "&amp;'Ch5 EOT2 Results'!$B$3&amp;"   Date: "&amp;TEXT('Ch5 EOT2 Results'!$B$5,"DD/MM/YY"))</f>
        <v/>
      </c>
      <c r="K118">
        <f>IF('Ch5 EOT2 Results'!J27="","","Name: "&amp;'Ch5 EOT2 Results'!B27&amp;"   Class: "&amp;'Ch5 EOT2 Results'!$B$3&amp;"   Date: "&amp;TEXT('Ch5 EOT2 Results'!$B$5,"DD/MM/YY"))</f>
        <v/>
      </c>
    </row>
    <row r="119">
      <c r="A119">
        <f>IF('Ch5 EOT2 Results'!J26="","","Total: "&amp;'Ch5 EOT2 Results'!H26&amp;"/39 ("&amp;TEXT('Ch5 EOT2 Results'!I26,"0%")&amp;")   Overall: "&amp;'Ch5 EOT2 Results'!J26)</f>
        <v/>
      </c>
      <c r="K119">
        <f>IF('Ch5 EOT2 Results'!J27="","","Total: "&amp;'Ch5 EOT2 Results'!H27&amp;"/39 ("&amp;TEXT('Ch5 EOT2 Results'!I27,"0%")&amp;")   Overall: "&amp;'Ch5 EOT2 Results'!J27)</f>
        <v/>
      </c>
    </row>
    <row r="120">
      <c r="A120">
        <f>IF('Ch5 EOT2 Results'!J26="","",IF('Ch5 EOT2 Results'!J26="Green",Parameters!$C$338,IF('Ch5 EOT2 Results'!J26="Yellow",Parameters!$C$337,Parameters!$C$336)))</f>
        <v/>
      </c>
      <c r="K120">
        <f>IF('Ch5 EOT2 Results'!J27="","",IF('Ch5 EOT2 Results'!J27="Green",Parameters!$C$338,IF('Ch5 EOT2 Results'!J27="Yellow",Parameters!$C$337,Parameters!$C$336)))</f>
        <v/>
      </c>
    </row>
    <row r="122">
      <c r="A122">
        <f>IF('Ch5 EOT2 Results'!J26="","","Breakdown:")</f>
        <v/>
      </c>
      <c r="K122">
        <f>IF('Ch5 EOT2 Results'!J27="","","Breakdown:")</f>
        <v/>
      </c>
    </row>
    <row r="123">
      <c r="A123">
        <f>IF('Ch5 EOT2 Results'!J26="","","Q1 Properties, sketching a curve &amp; suitability of the model: "&amp;'Ch5 EOT2 Results'!C26&amp;"/6")</f>
        <v/>
      </c>
      <c r="K123">
        <f>IF('Ch5 EOT2 Results'!J27="","","Q1 Properties, sketching a curve &amp; suitability of the model: "&amp;'Ch5 EOT2 Results'!C27&amp;"/6")</f>
        <v/>
      </c>
    </row>
    <row r="124">
      <c r="A124">
        <f>IF('Ch5 EOT2 Results'!J26="","","Q2 Standardising &amp; finding probabilities in context: "&amp;'Ch5 EOT2 Results'!D26&amp;"/8")</f>
        <v/>
      </c>
      <c r="K124">
        <f>IF('Ch5 EOT2 Results'!J27="","","Q2 Standardising &amp; finding probabilities in context: "&amp;'Ch5 EOT2 Results'!D27&amp;"/8")</f>
        <v/>
      </c>
    </row>
    <row r="125">
      <c r="A125">
        <f>IF('Ch5 EOT2 Results'!J26="","","Q3 Probability, an inverse normal threshold &amp; model limitations: "&amp;'Ch5 EOT2 Results'!E26&amp;"/8")</f>
        <v/>
      </c>
      <c r="K125">
        <f>IF('Ch5 EOT2 Results'!J27="","","Q3 Probability, an inverse normal threshold &amp; model limitations: "&amp;'Ch5 EOT2 Results'!E27&amp;"/8")</f>
        <v/>
      </c>
    </row>
    <row r="126">
      <c r="A126">
        <f>IF('Ch5 EOT2 Results'!J26="","","Q4 Interpreting a normal curve diagram: "&amp;'Ch5 EOT2 Results'!F26&amp;"/7")</f>
        <v/>
      </c>
      <c r="K126">
        <f>IF('Ch5 EOT2 Results'!J27="","","Q4 Interpreting a normal curve diagram: "&amp;'Ch5 EOT2 Results'!F27&amp;"/7")</f>
        <v/>
      </c>
    </row>
    <row r="127">
      <c r="A127">
        <f>IF('Ch5 EOT2 Results'!J26="","","Q5 Notation, probability &amp; critiquing a normal model: "&amp;'Ch5 EOT2 Results'!G26&amp;"/10")</f>
        <v/>
      </c>
      <c r="K127">
        <f>IF('Ch5 EOT2 Results'!J27="","","Q5 Notation, probability &amp; critiquing a normal model: "&amp;'Ch5 EOT2 Results'!G27&amp;"/10")</f>
        <v/>
      </c>
    </row>
    <row r="128">
      <c r="A128">
        <f>IF(OR('Ch5 EOT2 Results'!J26="",'Ch5 EOT2 Results'!K26=""),"",'Ch5 EOT2 Results'!K26)</f>
        <v/>
      </c>
      <c r="K128">
        <f>IF(OR('Ch5 EOT2 Results'!J27="",'Ch5 EOT2 Results'!K27=""),"",'Ch5 EOT2 Results'!K27)</f>
        <v/>
      </c>
    </row>
    <row r="130">
      <c r="A130">
        <f>IF('Ch5 EOT2 Results'!J26="","","Comments:")</f>
        <v/>
      </c>
      <c r="K130">
        <f>IF('Ch5 EOT2 Results'!J27="","","Comments:")</f>
        <v/>
      </c>
    </row>
    <row r="133">
      <c r="A133">
        <f>IF('Ch5 EOT2 Results'!J28="","","Chapter 5 End of Topic Test 2 — The Normal Distribution")</f>
        <v/>
      </c>
      <c r="K133">
        <f>IF('Ch5 EOT2 Results'!J29="","","Chapter 5 End of Topic Test 2 — The Normal Distribution")</f>
        <v/>
      </c>
    </row>
    <row r="134">
      <c r="A134">
        <f>IF('Ch5 EOT2 Results'!J28="","","Name: "&amp;'Ch5 EOT2 Results'!B28&amp;"   Class: "&amp;'Ch5 EOT2 Results'!$B$3&amp;"   Date: "&amp;TEXT('Ch5 EOT2 Results'!$B$5,"DD/MM/YY"))</f>
        <v/>
      </c>
      <c r="K134">
        <f>IF('Ch5 EOT2 Results'!J29="","","Name: "&amp;'Ch5 EOT2 Results'!B29&amp;"   Class: "&amp;'Ch5 EOT2 Results'!$B$3&amp;"   Date: "&amp;TEXT('Ch5 EOT2 Results'!$B$5,"DD/MM/YY"))</f>
        <v/>
      </c>
    </row>
    <row r="135">
      <c r="A135">
        <f>IF('Ch5 EOT2 Results'!J28="","","Total: "&amp;'Ch5 EOT2 Results'!H28&amp;"/39 ("&amp;TEXT('Ch5 EOT2 Results'!I28,"0%")&amp;")   Overall: "&amp;'Ch5 EOT2 Results'!J28)</f>
        <v/>
      </c>
      <c r="K135">
        <f>IF('Ch5 EOT2 Results'!J29="","","Total: "&amp;'Ch5 EOT2 Results'!H29&amp;"/39 ("&amp;TEXT('Ch5 EOT2 Results'!I29,"0%")&amp;")   Overall: "&amp;'Ch5 EOT2 Results'!J29)</f>
        <v/>
      </c>
    </row>
    <row r="136">
      <c r="A136">
        <f>IF('Ch5 EOT2 Results'!J28="","",IF('Ch5 EOT2 Results'!J28="Green",Parameters!$C$338,IF('Ch5 EOT2 Results'!J28="Yellow",Parameters!$C$337,Parameters!$C$336)))</f>
        <v/>
      </c>
      <c r="K136">
        <f>IF('Ch5 EOT2 Results'!J29="","",IF('Ch5 EOT2 Results'!J29="Green",Parameters!$C$338,IF('Ch5 EOT2 Results'!J29="Yellow",Parameters!$C$337,Parameters!$C$336)))</f>
        <v/>
      </c>
    </row>
    <row r="138">
      <c r="A138">
        <f>IF('Ch5 EOT2 Results'!J28="","","Breakdown:")</f>
        <v/>
      </c>
      <c r="K138">
        <f>IF('Ch5 EOT2 Results'!J29="","","Breakdown:")</f>
        <v/>
      </c>
    </row>
    <row r="139">
      <c r="A139">
        <f>IF('Ch5 EOT2 Results'!J28="","","Q1 Properties, sketching a curve &amp; suitability of the model: "&amp;'Ch5 EOT2 Results'!C28&amp;"/6")</f>
        <v/>
      </c>
      <c r="K139">
        <f>IF('Ch5 EOT2 Results'!J29="","","Q1 Properties, sketching a curve &amp; suitability of the model: "&amp;'Ch5 EOT2 Results'!C29&amp;"/6")</f>
        <v/>
      </c>
    </row>
    <row r="140">
      <c r="A140">
        <f>IF('Ch5 EOT2 Results'!J28="","","Q2 Standardising &amp; finding probabilities in context: "&amp;'Ch5 EOT2 Results'!D28&amp;"/8")</f>
        <v/>
      </c>
      <c r="K140">
        <f>IF('Ch5 EOT2 Results'!J29="","","Q2 Standardising &amp; finding probabilities in context: "&amp;'Ch5 EOT2 Results'!D29&amp;"/8")</f>
        <v/>
      </c>
    </row>
    <row r="141">
      <c r="A141">
        <f>IF('Ch5 EOT2 Results'!J28="","","Q3 Probability, an inverse normal threshold &amp; model limitations: "&amp;'Ch5 EOT2 Results'!E28&amp;"/8")</f>
        <v/>
      </c>
      <c r="K141">
        <f>IF('Ch5 EOT2 Results'!J29="","","Q3 Probability, an inverse normal threshold &amp; model limitations: "&amp;'Ch5 EOT2 Results'!E29&amp;"/8")</f>
        <v/>
      </c>
    </row>
    <row r="142">
      <c r="A142">
        <f>IF('Ch5 EOT2 Results'!J28="","","Q4 Interpreting a normal curve diagram: "&amp;'Ch5 EOT2 Results'!F28&amp;"/7")</f>
        <v/>
      </c>
      <c r="K142">
        <f>IF('Ch5 EOT2 Results'!J29="","","Q4 Interpreting a normal curve diagram: "&amp;'Ch5 EOT2 Results'!F29&amp;"/7")</f>
        <v/>
      </c>
    </row>
    <row r="143">
      <c r="A143">
        <f>IF('Ch5 EOT2 Results'!J28="","","Q5 Notation, probability &amp; critiquing a normal model: "&amp;'Ch5 EOT2 Results'!G28&amp;"/10")</f>
        <v/>
      </c>
      <c r="K143">
        <f>IF('Ch5 EOT2 Results'!J29="","","Q5 Notation, probability &amp; critiquing a normal model: "&amp;'Ch5 EOT2 Results'!G29&amp;"/10")</f>
        <v/>
      </c>
    </row>
    <row r="144">
      <c r="A144">
        <f>IF(OR('Ch5 EOT2 Results'!J28="",'Ch5 EOT2 Results'!K28=""),"",'Ch5 EOT2 Results'!K28)</f>
        <v/>
      </c>
      <c r="K144">
        <f>IF(OR('Ch5 EOT2 Results'!J29="",'Ch5 EOT2 Results'!K29=""),"",'Ch5 EOT2 Results'!K29)</f>
        <v/>
      </c>
    </row>
    <row r="146">
      <c r="A146">
        <f>IF('Ch5 EOT2 Results'!J28="","","Comments:")</f>
        <v/>
      </c>
      <c r="K146">
        <f>IF('Ch5 EOT2 Results'!J29="","","Comments:")</f>
        <v/>
      </c>
    </row>
    <row r="149">
      <c r="A149">
        <f>IF('Ch5 EOT2 Results'!J30="","","Chapter 5 End of Topic Test 2 — The Normal Distribution")</f>
        <v/>
      </c>
      <c r="K149">
        <f>IF('Ch5 EOT2 Results'!J31="","","Chapter 5 End of Topic Test 2 — The Normal Distribution")</f>
        <v/>
      </c>
    </row>
    <row r="150">
      <c r="A150">
        <f>IF('Ch5 EOT2 Results'!J30="","","Name: "&amp;'Ch5 EOT2 Results'!B30&amp;"   Class: "&amp;'Ch5 EOT2 Results'!$B$3&amp;"   Date: "&amp;TEXT('Ch5 EOT2 Results'!$B$5,"DD/MM/YY"))</f>
        <v/>
      </c>
      <c r="K150">
        <f>IF('Ch5 EOT2 Results'!J31="","","Name: "&amp;'Ch5 EOT2 Results'!B31&amp;"   Class: "&amp;'Ch5 EOT2 Results'!$B$3&amp;"   Date: "&amp;TEXT('Ch5 EOT2 Results'!$B$5,"DD/MM/YY"))</f>
        <v/>
      </c>
    </row>
    <row r="151">
      <c r="A151">
        <f>IF('Ch5 EOT2 Results'!J30="","","Total: "&amp;'Ch5 EOT2 Results'!H30&amp;"/39 ("&amp;TEXT('Ch5 EOT2 Results'!I30,"0%")&amp;")   Overall: "&amp;'Ch5 EOT2 Results'!J30)</f>
        <v/>
      </c>
      <c r="K151">
        <f>IF('Ch5 EOT2 Results'!J31="","","Total: "&amp;'Ch5 EOT2 Results'!H31&amp;"/39 ("&amp;TEXT('Ch5 EOT2 Results'!I31,"0%")&amp;")   Overall: "&amp;'Ch5 EOT2 Results'!J31)</f>
        <v/>
      </c>
    </row>
    <row r="152">
      <c r="A152">
        <f>IF('Ch5 EOT2 Results'!J30="","",IF('Ch5 EOT2 Results'!J30="Green",Parameters!$C$338,IF('Ch5 EOT2 Results'!J30="Yellow",Parameters!$C$337,Parameters!$C$336)))</f>
        <v/>
      </c>
      <c r="K152">
        <f>IF('Ch5 EOT2 Results'!J31="","",IF('Ch5 EOT2 Results'!J31="Green",Parameters!$C$338,IF('Ch5 EOT2 Results'!J31="Yellow",Parameters!$C$337,Parameters!$C$336)))</f>
        <v/>
      </c>
    </row>
    <row r="154">
      <c r="A154">
        <f>IF('Ch5 EOT2 Results'!J30="","","Breakdown:")</f>
        <v/>
      </c>
      <c r="K154">
        <f>IF('Ch5 EOT2 Results'!J31="","","Breakdown:")</f>
        <v/>
      </c>
    </row>
    <row r="155">
      <c r="A155">
        <f>IF('Ch5 EOT2 Results'!J30="","","Q1 Properties, sketching a curve &amp; suitability of the model: "&amp;'Ch5 EOT2 Results'!C30&amp;"/6")</f>
        <v/>
      </c>
      <c r="K155">
        <f>IF('Ch5 EOT2 Results'!J31="","","Q1 Properties, sketching a curve &amp; suitability of the model: "&amp;'Ch5 EOT2 Results'!C31&amp;"/6")</f>
        <v/>
      </c>
    </row>
    <row r="156">
      <c r="A156">
        <f>IF('Ch5 EOT2 Results'!J30="","","Q2 Standardising &amp; finding probabilities in context: "&amp;'Ch5 EOT2 Results'!D30&amp;"/8")</f>
        <v/>
      </c>
      <c r="K156">
        <f>IF('Ch5 EOT2 Results'!J31="","","Q2 Standardising &amp; finding probabilities in context: "&amp;'Ch5 EOT2 Results'!D31&amp;"/8")</f>
        <v/>
      </c>
    </row>
    <row r="157">
      <c r="A157">
        <f>IF('Ch5 EOT2 Results'!J30="","","Q3 Probability, an inverse normal threshold &amp; model limitations: "&amp;'Ch5 EOT2 Results'!E30&amp;"/8")</f>
        <v/>
      </c>
      <c r="K157">
        <f>IF('Ch5 EOT2 Results'!J31="","","Q3 Probability, an inverse normal threshold &amp; model limitations: "&amp;'Ch5 EOT2 Results'!E31&amp;"/8")</f>
        <v/>
      </c>
    </row>
    <row r="158">
      <c r="A158">
        <f>IF('Ch5 EOT2 Results'!J30="","","Q4 Interpreting a normal curve diagram: "&amp;'Ch5 EOT2 Results'!F30&amp;"/7")</f>
        <v/>
      </c>
      <c r="K158">
        <f>IF('Ch5 EOT2 Results'!J31="","","Q4 Interpreting a normal curve diagram: "&amp;'Ch5 EOT2 Results'!F31&amp;"/7")</f>
        <v/>
      </c>
    </row>
    <row r="159">
      <c r="A159">
        <f>IF('Ch5 EOT2 Results'!J30="","","Q5 Notation, probability &amp; critiquing a normal model: "&amp;'Ch5 EOT2 Results'!G30&amp;"/10")</f>
        <v/>
      </c>
      <c r="K159">
        <f>IF('Ch5 EOT2 Results'!J31="","","Q5 Notation, probability &amp; critiquing a normal model: "&amp;'Ch5 EOT2 Results'!G31&amp;"/10")</f>
        <v/>
      </c>
    </row>
    <row r="160">
      <c r="A160">
        <f>IF(OR('Ch5 EOT2 Results'!J30="",'Ch5 EOT2 Results'!K30=""),"",'Ch5 EOT2 Results'!K30)</f>
        <v/>
      </c>
      <c r="K160">
        <f>IF(OR('Ch5 EOT2 Results'!J31="",'Ch5 EOT2 Results'!K31=""),"",'Ch5 EOT2 Results'!K31)</f>
        <v/>
      </c>
    </row>
    <row r="162">
      <c r="A162">
        <f>IF('Ch5 EOT2 Results'!J30="","","Comments:")</f>
        <v/>
      </c>
      <c r="K162">
        <f>IF('Ch5 EOT2 Results'!J31="","","Comments:")</f>
        <v/>
      </c>
    </row>
    <row r="165">
      <c r="A165">
        <f>IF('Ch5 EOT2 Results'!J32="","","Chapter 5 End of Topic Test 2 — The Normal Distribution")</f>
        <v/>
      </c>
      <c r="K165">
        <f>IF('Ch5 EOT2 Results'!J33="","","Chapter 5 End of Topic Test 2 — The Normal Distribution")</f>
        <v/>
      </c>
    </row>
    <row r="166">
      <c r="A166">
        <f>IF('Ch5 EOT2 Results'!J32="","","Name: "&amp;'Ch5 EOT2 Results'!B32&amp;"   Class: "&amp;'Ch5 EOT2 Results'!$B$3&amp;"   Date: "&amp;TEXT('Ch5 EOT2 Results'!$B$5,"DD/MM/YY"))</f>
        <v/>
      </c>
      <c r="K166">
        <f>IF('Ch5 EOT2 Results'!J33="","","Name: "&amp;'Ch5 EOT2 Results'!B33&amp;"   Class: "&amp;'Ch5 EOT2 Results'!$B$3&amp;"   Date: "&amp;TEXT('Ch5 EOT2 Results'!$B$5,"DD/MM/YY"))</f>
        <v/>
      </c>
    </row>
    <row r="167">
      <c r="A167">
        <f>IF('Ch5 EOT2 Results'!J32="","","Total: "&amp;'Ch5 EOT2 Results'!H32&amp;"/39 ("&amp;TEXT('Ch5 EOT2 Results'!I32,"0%")&amp;")   Overall: "&amp;'Ch5 EOT2 Results'!J32)</f>
        <v/>
      </c>
      <c r="K167">
        <f>IF('Ch5 EOT2 Results'!J33="","","Total: "&amp;'Ch5 EOT2 Results'!H33&amp;"/39 ("&amp;TEXT('Ch5 EOT2 Results'!I33,"0%")&amp;")   Overall: "&amp;'Ch5 EOT2 Results'!J33)</f>
        <v/>
      </c>
    </row>
    <row r="168">
      <c r="A168">
        <f>IF('Ch5 EOT2 Results'!J32="","",IF('Ch5 EOT2 Results'!J32="Green",Parameters!$C$338,IF('Ch5 EOT2 Results'!J32="Yellow",Parameters!$C$337,Parameters!$C$336)))</f>
        <v/>
      </c>
      <c r="K168">
        <f>IF('Ch5 EOT2 Results'!J33="","",IF('Ch5 EOT2 Results'!J33="Green",Parameters!$C$338,IF('Ch5 EOT2 Results'!J33="Yellow",Parameters!$C$337,Parameters!$C$336)))</f>
        <v/>
      </c>
    </row>
    <row r="170">
      <c r="A170">
        <f>IF('Ch5 EOT2 Results'!J32="","","Breakdown:")</f>
        <v/>
      </c>
      <c r="K170">
        <f>IF('Ch5 EOT2 Results'!J33="","","Breakdown:")</f>
        <v/>
      </c>
    </row>
    <row r="171">
      <c r="A171">
        <f>IF('Ch5 EOT2 Results'!J32="","","Q1 Properties, sketching a curve &amp; suitability of the model: "&amp;'Ch5 EOT2 Results'!C32&amp;"/6")</f>
        <v/>
      </c>
      <c r="K171">
        <f>IF('Ch5 EOT2 Results'!J33="","","Q1 Properties, sketching a curve &amp; suitability of the model: "&amp;'Ch5 EOT2 Results'!C33&amp;"/6")</f>
        <v/>
      </c>
    </row>
    <row r="172">
      <c r="A172">
        <f>IF('Ch5 EOT2 Results'!J32="","","Q2 Standardising &amp; finding probabilities in context: "&amp;'Ch5 EOT2 Results'!D32&amp;"/8")</f>
        <v/>
      </c>
      <c r="K172">
        <f>IF('Ch5 EOT2 Results'!J33="","","Q2 Standardising &amp; finding probabilities in context: "&amp;'Ch5 EOT2 Results'!D33&amp;"/8")</f>
        <v/>
      </c>
    </row>
    <row r="173">
      <c r="A173">
        <f>IF('Ch5 EOT2 Results'!J32="","","Q3 Probability, an inverse normal threshold &amp; model limitations: "&amp;'Ch5 EOT2 Results'!E32&amp;"/8")</f>
        <v/>
      </c>
      <c r="K173">
        <f>IF('Ch5 EOT2 Results'!J33="","","Q3 Probability, an inverse normal threshold &amp; model limitations: "&amp;'Ch5 EOT2 Results'!E33&amp;"/8")</f>
        <v/>
      </c>
    </row>
    <row r="174">
      <c r="A174">
        <f>IF('Ch5 EOT2 Results'!J32="","","Q4 Interpreting a normal curve diagram: "&amp;'Ch5 EOT2 Results'!F32&amp;"/7")</f>
        <v/>
      </c>
      <c r="K174">
        <f>IF('Ch5 EOT2 Results'!J33="","","Q4 Interpreting a normal curve diagram: "&amp;'Ch5 EOT2 Results'!F33&amp;"/7")</f>
        <v/>
      </c>
    </row>
    <row r="175">
      <c r="A175">
        <f>IF('Ch5 EOT2 Results'!J32="","","Q5 Notation, probability &amp; critiquing a normal model: "&amp;'Ch5 EOT2 Results'!G32&amp;"/10")</f>
        <v/>
      </c>
      <c r="K175">
        <f>IF('Ch5 EOT2 Results'!J33="","","Q5 Notation, probability &amp; critiquing a normal model: "&amp;'Ch5 EOT2 Results'!G33&amp;"/10")</f>
        <v/>
      </c>
    </row>
    <row r="176">
      <c r="A176">
        <f>IF(OR('Ch5 EOT2 Results'!J32="",'Ch5 EOT2 Results'!K32=""),"",'Ch5 EOT2 Results'!K32)</f>
        <v/>
      </c>
      <c r="K176">
        <f>IF(OR('Ch5 EOT2 Results'!J33="",'Ch5 EOT2 Results'!K33=""),"",'Ch5 EOT2 Results'!K33)</f>
        <v/>
      </c>
    </row>
    <row r="178">
      <c r="A178">
        <f>IF('Ch5 EOT2 Results'!J32="","","Comments:")</f>
        <v/>
      </c>
      <c r="K178">
        <f>IF('Ch5 EOT2 Results'!J33="","","Comments:")</f>
        <v/>
      </c>
    </row>
    <row r="181">
      <c r="A181">
        <f>IF('Ch5 EOT2 Results'!J34="","","Chapter 5 End of Topic Test 2 — The Normal Distribution")</f>
        <v/>
      </c>
      <c r="K181">
        <f>IF('Ch5 EOT2 Results'!J35="","","Chapter 5 End of Topic Test 2 — The Normal Distribution")</f>
        <v/>
      </c>
    </row>
    <row r="182">
      <c r="A182">
        <f>IF('Ch5 EOT2 Results'!J34="","","Name: "&amp;'Ch5 EOT2 Results'!B34&amp;"   Class: "&amp;'Ch5 EOT2 Results'!$B$3&amp;"   Date: "&amp;TEXT('Ch5 EOT2 Results'!$B$5,"DD/MM/YY"))</f>
        <v/>
      </c>
      <c r="K182">
        <f>IF('Ch5 EOT2 Results'!J35="","","Name: "&amp;'Ch5 EOT2 Results'!B35&amp;"   Class: "&amp;'Ch5 EOT2 Results'!$B$3&amp;"   Date: "&amp;TEXT('Ch5 EOT2 Results'!$B$5,"DD/MM/YY"))</f>
        <v/>
      </c>
    </row>
    <row r="183">
      <c r="A183">
        <f>IF('Ch5 EOT2 Results'!J34="","","Total: "&amp;'Ch5 EOT2 Results'!H34&amp;"/39 ("&amp;TEXT('Ch5 EOT2 Results'!I34,"0%")&amp;")   Overall: "&amp;'Ch5 EOT2 Results'!J34)</f>
        <v/>
      </c>
      <c r="K183">
        <f>IF('Ch5 EOT2 Results'!J35="","","Total: "&amp;'Ch5 EOT2 Results'!H35&amp;"/39 ("&amp;TEXT('Ch5 EOT2 Results'!I35,"0%")&amp;")   Overall: "&amp;'Ch5 EOT2 Results'!J35)</f>
        <v/>
      </c>
    </row>
    <row r="184">
      <c r="A184">
        <f>IF('Ch5 EOT2 Results'!J34="","",IF('Ch5 EOT2 Results'!J34="Green",Parameters!$C$338,IF('Ch5 EOT2 Results'!J34="Yellow",Parameters!$C$337,Parameters!$C$336)))</f>
        <v/>
      </c>
      <c r="K184">
        <f>IF('Ch5 EOT2 Results'!J35="","",IF('Ch5 EOT2 Results'!J35="Green",Parameters!$C$338,IF('Ch5 EOT2 Results'!J35="Yellow",Parameters!$C$337,Parameters!$C$336)))</f>
        <v/>
      </c>
    </row>
    <row r="186">
      <c r="A186">
        <f>IF('Ch5 EOT2 Results'!J34="","","Breakdown:")</f>
        <v/>
      </c>
      <c r="K186">
        <f>IF('Ch5 EOT2 Results'!J35="","","Breakdown:")</f>
        <v/>
      </c>
    </row>
    <row r="187">
      <c r="A187">
        <f>IF('Ch5 EOT2 Results'!J34="","","Q1 Properties, sketching a curve &amp; suitability of the model: "&amp;'Ch5 EOT2 Results'!C34&amp;"/6")</f>
        <v/>
      </c>
      <c r="K187">
        <f>IF('Ch5 EOT2 Results'!J35="","","Q1 Properties, sketching a curve &amp; suitability of the model: "&amp;'Ch5 EOT2 Results'!C35&amp;"/6")</f>
        <v/>
      </c>
    </row>
    <row r="188">
      <c r="A188">
        <f>IF('Ch5 EOT2 Results'!J34="","","Q2 Standardising &amp; finding probabilities in context: "&amp;'Ch5 EOT2 Results'!D34&amp;"/8")</f>
        <v/>
      </c>
      <c r="K188">
        <f>IF('Ch5 EOT2 Results'!J35="","","Q2 Standardising &amp; finding probabilities in context: "&amp;'Ch5 EOT2 Results'!D35&amp;"/8")</f>
        <v/>
      </c>
    </row>
    <row r="189">
      <c r="A189">
        <f>IF('Ch5 EOT2 Results'!J34="","","Q3 Probability, an inverse normal threshold &amp; model limitations: "&amp;'Ch5 EOT2 Results'!E34&amp;"/8")</f>
        <v/>
      </c>
      <c r="K189">
        <f>IF('Ch5 EOT2 Results'!J35="","","Q3 Probability, an inverse normal threshold &amp; model limitations: "&amp;'Ch5 EOT2 Results'!E35&amp;"/8")</f>
        <v/>
      </c>
    </row>
    <row r="190">
      <c r="A190">
        <f>IF('Ch5 EOT2 Results'!J34="","","Q4 Interpreting a normal curve diagram: "&amp;'Ch5 EOT2 Results'!F34&amp;"/7")</f>
        <v/>
      </c>
      <c r="K190">
        <f>IF('Ch5 EOT2 Results'!J35="","","Q4 Interpreting a normal curve diagram: "&amp;'Ch5 EOT2 Results'!F35&amp;"/7")</f>
        <v/>
      </c>
    </row>
    <row r="191">
      <c r="A191">
        <f>IF('Ch5 EOT2 Results'!J34="","","Q5 Notation, probability &amp; critiquing a normal model: "&amp;'Ch5 EOT2 Results'!G34&amp;"/10")</f>
        <v/>
      </c>
      <c r="K191">
        <f>IF('Ch5 EOT2 Results'!J35="","","Q5 Notation, probability &amp; critiquing a normal model: "&amp;'Ch5 EOT2 Results'!G35&amp;"/10")</f>
        <v/>
      </c>
    </row>
    <row r="192">
      <c r="A192">
        <f>IF(OR('Ch5 EOT2 Results'!J34="",'Ch5 EOT2 Results'!K34=""),"",'Ch5 EOT2 Results'!K34)</f>
        <v/>
      </c>
      <c r="K192">
        <f>IF(OR('Ch5 EOT2 Results'!J35="",'Ch5 EOT2 Results'!K35=""),"",'Ch5 EOT2 Results'!K35)</f>
        <v/>
      </c>
    </row>
    <row r="194">
      <c r="A194">
        <f>IF('Ch5 EOT2 Results'!J34="","","Comments:")</f>
        <v/>
      </c>
      <c r="K194">
        <f>IF('Ch5 EOT2 Results'!J35="","","Comments:")</f>
        <v/>
      </c>
    </row>
    <row r="197">
      <c r="A197">
        <f>IF('Ch5 EOT2 Results'!J36="","","Chapter 5 End of Topic Test 2 — The Normal Distribution")</f>
        <v/>
      </c>
      <c r="K197">
        <f>IF('Ch5 EOT2 Results'!J37="","","Chapter 5 End of Topic Test 2 — The Normal Distribution")</f>
        <v/>
      </c>
    </row>
    <row r="198">
      <c r="A198">
        <f>IF('Ch5 EOT2 Results'!J36="","","Name: "&amp;'Ch5 EOT2 Results'!B36&amp;"   Class: "&amp;'Ch5 EOT2 Results'!$B$3&amp;"   Date: "&amp;TEXT('Ch5 EOT2 Results'!$B$5,"DD/MM/YY"))</f>
        <v/>
      </c>
      <c r="K198">
        <f>IF('Ch5 EOT2 Results'!J37="","","Name: "&amp;'Ch5 EOT2 Results'!B37&amp;"   Class: "&amp;'Ch5 EOT2 Results'!$B$3&amp;"   Date: "&amp;TEXT('Ch5 EOT2 Results'!$B$5,"DD/MM/YY"))</f>
        <v/>
      </c>
    </row>
    <row r="199">
      <c r="A199">
        <f>IF('Ch5 EOT2 Results'!J36="","","Total: "&amp;'Ch5 EOT2 Results'!H36&amp;"/39 ("&amp;TEXT('Ch5 EOT2 Results'!I36,"0%")&amp;")   Overall: "&amp;'Ch5 EOT2 Results'!J36)</f>
        <v/>
      </c>
      <c r="K199">
        <f>IF('Ch5 EOT2 Results'!J37="","","Total: "&amp;'Ch5 EOT2 Results'!H37&amp;"/39 ("&amp;TEXT('Ch5 EOT2 Results'!I37,"0%")&amp;")   Overall: "&amp;'Ch5 EOT2 Results'!J37)</f>
        <v/>
      </c>
    </row>
    <row r="200">
      <c r="A200">
        <f>IF('Ch5 EOT2 Results'!J36="","",IF('Ch5 EOT2 Results'!J36="Green",Parameters!$C$338,IF('Ch5 EOT2 Results'!J36="Yellow",Parameters!$C$337,Parameters!$C$336)))</f>
        <v/>
      </c>
      <c r="K200">
        <f>IF('Ch5 EOT2 Results'!J37="","",IF('Ch5 EOT2 Results'!J37="Green",Parameters!$C$338,IF('Ch5 EOT2 Results'!J37="Yellow",Parameters!$C$337,Parameters!$C$336)))</f>
        <v/>
      </c>
    </row>
    <row r="202">
      <c r="A202">
        <f>IF('Ch5 EOT2 Results'!J36="","","Breakdown:")</f>
        <v/>
      </c>
      <c r="K202">
        <f>IF('Ch5 EOT2 Results'!J37="","","Breakdown:")</f>
        <v/>
      </c>
    </row>
    <row r="203">
      <c r="A203">
        <f>IF('Ch5 EOT2 Results'!J36="","","Q1 Properties, sketching a curve &amp; suitability of the model: "&amp;'Ch5 EOT2 Results'!C36&amp;"/6")</f>
        <v/>
      </c>
      <c r="K203">
        <f>IF('Ch5 EOT2 Results'!J37="","","Q1 Properties, sketching a curve &amp; suitability of the model: "&amp;'Ch5 EOT2 Results'!C37&amp;"/6")</f>
        <v/>
      </c>
    </row>
    <row r="204">
      <c r="A204">
        <f>IF('Ch5 EOT2 Results'!J36="","","Q2 Standardising &amp; finding probabilities in context: "&amp;'Ch5 EOT2 Results'!D36&amp;"/8")</f>
        <v/>
      </c>
      <c r="K204">
        <f>IF('Ch5 EOT2 Results'!J37="","","Q2 Standardising &amp; finding probabilities in context: "&amp;'Ch5 EOT2 Results'!D37&amp;"/8")</f>
        <v/>
      </c>
    </row>
    <row r="205">
      <c r="A205">
        <f>IF('Ch5 EOT2 Results'!J36="","","Q3 Probability, an inverse normal threshold &amp; model limitations: "&amp;'Ch5 EOT2 Results'!E36&amp;"/8")</f>
        <v/>
      </c>
      <c r="K205">
        <f>IF('Ch5 EOT2 Results'!J37="","","Q3 Probability, an inverse normal threshold &amp; model limitations: "&amp;'Ch5 EOT2 Results'!E37&amp;"/8")</f>
        <v/>
      </c>
    </row>
    <row r="206">
      <c r="A206">
        <f>IF('Ch5 EOT2 Results'!J36="","","Q4 Interpreting a normal curve diagram: "&amp;'Ch5 EOT2 Results'!F36&amp;"/7")</f>
        <v/>
      </c>
      <c r="K206">
        <f>IF('Ch5 EOT2 Results'!J37="","","Q4 Interpreting a normal curve diagram: "&amp;'Ch5 EOT2 Results'!F37&amp;"/7")</f>
        <v/>
      </c>
    </row>
    <row r="207">
      <c r="A207">
        <f>IF('Ch5 EOT2 Results'!J36="","","Q5 Notation, probability &amp; critiquing a normal model: "&amp;'Ch5 EOT2 Results'!G36&amp;"/10")</f>
        <v/>
      </c>
      <c r="K207">
        <f>IF('Ch5 EOT2 Results'!J37="","","Q5 Notation, probability &amp; critiquing a normal model: "&amp;'Ch5 EOT2 Results'!G37&amp;"/10")</f>
        <v/>
      </c>
    </row>
    <row r="208">
      <c r="A208">
        <f>IF(OR('Ch5 EOT2 Results'!J36="",'Ch5 EOT2 Results'!K36=""),"",'Ch5 EOT2 Results'!K36)</f>
        <v/>
      </c>
      <c r="K208">
        <f>IF(OR('Ch5 EOT2 Results'!J37="",'Ch5 EOT2 Results'!K37=""),"",'Ch5 EOT2 Results'!K37)</f>
        <v/>
      </c>
    </row>
    <row r="210">
      <c r="A210">
        <f>IF('Ch5 EOT2 Results'!J36="","","Comments:")</f>
        <v/>
      </c>
      <c r="K210">
        <f>IF('Ch5 EOT2 Results'!J37="","","Comments:")</f>
        <v/>
      </c>
    </row>
    <row r="213">
      <c r="A213">
        <f>IF('Ch5 EOT2 Results'!J38="","","Chapter 5 End of Topic Test 2 — The Normal Distribution")</f>
        <v/>
      </c>
      <c r="K213">
        <f>IF('Ch5 EOT2 Results'!J39="","","Chapter 5 End of Topic Test 2 — The Normal Distribution")</f>
        <v/>
      </c>
    </row>
    <row r="214">
      <c r="A214">
        <f>IF('Ch5 EOT2 Results'!J38="","","Name: "&amp;'Ch5 EOT2 Results'!B38&amp;"   Class: "&amp;'Ch5 EOT2 Results'!$B$3&amp;"   Date: "&amp;TEXT('Ch5 EOT2 Results'!$B$5,"DD/MM/YY"))</f>
        <v/>
      </c>
      <c r="K214">
        <f>IF('Ch5 EOT2 Results'!J39="","","Name: "&amp;'Ch5 EOT2 Results'!B39&amp;"   Class: "&amp;'Ch5 EOT2 Results'!$B$3&amp;"   Date: "&amp;TEXT('Ch5 EOT2 Results'!$B$5,"DD/MM/YY"))</f>
        <v/>
      </c>
    </row>
    <row r="215">
      <c r="A215">
        <f>IF('Ch5 EOT2 Results'!J38="","","Total: "&amp;'Ch5 EOT2 Results'!H38&amp;"/39 ("&amp;TEXT('Ch5 EOT2 Results'!I38,"0%")&amp;")   Overall: "&amp;'Ch5 EOT2 Results'!J38)</f>
        <v/>
      </c>
      <c r="K215">
        <f>IF('Ch5 EOT2 Results'!J39="","","Total: "&amp;'Ch5 EOT2 Results'!H39&amp;"/39 ("&amp;TEXT('Ch5 EOT2 Results'!I39,"0%")&amp;")   Overall: "&amp;'Ch5 EOT2 Results'!J39)</f>
        <v/>
      </c>
    </row>
    <row r="216">
      <c r="A216">
        <f>IF('Ch5 EOT2 Results'!J38="","",IF('Ch5 EOT2 Results'!J38="Green",Parameters!$C$338,IF('Ch5 EOT2 Results'!J38="Yellow",Parameters!$C$337,Parameters!$C$336)))</f>
        <v/>
      </c>
      <c r="K216">
        <f>IF('Ch5 EOT2 Results'!J39="","",IF('Ch5 EOT2 Results'!J39="Green",Parameters!$C$338,IF('Ch5 EOT2 Results'!J39="Yellow",Parameters!$C$337,Parameters!$C$336)))</f>
        <v/>
      </c>
    </row>
    <row r="218">
      <c r="A218">
        <f>IF('Ch5 EOT2 Results'!J38="","","Breakdown:")</f>
        <v/>
      </c>
      <c r="K218">
        <f>IF('Ch5 EOT2 Results'!J39="","","Breakdown:")</f>
        <v/>
      </c>
    </row>
    <row r="219">
      <c r="A219">
        <f>IF('Ch5 EOT2 Results'!J38="","","Q1 Properties, sketching a curve &amp; suitability of the model: "&amp;'Ch5 EOT2 Results'!C38&amp;"/6")</f>
        <v/>
      </c>
      <c r="K219">
        <f>IF('Ch5 EOT2 Results'!J39="","","Q1 Properties, sketching a curve &amp; suitability of the model: "&amp;'Ch5 EOT2 Results'!C39&amp;"/6")</f>
        <v/>
      </c>
    </row>
    <row r="220">
      <c r="A220">
        <f>IF('Ch5 EOT2 Results'!J38="","","Q2 Standardising &amp; finding probabilities in context: "&amp;'Ch5 EOT2 Results'!D38&amp;"/8")</f>
        <v/>
      </c>
      <c r="K220">
        <f>IF('Ch5 EOT2 Results'!J39="","","Q2 Standardising &amp; finding probabilities in context: "&amp;'Ch5 EOT2 Results'!D39&amp;"/8")</f>
        <v/>
      </c>
    </row>
    <row r="221">
      <c r="A221">
        <f>IF('Ch5 EOT2 Results'!J38="","","Q3 Probability, an inverse normal threshold &amp; model limitations: "&amp;'Ch5 EOT2 Results'!E38&amp;"/8")</f>
        <v/>
      </c>
      <c r="K221">
        <f>IF('Ch5 EOT2 Results'!J39="","","Q3 Probability, an inverse normal threshold &amp; model limitations: "&amp;'Ch5 EOT2 Results'!E39&amp;"/8")</f>
        <v/>
      </c>
    </row>
    <row r="222">
      <c r="A222">
        <f>IF('Ch5 EOT2 Results'!J38="","","Q4 Interpreting a normal curve diagram: "&amp;'Ch5 EOT2 Results'!F38&amp;"/7")</f>
        <v/>
      </c>
      <c r="K222">
        <f>IF('Ch5 EOT2 Results'!J39="","","Q4 Interpreting a normal curve diagram: "&amp;'Ch5 EOT2 Results'!F39&amp;"/7")</f>
        <v/>
      </c>
    </row>
    <row r="223">
      <c r="A223">
        <f>IF('Ch5 EOT2 Results'!J38="","","Q5 Notation, probability &amp; critiquing a normal model: "&amp;'Ch5 EOT2 Results'!G38&amp;"/10")</f>
        <v/>
      </c>
      <c r="K223">
        <f>IF('Ch5 EOT2 Results'!J39="","","Q5 Notation, probability &amp; critiquing a normal model: "&amp;'Ch5 EOT2 Results'!G39&amp;"/10")</f>
        <v/>
      </c>
    </row>
    <row r="224">
      <c r="A224">
        <f>IF(OR('Ch5 EOT2 Results'!J38="",'Ch5 EOT2 Results'!K38=""),"",'Ch5 EOT2 Results'!K38)</f>
        <v/>
      </c>
      <c r="K224">
        <f>IF(OR('Ch5 EOT2 Results'!J39="",'Ch5 EOT2 Results'!K39=""),"",'Ch5 EOT2 Results'!K39)</f>
        <v/>
      </c>
    </row>
    <row r="226">
      <c r="A226">
        <f>IF('Ch5 EOT2 Results'!J38="","","Comments:")</f>
        <v/>
      </c>
      <c r="K226">
        <f>IF('Ch5 EOT2 Results'!J39="","","Comments:")</f>
        <v/>
      </c>
    </row>
    <row r="229">
      <c r="A229">
        <f>IF('Ch5 EOT2 Results'!J40="","","Chapter 5 End of Topic Test 2 — The Normal Distribution")</f>
        <v/>
      </c>
      <c r="K229">
        <f>IF('Ch5 EOT2 Results'!J41="","","Chapter 5 End of Topic Test 2 — The Normal Distribution")</f>
        <v/>
      </c>
    </row>
    <row r="230">
      <c r="A230">
        <f>IF('Ch5 EOT2 Results'!J40="","","Name: "&amp;'Ch5 EOT2 Results'!B40&amp;"   Class: "&amp;'Ch5 EOT2 Results'!$B$3&amp;"   Date: "&amp;TEXT('Ch5 EOT2 Results'!$B$5,"DD/MM/YY"))</f>
        <v/>
      </c>
      <c r="K230">
        <f>IF('Ch5 EOT2 Results'!J41="","","Name: "&amp;'Ch5 EOT2 Results'!B41&amp;"   Class: "&amp;'Ch5 EOT2 Results'!$B$3&amp;"   Date: "&amp;TEXT('Ch5 EOT2 Results'!$B$5,"DD/MM/YY"))</f>
        <v/>
      </c>
    </row>
    <row r="231">
      <c r="A231">
        <f>IF('Ch5 EOT2 Results'!J40="","","Total: "&amp;'Ch5 EOT2 Results'!H40&amp;"/39 ("&amp;TEXT('Ch5 EOT2 Results'!I40,"0%")&amp;")   Overall: "&amp;'Ch5 EOT2 Results'!J40)</f>
        <v/>
      </c>
      <c r="K231">
        <f>IF('Ch5 EOT2 Results'!J41="","","Total: "&amp;'Ch5 EOT2 Results'!H41&amp;"/39 ("&amp;TEXT('Ch5 EOT2 Results'!I41,"0%")&amp;")   Overall: "&amp;'Ch5 EOT2 Results'!J41)</f>
        <v/>
      </c>
    </row>
    <row r="232">
      <c r="A232">
        <f>IF('Ch5 EOT2 Results'!J40="","",IF('Ch5 EOT2 Results'!J40="Green",Parameters!$C$338,IF('Ch5 EOT2 Results'!J40="Yellow",Parameters!$C$337,Parameters!$C$336)))</f>
        <v/>
      </c>
      <c r="K232">
        <f>IF('Ch5 EOT2 Results'!J41="","",IF('Ch5 EOT2 Results'!J41="Green",Parameters!$C$338,IF('Ch5 EOT2 Results'!J41="Yellow",Parameters!$C$337,Parameters!$C$336)))</f>
        <v/>
      </c>
    </row>
    <row r="234">
      <c r="A234">
        <f>IF('Ch5 EOT2 Results'!J40="","","Breakdown:")</f>
        <v/>
      </c>
      <c r="K234">
        <f>IF('Ch5 EOT2 Results'!J41="","","Breakdown:")</f>
        <v/>
      </c>
    </row>
    <row r="235">
      <c r="A235">
        <f>IF('Ch5 EOT2 Results'!J40="","","Q1 Properties, sketching a curve &amp; suitability of the model: "&amp;'Ch5 EOT2 Results'!C40&amp;"/6")</f>
        <v/>
      </c>
      <c r="K235">
        <f>IF('Ch5 EOT2 Results'!J41="","","Q1 Properties, sketching a curve &amp; suitability of the model: "&amp;'Ch5 EOT2 Results'!C41&amp;"/6")</f>
        <v/>
      </c>
    </row>
    <row r="236">
      <c r="A236">
        <f>IF('Ch5 EOT2 Results'!J40="","","Q2 Standardising &amp; finding probabilities in context: "&amp;'Ch5 EOT2 Results'!D40&amp;"/8")</f>
        <v/>
      </c>
      <c r="K236">
        <f>IF('Ch5 EOT2 Results'!J41="","","Q2 Standardising &amp; finding probabilities in context: "&amp;'Ch5 EOT2 Results'!D41&amp;"/8")</f>
        <v/>
      </c>
    </row>
    <row r="237">
      <c r="A237">
        <f>IF('Ch5 EOT2 Results'!J40="","","Q3 Probability, an inverse normal threshold &amp; model limitations: "&amp;'Ch5 EOT2 Results'!E40&amp;"/8")</f>
        <v/>
      </c>
      <c r="K237">
        <f>IF('Ch5 EOT2 Results'!J41="","","Q3 Probability, an inverse normal threshold &amp; model limitations: "&amp;'Ch5 EOT2 Results'!E41&amp;"/8")</f>
        <v/>
      </c>
    </row>
    <row r="238">
      <c r="A238">
        <f>IF('Ch5 EOT2 Results'!J40="","","Q4 Interpreting a normal curve diagram: "&amp;'Ch5 EOT2 Results'!F40&amp;"/7")</f>
        <v/>
      </c>
      <c r="K238">
        <f>IF('Ch5 EOT2 Results'!J41="","","Q4 Interpreting a normal curve diagram: "&amp;'Ch5 EOT2 Results'!F41&amp;"/7")</f>
        <v/>
      </c>
    </row>
    <row r="239">
      <c r="A239">
        <f>IF('Ch5 EOT2 Results'!J40="","","Q5 Notation, probability &amp; critiquing a normal model: "&amp;'Ch5 EOT2 Results'!G40&amp;"/10")</f>
        <v/>
      </c>
      <c r="K239">
        <f>IF('Ch5 EOT2 Results'!J41="","","Q5 Notation, probability &amp; critiquing a normal model: "&amp;'Ch5 EOT2 Results'!G41&amp;"/10")</f>
        <v/>
      </c>
    </row>
    <row r="240">
      <c r="A240">
        <f>IF(OR('Ch5 EOT2 Results'!J40="",'Ch5 EOT2 Results'!K40=""),"",'Ch5 EOT2 Results'!K40)</f>
        <v/>
      </c>
      <c r="K240">
        <f>IF(OR('Ch5 EOT2 Results'!J41="",'Ch5 EOT2 Results'!K41=""),"",'Ch5 EOT2 Results'!K41)</f>
        <v/>
      </c>
    </row>
    <row r="242">
      <c r="A242">
        <f>IF('Ch5 EOT2 Results'!J40="","","Comments:")</f>
        <v/>
      </c>
      <c r="K242">
        <f>IF('Ch5 EOT2 Results'!J41="","","Comments:")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0" customWidth="1" min="7" max="7"/>
    <col width="8" customWidth="1" min="8" max="8"/>
    <col width="10" customWidth="1" min="9" max="9"/>
    <col width="45" customWidth="1" min="10" max="10"/>
  </cols>
  <sheetData>
    <row r="1">
      <c r="A1" s="11" t="inlineStr">
        <is>
          <t>Mini Test 6.1 — Probabilities &amp; Estimation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Point estimates
(/4)</t>
        </is>
      </c>
      <c r="D9" s="12" t="inlineStr">
        <is>
          <t>Q2
Standard error
(/5)</t>
        </is>
      </c>
      <c r="E9" s="12" t="inlineStr">
        <is>
          <t>Q3
CI for a mean
(/7)</t>
        </is>
      </c>
      <c r="F9" s="12" t="inlineStr">
        <is>
          <t>Q4
Comparing CIs
(/6)</t>
        </is>
      </c>
      <c r="G9" s="12" t="inlineStr">
        <is>
          <t>Total
(/22)</t>
        </is>
      </c>
      <c r="H9" s="12" t="inlineStr">
        <is>
          <t>%</t>
        </is>
      </c>
      <c r="I9" s="12" t="inlineStr">
        <is>
          <t>Overall</t>
        </is>
      </c>
      <c r="J9" s="12" t="inlineStr">
        <is>
          <t>Focus for next steps</t>
        </is>
      </c>
      <c r="K9" s="12" t="inlineStr">
        <is>
          <t>Q1%</t>
        </is>
      </c>
      <c r="L9" s="12" t="inlineStr">
        <is>
          <t>Q2%</t>
        </is>
      </c>
      <c r="M9" s="12" t="inlineStr">
        <is>
          <t>Q3%</t>
        </is>
      </c>
      <c r="N9" s="12" t="inlineStr">
        <is>
          <t>Q4%</t>
        </is>
      </c>
    </row>
    <row r="10">
      <c r="A10" s="3" t="n"/>
      <c r="B10" s="3" t="inlineStr">
        <is>
          <t>Max marks</t>
        </is>
      </c>
      <c r="C10" s="3" t="n">
        <v>4</v>
      </c>
      <c r="D10" s="3" t="n">
        <v>5</v>
      </c>
      <c r="E10" s="3" t="n">
        <v>7</v>
      </c>
      <c r="F10" s="3" t="n">
        <v>6</v>
      </c>
      <c r="G10" s="3" t="n">
        <v>22</v>
      </c>
      <c r="H10" s="3" t="inlineStr">
        <is>
          <t>100%</t>
        </is>
      </c>
      <c r="I10" s="3" t="n"/>
      <c r="J10" s="3" t="n"/>
      <c r="K10" s="3" t="n"/>
      <c r="L10" s="3" t="n"/>
      <c r="M10" s="3" t="n"/>
      <c r="N10" s="3" t="n"/>
    </row>
    <row r="11">
      <c r="A11" s="13" t="n">
        <v>1</v>
      </c>
      <c r="B11" s="13" t="inlineStr">
        <is>
          <t>Example pupil (edit me)</t>
        </is>
      </c>
      <c r="C11" s="13" t="n">
        <v>3</v>
      </c>
      <c r="D11" s="13" t="n">
        <v>4</v>
      </c>
      <c r="E11" s="13" t="n">
        <v>6</v>
      </c>
      <c r="F11" s="13" t="n">
        <v>5</v>
      </c>
      <c r="G11" s="13">
        <f>IF(COUNT(C11:F11)&lt;4,"",SUM(C11:F11))</f>
        <v/>
      </c>
      <c r="H11" s="13">
        <f>IF(COUNT(C11:F11)&lt;4,"",G11/22)</f>
        <v/>
      </c>
      <c r="I11" s="13">
        <f>IF(COUNT(C11:F11)&lt;4,"",IF(H11&gt;=0.8,"Green",IF(H11&gt;=0.5,"Yellow","Red")))</f>
        <v/>
      </c>
      <c r="J11" s="13">
        <f>IF(COUNT(C11:F11)&lt;4,"",IF(I11="Green","Well done! "&amp;Parameters!$C$353,"Revise: "&amp;_xlfn.TEXTJOIN(", ",TRUE(),IF(K11&lt;1,Parameters!$A$344,""),IF(L11&lt;1,Parameters!$A$345,""),IF(M11&lt;1,Parameters!$A$346,""),IF(N11&lt;1,Parameters!$A$347,""))))</f>
        <v/>
      </c>
      <c r="K11" s="13">
        <f>IF(C11="","",C11/4)</f>
        <v/>
      </c>
      <c r="L11" s="13">
        <f>IF(D11="","",D11/5)</f>
        <v/>
      </c>
      <c r="M11" s="13">
        <f>IF(E11="","",E11/7)</f>
        <v/>
      </c>
      <c r="N11" s="13">
        <f>IF(F11="","",F11/6)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3">
        <f>IF(COUNT(C12:F12)&lt;4,"",SUM(C12:F12))</f>
        <v/>
      </c>
      <c r="H12" s="13">
        <f>IF(COUNT(C12:F12)&lt;4,"",G12/22)</f>
        <v/>
      </c>
      <c r="I12" s="13">
        <f>IF(COUNT(C12:F12)&lt;4,"",IF(H12&gt;=0.8,"Green",IF(H12&gt;=0.5,"Yellow","Red")))</f>
        <v/>
      </c>
      <c r="J12" s="13">
        <f>IF(COUNT(C12:F12)&lt;4,"",IF(I12="Green","Well done! "&amp;Parameters!$C$353,"Revise: "&amp;_xlfn.TEXTJOIN(", ",TRUE(),IF(K12&lt;1,Parameters!$A$344,""),IF(L12&lt;1,Parameters!$A$345,""),IF(M12&lt;1,Parameters!$A$346,""),IF(N12&lt;1,Parameters!$A$347,""))))</f>
        <v/>
      </c>
      <c r="K12" s="13">
        <f>IF(C12="","",C12/4)</f>
        <v/>
      </c>
      <c r="L12" s="13">
        <f>IF(D12="","",D12/5)</f>
        <v/>
      </c>
      <c r="M12" s="13">
        <f>IF(E12="","",E12/7)</f>
        <v/>
      </c>
      <c r="N12" s="13">
        <f>IF(F12="","",F12/6)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3">
        <f>IF(COUNT(C13:F13)&lt;4,"",SUM(C13:F13))</f>
        <v/>
      </c>
      <c r="H13" s="13">
        <f>IF(COUNT(C13:F13)&lt;4,"",G13/22)</f>
        <v/>
      </c>
      <c r="I13" s="13">
        <f>IF(COUNT(C13:F13)&lt;4,"",IF(H13&gt;=0.8,"Green",IF(H13&gt;=0.5,"Yellow","Red")))</f>
        <v/>
      </c>
      <c r="J13" s="13">
        <f>IF(COUNT(C13:F13)&lt;4,"",IF(I13="Green","Well done! "&amp;Parameters!$C$353,"Revise: "&amp;_xlfn.TEXTJOIN(", ",TRUE(),IF(K13&lt;1,Parameters!$A$344,""),IF(L13&lt;1,Parameters!$A$345,""),IF(M13&lt;1,Parameters!$A$346,""),IF(N13&lt;1,Parameters!$A$347,""))))</f>
        <v/>
      </c>
      <c r="K13" s="13">
        <f>IF(C13="","",C13/4)</f>
        <v/>
      </c>
      <c r="L13" s="13">
        <f>IF(D13="","",D13/5)</f>
        <v/>
      </c>
      <c r="M13" s="13">
        <f>IF(E13="","",E13/7)</f>
        <v/>
      </c>
      <c r="N13" s="13">
        <f>IF(F13="","",F13/6)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3">
        <f>IF(COUNT(C14:F14)&lt;4,"",SUM(C14:F14))</f>
        <v/>
      </c>
      <c r="H14" s="13">
        <f>IF(COUNT(C14:F14)&lt;4,"",G14/22)</f>
        <v/>
      </c>
      <c r="I14" s="13">
        <f>IF(COUNT(C14:F14)&lt;4,"",IF(H14&gt;=0.8,"Green",IF(H14&gt;=0.5,"Yellow","Red")))</f>
        <v/>
      </c>
      <c r="J14" s="13">
        <f>IF(COUNT(C14:F14)&lt;4,"",IF(I14="Green","Well done! "&amp;Parameters!$C$353,"Revise: "&amp;_xlfn.TEXTJOIN(", ",TRUE(),IF(K14&lt;1,Parameters!$A$344,""),IF(L14&lt;1,Parameters!$A$345,""),IF(M14&lt;1,Parameters!$A$346,""),IF(N14&lt;1,Parameters!$A$347,""))))</f>
        <v/>
      </c>
      <c r="K14" s="13">
        <f>IF(C14="","",C14/4)</f>
        <v/>
      </c>
      <c r="L14" s="13">
        <f>IF(D14="","",D14/5)</f>
        <v/>
      </c>
      <c r="M14" s="13">
        <f>IF(E14="","",E14/7)</f>
        <v/>
      </c>
      <c r="N14" s="13">
        <f>IF(F14="","",F14/6)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3">
        <f>IF(COUNT(C15:F15)&lt;4,"",SUM(C15:F15))</f>
        <v/>
      </c>
      <c r="H15" s="13">
        <f>IF(COUNT(C15:F15)&lt;4,"",G15/22)</f>
        <v/>
      </c>
      <c r="I15" s="13">
        <f>IF(COUNT(C15:F15)&lt;4,"",IF(H15&gt;=0.8,"Green",IF(H15&gt;=0.5,"Yellow","Red")))</f>
        <v/>
      </c>
      <c r="J15" s="13">
        <f>IF(COUNT(C15:F15)&lt;4,"",IF(I15="Green","Well done! "&amp;Parameters!$C$353,"Revise: "&amp;_xlfn.TEXTJOIN(", ",TRUE(),IF(K15&lt;1,Parameters!$A$344,""),IF(L15&lt;1,Parameters!$A$345,""),IF(M15&lt;1,Parameters!$A$346,""),IF(N15&lt;1,Parameters!$A$347,""))))</f>
        <v/>
      </c>
      <c r="K15" s="13">
        <f>IF(C15="","",C15/4)</f>
        <v/>
      </c>
      <c r="L15" s="13">
        <f>IF(D15="","",D15/5)</f>
        <v/>
      </c>
      <c r="M15" s="13">
        <f>IF(E15="","",E15/7)</f>
        <v/>
      </c>
      <c r="N15" s="13">
        <f>IF(F15="","",F15/6)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3">
        <f>IF(COUNT(C16:F16)&lt;4,"",SUM(C16:F16))</f>
        <v/>
      </c>
      <c r="H16" s="13">
        <f>IF(COUNT(C16:F16)&lt;4,"",G16/22)</f>
        <v/>
      </c>
      <c r="I16" s="13">
        <f>IF(COUNT(C16:F16)&lt;4,"",IF(H16&gt;=0.8,"Green",IF(H16&gt;=0.5,"Yellow","Red")))</f>
        <v/>
      </c>
      <c r="J16" s="13">
        <f>IF(COUNT(C16:F16)&lt;4,"",IF(I16="Green","Well done! "&amp;Parameters!$C$353,"Revise: "&amp;_xlfn.TEXTJOIN(", ",TRUE(),IF(K16&lt;1,Parameters!$A$344,""),IF(L16&lt;1,Parameters!$A$345,""),IF(M16&lt;1,Parameters!$A$346,""),IF(N16&lt;1,Parameters!$A$347,""))))</f>
        <v/>
      </c>
      <c r="K16" s="13">
        <f>IF(C16="","",C16/4)</f>
        <v/>
      </c>
      <c r="L16" s="13">
        <f>IF(D16="","",D16/5)</f>
        <v/>
      </c>
      <c r="M16" s="13">
        <f>IF(E16="","",E16/7)</f>
        <v/>
      </c>
      <c r="N16" s="13">
        <f>IF(F16="","",F16/6)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3">
        <f>IF(COUNT(C17:F17)&lt;4,"",SUM(C17:F17))</f>
        <v/>
      </c>
      <c r="H17" s="13">
        <f>IF(COUNT(C17:F17)&lt;4,"",G17/22)</f>
        <v/>
      </c>
      <c r="I17" s="13">
        <f>IF(COUNT(C17:F17)&lt;4,"",IF(H17&gt;=0.8,"Green",IF(H17&gt;=0.5,"Yellow","Red")))</f>
        <v/>
      </c>
      <c r="J17" s="13">
        <f>IF(COUNT(C17:F17)&lt;4,"",IF(I17="Green","Well done! "&amp;Parameters!$C$353,"Revise: "&amp;_xlfn.TEXTJOIN(", ",TRUE(),IF(K17&lt;1,Parameters!$A$344,""),IF(L17&lt;1,Parameters!$A$345,""),IF(M17&lt;1,Parameters!$A$346,""),IF(N17&lt;1,Parameters!$A$347,""))))</f>
        <v/>
      </c>
      <c r="K17" s="13">
        <f>IF(C17="","",C17/4)</f>
        <v/>
      </c>
      <c r="L17" s="13">
        <f>IF(D17="","",D17/5)</f>
        <v/>
      </c>
      <c r="M17" s="13">
        <f>IF(E17="","",E17/7)</f>
        <v/>
      </c>
      <c r="N17" s="13">
        <f>IF(F17="","",F17/6)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3">
        <f>IF(COUNT(C18:F18)&lt;4,"",SUM(C18:F18))</f>
        <v/>
      </c>
      <c r="H18" s="13">
        <f>IF(COUNT(C18:F18)&lt;4,"",G18/22)</f>
        <v/>
      </c>
      <c r="I18" s="13">
        <f>IF(COUNT(C18:F18)&lt;4,"",IF(H18&gt;=0.8,"Green",IF(H18&gt;=0.5,"Yellow","Red")))</f>
        <v/>
      </c>
      <c r="J18" s="13">
        <f>IF(COUNT(C18:F18)&lt;4,"",IF(I18="Green","Well done! "&amp;Parameters!$C$353,"Revise: "&amp;_xlfn.TEXTJOIN(", ",TRUE(),IF(K18&lt;1,Parameters!$A$344,""),IF(L18&lt;1,Parameters!$A$345,""),IF(M18&lt;1,Parameters!$A$346,""),IF(N18&lt;1,Parameters!$A$347,""))))</f>
        <v/>
      </c>
      <c r="K18" s="13">
        <f>IF(C18="","",C18/4)</f>
        <v/>
      </c>
      <c r="L18" s="13">
        <f>IF(D18="","",D18/5)</f>
        <v/>
      </c>
      <c r="M18" s="13">
        <f>IF(E18="","",E18/7)</f>
        <v/>
      </c>
      <c r="N18" s="13">
        <f>IF(F18="","",F18/6)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3">
        <f>IF(COUNT(C19:F19)&lt;4,"",SUM(C19:F19))</f>
        <v/>
      </c>
      <c r="H19" s="13">
        <f>IF(COUNT(C19:F19)&lt;4,"",G19/22)</f>
        <v/>
      </c>
      <c r="I19" s="13">
        <f>IF(COUNT(C19:F19)&lt;4,"",IF(H19&gt;=0.8,"Green",IF(H19&gt;=0.5,"Yellow","Red")))</f>
        <v/>
      </c>
      <c r="J19" s="13">
        <f>IF(COUNT(C19:F19)&lt;4,"",IF(I19="Green","Well done! "&amp;Parameters!$C$353,"Revise: "&amp;_xlfn.TEXTJOIN(", ",TRUE(),IF(K19&lt;1,Parameters!$A$344,""),IF(L19&lt;1,Parameters!$A$345,""),IF(M19&lt;1,Parameters!$A$346,""),IF(N19&lt;1,Parameters!$A$347,""))))</f>
        <v/>
      </c>
      <c r="K19" s="13">
        <f>IF(C19="","",C19/4)</f>
        <v/>
      </c>
      <c r="L19" s="13">
        <f>IF(D19="","",D19/5)</f>
        <v/>
      </c>
      <c r="M19" s="13">
        <f>IF(E19="","",E19/7)</f>
        <v/>
      </c>
      <c r="N19" s="13">
        <f>IF(F19="","",F19/6)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3">
        <f>IF(COUNT(C20:F20)&lt;4,"",SUM(C20:F20))</f>
        <v/>
      </c>
      <c r="H20" s="13">
        <f>IF(COUNT(C20:F20)&lt;4,"",G20/22)</f>
        <v/>
      </c>
      <c r="I20" s="13">
        <f>IF(COUNT(C20:F20)&lt;4,"",IF(H20&gt;=0.8,"Green",IF(H20&gt;=0.5,"Yellow","Red")))</f>
        <v/>
      </c>
      <c r="J20" s="13">
        <f>IF(COUNT(C20:F20)&lt;4,"",IF(I20="Green","Well done! "&amp;Parameters!$C$353,"Revise: "&amp;_xlfn.TEXTJOIN(", ",TRUE(),IF(K20&lt;1,Parameters!$A$344,""),IF(L20&lt;1,Parameters!$A$345,""),IF(M20&lt;1,Parameters!$A$346,""),IF(N20&lt;1,Parameters!$A$347,""))))</f>
        <v/>
      </c>
      <c r="K20" s="13">
        <f>IF(C20="","",C20/4)</f>
        <v/>
      </c>
      <c r="L20" s="13">
        <f>IF(D20="","",D20/5)</f>
        <v/>
      </c>
      <c r="M20" s="13">
        <f>IF(E20="","",E20/7)</f>
        <v/>
      </c>
      <c r="N20" s="13">
        <f>IF(F20="","",F20/6)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3">
        <f>IF(COUNT(C21:F21)&lt;4,"",SUM(C21:F21))</f>
        <v/>
      </c>
      <c r="H21" s="13">
        <f>IF(COUNT(C21:F21)&lt;4,"",G21/22)</f>
        <v/>
      </c>
      <c r="I21" s="13">
        <f>IF(COUNT(C21:F21)&lt;4,"",IF(H21&gt;=0.8,"Green",IF(H21&gt;=0.5,"Yellow","Red")))</f>
        <v/>
      </c>
      <c r="J21" s="13">
        <f>IF(COUNT(C21:F21)&lt;4,"",IF(I21="Green","Well done! "&amp;Parameters!$C$353,"Revise: "&amp;_xlfn.TEXTJOIN(", ",TRUE(),IF(K21&lt;1,Parameters!$A$344,""),IF(L21&lt;1,Parameters!$A$345,""),IF(M21&lt;1,Parameters!$A$346,""),IF(N21&lt;1,Parameters!$A$347,""))))</f>
        <v/>
      </c>
      <c r="K21" s="13">
        <f>IF(C21="","",C21/4)</f>
        <v/>
      </c>
      <c r="L21" s="13">
        <f>IF(D21="","",D21/5)</f>
        <v/>
      </c>
      <c r="M21" s="13">
        <f>IF(E21="","",E21/7)</f>
        <v/>
      </c>
      <c r="N21" s="13">
        <f>IF(F21="","",F21/6)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3">
        <f>IF(COUNT(C22:F22)&lt;4,"",SUM(C22:F22))</f>
        <v/>
      </c>
      <c r="H22" s="13">
        <f>IF(COUNT(C22:F22)&lt;4,"",G22/22)</f>
        <v/>
      </c>
      <c r="I22" s="13">
        <f>IF(COUNT(C22:F22)&lt;4,"",IF(H22&gt;=0.8,"Green",IF(H22&gt;=0.5,"Yellow","Red")))</f>
        <v/>
      </c>
      <c r="J22" s="13">
        <f>IF(COUNT(C22:F22)&lt;4,"",IF(I22="Green","Well done! "&amp;Parameters!$C$353,"Revise: "&amp;_xlfn.TEXTJOIN(", ",TRUE(),IF(K22&lt;1,Parameters!$A$344,""),IF(L22&lt;1,Parameters!$A$345,""),IF(M22&lt;1,Parameters!$A$346,""),IF(N22&lt;1,Parameters!$A$347,""))))</f>
        <v/>
      </c>
      <c r="K22" s="13">
        <f>IF(C22="","",C22/4)</f>
        <v/>
      </c>
      <c r="L22" s="13">
        <f>IF(D22="","",D22/5)</f>
        <v/>
      </c>
      <c r="M22" s="13">
        <f>IF(E22="","",E22/7)</f>
        <v/>
      </c>
      <c r="N22" s="13">
        <f>IF(F22="","",F22/6)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3">
        <f>IF(COUNT(C23:F23)&lt;4,"",SUM(C23:F23))</f>
        <v/>
      </c>
      <c r="H23" s="13">
        <f>IF(COUNT(C23:F23)&lt;4,"",G23/22)</f>
        <v/>
      </c>
      <c r="I23" s="13">
        <f>IF(COUNT(C23:F23)&lt;4,"",IF(H23&gt;=0.8,"Green",IF(H23&gt;=0.5,"Yellow","Red")))</f>
        <v/>
      </c>
      <c r="J23" s="13">
        <f>IF(COUNT(C23:F23)&lt;4,"",IF(I23="Green","Well done! "&amp;Parameters!$C$353,"Revise: "&amp;_xlfn.TEXTJOIN(", ",TRUE(),IF(K23&lt;1,Parameters!$A$344,""),IF(L23&lt;1,Parameters!$A$345,""),IF(M23&lt;1,Parameters!$A$346,""),IF(N23&lt;1,Parameters!$A$347,""))))</f>
        <v/>
      </c>
      <c r="K23" s="13">
        <f>IF(C23="","",C23/4)</f>
        <v/>
      </c>
      <c r="L23" s="13">
        <f>IF(D23="","",D23/5)</f>
        <v/>
      </c>
      <c r="M23" s="13">
        <f>IF(E23="","",E23/7)</f>
        <v/>
      </c>
      <c r="N23" s="13">
        <f>IF(F23="","",F23/6)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3">
        <f>IF(COUNT(C24:F24)&lt;4,"",SUM(C24:F24))</f>
        <v/>
      </c>
      <c r="H24" s="13">
        <f>IF(COUNT(C24:F24)&lt;4,"",G24/22)</f>
        <v/>
      </c>
      <c r="I24" s="13">
        <f>IF(COUNT(C24:F24)&lt;4,"",IF(H24&gt;=0.8,"Green",IF(H24&gt;=0.5,"Yellow","Red")))</f>
        <v/>
      </c>
      <c r="J24" s="13">
        <f>IF(COUNT(C24:F24)&lt;4,"",IF(I24="Green","Well done! "&amp;Parameters!$C$353,"Revise: "&amp;_xlfn.TEXTJOIN(", ",TRUE(),IF(K24&lt;1,Parameters!$A$344,""),IF(L24&lt;1,Parameters!$A$345,""),IF(M24&lt;1,Parameters!$A$346,""),IF(N24&lt;1,Parameters!$A$347,""))))</f>
        <v/>
      </c>
      <c r="K24" s="13">
        <f>IF(C24="","",C24/4)</f>
        <v/>
      </c>
      <c r="L24" s="13">
        <f>IF(D24="","",D24/5)</f>
        <v/>
      </c>
      <c r="M24" s="13">
        <f>IF(E24="","",E24/7)</f>
        <v/>
      </c>
      <c r="N24" s="13">
        <f>IF(F24="","",F24/6)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3">
        <f>IF(COUNT(C25:F25)&lt;4,"",SUM(C25:F25))</f>
        <v/>
      </c>
      <c r="H25" s="13">
        <f>IF(COUNT(C25:F25)&lt;4,"",G25/22)</f>
        <v/>
      </c>
      <c r="I25" s="13">
        <f>IF(COUNT(C25:F25)&lt;4,"",IF(H25&gt;=0.8,"Green",IF(H25&gt;=0.5,"Yellow","Red")))</f>
        <v/>
      </c>
      <c r="J25" s="13">
        <f>IF(COUNT(C25:F25)&lt;4,"",IF(I25="Green","Well done! "&amp;Parameters!$C$353,"Revise: "&amp;_xlfn.TEXTJOIN(", ",TRUE(),IF(K25&lt;1,Parameters!$A$344,""),IF(L25&lt;1,Parameters!$A$345,""),IF(M25&lt;1,Parameters!$A$346,""),IF(N25&lt;1,Parameters!$A$347,""))))</f>
        <v/>
      </c>
      <c r="K25" s="13">
        <f>IF(C25="","",C25/4)</f>
        <v/>
      </c>
      <c r="L25" s="13">
        <f>IF(D25="","",D25/5)</f>
        <v/>
      </c>
      <c r="M25" s="13">
        <f>IF(E25="","",E25/7)</f>
        <v/>
      </c>
      <c r="N25" s="13">
        <f>IF(F25="","",F25/6)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3">
        <f>IF(COUNT(C26:F26)&lt;4,"",SUM(C26:F26))</f>
        <v/>
      </c>
      <c r="H26" s="13">
        <f>IF(COUNT(C26:F26)&lt;4,"",G26/22)</f>
        <v/>
      </c>
      <c r="I26" s="13">
        <f>IF(COUNT(C26:F26)&lt;4,"",IF(H26&gt;=0.8,"Green",IF(H26&gt;=0.5,"Yellow","Red")))</f>
        <v/>
      </c>
      <c r="J26" s="13">
        <f>IF(COUNT(C26:F26)&lt;4,"",IF(I26="Green","Well done! "&amp;Parameters!$C$353,"Revise: "&amp;_xlfn.TEXTJOIN(", ",TRUE(),IF(K26&lt;1,Parameters!$A$344,""),IF(L26&lt;1,Parameters!$A$345,""),IF(M26&lt;1,Parameters!$A$346,""),IF(N26&lt;1,Parameters!$A$347,""))))</f>
        <v/>
      </c>
      <c r="K26" s="13">
        <f>IF(C26="","",C26/4)</f>
        <v/>
      </c>
      <c r="L26" s="13">
        <f>IF(D26="","",D26/5)</f>
        <v/>
      </c>
      <c r="M26" s="13">
        <f>IF(E26="","",E26/7)</f>
        <v/>
      </c>
      <c r="N26" s="13">
        <f>IF(F26="","",F26/6)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3">
        <f>IF(COUNT(C27:F27)&lt;4,"",SUM(C27:F27))</f>
        <v/>
      </c>
      <c r="H27" s="13">
        <f>IF(COUNT(C27:F27)&lt;4,"",G27/22)</f>
        <v/>
      </c>
      <c r="I27" s="13">
        <f>IF(COUNT(C27:F27)&lt;4,"",IF(H27&gt;=0.8,"Green",IF(H27&gt;=0.5,"Yellow","Red")))</f>
        <v/>
      </c>
      <c r="J27" s="13">
        <f>IF(COUNT(C27:F27)&lt;4,"",IF(I27="Green","Well done! "&amp;Parameters!$C$353,"Revise: "&amp;_xlfn.TEXTJOIN(", ",TRUE(),IF(K27&lt;1,Parameters!$A$344,""),IF(L27&lt;1,Parameters!$A$345,""),IF(M27&lt;1,Parameters!$A$346,""),IF(N27&lt;1,Parameters!$A$347,""))))</f>
        <v/>
      </c>
      <c r="K27" s="13">
        <f>IF(C27="","",C27/4)</f>
        <v/>
      </c>
      <c r="L27" s="13">
        <f>IF(D27="","",D27/5)</f>
        <v/>
      </c>
      <c r="M27" s="13">
        <f>IF(E27="","",E27/7)</f>
        <v/>
      </c>
      <c r="N27" s="13">
        <f>IF(F27="","",F27/6)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3">
        <f>IF(COUNT(C28:F28)&lt;4,"",SUM(C28:F28))</f>
        <v/>
      </c>
      <c r="H28" s="13">
        <f>IF(COUNT(C28:F28)&lt;4,"",G28/22)</f>
        <v/>
      </c>
      <c r="I28" s="13">
        <f>IF(COUNT(C28:F28)&lt;4,"",IF(H28&gt;=0.8,"Green",IF(H28&gt;=0.5,"Yellow","Red")))</f>
        <v/>
      </c>
      <c r="J28" s="13">
        <f>IF(COUNT(C28:F28)&lt;4,"",IF(I28="Green","Well done! "&amp;Parameters!$C$353,"Revise: "&amp;_xlfn.TEXTJOIN(", ",TRUE(),IF(K28&lt;1,Parameters!$A$344,""),IF(L28&lt;1,Parameters!$A$345,""),IF(M28&lt;1,Parameters!$A$346,""),IF(N28&lt;1,Parameters!$A$347,""))))</f>
        <v/>
      </c>
      <c r="K28" s="13">
        <f>IF(C28="","",C28/4)</f>
        <v/>
      </c>
      <c r="L28" s="13">
        <f>IF(D28="","",D28/5)</f>
        <v/>
      </c>
      <c r="M28" s="13">
        <f>IF(E28="","",E28/7)</f>
        <v/>
      </c>
      <c r="N28" s="13">
        <f>IF(F28="","",F28/6)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3">
        <f>IF(COUNT(C29:F29)&lt;4,"",SUM(C29:F29))</f>
        <v/>
      </c>
      <c r="H29" s="13">
        <f>IF(COUNT(C29:F29)&lt;4,"",G29/22)</f>
        <v/>
      </c>
      <c r="I29" s="13">
        <f>IF(COUNT(C29:F29)&lt;4,"",IF(H29&gt;=0.8,"Green",IF(H29&gt;=0.5,"Yellow","Red")))</f>
        <v/>
      </c>
      <c r="J29" s="13">
        <f>IF(COUNT(C29:F29)&lt;4,"",IF(I29="Green","Well done! "&amp;Parameters!$C$353,"Revise: "&amp;_xlfn.TEXTJOIN(", ",TRUE(),IF(K29&lt;1,Parameters!$A$344,""),IF(L29&lt;1,Parameters!$A$345,""),IF(M29&lt;1,Parameters!$A$346,""),IF(N29&lt;1,Parameters!$A$347,""))))</f>
        <v/>
      </c>
      <c r="K29" s="13">
        <f>IF(C29="","",C29/4)</f>
        <v/>
      </c>
      <c r="L29" s="13">
        <f>IF(D29="","",D29/5)</f>
        <v/>
      </c>
      <c r="M29" s="13">
        <f>IF(E29="","",E29/7)</f>
        <v/>
      </c>
      <c r="N29" s="13">
        <f>IF(F29="","",F29/6)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3">
        <f>IF(COUNT(C30:F30)&lt;4,"",SUM(C30:F30))</f>
        <v/>
      </c>
      <c r="H30" s="13">
        <f>IF(COUNT(C30:F30)&lt;4,"",G30/22)</f>
        <v/>
      </c>
      <c r="I30" s="13">
        <f>IF(COUNT(C30:F30)&lt;4,"",IF(H30&gt;=0.8,"Green",IF(H30&gt;=0.5,"Yellow","Red")))</f>
        <v/>
      </c>
      <c r="J30" s="13">
        <f>IF(COUNT(C30:F30)&lt;4,"",IF(I30="Green","Well done! "&amp;Parameters!$C$353,"Revise: "&amp;_xlfn.TEXTJOIN(", ",TRUE(),IF(K30&lt;1,Parameters!$A$344,""),IF(L30&lt;1,Parameters!$A$345,""),IF(M30&lt;1,Parameters!$A$346,""),IF(N30&lt;1,Parameters!$A$347,""))))</f>
        <v/>
      </c>
      <c r="K30" s="13">
        <f>IF(C30="","",C30/4)</f>
        <v/>
      </c>
      <c r="L30" s="13">
        <f>IF(D30="","",D30/5)</f>
        <v/>
      </c>
      <c r="M30" s="13">
        <f>IF(E30="","",E30/7)</f>
        <v/>
      </c>
      <c r="N30" s="13">
        <f>IF(F30="","",F30/6)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3">
        <f>IF(COUNT(C31:F31)&lt;4,"",SUM(C31:F31))</f>
        <v/>
      </c>
      <c r="H31" s="13">
        <f>IF(COUNT(C31:F31)&lt;4,"",G31/22)</f>
        <v/>
      </c>
      <c r="I31" s="13">
        <f>IF(COUNT(C31:F31)&lt;4,"",IF(H31&gt;=0.8,"Green",IF(H31&gt;=0.5,"Yellow","Red")))</f>
        <v/>
      </c>
      <c r="J31" s="13">
        <f>IF(COUNT(C31:F31)&lt;4,"",IF(I31="Green","Well done! "&amp;Parameters!$C$353,"Revise: "&amp;_xlfn.TEXTJOIN(", ",TRUE(),IF(K31&lt;1,Parameters!$A$344,""),IF(L31&lt;1,Parameters!$A$345,""),IF(M31&lt;1,Parameters!$A$346,""),IF(N31&lt;1,Parameters!$A$347,""))))</f>
        <v/>
      </c>
      <c r="K31" s="13">
        <f>IF(C31="","",C31/4)</f>
        <v/>
      </c>
      <c r="L31" s="13">
        <f>IF(D31="","",D31/5)</f>
        <v/>
      </c>
      <c r="M31" s="13">
        <f>IF(E31="","",E31/7)</f>
        <v/>
      </c>
      <c r="N31" s="13">
        <f>IF(F31="","",F31/6)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3">
        <f>IF(COUNT(C32:F32)&lt;4,"",SUM(C32:F32))</f>
        <v/>
      </c>
      <c r="H32" s="13">
        <f>IF(COUNT(C32:F32)&lt;4,"",G32/22)</f>
        <v/>
      </c>
      <c r="I32" s="13">
        <f>IF(COUNT(C32:F32)&lt;4,"",IF(H32&gt;=0.8,"Green",IF(H32&gt;=0.5,"Yellow","Red")))</f>
        <v/>
      </c>
      <c r="J32" s="13">
        <f>IF(COUNT(C32:F32)&lt;4,"",IF(I32="Green","Well done! "&amp;Parameters!$C$353,"Revise: "&amp;_xlfn.TEXTJOIN(", ",TRUE(),IF(K32&lt;1,Parameters!$A$344,""),IF(L32&lt;1,Parameters!$A$345,""),IF(M32&lt;1,Parameters!$A$346,""),IF(N32&lt;1,Parameters!$A$347,""))))</f>
        <v/>
      </c>
      <c r="K32" s="13">
        <f>IF(C32="","",C32/4)</f>
        <v/>
      </c>
      <c r="L32" s="13">
        <f>IF(D32="","",D32/5)</f>
        <v/>
      </c>
      <c r="M32" s="13">
        <f>IF(E32="","",E32/7)</f>
        <v/>
      </c>
      <c r="N32" s="13">
        <f>IF(F32="","",F32/6)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3">
        <f>IF(COUNT(C33:F33)&lt;4,"",SUM(C33:F33))</f>
        <v/>
      </c>
      <c r="H33" s="13">
        <f>IF(COUNT(C33:F33)&lt;4,"",G33/22)</f>
        <v/>
      </c>
      <c r="I33" s="13">
        <f>IF(COUNT(C33:F33)&lt;4,"",IF(H33&gt;=0.8,"Green",IF(H33&gt;=0.5,"Yellow","Red")))</f>
        <v/>
      </c>
      <c r="J33" s="13">
        <f>IF(COUNT(C33:F33)&lt;4,"",IF(I33="Green","Well done! "&amp;Parameters!$C$353,"Revise: "&amp;_xlfn.TEXTJOIN(", ",TRUE(),IF(K33&lt;1,Parameters!$A$344,""),IF(L33&lt;1,Parameters!$A$345,""),IF(M33&lt;1,Parameters!$A$346,""),IF(N33&lt;1,Parameters!$A$347,""))))</f>
        <v/>
      </c>
      <c r="K33" s="13">
        <f>IF(C33="","",C33/4)</f>
        <v/>
      </c>
      <c r="L33" s="13">
        <f>IF(D33="","",D33/5)</f>
        <v/>
      </c>
      <c r="M33" s="13">
        <f>IF(E33="","",E33/7)</f>
        <v/>
      </c>
      <c r="N33" s="13">
        <f>IF(F33="","",F33/6)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3">
        <f>IF(COUNT(C34:F34)&lt;4,"",SUM(C34:F34))</f>
        <v/>
      </c>
      <c r="H34" s="13">
        <f>IF(COUNT(C34:F34)&lt;4,"",G34/22)</f>
        <v/>
      </c>
      <c r="I34" s="13">
        <f>IF(COUNT(C34:F34)&lt;4,"",IF(H34&gt;=0.8,"Green",IF(H34&gt;=0.5,"Yellow","Red")))</f>
        <v/>
      </c>
      <c r="J34" s="13">
        <f>IF(COUNT(C34:F34)&lt;4,"",IF(I34="Green","Well done! "&amp;Parameters!$C$353,"Revise: "&amp;_xlfn.TEXTJOIN(", ",TRUE(),IF(K34&lt;1,Parameters!$A$344,""),IF(L34&lt;1,Parameters!$A$345,""),IF(M34&lt;1,Parameters!$A$346,""),IF(N34&lt;1,Parameters!$A$347,""))))</f>
        <v/>
      </c>
      <c r="K34" s="13">
        <f>IF(C34="","",C34/4)</f>
        <v/>
      </c>
      <c r="L34" s="13">
        <f>IF(D34="","",D34/5)</f>
        <v/>
      </c>
      <c r="M34" s="13">
        <f>IF(E34="","",E34/7)</f>
        <v/>
      </c>
      <c r="N34" s="13">
        <f>IF(F34="","",F34/6)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3">
        <f>IF(COUNT(C35:F35)&lt;4,"",SUM(C35:F35))</f>
        <v/>
      </c>
      <c r="H35" s="13">
        <f>IF(COUNT(C35:F35)&lt;4,"",G35/22)</f>
        <v/>
      </c>
      <c r="I35" s="13">
        <f>IF(COUNT(C35:F35)&lt;4,"",IF(H35&gt;=0.8,"Green",IF(H35&gt;=0.5,"Yellow","Red")))</f>
        <v/>
      </c>
      <c r="J35" s="13">
        <f>IF(COUNT(C35:F35)&lt;4,"",IF(I35="Green","Well done! "&amp;Parameters!$C$353,"Revise: "&amp;_xlfn.TEXTJOIN(", ",TRUE(),IF(K35&lt;1,Parameters!$A$344,""),IF(L35&lt;1,Parameters!$A$345,""),IF(M35&lt;1,Parameters!$A$346,""),IF(N35&lt;1,Parameters!$A$347,""))))</f>
        <v/>
      </c>
      <c r="K35" s="13">
        <f>IF(C35="","",C35/4)</f>
        <v/>
      </c>
      <c r="L35" s="13">
        <f>IF(D35="","",D35/5)</f>
        <v/>
      </c>
      <c r="M35" s="13">
        <f>IF(E35="","",E35/7)</f>
        <v/>
      </c>
      <c r="N35" s="13">
        <f>IF(F35="","",F35/6)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3">
        <f>IF(COUNT(C36:F36)&lt;4,"",SUM(C36:F36))</f>
        <v/>
      </c>
      <c r="H36" s="13">
        <f>IF(COUNT(C36:F36)&lt;4,"",G36/22)</f>
        <v/>
      </c>
      <c r="I36" s="13">
        <f>IF(COUNT(C36:F36)&lt;4,"",IF(H36&gt;=0.8,"Green",IF(H36&gt;=0.5,"Yellow","Red")))</f>
        <v/>
      </c>
      <c r="J36" s="13">
        <f>IF(COUNT(C36:F36)&lt;4,"",IF(I36="Green","Well done! "&amp;Parameters!$C$353,"Revise: "&amp;_xlfn.TEXTJOIN(", ",TRUE(),IF(K36&lt;1,Parameters!$A$344,""),IF(L36&lt;1,Parameters!$A$345,""),IF(M36&lt;1,Parameters!$A$346,""),IF(N36&lt;1,Parameters!$A$347,""))))</f>
        <v/>
      </c>
      <c r="K36" s="13">
        <f>IF(C36="","",C36/4)</f>
        <v/>
      </c>
      <c r="L36" s="13">
        <f>IF(D36="","",D36/5)</f>
        <v/>
      </c>
      <c r="M36" s="13">
        <f>IF(E36="","",E36/7)</f>
        <v/>
      </c>
      <c r="N36" s="13">
        <f>IF(F36="","",F36/6)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3">
        <f>IF(COUNT(C37:F37)&lt;4,"",SUM(C37:F37))</f>
        <v/>
      </c>
      <c r="H37" s="13">
        <f>IF(COUNT(C37:F37)&lt;4,"",G37/22)</f>
        <v/>
      </c>
      <c r="I37" s="13">
        <f>IF(COUNT(C37:F37)&lt;4,"",IF(H37&gt;=0.8,"Green",IF(H37&gt;=0.5,"Yellow","Red")))</f>
        <v/>
      </c>
      <c r="J37" s="13">
        <f>IF(COUNT(C37:F37)&lt;4,"",IF(I37="Green","Well done! "&amp;Parameters!$C$353,"Revise: "&amp;_xlfn.TEXTJOIN(", ",TRUE(),IF(K37&lt;1,Parameters!$A$344,""),IF(L37&lt;1,Parameters!$A$345,""),IF(M37&lt;1,Parameters!$A$346,""),IF(N37&lt;1,Parameters!$A$347,""))))</f>
        <v/>
      </c>
      <c r="K37" s="13">
        <f>IF(C37="","",C37/4)</f>
        <v/>
      </c>
      <c r="L37" s="13">
        <f>IF(D37="","",D37/5)</f>
        <v/>
      </c>
      <c r="M37" s="13">
        <f>IF(E37="","",E37/7)</f>
        <v/>
      </c>
      <c r="N37" s="13">
        <f>IF(F37="","",F37/6)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3">
        <f>IF(COUNT(C38:F38)&lt;4,"",SUM(C38:F38))</f>
        <v/>
      </c>
      <c r="H38" s="13">
        <f>IF(COUNT(C38:F38)&lt;4,"",G38/22)</f>
        <v/>
      </c>
      <c r="I38" s="13">
        <f>IF(COUNT(C38:F38)&lt;4,"",IF(H38&gt;=0.8,"Green",IF(H38&gt;=0.5,"Yellow","Red")))</f>
        <v/>
      </c>
      <c r="J38" s="13">
        <f>IF(COUNT(C38:F38)&lt;4,"",IF(I38="Green","Well done! "&amp;Parameters!$C$353,"Revise: "&amp;_xlfn.TEXTJOIN(", ",TRUE(),IF(K38&lt;1,Parameters!$A$344,""),IF(L38&lt;1,Parameters!$A$345,""),IF(M38&lt;1,Parameters!$A$346,""),IF(N38&lt;1,Parameters!$A$347,""))))</f>
        <v/>
      </c>
      <c r="K38" s="13">
        <f>IF(C38="","",C38/4)</f>
        <v/>
      </c>
      <c r="L38" s="13">
        <f>IF(D38="","",D38/5)</f>
        <v/>
      </c>
      <c r="M38" s="13">
        <f>IF(E38="","",E38/7)</f>
        <v/>
      </c>
      <c r="N38" s="13">
        <f>IF(F38="","",F38/6)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3">
        <f>IF(COUNT(C39:F39)&lt;4,"",SUM(C39:F39))</f>
        <v/>
      </c>
      <c r="H39" s="13">
        <f>IF(COUNT(C39:F39)&lt;4,"",G39/22)</f>
        <v/>
      </c>
      <c r="I39" s="13">
        <f>IF(COUNT(C39:F39)&lt;4,"",IF(H39&gt;=0.8,"Green",IF(H39&gt;=0.5,"Yellow","Red")))</f>
        <v/>
      </c>
      <c r="J39" s="13">
        <f>IF(COUNT(C39:F39)&lt;4,"",IF(I39="Green","Well done! "&amp;Parameters!$C$353,"Revise: "&amp;_xlfn.TEXTJOIN(", ",TRUE(),IF(K39&lt;1,Parameters!$A$344,""),IF(L39&lt;1,Parameters!$A$345,""),IF(M39&lt;1,Parameters!$A$346,""),IF(N39&lt;1,Parameters!$A$347,""))))</f>
        <v/>
      </c>
      <c r="K39" s="13">
        <f>IF(C39="","",C39/4)</f>
        <v/>
      </c>
      <c r="L39" s="13">
        <f>IF(D39="","",D39/5)</f>
        <v/>
      </c>
      <c r="M39" s="13">
        <f>IF(E39="","",E39/7)</f>
        <v/>
      </c>
      <c r="N39" s="13">
        <f>IF(F39="","",F39/6)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3">
        <f>IF(COUNT(C40:F40)&lt;4,"",SUM(C40:F40))</f>
        <v/>
      </c>
      <c r="H40" s="13">
        <f>IF(COUNT(C40:F40)&lt;4,"",G40/22)</f>
        <v/>
      </c>
      <c r="I40" s="13">
        <f>IF(COUNT(C40:F40)&lt;4,"",IF(H40&gt;=0.8,"Green",IF(H40&gt;=0.5,"Yellow","Red")))</f>
        <v/>
      </c>
      <c r="J40" s="13">
        <f>IF(COUNT(C40:F40)&lt;4,"",IF(I40="Green","Well done! "&amp;Parameters!$C$353,"Revise: "&amp;_xlfn.TEXTJOIN(", ",TRUE(),IF(K40&lt;1,Parameters!$A$344,""),IF(L40&lt;1,Parameters!$A$345,""),IF(M40&lt;1,Parameters!$A$346,""),IF(N40&lt;1,Parameters!$A$347,""))))</f>
        <v/>
      </c>
      <c r="K40" s="13">
        <f>IF(C40="","",C40/4)</f>
        <v/>
      </c>
      <c r="L40" s="13">
        <f>IF(D40="","",D40/5)</f>
        <v/>
      </c>
      <c r="M40" s="13">
        <f>IF(E40="","",E40/7)</f>
        <v/>
      </c>
      <c r="N40" s="13">
        <f>IF(F40="","",F40/6)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3">
        <f>IF(COUNT(C41:F41)&lt;4,"",SUM(C41:F41))</f>
        <v/>
      </c>
      <c r="H41" s="13">
        <f>IF(COUNT(C41:F41)&lt;4,"",G41/22)</f>
        <v/>
      </c>
      <c r="I41" s="13">
        <f>IF(COUNT(C41:F41)&lt;4,"",IF(H41&gt;=0.8,"Green",IF(H41&gt;=0.5,"Yellow","Red")))</f>
        <v/>
      </c>
      <c r="J41" s="13">
        <f>IF(COUNT(C41:F41)&lt;4,"",IF(I41="Green","Well done! "&amp;Parameters!$C$353,"Revise: "&amp;_xlfn.TEXTJOIN(", ",TRUE(),IF(K41&lt;1,Parameters!$A$344,""),IF(L41&lt;1,Parameters!$A$345,""),IF(M41&lt;1,Parameters!$A$346,""),IF(N41&lt;1,Parameters!$A$347,""))))</f>
        <v/>
      </c>
      <c r="K41" s="13">
        <f>IF(C41="","",C41/4)</f>
        <v/>
      </c>
      <c r="L41" s="13">
        <f>IF(D41="","",D41/5)</f>
        <v/>
      </c>
      <c r="M41" s="13">
        <f>IF(E41="","",E41/7)</f>
        <v/>
      </c>
      <c r="N41" s="13">
        <f>IF(F41="","",F41/6)</f>
        <v/>
      </c>
    </row>
  </sheetData>
  <conditionalFormatting sqref="C11">
    <cfRule type="expression" priority="1" dxfId="0">
      <formula>AND(COUNT(C11:F11)=4,C11=4)</formula>
    </cfRule>
    <cfRule type="expression" priority="2" dxfId="1">
      <formula>AND(COUNT(C11:F11)=4,C11&lt;4*0.4)</formula>
    </cfRule>
    <cfRule type="expression" priority="3" dxfId="2">
      <formula>AND(COUNT(C11:F11)=4,C11&gt;=4*0.4,C11&lt;4)</formula>
    </cfRule>
  </conditionalFormatting>
  <conditionalFormatting sqref="C12">
    <cfRule type="expression" priority="4" dxfId="0">
      <formula>AND(COUNT(C12:F12)=4,C12=4)</formula>
    </cfRule>
    <cfRule type="expression" priority="5" dxfId="1">
      <formula>AND(COUNT(C12:F12)=4,C12&lt;4*0.4)</formula>
    </cfRule>
    <cfRule type="expression" priority="6" dxfId="2">
      <formula>AND(COUNT(C12:F12)=4,C12&gt;=4*0.4,C12&lt;4)</formula>
    </cfRule>
  </conditionalFormatting>
  <conditionalFormatting sqref="C13">
    <cfRule type="expression" priority="7" dxfId="0">
      <formula>AND(COUNT(C13:F13)=4,C13=4)</formula>
    </cfRule>
    <cfRule type="expression" priority="8" dxfId="1">
      <formula>AND(COUNT(C13:F13)=4,C13&lt;4*0.4)</formula>
    </cfRule>
    <cfRule type="expression" priority="9" dxfId="2">
      <formula>AND(COUNT(C13:F13)=4,C13&gt;=4*0.4,C13&lt;4)</formula>
    </cfRule>
  </conditionalFormatting>
  <conditionalFormatting sqref="C14">
    <cfRule type="expression" priority="10" dxfId="0">
      <formula>AND(COUNT(C14:F14)=4,C14=4)</formula>
    </cfRule>
    <cfRule type="expression" priority="11" dxfId="1">
      <formula>AND(COUNT(C14:F14)=4,C14&lt;4*0.4)</formula>
    </cfRule>
    <cfRule type="expression" priority="12" dxfId="2">
      <formula>AND(COUNT(C14:F14)=4,C14&gt;=4*0.4,C14&lt;4)</formula>
    </cfRule>
  </conditionalFormatting>
  <conditionalFormatting sqref="C15">
    <cfRule type="expression" priority="13" dxfId="0">
      <formula>AND(COUNT(C15:F15)=4,C15=4)</formula>
    </cfRule>
    <cfRule type="expression" priority="14" dxfId="1">
      <formula>AND(COUNT(C15:F15)=4,C15&lt;4*0.4)</formula>
    </cfRule>
    <cfRule type="expression" priority="15" dxfId="2">
      <formula>AND(COUNT(C15:F15)=4,C15&gt;=4*0.4,C15&lt;4)</formula>
    </cfRule>
  </conditionalFormatting>
  <conditionalFormatting sqref="C16">
    <cfRule type="expression" priority="16" dxfId="0">
      <formula>AND(COUNT(C16:F16)=4,C16=4)</formula>
    </cfRule>
    <cfRule type="expression" priority="17" dxfId="1">
      <formula>AND(COUNT(C16:F16)=4,C16&lt;4*0.4)</formula>
    </cfRule>
    <cfRule type="expression" priority="18" dxfId="2">
      <formula>AND(COUNT(C16:F16)=4,C16&gt;=4*0.4,C16&lt;4)</formula>
    </cfRule>
  </conditionalFormatting>
  <conditionalFormatting sqref="C17">
    <cfRule type="expression" priority="19" dxfId="0">
      <formula>AND(COUNT(C17:F17)=4,C17=4)</formula>
    </cfRule>
    <cfRule type="expression" priority="20" dxfId="1">
      <formula>AND(COUNT(C17:F17)=4,C17&lt;4*0.4)</formula>
    </cfRule>
    <cfRule type="expression" priority="21" dxfId="2">
      <formula>AND(COUNT(C17:F17)=4,C17&gt;=4*0.4,C17&lt;4)</formula>
    </cfRule>
  </conditionalFormatting>
  <conditionalFormatting sqref="C18">
    <cfRule type="expression" priority="22" dxfId="0">
      <formula>AND(COUNT(C18:F18)=4,C18=4)</formula>
    </cfRule>
    <cfRule type="expression" priority="23" dxfId="1">
      <formula>AND(COUNT(C18:F18)=4,C18&lt;4*0.4)</formula>
    </cfRule>
    <cfRule type="expression" priority="24" dxfId="2">
      <formula>AND(COUNT(C18:F18)=4,C18&gt;=4*0.4,C18&lt;4)</formula>
    </cfRule>
  </conditionalFormatting>
  <conditionalFormatting sqref="C19">
    <cfRule type="expression" priority="25" dxfId="0">
      <formula>AND(COUNT(C19:F19)=4,C19=4)</formula>
    </cfRule>
    <cfRule type="expression" priority="26" dxfId="1">
      <formula>AND(COUNT(C19:F19)=4,C19&lt;4*0.4)</formula>
    </cfRule>
    <cfRule type="expression" priority="27" dxfId="2">
      <formula>AND(COUNT(C19:F19)=4,C19&gt;=4*0.4,C19&lt;4)</formula>
    </cfRule>
  </conditionalFormatting>
  <conditionalFormatting sqref="C20">
    <cfRule type="expression" priority="28" dxfId="0">
      <formula>AND(COUNT(C20:F20)=4,C20=4)</formula>
    </cfRule>
    <cfRule type="expression" priority="29" dxfId="1">
      <formula>AND(COUNT(C20:F20)=4,C20&lt;4*0.4)</formula>
    </cfRule>
    <cfRule type="expression" priority="30" dxfId="2">
      <formula>AND(COUNT(C20:F20)=4,C20&gt;=4*0.4,C20&lt;4)</formula>
    </cfRule>
  </conditionalFormatting>
  <conditionalFormatting sqref="C21">
    <cfRule type="expression" priority="31" dxfId="0">
      <formula>AND(COUNT(C21:F21)=4,C21=4)</formula>
    </cfRule>
    <cfRule type="expression" priority="32" dxfId="1">
      <formula>AND(COUNT(C21:F21)=4,C21&lt;4*0.4)</formula>
    </cfRule>
    <cfRule type="expression" priority="33" dxfId="2">
      <formula>AND(COUNT(C21:F21)=4,C21&gt;=4*0.4,C21&lt;4)</formula>
    </cfRule>
  </conditionalFormatting>
  <conditionalFormatting sqref="C22">
    <cfRule type="expression" priority="34" dxfId="0">
      <formula>AND(COUNT(C22:F22)=4,C22=4)</formula>
    </cfRule>
    <cfRule type="expression" priority="35" dxfId="1">
      <formula>AND(COUNT(C22:F22)=4,C22&lt;4*0.4)</formula>
    </cfRule>
    <cfRule type="expression" priority="36" dxfId="2">
      <formula>AND(COUNT(C22:F22)=4,C22&gt;=4*0.4,C22&lt;4)</formula>
    </cfRule>
  </conditionalFormatting>
  <conditionalFormatting sqref="C23">
    <cfRule type="expression" priority="37" dxfId="0">
      <formula>AND(COUNT(C23:F23)=4,C23=4)</formula>
    </cfRule>
    <cfRule type="expression" priority="38" dxfId="1">
      <formula>AND(COUNT(C23:F23)=4,C23&lt;4*0.4)</formula>
    </cfRule>
    <cfRule type="expression" priority="39" dxfId="2">
      <formula>AND(COUNT(C23:F23)=4,C23&gt;=4*0.4,C23&lt;4)</formula>
    </cfRule>
  </conditionalFormatting>
  <conditionalFormatting sqref="C24">
    <cfRule type="expression" priority="40" dxfId="0">
      <formula>AND(COUNT(C24:F24)=4,C24=4)</formula>
    </cfRule>
    <cfRule type="expression" priority="41" dxfId="1">
      <formula>AND(COUNT(C24:F24)=4,C24&lt;4*0.4)</formula>
    </cfRule>
    <cfRule type="expression" priority="42" dxfId="2">
      <formula>AND(COUNT(C24:F24)=4,C24&gt;=4*0.4,C24&lt;4)</formula>
    </cfRule>
  </conditionalFormatting>
  <conditionalFormatting sqref="C25">
    <cfRule type="expression" priority="43" dxfId="0">
      <formula>AND(COUNT(C25:F25)=4,C25=4)</formula>
    </cfRule>
    <cfRule type="expression" priority="44" dxfId="1">
      <formula>AND(COUNT(C25:F25)=4,C25&lt;4*0.4)</formula>
    </cfRule>
    <cfRule type="expression" priority="45" dxfId="2">
      <formula>AND(COUNT(C25:F25)=4,C25&gt;=4*0.4,C25&lt;4)</formula>
    </cfRule>
  </conditionalFormatting>
  <conditionalFormatting sqref="C26">
    <cfRule type="expression" priority="46" dxfId="0">
      <formula>AND(COUNT(C26:F26)=4,C26=4)</formula>
    </cfRule>
    <cfRule type="expression" priority="47" dxfId="1">
      <formula>AND(COUNT(C26:F26)=4,C26&lt;4*0.4)</formula>
    </cfRule>
    <cfRule type="expression" priority="48" dxfId="2">
      <formula>AND(COUNT(C26:F26)=4,C26&gt;=4*0.4,C26&lt;4)</formula>
    </cfRule>
  </conditionalFormatting>
  <conditionalFormatting sqref="C27">
    <cfRule type="expression" priority="49" dxfId="0">
      <formula>AND(COUNT(C27:F27)=4,C27=4)</formula>
    </cfRule>
    <cfRule type="expression" priority="50" dxfId="1">
      <formula>AND(COUNT(C27:F27)=4,C27&lt;4*0.4)</formula>
    </cfRule>
    <cfRule type="expression" priority="51" dxfId="2">
      <formula>AND(COUNT(C27:F27)=4,C27&gt;=4*0.4,C27&lt;4)</formula>
    </cfRule>
  </conditionalFormatting>
  <conditionalFormatting sqref="C28">
    <cfRule type="expression" priority="52" dxfId="0">
      <formula>AND(COUNT(C28:F28)=4,C28=4)</formula>
    </cfRule>
    <cfRule type="expression" priority="53" dxfId="1">
      <formula>AND(COUNT(C28:F28)=4,C28&lt;4*0.4)</formula>
    </cfRule>
    <cfRule type="expression" priority="54" dxfId="2">
      <formula>AND(COUNT(C28:F28)=4,C28&gt;=4*0.4,C28&lt;4)</formula>
    </cfRule>
  </conditionalFormatting>
  <conditionalFormatting sqref="C29">
    <cfRule type="expression" priority="55" dxfId="0">
      <formula>AND(COUNT(C29:F29)=4,C29=4)</formula>
    </cfRule>
    <cfRule type="expression" priority="56" dxfId="1">
      <formula>AND(COUNT(C29:F29)=4,C29&lt;4*0.4)</formula>
    </cfRule>
    <cfRule type="expression" priority="57" dxfId="2">
      <formula>AND(COUNT(C29:F29)=4,C29&gt;=4*0.4,C29&lt;4)</formula>
    </cfRule>
  </conditionalFormatting>
  <conditionalFormatting sqref="C30">
    <cfRule type="expression" priority="58" dxfId="0">
      <formula>AND(COUNT(C30:F30)=4,C30=4)</formula>
    </cfRule>
    <cfRule type="expression" priority="59" dxfId="1">
      <formula>AND(COUNT(C30:F30)=4,C30&lt;4*0.4)</formula>
    </cfRule>
    <cfRule type="expression" priority="60" dxfId="2">
      <formula>AND(COUNT(C30:F30)=4,C30&gt;=4*0.4,C30&lt;4)</formula>
    </cfRule>
  </conditionalFormatting>
  <conditionalFormatting sqref="C31">
    <cfRule type="expression" priority="61" dxfId="0">
      <formula>AND(COUNT(C31:F31)=4,C31=4)</formula>
    </cfRule>
    <cfRule type="expression" priority="62" dxfId="1">
      <formula>AND(COUNT(C31:F31)=4,C31&lt;4*0.4)</formula>
    </cfRule>
    <cfRule type="expression" priority="63" dxfId="2">
      <formula>AND(COUNT(C31:F31)=4,C31&gt;=4*0.4,C31&lt;4)</formula>
    </cfRule>
  </conditionalFormatting>
  <conditionalFormatting sqref="C32">
    <cfRule type="expression" priority="64" dxfId="0">
      <formula>AND(COUNT(C32:F32)=4,C32=4)</formula>
    </cfRule>
    <cfRule type="expression" priority="65" dxfId="1">
      <formula>AND(COUNT(C32:F32)=4,C32&lt;4*0.4)</formula>
    </cfRule>
    <cfRule type="expression" priority="66" dxfId="2">
      <formula>AND(COUNT(C32:F32)=4,C32&gt;=4*0.4,C32&lt;4)</formula>
    </cfRule>
  </conditionalFormatting>
  <conditionalFormatting sqref="C33">
    <cfRule type="expression" priority="67" dxfId="0">
      <formula>AND(COUNT(C33:F33)=4,C33=4)</formula>
    </cfRule>
    <cfRule type="expression" priority="68" dxfId="1">
      <formula>AND(COUNT(C33:F33)=4,C33&lt;4*0.4)</formula>
    </cfRule>
    <cfRule type="expression" priority="69" dxfId="2">
      <formula>AND(COUNT(C33:F33)=4,C33&gt;=4*0.4,C33&lt;4)</formula>
    </cfRule>
  </conditionalFormatting>
  <conditionalFormatting sqref="C34">
    <cfRule type="expression" priority="70" dxfId="0">
      <formula>AND(COUNT(C34:F34)=4,C34=4)</formula>
    </cfRule>
    <cfRule type="expression" priority="71" dxfId="1">
      <formula>AND(COUNT(C34:F34)=4,C34&lt;4*0.4)</formula>
    </cfRule>
    <cfRule type="expression" priority="72" dxfId="2">
      <formula>AND(COUNT(C34:F34)=4,C34&gt;=4*0.4,C34&lt;4)</formula>
    </cfRule>
  </conditionalFormatting>
  <conditionalFormatting sqref="C35">
    <cfRule type="expression" priority="73" dxfId="0">
      <formula>AND(COUNT(C35:F35)=4,C35=4)</formula>
    </cfRule>
    <cfRule type="expression" priority="74" dxfId="1">
      <formula>AND(COUNT(C35:F35)=4,C35&lt;4*0.4)</formula>
    </cfRule>
    <cfRule type="expression" priority="75" dxfId="2">
      <formula>AND(COUNT(C35:F35)=4,C35&gt;=4*0.4,C35&lt;4)</formula>
    </cfRule>
  </conditionalFormatting>
  <conditionalFormatting sqref="C36">
    <cfRule type="expression" priority="76" dxfId="0">
      <formula>AND(COUNT(C36:F36)=4,C36=4)</formula>
    </cfRule>
    <cfRule type="expression" priority="77" dxfId="1">
      <formula>AND(COUNT(C36:F36)=4,C36&lt;4*0.4)</formula>
    </cfRule>
    <cfRule type="expression" priority="78" dxfId="2">
      <formula>AND(COUNT(C36:F36)=4,C36&gt;=4*0.4,C36&lt;4)</formula>
    </cfRule>
  </conditionalFormatting>
  <conditionalFormatting sqref="C37">
    <cfRule type="expression" priority="79" dxfId="0">
      <formula>AND(COUNT(C37:F37)=4,C37=4)</formula>
    </cfRule>
    <cfRule type="expression" priority="80" dxfId="1">
      <formula>AND(COUNT(C37:F37)=4,C37&lt;4*0.4)</formula>
    </cfRule>
    <cfRule type="expression" priority="81" dxfId="2">
      <formula>AND(COUNT(C37:F37)=4,C37&gt;=4*0.4,C37&lt;4)</formula>
    </cfRule>
  </conditionalFormatting>
  <conditionalFormatting sqref="C38">
    <cfRule type="expression" priority="82" dxfId="0">
      <formula>AND(COUNT(C38:F38)=4,C38=4)</formula>
    </cfRule>
    <cfRule type="expression" priority="83" dxfId="1">
      <formula>AND(COUNT(C38:F38)=4,C38&lt;4*0.4)</formula>
    </cfRule>
    <cfRule type="expression" priority="84" dxfId="2">
      <formula>AND(COUNT(C38:F38)=4,C38&gt;=4*0.4,C38&lt;4)</formula>
    </cfRule>
  </conditionalFormatting>
  <conditionalFormatting sqref="C39">
    <cfRule type="expression" priority="85" dxfId="0">
      <formula>AND(COUNT(C39:F39)=4,C39=4)</formula>
    </cfRule>
    <cfRule type="expression" priority="86" dxfId="1">
      <formula>AND(COUNT(C39:F39)=4,C39&lt;4*0.4)</formula>
    </cfRule>
    <cfRule type="expression" priority="87" dxfId="2">
      <formula>AND(COUNT(C39:F39)=4,C39&gt;=4*0.4,C39&lt;4)</formula>
    </cfRule>
  </conditionalFormatting>
  <conditionalFormatting sqref="C40">
    <cfRule type="expression" priority="88" dxfId="0">
      <formula>AND(COUNT(C40:F40)=4,C40=4)</formula>
    </cfRule>
    <cfRule type="expression" priority="89" dxfId="1">
      <formula>AND(COUNT(C40:F40)=4,C40&lt;4*0.4)</formula>
    </cfRule>
    <cfRule type="expression" priority="90" dxfId="2">
      <formula>AND(COUNT(C40:F40)=4,C40&gt;=4*0.4,C40&lt;4)</formula>
    </cfRule>
  </conditionalFormatting>
  <conditionalFormatting sqref="C41">
    <cfRule type="expression" priority="91" dxfId="0">
      <formula>AND(COUNT(C41:F41)=4,C41=4)</formula>
    </cfRule>
    <cfRule type="expression" priority="92" dxfId="1">
      <formula>AND(COUNT(C41:F41)=4,C41&lt;4*0.4)</formula>
    </cfRule>
    <cfRule type="expression" priority="93" dxfId="2">
      <formula>AND(COUNT(C41:F41)=4,C41&gt;=4*0.4,C41&lt;4)</formula>
    </cfRule>
  </conditionalFormatting>
  <conditionalFormatting sqref="D11">
    <cfRule type="expression" priority="94" dxfId="0">
      <formula>AND(COUNT(C11:F11)=4,D11=5)</formula>
    </cfRule>
    <cfRule type="expression" priority="95" dxfId="1">
      <formula>AND(COUNT(C11:F11)=4,D11&lt;5*0.4)</formula>
    </cfRule>
    <cfRule type="expression" priority="96" dxfId="2">
      <formula>AND(COUNT(C11:F11)=4,D11&gt;=5*0.4,D11&lt;5)</formula>
    </cfRule>
  </conditionalFormatting>
  <conditionalFormatting sqref="D12">
    <cfRule type="expression" priority="97" dxfId="0">
      <formula>AND(COUNT(C12:F12)=4,D12=5)</formula>
    </cfRule>
    <cfRule type="expression" priority="98" dxfId="1">
      <formula>AND(COUNT(C12:F12)=4,D12&lt;5*0.4)</formula>
    </cfRule>
    <cfRule type="expression" priority="99" dxfId="2">
      <formula>AND(COUNT(C12:F12)=4,D12&gt;=5*0.4,D12&lt;5)</formula>
    </cfRule>
  </conditionalFormatting>
  <conditionalFormatting sqref="D13">
    <cfRule type="expression" priority="100" dxfId="0">
      <formula>AND(COUNT(C13:F13)=4,D13=5)</formula>
    </cfRule>
    <cfRule type="expression" priority="101" dxfId="1">
      <formula>AND(COUNT(C13:F13)=4,D13&lt;5*0.4)</formula>
    </cfRule>
    <cfRule type="expression" priority="102" dxfId="2">
      <formula>AND(COUNT(C13:F13)=4,D13&gt;=5*0.4,D13&lt;5)</formula>
    </cfRule>
  </conditionalFormatting>
  <conditionalFormatting sqref="D14">
    <cfRule type="expression" priority="103" dxfId="0">
      <formula>AND(COUNT(C14:F14)=4,D14=5)</formula>
    </cfRule>
    <cfRule type="expression" priority="104" dxfId="1">
      <formula>AND(COUNT(C14:F14)=4,D14&lt;5*0.4)</formula>
    </cfRule>
    <cfRule type="expression" priority="105" dxfId="2">
      <formula>AND(COUNT(C14:F14)=4,D14&gt;=5*0.4,D14&lt;5)</formula>
    </cfRule>
  </conditionalFormatting>
  <conditionalFormatting sqref="D15">
    <cfRule type="expression" priority="106" dxfId="0">
      <formula>AND(COUNT(C15:F15)=4,D15=5)</formula>
    </cfRule>
    <cfRule type="expression" priority="107" dxfId="1">
      <formula>AND(COUNT(C15:F15)=4,D15&lt;5*0.4)</formula>
    </cfRule>
    <cfRule type="expression" priority="108" dxfId="2">
      <formula>AND(COUNT(C15:F15)=4,D15&gt;=5*0.4,D15&lt;5)</formula>
    </cfRule>
  </conditionalFormatting>
  <conditionalFormatting sqref="D16">
    <cfRule type="expression" priority="109" dxfId="0">
      <formula>AND(COUNT(C16:F16)=4,D16=5)</formula>
    </cfRule>
    <cfRule type="expression" priority="110" dxfId="1">
      <formula>AND(COUNT(C16:F16)=4,D16&lt;5*0.4)</formula>
    </cfRule>
    <cfRule type="expression" priority="111" dxfId="2">
      <formula>AND(COUNT(C16:F16)=4,D16&gt;=5*0.4,D16&lt;5)</formula>
    </cfRule>
  </conditionalFormatting>
  <conditionalFormatting sqref="D17">
    <cfRule type="expression" priority="112" dxfId="0">
      <formula>AND(COUNT(C17:F17)=4,D17=5)</formula>
    </cfRule>
    <cfRule type="expression" priority="113" dxfId="1">
      <formula>AND(COUNT(C17:F17)=4,D17&lt;5*0.4)</formula>
    </cfRule>
    <cfRule type="expression" priority="114" dxfId="2">
      <formula>AND(COUNT(C17:F17)=4,D17&gt;=5*0.4,D17&lt;5)</formula>
    </cfRule>
  </conditionalFormatting>
  <conditionalFormatting sqref="D18">
    <cfRule type="expression" priority="115" dxfId="0">
      <formula>AND(COUNT(C18:F18)=4,D18=5)</formula>
    </cfRule>
    <cfRule type="expression" priority="116" dxfId="1">
      <formula>AND(COUNT(C18:F18)=4,D18&lt;5*0.4)</formula>
    </cfRule>
    <cfRule type="expression" priority="117" dxfId="2">
      <formula>AND(COUNT(C18:F18)=4,D18&gt;=5*0.4,D18&lt;5)</formula>
    </cfRule>
  </conditionalFormatting>
  <conditionalFormatting sqref="D19">
    <cfRule type="expression" priority="118" dxfId="0">
      <formula>AND(COUNT(C19:F19)=4,D19=5)</formula>
    </cfRule>
    <cfRule type="expression" priority="119" dxfId="1">
      <formula>AND(COUNT(C19:F19)=4,D19&lt;5*0.4)</formula>
    </cfRule>
    <cfRule type="expression" priority="120" dxfId="2">
      <formula>AND(COUNT(C19:F19)=4,D19&gt;=5*0.4,D19&lt;5)</formula>
    </cfRule>
  </conditionalFormatting>
  <conditionalFormatting sqref="D20">
    <cfRule type="expression" priority="121" dxfId="0">
      <formula>AND(COUNT(C20:F20)=4,D20=5)</formula>
    </cfRule>
    <cfRule type="expression" priority="122" dxfId="1">
      <formula>AND(COUNT(C20:F20)=4,D20&lt;5*0.4)</formula>
    </cfRule>
    <cfRule type="expression" priority="123" dxfId="2">
      <formula>AND(COUNT(C20:F20)=4,D20&gt;=5*0.4,D20&lt;5)</formula>
    </cfRule>
  </conditionalFormatting>
  <conditionalFormatting sqref="D21">
    <cfRule type="expression" priority="124" dxfId="0">
      <formula>AND(COUNT(C21:F21)=4,D21=5)</formula>
    </cfRule>
    <cfRule type="expression" priority="125" dxfId="1">
      <formula>AND(COUNT(C21:F21)=4,D21&lt;5*0.4)</formula>
    </cfRule>
    <cfRule type="expression" priority="126" dxfId="2">
      <formula>AND(COUNT(C21:F21)=4,D21&gt;=5*0.4,D21&lt;5)</formula>
    </cfRule>
  </conditionalFormatting>
  <conditionalFormatting sqref="D22">
    <cfRule type="expression" priority="127" dxfId="0">
      <formula>AND(COUNT(C22:F22)=4,D22=5)</formula>
    </cfRule>
    <cfRule type="expression" priority="128" dxfId="1">
      <formula>AND(COUNT(C22:F22)=4,D22&lt;5*0.4)</formula>
    </cfRule>
    <cfRule type="expression" priority="129" dxfId="2">
      <formula>AND(COUNT(C22:F22)=4,D22&gt;=5*0.4,D22&lt;5)</formula>
    </cfRule>
  </conditionalFormatting>
  <conditionalFormatting sqref="D23">
    <cfRule type="expression" priority="130" dxfId="0">
      <formula>AND(COUNT(C23:F23)=4,D23=5)</formula>
    </cfRule>
    <cfRule type="expression" priority="131" dxfId="1">
      <formula>AND(COUNT(C23:F23)=4,D23&lt;5*0.4)</formula>
    </cfRule>
    <cfRule type="expression" priority="132" dxfId="2">
      <formula>AND(COUNT(C23:F23)=4,D23&gt;=5*0.4,D23&lt;5)</formula>
    </cfRule>
  </conditionalFormatting>
  <conditionalFormatting sqref="D24">
    <cfRule type="expression" priority="133" dxfId="0">
      <formula>AND(COUNT(C24:F24)=4,D24=5)</formula>
    </cfRule>
    <cfRule type="expression" priority="134" dxfId="1">
      <formula>AND(COUNT(C24:F24)=4,D24&lt;5*0.4)</formula>
    </cfRule>
    <cfRule type="expression" priority="135" dxfId="2">
      <formula>AND(COUNT(C24:F24)=4,D24&gt;=5*0.4,D24&lt;5)</formula>
    </cfRule>
  </conditionalFormatting>
  <conditionalFormatting sqref="D25">
    <cfRule type="expression" priority="136" dxfId="0">
      <formula>AND(COUNT(C25:F25)=4,D25=5)</formula>
    </cfRule>
    <cfRule type="expression" priority="137" dxfId="1">
      <formula>AND(COUNT(C25:F25)=4,D25&lt;5*0.4)</formula>
    </cfRule>
    <cfRule type="expression" priority="138" dxfId="2">
      <formula>AND(COUNT(C25:F25)=4,D25&gt;=5*0.4,D25&lt;5)</formula>
    </cfRule>
  </conditionalFormatting>
  <conditionalFormatting sqref="D26">
    <cfRule type="expression" priority="139" dxfId="0">
      <formula>AND(COUNT(C26:F26)=4,D26=5)</formula>
    </cfRule>
    <cfRule type="expression" priority="140" dxfId="1">
      <formula>AND(COUNT(C26:F26)=4,D26&lt;5*0.4)</formula>
    </cfRule>
    <cfRule type="expression" priority="141" dxfId="2">
      <formula>AND(COUNT(C26:F26)=4,D26&gt;=5*0.4,D26&lt;5)</formula>
    </cfRule>
  </conditionalFormatting>
  <conditionalFormatting sqref="D27">
    <cfRule type="expression" priority="142" dxfId="0">
      <formula>AND(COUNT(C27:F27)=4,D27=5)</formula>
    </cfRule>
    <cfRule type="expression" priority="143" dxfId="1">
      <formula>AND(COUNT(C27:F27)=4,D27&lt;5*0.4)</formula>
    </cfRule>
    <cfRule type="expression" priority="144" dxfId="2">
      <formula>AND(COUNT(C27:F27)=4,D27&gt;=5*0.4,D27&lt;5)</formula>
    </cfRule>
  </conditionalFormatting>
  <conditionalFormatting sqref="D28">
    <cfRule type="expression" priority="145" dxfId="0">
      <formula>AND(COUNT(C28:F28)=4,D28=5)</formula>
    </cfRule>
    <cfRule type="expression" priority="146" dxfId="1">
      <formula>AND(COUNT(C28:F28)=4,D28&lt;5*0.4)</formula>
    </cfRule>
    <cfRule type="expression" priority="147" dxfId="2">
      <formula>AND(COUNT(C28:F28)=4,D28&gt;=5*0.4,D28&lt;5)</formula>
    </cfRule>
  </conditionalFormatting>
  <conditionalFormatting sqref="D29">
    <cfRule type="expression" priority="148" dxfId="0">
      <formula>AND(COUNT(C29:F29)=4,D29=5)</formula>
    </cfRule>
    <cfRule type="expression" priority="149" dxfId="1">
      <formula>AND(COUNT(C29:F29)=4,D29&lt;5*0.4)</formula>
    </cfRule>
    <cfRule type="expression" priority="150" dxfId="2">
      <formula>AND(COUNT(C29:F29)=4,D29&gt;=5*0.4,D29&lt;5)</formula>
    </cfRule>
  </conditionalFormatting>
  <conditionalFormatting sqref="D30">
    <cfRule type="expression" priority="151" dxfId="0">
      <formula>AND(COUNT(C30:F30)=4,D30=5)</formula>
    </cfRule>
    <cfRule type="expression" priority="152" dxfId="1">
      <formula>AND(COUNT(C30:F30)=4,D30&lt;5*0.4)</formula>
    </cfRule>
    <cfRule type="expression" priority="153" dxfId="2">
      <formula>AND(COUNT(C30:F30)=4,D30&gt;=5*0.4,D30&lt;5)</formula>
    </cfRule>
  </conditionalFormatting>
  <conditionalFormatting sqref="D31">
    <cfRule type="expression" priority="154" dxfId="0">
      <formula>AND(COUNT(C31:F31)=4,D31=5)</formula>
    </cfRule>
    <cfRule type="expression" priority="155" dxfId="1">
      <formula>AND(COUNT(C31:F31)=4,D31&lt;5*0.4)</formula>
    </cfRule>
    <cfRule type="expression" priority="156" dxfId="2">
      <formula>AND(COUNT(C31:F31)=4,D31&gt;=5*0.4,D31&lt;5)</formula>
    </cfRule>
  </conditionalFormatting>
  <conditionalFormatting sqref="D32">
    <cfRule type="expression" priority="157" dxfId="0">
      <formula>AND(COUNT(C32:F32)=4,D32=5)</formula>
    </cfRule>
    <cfRule type="expression" priority="158" dxfId="1">
      <formula>AND(COUNT(C32:F32)=4,D32&lt;5*0.4)</formula>
    </cfRule>
    <cfRule type="expression" priority="159" dxfId="2">
      <formula>AND(COUNT(C32:F32)=4,D32&gt;=5*0.4,D32&lt;5)</formula>
    </cfRule>
  </conditionalFormatting>
  <conditionalFormatting sqref="D33">
    <cfRule type="expression" priority="160" dxfId="0">
      <formula>AND(COUNT(C33:F33)=4,D33=5)</formula>
    </cfRule>
    <cfRule type="expression" priority="161" dxfId="1">
      <formula>AND(COUNT(C33:F33)=4,D33&lt;5*0.4)</formula>
    </cfRule>
    <cfRule type="expression" priority="162" dxfId="2">
      <formula>AND(COUNT(C33:F33)=4,D33&gt;=5*0.4,D33&lt;5)</formula>
    </cfRule>
  </conditionalFormatting>
  <conditionalFormatting sqref="D34">
    <cfRule type="expression" priority="163" dxfId="0">
      <formula>AND(COUNT(C34:F34)=4,D34=5)</formula>
    </cfRule>
    <cfRule type="expression" priority="164" dxfId="1">
      <formula>AND(COUNT(C34:F34)=4,D34&lt;5*0.4)</formula>
    </cfRule>
    <cfRule type="expression" priority="165" dxfId="2">
      <formula>AND(COUNT(C34:F34)=4,D34&gt;=5*0.4,D34&lt;5)</formula>
    </cfRule>
  </conditionalFormatting>
  <conditionalFormatting sqref="D35">
    <cfRule type="expression" priority="166" dxfId="0">
      <formula>AND(COUNT(C35:F35)=4,D35=5)</formula>
    </cfRule>
    <cfRule type="expression" priority="167" dxfId="1">
      <formula>AND(COUNT(C35:F35)=4,D35&lt;5*0.4)</formula>
    </cfRule>
    <cfRule type="expression" priority="168" dxfId="2">
      <formula>AND(COUNT(C35:F35)=4,D35&gt;=5*0.4,D35&lt;5)</formula>
    </cfRule>
  </conditionalFormatting>
  <conditionalFormatting sqref="D36">
    <cfRule type="expression" priority="169" dxfId="0">
      <formula>AND(COUNT(C36:F36)=4,D36=5)</formula>
    </cfRule>
    <cfRule type="expression" priority="170" dxfId="1">
      <formula>AND(COUNT(C36:F36)=4,D36&lt;5*0.4)</formula>
    </cfRule>
    <cfRule type="expression" priority="171" dxfId="2">
      <formula>AND(COUNT(C36:F36)=4,D36&gt;=5*0.4,D36&lt;5)</formula>
    </cfRule>
  </conditionalFormatting>
  <conditionalFormatting sqref="D37">
    <cfRule type="expression" priority="172" dxfId="0">
      <formula>AND(COUNT(C37:F37)=4,D37=5)</formula>
    </cfRule>
    <cfRule type="expression" priority="173" dxfId="1">
      <formula>AND(COUNT(C37:F37)=4,D37&lt;5*0.4)</formula>
    </cfRule>
    <cfRule type="expression" priority="174" dxfId="2">
      <formula>AND(COUNT(C37:F37)=4,D37&gt;=5*0.4,D37&lt;5)</formula>
    </cfRule>
  </conditionalFormatting>
  <conditionalFormatting sqref="D38">
    <cfRule type="expression" priority="175" dxfId="0">
      <formula>AND(COUNT(C38:F38)=4,D38=5)</formula>
    </cfRule>
    <cfRule type="expression" priority="176" dxfId="1">
      <formula>AND(COUNT(C38:F38)=4,D38&lt;5*0.4)</formula>
    </cfRule>
    <cfRule type="expression" priority="177" dxfId="2">
      <formula>AND(COUNT(C38:F38)=4,D38&gt;=5*0.4,D38&lt;5)</formula>
    </cfRule>
  </conditionalFormatting>
  <conditionalFormatting sqref="D39">
    <cfRule type="expression" priority="178" dxfId="0">
      <formula>AND(COUNT(C39:F39)=4,D39=5)</formula>
    </cfRule>
    <cfRule type="expression" priority="179" dxfId="1">
      <formula>AND(COUNT(C39:F39)=4,D39&lt;5*0.4)</formula>
    </cfRule>
    <cfRule type="expression" priority="180" dxfId="2">
      <formula>AND(COUNT(C39:F39)=4,D39&gt;=5*0.4,D39&lt;5)</formula>
    </cfRule>
  </conditionalFormatting>
  <conditionalFormatting sqref="D40">
    <cfRule type="expression" priority="181" dxfId="0">
      <formula>AND(COUNT(C40:F40)=4,D40=5)</formula>
    </cfRule>
    <cfRule type="expression" priority="182" dxfId="1">
      <formula>AND(COUNT(C40:F40)=4,D40&lt;5*0.4)</formula>
    </cfRule>
    <cfRule type="expression" priority="183" dxfId="2">
      <formula>AND(COUNT(C40:F40)=4,D40&gt;=5*0.4,D40&lt;5)</formula>
    </cfRule>
  </conditionalFormatting>
  <conditionalFormatting sqref="D41">
    <cfRule type="expression" priority="184" dxfId="0">
      <formula>AND(COUNT(C41:F41)=4,D41=5)</formula>
    </cfRule>
    <cfRule type="expression" priority="185" dxfId="1">
      <formula>AND(COUNT(C41:F41)=4,D41&lt;5*0.4)</formula>
    </cfRule>
    <cfRule type="expression" priority="186" dxfId="2">
      <formula>AND(COUNT(C41:F41)=4,D41&gt;=5*0.4,D41&lt;5)</formula>
    </cfRule>
  </conditionalFormatting>
  <conditionalFormatting sqref="E11">
    <cfRule type="expression" priority="187" dxfId="0">
      <formula>AND(COUNT(C11:F11)=4,E11=7)</formula>
    </cfRule>
    <cfRule type="expression" priority="188" dxfId="1">
      <formula>AND(COUNT(C11:F11)=4,E11&lt;7*0.4)</formula>
    </cfRule>
    <cfRule type="expression" priority="189" dxfId="2">
      <formula>AND(COUNT(C11:F11)=4,E11&gt;=7*0.4,E11&lt;7)</formula>
    </cfRule>
  </conditionalFormatting>
  <conditionalFormatting sqref="E12">
    <cfRule type="expression" priority="190" dxfId="0">
      <formula>AND(COUNT(C12:F12)=4,E12=7)</formula>
    </cfRule>
    <cfRule type="expression" priority="191" dxfId="1">
      <formula>AND(COUNT(C12:F12)=4,E12&lt;7*0.4)</formula>
    </cfRule>
    <cfRule type="expression" priority="192" dxfId="2">
      <formula>AND(COUNT(C12:F12)=4,E12&gt;=7*0.4,E12&lt;7)</formula>
    </cfRule>
  </conditionalFormatting>
  <conditionalFormatting sqref="E13">
    <cfRule type="expression" priority="193" dxfId="0">
      <formula>AND(COUNT(C13:F13)=4,E13=7)</formula>
    </cfRule>
    <cfRule type="expression" priority="194" dxfId="1">
      <formula>AND(COUNT(C13:F13)=4,E13&lt;7*0.4)</formula>
    </cfRule>
    <cfRule type="expression" priority="195" dxfId="2">
      <formula>AND(COUNT(C13:F13)=4,E13&gt;=7*0.4,E13&lt;7)</formula>
    </cfRule>
  </conditionalFormatting>
  <conditionalFormatting sqref="E14">
    <cfRule type="expression" priority="196" dxfId="0">
      <formula>AND(COUNT(C14:F14)=4,E14=7)</formula>
    </cfRule>
    <cfRule type="expression" priority="197" dxfId="1">
      <formula>AND(COUNT(C14:F14)=4,E14&lt;7*0.4)</formula>
    </cfRule>
    <cfRule type="expression" priority="198" dxfId="2">
      <formula>AND(COUNT(C14:F14)=4,E14&gt;=7*0.4,E14&lt;7)</formula>
    </cfRule>
  </conditionalFormatting>
  <conditionalFormatting sqref="E15">
    <cfRule type="expression" priority="199" dxfId="0">
      <formula>AND(COUNT(C15:F15)=4,E15=7)</formula>
    </cfRule>
    <cfRule type="expression" priority="200" dxfId="1">
      <formula>AND(COUNT(C15:F15)=4,E15&lt;7*0.4)</formula>
    </cfRule>
    <cfRule type="expression" priority="201" dxfId="2">
      <formula>AND(COUNT(C15:F15)=4,E15&gt;=7*0.4,E15&lt;7)</formula>
    </cfRule>
  </conditionalFormatting>
  <conditionalFormatting sqref="E16">
    <cfRule type="expression" priority="202" dxfId="0">
      <formula>AND(COUNT(C16:F16)=4,E16=7)</formula>
    </cfRule>
    <cfRule type="expression" priority="203" dxfId="1">
      <formula>AND(COUNT(C16:F16)=4,E16&lt;7*0.4)</formula>
    </cfRule>
    <cfRule type="expression" priority="204" dxfId="2">
      <formula>AND(COUNT(C16:F16)=4,E16&gt;=7*0.4,E16&lt;7)</formula>
    </cfRule>
  </conditionalFormatting>
  <conditionalFormatting sqref="E17">
    <cfRule type="expression" priority="205" dxfId="0">
      <formula>AND(COUNT(C17:F17)=4,E17=7)</formula>
    </cfRule>
    <cfRule type="expression" priority="206" dxfId="1">
      <formula>AND(COUNT(C17:F17)=4,E17&lt;7*0.4)</formula>
    </cfRule>
    <cfRule type="expression" priority="207" dxfId="2">
      <formula>AND(COUNT(C17:F17)=4,E17&gt;=7*0.4,E17&lt;7)</formula>
    </cfRule>
  </conditionalFormatting>
  <conditionalFormatting sqref="E18">
    <cfRule type="expression" priority="208" dxfId="0">
      <formula>AND(COUNT(C18:F18)=4,E18=7)</formula>
    </cfRule>
    <cfRule type="expression" priority="209" dxfId="1">
      <formula>AND(COUNT(C18:F18)=4,E18&lt;7*0.4)</formula>
    </cfRule>
    <cfRule type="expression" priority="210" dxfId="2">
      <formula>AND(COUNT(C18:F18)=4,E18&gt;=7*0.4,E18&lt;7)</formula>
    </cfRule>
  </conditionalFormatting>
  <conditionalFormatting sqref="E19">
    <cfRule type="expression" priority="211" dxfId="0">
      <formula>AND(COUNT(C19:F19)=4,E19=7)</formula>
    </cfRule>
    <cfRule type="expression" priority="212" dxfId="1">
      <formula>AND(COUNT(C19:F19)=4,E19&lt;7*0.4)</formula>
    </cfRule>
    <cfRule type="expression" priority="213" dxfId="2">
      <formula>AND(COUNT(C19:F19)=4,E19&gt;=7*0.4,E19&lt;7)</formula>
    </cfRule>
  </conditionalFormatting>
  <conditionalFormatting sqref="E20">
    <cfRule type="expression" priority="214" dxfId="0">
      <formula>AND(COUNT(C20:F20)=4,E20=7)</formula>
    </cfRule>
    <cfRule type="expression" priority="215" dxfId="1">
      <formula>AND(COUNT(C20:F20)=4,E20&lt;7*0.4)</formula>
    </cfRule>
    <cfRule type="expression" priority="216" dxfId="2">
      <formula>AND(COUNT(C20:F20)=4,E20&gt;=7*0.4,E20&lt;7)</formula>
    </cfRule>
  </conditionalFormatting>
  <conditionalFormatting sqref="E21">
    <cfRule type="expression" priority="217" dxfId="0">
      <formula>AND(COUNT(C21:F21)=4,E21=7)</formula>
    </cfRule>
    <cfRule type="expression" priority="218" dxfId="1">
      <formula>AND(COUNT(C21:F21)=4,E21&lt;7*0.4)</formula>
    </cfRule>
    <cfRule type="expression" priority="219" dxfId="2">
      <formula>AND(COUNT(C21:F21)=4,E21&gt;=7*0.4,E21&lt;7)</formula>
    </cfRule>
  </conditionalFormatting>
  <conditionalFormatting sqref="E22">
    <cfRule type="expression" priority="220" dxfId="0">
      <formula>AND(COUNT(C22:F22)=4,E22=7)</formula>
    </cfRule>
    <cfRule type="expression" priority="221" dxfId="1">
      <formula>AND(COUNT(C22:F22)=4,E22&lt;7*0.4)</formula>
    </cfRule>
    <cfRule type="expression" priority="222" dxfId="2">
      <formula>AND(COUNT(C22:F22)=4,E22&gt;=7*0.4,E22&lt;7)</formula>
    </cfRule>
  </conditionalFormatting>
  <conditionalFormatting sqref="E23">
    <cfRule type="expression" priority="223" dxfId="0">
      <formula>AND(COUNT(C23:F23)=4,E23=7)</formula>
    </cfRule>
    <cfRule type="expression" priority="224" dxfId="1">
      <formula>AND(COUNT(C23:F23)=4,E23&lt;7*0.4)</formula>
    </cfRule>
    <cfRule type="expression" priority="225" dxfId="2">
      <formula>AND(COUNT(C23:F23)=4,E23&gt;=7*0.4,E23&lt;7)</formula>
    </cfRule>
  </conditionalFormatting>
  <conditionalFormatting sqref="E24">
    <cfRule type="expression" priority="226" dxfId="0">
      <formula>AND(COUNT(C24:F24)=4,E24=7)</formula>
    </cfRule>
    <cfRule type="expression" priority="227" dxfId="1">
      <formula>AND(COUNT(C24:F24)=4,E24&lt;7*0.4)</formula>
    </cfRule>
    <cfRule type="expression" priority="228" dxfId="2">
      <formula>AND(COUNT(C24:F24)=4,E24&gt;=7*0.4,E24&lt;7)</formula>
    </cfRule>
  </conditionalFormatting>
  <conditionalFormatting sqref="E25">
    <cfRule type="expression" priority="229" dxfId="0">
      <formula>AND(COUNT(C25:F25)=4,E25=7)</formula>
    </cfRule>
    <cfRule type="expression" priority="230" dxfId="1">
      <formula>AND(COUNT(C25:F25)=4,E25&lt;7*0.4)</formula>
    </cfRule>
    <cfRule type="expression" priority="231" dxfId="2">
      <formula>AND(COUNT(C25:F25)=4,E25&gt;=7*0.4,E25&lt;7)</formula>
    </cfRule>
  </conditionalFormatting>
  <conditionalFormatting sqref="E26">
    <cfRule type="expression" priority="232" dxfId="0">
      <formula>AND(COUNT(C26:F26)=4,E26=7)</formula>
    </cfRule>
    <cfRule type="expression" priority="233" dxfId="1">
      <formula>AND(COUNT(C26:F26)=4,E26&lt;7*0.4)</formula>
    </cfRule>
    <cfRule type="expression" priority="234" dxfId="2">
      <formula>AND(COUNT(C26:F26)=4,E26&gt;=7*0.4,E26&lt;7)</formula>
    </cfRule>
  </conditionalFormatting>
  <conditionalFormatting sqref="E27">
    <cfRule type="expression" priority="235" dxfId="0">
      <formula>AND(COUNT(C27:F27)=4,E27=7)</formula>
    </cfRule>
    <cfRule type="expression" priority="236" dxfId="1">
      <formula>AND(COUNT(C27:F27)=4,E27&lt;7*0.4)</formula>
    </cfRule>
    <cfRule type="expression" priority="237" dxfId="2">
      <formula>AND(COUNT(C27:F27)=4,E27&gt;=7*0.4,E27&lt;7)</formula>
    </cfRule>
  </conditionalFormatting>
  <conditionalFormatting sqref="E28">
    <cfRule type="expression" priority="238" dxfId="0">
      <formula>AND(COUNT(C28:F28)=4,E28=7)</formula>
    </cfRule>
    <cfRule type="expression" priority="239" dxfId="1">
      <formula>AND(COUNT(C28:F28)=4,E28&lt;7*0.4)</formula>
    </cfRule>
    <cfRule type="expression" priority="240" dxfId="2">
      <formula>AND(COUNT(C28:F28)=4,E28&gt;=7*0.4,E28&lt;7)</formula>
    </cfRule>
  </conditionalFormatting>
  <conditionalFormatting sqref="E29">
    <cfRule type="expression" priority="241" dxfId="0">
      <formula>AND(COUNT(C29:F29)=4,E29=7)</formula>
    </cfRule>
    <cfRule type="expression" priority="242" dxfId="1">
      <formula>AND(COUNT(C29:F29)=4,E29&lt;7*0.4)</formula>
    </cfRule>
    <cfRule type="expression" priority="243" dxfId="2">
      <formula>AND(COUNT(C29:F29)=4,E29&gt;=7*0.4,E29&lt;7)</formula>
    </cfRule>
  </conditionalFormatting>
  <conditionalFormatting sqref="E30">
    <cfRule type="expression" priority="244" dxfId="0">
      <formula>AND(COUNT(C30:F30)=4,E30=7)</formula>
    </cfRule>
    <cfRule type="expression" priority="245" dxfId="1">
      <formula>AND(COUNT(C30:F30)=4,E30&lt;7*0.4)</formula>
    </cfRule>
    <cfRule type="expression" priority="246" dxfId="2">
      <formula>AND(COUNT(C30:F30)=4,E30&gt;=7*0.4,E30&lt;7)</formula>
    </cfRule>
  </conditionalFormatting>
  <conditionalFormatting sqref="E31">
    <cfRule type="expression" priority="247" dxfId="0">
      <formula>AND(COUNT(C31:F31)=4,E31=7)</formula>
    </cfRule>
    <cfRule type="expression" priority="248" dxfId="1">
      <formula>AND(COUNT(C31:F31)=4,E31&lt;7*0.4)</formula>
    </cfRule>
    <cfRule type="expression" priority="249" dxfId="2">
      <formula>AND(COUNT(C31:F31)=4,E31&gt;=7*0.4,E31&lt;7)</formula>
    </cfRule>
  </conditionalFormatting>
  <conditionalFormatting sqref="E32">
    <cfRule type="expression" priority="250" dxfId="0">
      <formula>AND(COUNT(C32:F32)=4,E32=7)</formula>
    </cfRule>
    <cfRule type="expression" priority="251" dxfId="1">
      <formula>AND(COUNT(C32:F32)=4,E32&lt;7*0.4)</formula>
    </cfRule>
    <cfRule type="expression" priority="252" dxfId="2">
      <formula>AND(COUNT(C32:F32)=4,E32&gt;=7*0.4,E32&lt;7)</formula>
    </cfRule>
  </conditionalFormatting>
  <conditionalFormatting sqref="E33">
    <cfRule type="expression" priority="253" dxfId="0">
      <formula>AND(COUNT(C33:F33)=4,E33=7)</formula>
    </cfRule>
    <cfRule type="expression" priority="254" dxfId="1">
      <formula>AND(COUNT(C33:F33)=4,E33&lt;7*0.4)</formula>
    </cfRule>
    <cfRule type="expression" priority="255" dxfId="2">
      <formula>AND(COUNT(C33:F33)=4,E33&gt;=7*0.4,E33&lt;7)</formula>
    </cfRule>
  </conditionalFormatting>
  <conditionalFormatting sqref="E34">
    <cfRule type="expression" priority="256" dxfId="0">
      <formula>AND(COUNT(C34:F34)=4,E34=7)</formula>
    </cfRule>
    <cfRule type="expression" priority="257" dxfId="1">
      <formula>AND(COUNT(C34:F34)=4,E34&lt;7*0.4)</formula>
    </cfRule>
    <cfRule type="expression" priority="258" dxfId="2">
      <formula>AND(COUNT(C34:F34)=4,E34&gt;=7*0.4,E34&lt;7)</formula>
    </cfRule>
  </conditionalFormatting>
  <conditionalFormatting sqref="E35">
    <cfRule type="expression" priority="259" dxfId="0">
      <formula>AND(COUNT(C35:F35)=4,E35=7)</formula>
    </cfRule>
    <cfRule type="expression" priority="260" dxfId="1">
      <formula>AND(COUNT(C35:F35)=4,E35&lt;7*0.4)</formula>
    </cfRule>
    <cfRule type="expression" priority="261" dxfId="2">
      <formula>AND(COUNT(C35:F35)=4,E35&gt;=7*0.4,E35&lt;7)</formula>
    </cfRule>
  </conditionalFormatting>
  <conditionalFormatting sqref="E36">
    <cfRule type="expression" priority="262" dxfId="0">
      <formula>AND(COUNT(C36:F36)=4,E36=7)</formula>
    </cfRule>
    <cfRule type="expression" priority="263" dxfId="1">
      <formula>AND(COUNT(C36:F36)=4,E36&lt;7*0.4)</formula>
    </cfRule>
    <cfRule type="expression" priority="264" dxfId="2">
      <formula>AND(COUNT(C36:F36)=4,E36&gt;=7*0.4,E36&lt;7)</formula>
    </cfRule>
  </conditionalFormatting>
  <conditionalFormatting sqref="E37">
    <cfRule type="expression" priority="265" dxfId="0">
      <formula>AND(COUNT(C37:F37)=4,E37=7)</formula>
    </cfRule>
    <cfRule type="expression" priority="266" dxfId="1">
      <formula>AND(COUNT(C37:F37)=4,E37&lt;7*0.4)</formula>
    </cfRule>
    <cfRule type="expression" priority="267" dxfId="2">
      <formula>AND(COUNT(C37:F37)=4,E37&gt;=7*0.4,E37&lt;7)</formula>
    </cfRule>
  </conditionalFormatting>
  <conditionalFormatting sqref="E38">
    <cfRule type="expression" priority="268" dxfId="0">
      <formula>AND(COUNT(C38:F38)=4,E38=7)</formula>
    </cfRule>
    <cfRule type="expression" priority="269" dxfId="1">
      <formula>AND(COUNT(C38:F38)=4,E38&lt;7*0.4)</formula>
    </cfRule>
    <cfRule type="expression" priority="270" dxfId="2">
      <formula>AND(COUNT(C38:F38)=4,E38&gt;=7*0.4,E38&lt;7)</formula>
    </cfRule>
  </conditionalFormatting>
  <conditionalFormatting sqref="E39">
    <cfRule type="expression" priority="271" dxfId="0">
      <formula>AND(COUNT(C39:F39)=4,E39=7)</formula>
    </cfRule>
    <cfRule type="expression" priority="272" dxfId="1">
      <formula>AND(COUNT(C39:F39)=4,E39&lt;7*0.4)</formula>
    </cfRule>
    <cfRule type="expression" priority="273" dxfId="2">
      <formula>AND(COUNT(C39:F39)=4,E39&gt;=7*0.4,E39&lt;7)</formula>
    </cfRule>
  </conditionalFormatting>
  <conditionalFormatting sqref="E40">
    <cfRule type="expression" priority="274" dxfId="0">
      <formula>AND(COUNT(C40:F40)=4,E40=7)</formula>
    </cfRule>
    <cfRule type="expression" priority="275" dxfId="1">
      <formula>AND(COUNT(C40:F40)=4,E40&lt;7*0.4)</formula>
    </cfRule>
    <cfRule type="expression" priority="276" dxfId="2">
      <formula>AND(COUNT(C40:F40)=4,E40&gt;=7*0.4,E40&lt;7)</formula>
    </cfRule>
  </conditionalFormatting>
  <conditionalFormatting sqref="E41">
    <cfRule type="expression" priority="277" dxfId="0">
      <formula>AND(COUNT(C41:F41)=4,E41=7)</formula>
    </cfRule>
    <cfRule type="expression" priority="278" dxfId="1">
      <formula>AND(COUNT(C41:F41)=4,E41&lt;7*0.4)</formula>
    </cfRule>
    <cfRule type="expression" priority="279" dxfId="2">
      <formula>AND(COUNT(C41:F41)=4,E41&gt;=7*0.4,E41&lt;7)</formula>
    </cfRule>
  </conditionalFormatting>
  <conditionalFormatting sqref="F11">
    <cfRule type="expression" priority="280" dxfId="0">
      <formula>AND(COUNT(C11:F11)=4,F11=6)</formula>
    </cfRule>
    <cfRule type="expression" priority="281" dxfId="1">
      <formula>AND(COUNT(C11:F11)=4,F11&lt;6*0.4)</formula>
    </cfRule>
    <cfRule type="expression" priority="282" dxfId="2">
      <formula>AND(COUNT(C11:F11)=4,F11&gt;=6*0.4,F11&lt;6)</formula>
    </cfRule>
  </conditionalFormatting>
  <conditionalFormatting sqref="F12">
    <cfRule type="expression" priority="283" dxfId="0">
      <formula>AND(COUNT(C12:F12)=4,F12=6)</formula>
    </cfRule>
    <cfRule type="expression" priority="284" dxfId="1">
      <formula>AND(COUNT(C12:F12)=4,F12&lt;6*0.4)</formula>
    </cfRule>
    <cfRule type="expression" priority="285" dxfId="2">
      <formula>AND(COUNT(C12:F12)=4,F12&gt;=6*0.4,F12&lt;6)</formula>
    </cfRule>
  </conditionalFormatting>
  <conditionalFormatting sqref="F13">
    <cfRule type="expression" priority="286" dxfId="0">
      <formula>AND(COUNT(C13:F13)=4,F13=6)</formula>
    </cfRule>
    <cfRule type="expression" priority="287" dxfId="1">
      <formula>AND(COUNT(C13:F13)=4,F13&lt;6*0.4)</formula>
    </cfRule>
    <cfRule type="expression" priority="288" dxfId="2">
      <formula>AND(COUNT(C13:F13)=4,F13&gt;=6*0.4,F13&lt;6)</formula>
    </cfRule>
  </conditionalFormatting>
  <conditionalFormatting sqref="F14">
    <cfRule type="expression" priority="289" dxfId="0">
      <formula>AND(COUNT(C14:F14)=4,F14=6)</formula>
    </cfRule>
    <cfRule type="expression" priority="290" dxfId="1">
      <formula>AND(COUNT(C14:F14)=4,F14&lt;6*0.4)</formula>
    </cfRule>
    <cfRule type="expression" priority="291" dxfId="2">
      <formula>AND(COUNT(C14:F14)=4,F14&gt;=6*0.4,F14&lt;6)</formula>
    </cfRule>
  </conditionalFormatting>
  <conditionalFormatting sqref="F15">
    <cfRule type="expression" priority="292" dxfId="0">
      <formula>AND(COUNT(C15:F15)=4,F15=6)</formula>
    </cfRule>
    <cfRule type="expression" priority="293" dxfId="1">
      <formula>AND(COUNT(C15:F15)=4,F15&lt;6*0.4)</formula>
    </cfRule>
    <cfRule type="expression" priority="294" dxfId="2">
      <formula>AND(COUNT(C15:F15)=4,F15&gt;=6*0.4,F15&lt;6)</formula>
    </cfRule>
  </conditionalFormatting>
  <conditionalFormatting sqref="F16">
    <cfRule type="expression" priority="295" dxfId="0">
      <formula>AND(COUNT(C16:F16)=4,F16=6)</formula>
    </cfRule>
    <cfRule type="expression" priority="296" dxfId="1">
      <formula>AND(COUNT(C16:F16)=4,F16&lt;6*0.4)</formula>
    </cfRule>
    <cfRule type="expression" priority="297" dxfId="2">
      <formula>AND(COUNT(C16:F16)=4,F16&gt;=6*0.4,F16&lt;6)</formula>
    </cfRule>
  </conditionalFormatting>
  <conditionalFormatting sqref="F17">
    <cfRule type="expression" priority="298" dxfId="0">
      <formula>AND(COUNT(C17:F17)=4,F17=6)</formula>
    </cfRule>
    <cfRule type="expression" priority="299" dxfId="1">
      <formula>AND(COUNT(C17:F17)=4,F17&lt;6*0.4)</formula>
    </cfRule>
    <cfRule type="expression" priority="300" dxfId="2">
      <formula>AND(COUNT(C17:F17)=4,F17&gt;=6*0.4,F17&lt;6)</formula>
    </cfRule>
  </conditionalFormatting>
  <conditionalFormatting sqref="F18">
    <cfRule type="expression" priority="301" dxfId="0">
      <formula>AND(COUNT(C18:F18)=4,F18=6)</formula>
    </cfRule>
    <cfRule type="expression" priority="302" dxfId="1">
      <formula>AND(COUNT(C18:F18)=4,F18&lt;6*0.4)</formula>
    </cfRule>
    <cfRule type="expression" priority="303" dxfId="2">
      <formula>AND(COUNT(C18:F18)=4,F18&gt;=6*0.4,F18&lt;6)</formula>
    </cfRule>
  </conditionalFormatting>
  <conditionalFormatting sqref="F19">
    <cfRule type="expression" priority="304" dxfId="0">
      <formula>AND(COUNT(C19:F19)=4,F19=6)</formula>
    </cfRule>
    <cfRule type="expression" priority="305" dxfId="1">
      <formula>AND(COUNT(C19:F19)=4,F19&lt;6*0.4)</formula>
    </cfRule>
    <cfRule type="expression" priority="306" dxfId="2">
      <formula>AND(COUNT(C19:F19)=4,F19&gt;=6*0.4,F19&lt;6)</formula>
    </cfRule>
  </conditionalFormatting>
  <conditionalFormatting sqref="F20">
    <cfRule type="expression" priority="307" dxfId="0">
      <formula>AND(COUNT(C20:F20)=4,F20=6)</formula>
    </cfRule>
    <cfRule type="expression" priority="308" dxfId="1">
      <formula>AND(COUNT(C20:F20)=4,F20&lt;6*0.4)</formula>
    </cfRule>
    <cfRule type="expression" priority="309" dxfId="2">
      <formula>AND(COUNT(C20:F20)=4,F20&gt;=6*0.4,F20&lt;6)</formula>
    </cfRule>
  </conditionalFormatting>
  <conditionalFormatting sqref="F21">
    <cfRule type="expression" priority="310" dxfId="0">
      <formula>AND(COUNT(C21:F21)=4,F21=6)</formula>
    </cfRule>
    <cfRule type="expression" priority="311" dxfId="1">
      <formula>AND(COUNT(C21:F21)=4,F21&lt;6*0.4)</formula>
    </cfRule>
    <cfRule type="expression" priority="312" dxfId="2">
      <formula>AND(COUNT(C21:F21)=4,F21&gt;=6*0.4,F21&lt;6)</formula>
    </cfRule>
  </conditionalFormatting>
  <conditionalFormatting sqref="F22">
    <cfRule type="expression" priority="313" dxfId="0">
      <formula>AND(COUNT(C22:F22)=4,F22=6)</formula>
    </cfRule>
    <cfRule type="expression" priority="314" dxfId="1">
      <formula>AND(COUNT(C22:F22)=4,F22&lt;6*0.4)</formula>
    </cfRule>
    <cfRule type="expression" priority="315" dxfId="2">
      <formula>AND(COUNT(C22:F22)=4,F22&gt;=6*0.4,F22&lt;6)</formula>
    </cfRule>
  </conditionalFormatting>
  <conditionalFormatting sqref="F23">
    <cfRule type="expression" priority="316" dxfId="0">
      <formula>AND(COUNT(C23:F23)=4,F23=6)</formula>
    </cfRule>
    <cfRule type="expression" priority="317" dxfId="1">
      <formula>AND(COUNT(C23:F23)=4,F23&lt;6*0.4)</formula>
    </cfRule>
    <cfRule type="expression" priority="318" dxfId="2">
      <formula>AND(COUNT(C23:F23)=4,F23&gt;=6*0.4,F23&lt;6)</formula>
    </cfRule>
  </conditionalFormatting>
  <conditionalFormatting sqref="F24">
    <cfRule type="expression" priority="319" dxfId="0">
      <formula>AND(COUNT(C24:F24)=4,F24=6)</formula>
    </cfRule>
    <cfRule type="expression" priority="320" dxfId="1">
      <formula>AND(COUNT(C24:F24)=4,F24&lt;6*0.4)</formula>
    </cfRule>
    <cfRule type="expression" priority="321" dxfId="2">
      <formula>AND(COUNT(C24:F24)=4,F24&gt;=6*0.4,F24&lt;6)</formula>
    </cfRule>
  </conditionalFormatting>
  <conditionalFormatting sqref="F25">
    <cfRule type="expression" priority="322" dxfId="0">
      <formula>AND(COUNT(C25:F25)=4,F25=6)</formula>
    </cfRule>
    <cfRule type="expression" priority="323" dxfId="1">
      <formula>AND(COUNT(C25:F25)=4,F25&lt;6*0.4)</formula>
    </cfRule>
    <cfRule type="expression" priority="324" dxfId="2">
      <formula>AND(COUNT(C25:F25)=4,F25&gt;=6*0.4,F25&lt;6)</formula>
    </cfRule>
  </conditionalFormatting>
  <conditionalFormatting sqref="F26">
    <cfRule type="expression" priority="325" dxfId="0">
      <formula>AND(COUNT(C26:F26)=4,F26=6)</formula>
    </cfRule>
    <cfRule type="expression" priority="326" dxfId="1">
      <formula>AND(COUNT(C26:F26)=4,F26&lt;6*0.4)</formula>
    </cfRule>
    <cfRule type="expression" priority="327" dxfId="2">
      <formula>AND(COUNT(C26:F26)=4,F26&gt;=6*0.4,F26&lt;6)</formula>
    </cfRule>
  </conditionalFormatting>
  <conditionalFormatting sqref="F27">
    <cfRule type="expression" priority="328" dxfId="0">
      <formula>AND(COUNT(C27:F27)=4,F27=6)</formula>
    </cfRule>
    <cfRule type="expression" priority="329" dxfId="1">
      <formula>AND(COUNT(C27:F27)=4,F27&lt;6*0.4)</formula>
    </cfRule>
    <cfRule type="expression" priority="330" dxfId="2">
      <formula>AND(COUNT(C27:F27)=4,F27&gt;=6*0.4,F27&lt;6)</formula>
    </cfRule>
  </conditionalFormatting>
  <conditionalFormatting sqref="F28">
    <cfRule type="expression" priority="331" dxfId="0">
      <formula>AND(COUNT(C28:F28)=4,F28=6)</formula>
    </cfRule>
    <cfRule type="expression" priority="332" dxfId="1">
      <formula>AND(COUNT(C28:F28)=4,F28&lt;6*0.4)</formula>
    </cfRule>
    <cfRule type="expression" priority="333" dxfId="2">
      <formula>AND(COUNT(C28:F28)=4,F28&gt;=6*0.4,F28&lt;6)</formula>
    </cfRule>
  </conditionalFormatting>
  <conditionalFormatting sqref="F29">
    <cfRule type="expression" priority="334" dxfId="0">
      <formula>AND(COUNT(C29:F29)=4,F29=6)</formula>
    </cfRule>
    <cfRule type="expression" priority="335" dxfId="1">
      <formula>AND(COUNT(C29:F29)=4,F29&lt;6*0.4)</formula>
    </cfRule>
    <cfRule type="expression" priority="336" dxfId="2">
      <formula>AND(COUNT(C29:F29)=4,F29&gt;=6*0.4,F29&lt;6)</formula>
    </cfRule>
  </conditionalFormatting>
  <conditionalFormatting sqref="F30">
    <cfRule type="expression" priority="337" dxfId="0">
      <formula>AND(COUNT(C30:F30)=4,F30=6)</formula>
    </cfRule>
    <cfRule type="expression" priority="338" dxfId="1">
      <formula>AND(COUNT(C30:F30)=4,F30&lt;6*0.4)</formula>
    </cfRule>
    <cfRule type="expression" priority="339" dxfId="2">
      <formula>AND(COUNT(C30:F30)=4,F30&gt;=6*0.4,F30&lt;6)</formula>
    </cfRule>
  </conditionalFormatting>
  <conditionalFormatting sqref="F31">
    <cfRule type="expression" priority="340" dxfId="0">
      <formula>AND(COUNT(C31:F31)=4,F31=6)</formula>
    </cfRule>
    <cfRule type="expression" priority="341" dxfId="1">
      <formula>AND(COUNT(C31:F31)=4,F31&lt;6*0.4)</formula>
    </cfRule>
    <cfRule type="expression" priority="342" dxfId="2">
      <formula>AND(COUNT(C31:F31)=4,F31&gt;=6*0.4,F31&lt;6)</formula>
    </cfRule>
  </conditionalFormatting>
  <conditionalFormatting sqref="F32">
    <cfRule type="expression" priority="343" dxfId="0">
      <formula>AND(COUNT(C32:F32)=4,F32=6)</formula>
    </cfRule>
    <cfRule type="expression" priority="344" dxfId="1">
      <formula>AND(COUNT(C32:F32)=4,F32&lt;6*0.4)</formula>
    </cfRule>
    <cfRule type="expression" priority="345" dxfId="2">
      <formula>AND(COUNT(C32:F32)=4,F32&gt;=6*0.4,F32&lt;6)</formula>
    </cfRule>
  </conditionalFormatting>
  <conditionalFormatting sqref="F33">
    <cfRule type="expression" priority="346" dxfId="0">
      <formula>AND(COUNT(C33:F33)=4,F33=6)</formula>
    </cfRule>
    <cfRule type="expression" priority="347" dxfId="1">
      <formula>AND(COUNT(C33:F33)=4,F33&lt;6*0.4)</formula>
    </cfRule>
    <cfRule type="expression" priority="348" dxfId="2">
      <formula>AND(COUNT(C33:F33)=4,F33&gt;=6*0.4,F33&lt;6)</formula>
    </cfRule>
  </conditionalFormatting>
  <conditionalFormatting sqref="F34">
    <cfRule type="expression" priority="349" dxfId="0">
      <formula>AND(COUNT(C34:F34)=4,F34=6)</formula>
    </cfRule>
    <cfRule type="expression" priority="350" dxfId="1">
      <formula>AND(COUNT(C34:F34)=4,F34&lt;6*0.4)</formula>
    </cfRule>
    <cfRule type="expression" priority="351" dxfId="2">
      <formula>AND(COUNT(C34:F34)=4,F34&gt;=6*0.4,F34&lt;6)</formula>
    </cfRule>
  </conditionalFormatting>
  <conditionalFormatting sqref="F35">
    <cfRule type="expression" priority="352" dxfId="0">
      <formula>AND(COUNT(C35:F35)=4,F35=6)</formula>
    </cfRule>
    <cfRule type="expression" priority="353" dxfId="1">
      <formula>AND(COUNT(C35:F35)=4,F35&lt;6*0.4)</formula>
    </cfRule>
    <cfRule type="expression" priority="354" dxfId="2">
      <formula>AND(COUNT(C35:F35)=4,F35&gt;=6*0.4,F35&lt;6)</formula>
    </cfRule>
  </conditionalFormatting>
  <conditionalFormatting sqref="F36">
    <cfRule type="expression" priority="355" dxfId="0">
      <formula>AND(COUNT(C36:F36)=4,F36=6)</formula>
    </cfRule>
    <cfRule type="expression" priority="356" dxfId="1">
      <formula>AND(COUNT(C36:F36)=4,F36&lt;6*0.4)</formula>
    </cfRule>
    <cfRule type="expression" priority="357" dxfId="2">
      <formula>AND(COUNT(C36:F36)=4,F36&gt;=6*0.4,F36&lt;6)</formula>
    </cfRule>
  </conditionalFormatting>
  <conditionalFormatting sqref="F37">
    <cfRule type="expression" priority="358" dxfId="0">
      <formula>AND(COUNT(C37:F37)=4,F37=6)</formula>
    </cfRule>
    <cfRule type="expression" priority="359" dxfId="1">
      <formula>AND(COUNT(C37:F37)=4,F37&lt;6*0.4)</formula>
    </cfRule>
    <cfRule type="expression" priority="360" dxfId="2">
      <formula>AND(COUNT(C37:F37)=4,F37&gt;=6*0.4,F37&lt;6)</formula>
    </cfRule>
  </conditionalFormatting>
  <conditionalFormatting sqref="F38">
    <cfRule type="expression" priority="361" dxfId="0">
      <formula>AND(COUNT(C38:F38)=4,F38=6)</formula>
    </cfRule>
    <cfRule type="expression" priority="362" dxfId="1">
      <formula>AND(COUNT(C38:F38)=4,F38&lt;6*0.4)</formula>
    </cfRule>
    <cfRule type="expression" priority="363" dxfId="2">
      <formula>AND(COUNT(C38:F38)=4,F38&gt;=6*0.4,F38&lt;6)</formula>
    </cfRule>
  </conditionalFormatting>
  <conditionalFormatting sqref="F39">
    <cfRule type="expression" priority="364" dxfId="0">
      <formula>AND(COUNT(C39:F39)=4,F39=6)</formula>
    </cfRule>
    <cfRule type="expression" priority="365" dxfId="1">
      <formula>AND(COUNT(C39:F39)=4,F39&lt;6*0.4)</formula>
    </cfRule>
    <cfRule type="expression" priority="366" dxfId="2">
      <formula>AND(COUNT(C39:F39)=4,F39&gt;=6*0.4,F39&lt;6)</formula>
    </cfRule>
  </conditionalFormatting>
  <conditionalFormatting sqref="F40">
    <cfRule type="expression" priority="367" dxfId="0">
      <formula>AND(COUNT(C40:F40)=4,F40=6)</formula>
    </cfRule>
    <cfRule type="expression" priority="368" dxfId="1">
      <formula>AND(COUNT(C40:F40)=4,F40&lt;6*0.4)</formula>
    </cfRule>
    <cfRule type="expression" priority="369" dxfId="2">
      <formula>AND(COUNT(C40:F40)=4,F40&gt;=6*0.4,F40&lt;6)</formula>
    </cfRule>
  </conditionalFormatting>
  <conditionalFormatting sqref="F41">
    <cfRule type="expression" priority="370" dxfId="0">
      <formula>AND(COUNT(C41:F41)=4,F41=6)</formula>
    </cfRule>
    <cfRule type="expression" priority="371" dxfId="1">
      <formula>AND(COUNT(C41:F41)=4,F41&lt;6*0.4)</formula>
    </cfRule>
    <cfRule type="expression" priority="372" dxfId="2">
      <formula>AND(COUNT(C41:F41)=4,F41&gt;=6*0.4,F41&lt;6)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Mini Test 6.1 — Probabilities &amp; Estimation</t>
        </is>
      </c>
    </row>
    <row r="2">
      <c r="A2" s="2" t="inlineStr">
        <is>
          <t>Every block below pulls live from 'MT 6.1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SUMPRODUCT(--ISNUMBER('MT 6.1 Results'!I12:I41))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IF('MT 6.1 Results'!I12="","","Mini Test 6.1 — Probabilities &amp; Estimation")</f>
        <v/>
      </c>
      <c r="K5">
        <f>IF('MT 6.1 Results'!I13="","","Mini Test 6.1 — Probabilities &amp; Estimation")</f>
        <v/>
      </c>
    </row>
    <row r="6">
      <c r="A6">
        <f>IF('MT 6.1 Results'!I12="","","Name: "&amp;'MT 6.1 Results'!B12&amp;"   Class: "&amp;'MT 6.1 Results'!$B$3&amp;"   Date: "&amp;TEXT('MT 6.1 Results'!$B$5,"DD/MM/YY"))</f>
        <v/>
      </c>
      <c r="K6">
        <f>IF('MT 6.1 Results'!I13="","","Name: "&amp;'MT 6.1 Results'!B13&amp;"   Class: "&amp;'MT 6.1 Results'!$B$3&amp;"   Date: "&amp;TEXT('MT 6.1 Results'!$B$5,"DD/MM/YY"))</f>
        <v/>
      </c>
    </row>
    <row r="7">
      <c r="A7">
        <f>IF('MT 6.1 Results'!I12="","","Total: "&amp;'MT 6.1 Results'!G12&amp;"/22 ("&amp;TEXT('MT 6.1 Results'!H12,"0%")&amp;")   Overall: "&amp;'MT 6.1 Results'!I12)</f>
        <v/>
      </c>
      <c r="K7">
        <f>IF('MT 6.1 Results'!I13="","","Total: "&amp;'MT 6.1 Results'!G13&amp;"/22 ("&amp;TEXT('MT 6.1 Results'!H13,"0%")&amp;")   Overall: "&amp;'MT 6.1 Results'!I13)</f>
        <v/>
      </c>
    </row>
    <row r="8">
      <c r="A8">
        <f>IF('MT 6.1 Results'!I12="","",IF('MT 6.1 Results'!I12="Green",Parameters!$C$353,IF('MT 6.1 Results'!I12="Yellow",Parameters!$C$352,Parameters!$C$351)))</f>
        <v/>
      </c>
      <c r="K8">
        <f>IF('MT 6.1 Results'!I13="","",IF('MT 6.1 Results'!I13="Green",Parameters!$C$353,IF('MT 6.1 Results'!I13="Yellow",Parameters!$C$352,Parameters!$C$351)))</f>
        <v/>
      </c>
    </row>
    <row r="10">
      <c r="A10">
        <f>IF('MT 6.1 Results'!I12="","","Breakdown:")</f>
        <v/>
      </c>
      <c r="K10">
        <f>IF('MT 6.1 Results'!I13="","","Breakdown:")</f>
        <v/>
      </c>
    </row>
    <row r="11">
      <c r="A11">
        <f>IF('MT 6.1 Results'!I12="","","Q1 Point estimates: "&amp;'MT 6.1 Results'!C12&amp;"/4")</f>
        <v/>
      </c>
      <c r="K11">
        <f>IF('MT 6.1 Results'!I13="","","Q1 Point estimates: "&amp;'MT 6.1 Results'!C13&amp;"/4")</f>
        <v/>
      </c>
    </row>
    <row r="12">
      <c r="A12">
        <f>IF('MT 6.1 Results'!I12="","","Q2 Standard error: "&amp;'MT 6.1 Results'!D12&amp;"/5")</f>
        <v/>
      </c>
      <c r="K12">
        <f>IF('MT 6.1 Results'!I13="","","Q2 Standard error: "&amp;'MT 6.1 Results'!D13&amp;"/5")</f>
        <v/>
      </c>
    </row>
    <row r="13">
      <c r="A13">
        <f>IF('MT 6.1 Results'!I12="","","Q3 CI for a mean: "&amp;'MT 6.1 Results'!E12&amp;"/7")</f>
        <v/>
      </c>
      <c r="K13">
        <f>IF('MT 6.1 Results'!I13="","","Q3 CI for a mean: "&amp;'MT 6.1 Results'!E13&amp;"/7")</f>
        <v/>
      </c>
    </row>
    <row r="14">
      <c r="A14">
        <f>IF('MT 6.1 Results'!I12="","","Q4 Comparing CIs: "&amp;'MT 6.1 Results'!F12&amp;"/6")</f>
        <v/>
      </c>
      <c r="K14">
        <f>IF('MT 6.1 Results'!I13="","","Q4 Comparing CIs: "&amp;'MT 6.1 Results'!F13&amp;"/6")</f>
        <v/>
      </c>
    </row>
    <row r="15">
      <c r="A15">
        <f>IF(OR('MT 6.1 Results'!I12="",'MT 6.1 Results'!J12=""),"",'MT 6.1 Results'!J12)</f>
        <v/>
      </c>
      <c r="K15">
        <f>IF(OR('MT 6.1 Results'!I13="",'MT 6.1 Results'!J13=""),"",'MT 6.1 Results'!J13)</f>
        <v/>
      </c>
    </row>
    <row r="17">
      <c r="A17">
        <f>IF('MT 6.1 Results'!I12="","","Comments:")</f>
        <v/>
      </c>
      <c r="K17">
        <f>IF('MT 6.1 Results'!I13="","","Comments:")</f>
        <v/>
      </c>
    </row>
    <row r="21">
      <c r="A21">
        <f>IF('MT 6.1 Results'!I14="","","Mini Test 6.1 — Probabilities &amp; Estimation")</f>
        <v/>
      </c>
      <c r="K21">
        <f>IF('MT 6.1 Results'!I15="","","Mini Test 6.1 — Probabilities &amp; Estimation")</f>
        <v/>
      </c>
    </row>
    <row r="22">
      <c r="A22">
        <f>IF('MT 6.1 Results'!I14="","","Name: "&amp;'MT 6.1 Results'!B14&amp;"   Class: "&amp;'MT 6.1 Results'!$B$3&amp;"   Date: "&amp;TEXT('MT 6.1 Results'!$B$5,"DD/MM/YY"))</f>
        <v/>
      </c>
      <c r="K22">
        <f>IF('MT 6.1 Results'!I15="","","Name: "&amp;'MT 6.1 Results'!B15&amp;"   Class: "&amp;'MT 6.1 Results'!$B$3&amp;"   Date: "&amp;TEXT('MT 6.1 Results'!$B$5,"DD/MM/YY"))</f>
        <v/>
      </c>
    </row>
    <row r="23">
      <c r="A23">
        <f>IF('MT 6.1 Results'!I14="","","Total: "&amp;'MT 6.1 Results'!G14&amp;"/22 ("&amp;TEXT('MT 6.1 Results'!H14,"0%")&amp;")   Overall: "&amp;'MT 6.1 Results'!I14)</f>
        <v/>
      </c>
      <c r="K23">
        <f>IF('MT 6.1 Results'!I15="","","Total: "&amp;'MT 6.1 Results'!G15&amp;"/22 ("&amp;TEXT('MT 6.1 Results'!H15,"0%")&amp;")   Overall: "&amp;'MT 6.1 Results'!I15)</f>
        <v/>
      </c>
    </row>
    <row r="24">
      <c r="A24">
        <f>IF('MT 6.1 Results'!I14="","",IF('MT 6.1 Results'!I14="Green",Parameters!$C$353,IF('MT 6.1 Results'!I14="Yellow",Parameters!$C$352,Parameters!$C$351)))</f>
        <v/>
      </c>
      <c r="K24">
        <f>IF('MT 6.1 Results'!I15="","",IF('MT 6.1 Results'!I15="Green",Parameters!$C$353,IF('MT 6.1 Results'!I15="Yellow",Parameters!$C$352,Parameters!$C$351)))</f>
        <v/>
      </c>
    </row>
    <row r="26">
      <c r="A26">
        <f>IF('MT 6.1 Results'!I14="","","Breakdown:")</f>
        <v/>
      </c>
      <c r="K26">
        <f>IF('MT 6.1 Results'!I15="","","Breakdown:")</f>
        <v/>
      </c>
    </row>
    <row r="27">
      <c r="A27">
        <f>IF('MT 6.1 Results'!I14="","","Q1 Point estimates: "&amp;'MT 6.1 Results'!C14&amp;"/4")</f>
        <v/>
      </c>
      <c r="K27">
        <f>IF('MT 6.1 Results'!I15="","","Q1 Point estimates: "&amp;'MT 6.1 Results'!C15&amp;"/4")</f>
        <v/>
      </c>
    </row>
    <row r="28">
      <c r="A28">
        <f>IF('MT 6.1 Results'!I14="","","Q2 Standard error: "&amp;'MT 6.1 Results'!D14&amp;"/5")</f>
        <v/>
      </c>
      <c r="K28">
        <f>IF('MT 6.1 Results'!I15="","","Q2 Standard error: "&amp;'MT 6.1 Results'!D15&amp;"/5")</f>
        <v/>
      </c>
    </row>
    <row r="29">
      <c r="A29">
        <f>IF('MT 6.1 Results'!I14="","","Q3 CI for a mean: "&amp;'MT 6.1 Results'!E14&amp;"/7")</f>
        <v/>
      </c>
      <c r="K29">
        <f>IF('MT 6.1 Results'!I15="","","Q3 CI for a mean: "&amp;'MT 6.1 Results'!E15&amp;"/7")</f>
        <v/>
      </c>
    </row>
    <row r="30">
      <c r="A30">
        <f>IF('MT 6.1 Results'!I14="","","Q4 Comparing CIs: "&amp;'MT 6.1 Results'!F14&amp;"/6")</f>
        <v/>
      </c>
      <c r="K30">
        <f>IF('MT 6.1 Results'!I15="","","Q4 Comparing CIs: "&amp;'MT 6.1 Results'!F15&amp;"/6")</f>
        <v/>
      </c>
    </row>
    <row r="31">
      <c r="A31">
        <f>IF(OR('MT 6.1 Results'!I14="",'MT 6.1 Results'!J14=""),"",'MT 6.1 Results'!J14)</f>
        <v/>
      </c>
      <c r="K31">
        <f>IF(OR('MT 6.1 Results'!I15="",'MT 6.1 Results'!J15=""),"",'MT 6.1 Results'!J15)</f>
        <v/>
      </c>
    </row>
    <row r="33">
      <c r="A33">
        <f>IF('MT 6.1 Results'!I14="","","Comments:")</f>
        <v/>
      </c>
      <c r="K33">
        <f>IF('MT 6.1 Results'!I15="","","Comments:")</f>
        <v/>
      </c>
    </row>
    <row r="37">
      <c r="A37">
        <f>IF('MT 6.1 Results'!I16="","","Mini Test 6.1 — Probabilities &amp; Estimation")</f>
        <v/>
      </c>
      <c r="K37">
        <f>IF('MT 6.1 Results'!I17="","","Mini Test 6.1 — Probabilities &amp; Estimation")</f>
        <v/>
      </c>
    </row>
    <row r="38">
      <c r="A38">
        <f>IF('MT 6.1 Results'!I16="","","Name: "&amp;'MT 6.1 Results'!B16&amp;"   Class: "&amp;'MT 6.1 Results'!$B$3&amp;"   Date: "&amp;TEXT('MT 6.1 Results'!$B$5,"DD/MM/YY"))</f>
        <v/>
      </c>
      <c r="K38">
        <f>IF('MT 6.1 Results'!I17="","","Name: "&amp;'MT 6.1 Results'!B17&amp;"   Class: "&amp;'MT 6.1 Results'!$B$3&amp;"   Date: "&amp;TEXT('MT 6.1 Results'!$B$5,"DD/MM/YY"))</f>
        <v/>
      </c>
    </row>
    <row r="39">
      <c r="A39">
        <f>IF('MT 6.1 Results'!I16="","","Total: "&amp;'MT 6.1 Results'!G16&amp;"/22 ("&amp;TEXT('MT 6.1 Results'!H16,"0%")&amp;")   Overall: "&amp;'MT 6.1 Results'!I16)</f>
        <v/>
      </c>
      <c r="K39">
        <f>IF('MT 6.1 Results'!I17="","","Total: "&amp;'MT 6.1 Results'!G17&amp;"/22 ("&amp;TEXT('MT 6.1 Results'!H17,"0%")&amp;")   Overall: "&amp;'MT 6.1 Results'!I17)</f>
        <v/>
      </c>
    </row>
    <row r="40">
      <c r="A40">
        <f>IF('MT 6.1 Results'!I16="","",IF('MT 6.1 Results'!I16="Green",Parameters!$C$353,IF('MT 6.1 Results'!I16="Yellow",Parameters!$C$352,Parameters!$C$351)))</f>
        <v/>
      </c>
      <c r="K40">
        <f>IF('MT 6.1 Results'!I17="","",IF('MT 6.1 Results'!I17="Green",Parameters!$C$353,IF('MT 6.1 Results'!I17="Yellow",Parameters!$C$352,Parameters!$C$351)))</f>
        <v/>
      </c>
    </row>
    <row r="42">
      <c r="A42">
        <f>IF('MT 6.1 Results'!I16="","","Breakdown:")</f>
        <v/>
      </c>
      <c r="K42">
        <f>IF('MT 6.1 Results'!I17="","","Breakdown:")</f>
        <v/>
      </c>
    </row>
    <row r="43">
      <c r="A43">
        <f>IF('MT 6.1 Results'!I16="","","Q1 Point estimates: "&amp;'MT 6.1 Results'!C16&amp;"/4")</f>
        <v/>
      </c>
      <c r="K43">
        <f>IF('MT 6.1 Results'!I17="","","Q1 Point estimates: "&amp;'MT 6.1 Results'!C17&amp;"/4")</f>
        <v/>
      </c>
    </row>
    <row r="44">
      <c r="A44">
        <f>IF('MT 6.1 Results'!I16="","","Q2 Standard error: "&amp;'MT 6.1 Results'!D16&amp;"/5")</f>
        <v/>
      </c>
      <c r="K44">
        <f>IF('MT 6.1 Results'!I17="","","Q2 Standard error: "&amp;'MT 6.1 Results'!D17&amp;"/5")</f>
        <v/>
      </c>
    </row>
    <row r="45">
      <c r="A45">
        <f>IF('MT 6.1 Results'!I16="","","Q3 CI for a mean: "&amp;'MT 6.1 Results'!E16&amp;"/7")</f>
        <v/>
      </c>
      <c r="K45">
        <f>IF('MT 6.1 Results'!I17="","","Q3 CI for a mean: "&amp;'MT 6.1 Results'!E17&amp;"/7")</f>
        <v/>
      </c>
    </row>
    <row r="46">
      <c r="A46">
        <f>IF('MT 6.1 Results'!I16="","","Q4 Comparing CIs: "&amp;'MT 6.1 Results'!F16&amp;"/6")</f>
        <v/>
      </c>
      <c r="K46">
        <f>IF('MT 6.1 Results'!I17="","","Q4 Comparing CIs: "&amp;'MT 6.1 Results'!F17&amp;"/6")</f>
        <v/>
      </c>
    </row>
    <row r="47">
      <c r="A47">
        <f>IF(OR('MT 6.1 Results'!I16="",'MT 6.1 Results'!J16=""),"",'MT 6.1 Results'!J16)</f>
        <v/>
      </c>
      <c r="K47">
        <f>IF(OR('MT 6.1 Results'!I17="",'MT 6.1 Results'!J17=""),"",'MT 6.1 Results'!J17)</f>
        <v/>
      </c>
    </row>
    <row r="49">
      <c r="A49">
        <f>IF('MT 6.1 Results'!I16="","","Comments:")</f>
        <v/>
      </c>
      <c r="K49">
        <f>IF('MT 6.1 Results'!I17="","","Comments:")</f>
        <v/>
      </c>
    </row>
    <row r="53">
      <c r="A53">
        <f>IF('MT 6.1 Results'!I18="","","Mini Test 6.1 — Probabilities &amp; Estimation")</f>
        <v/>
      </c>
      <c r="K53">
        <f>IF('MT 6.1 Results'!I19="","","Mini Test 6.1 — Probabilities &amp; Estimation")</f>
        <v/>
      </c>
    </row>
    <row r="54">
      <c r="A54">
        <f>IF('MT 6.1 Results'!I18="","","Name: "&amp;'MT 6.1 Results'!B18&amp;"   Class: "&amp;'MT 6.1 Results'!$B$3&amp;"   Date: "&amp;TEXT('MT 6.1 Results'!$B$5,"DD/MM/YY"))</f>
        <v/>
      </c>
      <c r="K54">
        <f>IF('MT 6.1 Results'!I19="","","Name: "&amp;'MT 6.1 Results'!B19&amp;"   Class: "&amp;'MT 6.1 Results'!$B$3&amp;"   Date: "&amp;TEXT('MT 6.1 Results'!$B$5,"DD/MM/YY"))</f>
        <v/>
      </c>
    </row>
    <row r="55">
      <c r="A55">
        <f>IF('MT 6.1 Results'!I18="","","Total: "&amp;'MT 6.1 Results'!G18&amp;"/22 ("&amp;TEXT('MT 6.1 Results'!H18,"0%")&amp;")   Overall: "&amp;'MT 6.1 Results'!I18)</f>
        <v/>
      </c>
      <c r="K55">
        <f>IF('MT 6.1 Results'!I19="","","Total: "&amp;'MT 6.1 Results'!G19&amp;"/22 ("&amp;TEXT('MT 6.1 Results'!H19,"0%")&amp;")   Overall: "&amp;'MT 6.1 Results'!I19)</f>
        <v/>
      </c>
    </row>
    <row r="56">
      <c r="A56">
        <f>IF('MT 6.1 Results'!I18="","",IF('MT 6.1 Results'!I18="Green",Parameters!$C$353,IF('MT 6.1 Results'!I18="Yellow",Parameters!$C$352,Parameters!$C$351)))</f>
        <v/>
      </c>
      <c r="K56">
        <f>IF('MT 6.1 Results'!I19="","",IF('MT 6.1 Results'!I19="Green",Parameters!$C$353,IF('MT 6.1 Results'!I19="Yellow",Parameters!$C$352,Parameters!$C$351)))</f>
        <v/>
      </c>
    </row>
    <row r="58">
      <c r="A58">
        <f>IF('MT 6.1 Results'!I18="","","Breakdown:")</f>
        <v/>
      </c>
      <c r="K58">
        <f>IF('MT 6.1 Results'!I19="","","Breakdown:")</f>
        <v/>
      </c>
    </row>
    <row r="59">
      <c r="A59">
        <f>IF('MT 6.1 Results'!I18="","","Q1 Point estimates: "&amp;'MT 6.1 Results'!C18&amp;"/4")</f>
        <v/>
      </c>
      <c r="K59">
        <f>IF('MT 6.1 Results'!I19="","","Q1 Point estimates: "&amp;'MT 6.1 Results'!C19&amp;"/4")</f>
        <v/>
      </c>
    </row>
    <row r="60">
      <c r="A60">
        <f>IF('MT 6.1 Results'!I18="","","Q2 Standard error: "&amp;'MT 6.1 Results'!D18&amp;"/5")</f>
        <v/>
      </c>
      <c r="K60">
        <f>IF('MT 6.1 Results'!I19="","","Q2 Standard error: "&amp;'MT 6.1 Results'!D19&amp;"/5")</f>
        <v/>
      </c>
    </row>
    <row r="61">
      <c r="A61">
        <f>IF('MT 6.1 Results'!I18="","","Q3 CI for a mean: "&amp;'MT 6.1 Results'!E18&amp;"/7")</f>
        <v/>
      </c>
      <c r="K61">
        <f>IF('MT 6.1 Results'!I19="","","Q3 CI for a mean: "&amp;'MT 6.1 Results'!E19&amp;"/7")</f>
        <v/>
      </c>
    </row>
    <row r="62">
      <c r="A62">
        <f>IF('MT 6.1 Results'!I18="","","Q4 Comparing CIs: "&amp;'MT 6.1 Results'!F18&amp;"/6")</f>
        <v/>
      </c>
      <c r="K62">
        <f>IF('MT 6.1 Results'!I19="","","Q4 Comparing CIs: "&amp;'MT 6.1 Results'!F19&amp;"/6")</f>
        <v/>
      </c>
    </row>
    <row r="63">
      <c r="A63">
        <f>IF(OR('MT 6.1 Results'!I18="",'MT 6.1 Results'!J18=""),"",'MT 6.1 Results'!J18)</f>
        <v/>
      </c>
      <c r="K63">
        <f>IF(OR('MT 6.1 Results'!I19="",'MT 6.1 Results'!J19=""),"",'MT 6.1 Results'!J19)</f>
        <v/>
      </c>
    </row>
    <row r="65">
      <c r="A65">
        <f>IF('MT 6.1 Results'!I18="","","Comments:")</f>
        <v/>
      </c>
      <c r="K65">
        <f>IF('MT 6.1 Results'!I19="","","Comments:")</f>
        <v/>
      </c>
    </row>
    <row r="69">
      <c r="A69">
        <f>IF('MT 6.1 Results'!I20="","","Mini Test 6.1 — Probabilities &amp; Estimation")</f>
        <v/>
      </c>
      <c r="K69">
        <f>IF('MT 6.1 Results'!I21="","","Mini Test 6.1 — Probabilities &amp; Estimation")</f>
        <v/>
      </c>
    </row>
    <row r="70">
      <c r="A70">
        <f>IF('MT 6.1 Results'!I20="","","Name: "&amp;'MT 6.1 Results'!B20&amp;"   Class: "&amp;'MT 6.1 Results'!$B$3&amp;"   Date: "&amp;TEXT('MT 6.1 Results'!$B$5,"DD/MM/YY"))</f>
        <v/>
      </c>
      <c r="K70">
        <f>IF('MT 6.1 Results'!I21="","","Name: "&amp;'MT 6.1 Results'!B21&amp;"   Class: "&amp;'MT 6.1 Results'!$B$3&amp;"   Date: "&amp;TEXT('MT 6.1 Results'!$B$5,"DD/MM/YY"))</f>
        <v/>
      </c>
    </row>
    <row r="71">
      <c r="A71">
        <f>IF('MT 6.1 Results'!I20="","","Total: "&amp;'MT 6.1 Results'!G20&amp;"/22 ("&amp;TEXT('MT 6.1 Results'!H20,"0%")&amp;")   Overall: "&amp;'MT 6.1 Results'!I20)</f>
        <v/>
      </c>
      <c r="K71">
        <f>IF('MT 6.1 Results'!I21="","","Total: "&amp;'MT 6.1 Results'!G21&amp;"/22 ("&amp;TEXT('MT 6.1 Results'!H21,"0%")&amp;")   Overall: "&amp;'MT 6.1 Results'!I21)</f>
        <v/>
      </c>
    </row>
    <row r="72">
      <c r="A72">
        <f>IF('MT 6.1 Results'!I20="","",IF('MT 6.1 Results'!I20="Green",Parameters!$C$353,IF('MT 6.1 Results'!I20="Yellow",Parameters!$C$352,Parameters!$C$351)))</f>
        <v/>
      </c>
      <c r="K72">
        <f>IF('MT 6.1 Results'!I21="","",IF('MT 6.1 Results'!I21="Green",Parameters!$C$353,IF('MT 6.1 Results'!I21="Yellow",Parameters!$C$352,Parameters!$C$351)))</f>
        <v/>
      </c>
    </row>
    <row r="74">
      <c r="A74">
        <f>IF('MT 6.1 Results'!I20="","","Breakdown:")</f>
        <v/>
      </c>
      <c r="K74">
        <f>IF('MT 6.1 Results'!I21="","","Breakdown:")</f>
        <v/>
      </c>
    </row>
    <row r="75">
      <c r="A75">
        <f>IF('MT 6.1 Results'!I20="","","Q1 Point estimates: "&amp;'MT 6.1 Results'!C20&amp;"/4")</f>
        <v/>
      </c>
      <c r="K75">
        <f>IF('MT 6.1 Results'!I21="","","Q1 Point estimates: "&amp;'MT 6.1 Results'!C21&amp;"/4")</f>
        <v/>
      </c>
    </row>
    <row r="76">
      <c r="A76">
        <f>IF('MT 6.1 Results'!I20="","","Q2 Standard error: "&amp;'MT 6.1 Results'!D20&amp;"/5")</f>
        <v/>
      </c>
      <c r="K76">
        <f>IF('MT 6.1 Results'!I21="","","Q2 Standard error: "&amp;'MT 6.1 Results'!D21&amp;"/5")</f>
        <v/>
      </c>
    </row>
    <row r="77">
      <c r="A77">
        <f>IF('MT 6.1 Results'!I20="","","Q3 CI for a mean: "&amp;'MT 6.1 Results'!E20&amp;"/7")</f>
        <v/>
      </c>
      <c r="K77">
        <f>IF('MT 6.1 Results'!I21="","","Q3 CI for a mean: "&amp;'MT 6.1 Results'!E21&amp;"/7")</f>
        <v/>
      </c>
    </row>
    <row r="78">
      <c r="A78">
        <f>IF('MT 6.1 Results'!I20="","","Q4 Comparing CIs: "&amp;'MT 6.1 Results'!F20&amp;"/6")</f>
        <v/>
      </c>
      <c r="K78">
        <f>IF('MT 6.1 Results'!I21="","","Q4 Comparing CIs: "&amp;'MT 6.1 Results'!F21&amp;"/6")</f>
        <v/>
      </c>
    </row>
    <row r="79">
      <c r="A79">
        <f>IF(OR('MT 6.1 Results'!I20="",'MT 6.1 Results'!J20=""),"",'MT 6.1 Results'!J20)</f>
        <v/>
      </c>
      <c r="K79">
        <f>IF(OR('MT 6.1 Results'!I21="",'MT 6.1 Results'!J21=""),"",'MT 6.1 Results'!J21)</f>
        <v/>
      </c>
    </row>
    <row r="81">
      <c r="A81">
        <f>IF('MT 6.1 Results'!I20="","","Comments:")</f>
        <v/>
      </c>
      <c r="K81">
        <f>IF('MT 6.1 Results'!I21="","","Comments:")</f>
        <v/>
      </c>
    </row>
    <row r="85">
      <c r="A85">
        <f>IF('MT 6.1 Results'!I22="","","Mini Test 6.1 — Probabilities &amp; Estimation")</f>
        <v/>
      </c>
      <c r="K85">
        <f>IF('MT 6.1 Results'!I23="","","Mini Test 6.1 — Probabilities &amp; Estimation")</f>
        <v/>
      </c>
    </row>
    <row r="86">
      <c r="A86">
        <f>IF('MT 6.1 Results'!I22="","","Name: "&amp;'MT 6.1 Results'!B22&amp;"   Class: "&amp;'MT 6.1 Results'!$B$3&amp;"   Date: "&amp;TEXT('MT 6.1 Results'!$B$5,"DD/MM/YY"))</f>
        <v/>
      </c>
      <c r="K86">
        <f>IF('MT 6.1 Results'!I23="","","Name: "&amp;'MT 6.1 Results'!B23&amp;"   Class: "&amp;'MT 6.1 Results'!$B$3&amp;"   Date: "&amp;TEXT('MT 6.1 Results'!$B$5,"DD/MM/YY"))</f>
        <v/>
      </c>
    </row>
    <row r="87">
      <c r="A87">
        <f>IF('MT 6.1 Results'!I22="","","Total: "&amp;'MT 6.1 Results'!G22&amp;"/22 ("&amp;TEXT('MT 6.1 Results'!H22,"0%")&amp;")   Overall: "&amp;'MT 6.1 Results'!I22)</f>
        <v/>
      </c>
      <c r="K87">
        <f>IF('MT 6.1 Results'!I23="","","Total: "&amp;'MT 6.1 Results'!G23&amp;"/22 ("&amp;TEXT('MT 6.1 Results'!H23,"0%")&amp;")   Overall: "&amp;'MT 6.1 Results'!I23)</f>
        <v/>
      </c>
    </row>
    <row r="88">
      <c r="A88">
        <f>IF('MT 6.1 Results'!I22="","",IF('MT 6.1 Results'!I22="Green",Parameters!$C$353,IF('MT 6.1 Results'!I22="Yellow",Parameters!$C$352,Parameters!$C$351)))</f>
        <v/>
      </c>
      <c r="K88">
        <f>IF('MT 6.1 Results'!I23="","",IF('MT 6.1 Results'!I23="Green",Parameters!$C$353,IF('MT 6.1 Results'!I23="Yellow",Parameters!$C$352,Parameters!$C$351)))</f>
        <v/>
      </c>
    </row>
    <row r="90">
      <c r="A90">
        <f>IF('MT 6.1 Results'!I22="","","Breakdown:")</f>
        <v/>
      </c>
      <c r="K90">
        <f>IF('MT 6.1 Results'!I23="","","Breakdown:")</f>
        <v/>
      </c>
    </row>
    <row r="91">
      <c r="A91">
        <f>IF('MT 6.1 Results'!I22="","","Q1 Point estimates: "&amp;'MT 6.1 Results'!C22&amp;"/4")</f>
        <v/>
      </c>
      <c r="K91">
        <f>IF('MT 6.1 Results'!I23="","","Q1 Point estimates: "&amp;'MT 6.1 Results'!C23&amp;"/4")</f>
        <v/>
      </c>
    </row>
    <row r="92">
      <c r="A92">
        <f>IF('MT 6.1 Results'!I22="","","Q2 Standard error: "&amp;'MT 6.1 Results'!D22&amp;"/5")</f>
        <v/>
      </c>
      <c r="K92">
        <f>IF('MT 6.1 Results'!I23="","","Q2 Standard error: "&amp;'MT 6.1 Results'!D23&amp;"/5")</f>
        <v/>
      </c>
    </row>
    <row r="93">
      <c r="A93">
        <f>IF('MT 6.1 Results'!I22="","","Q3 CI for a mean: "&amp;'MT 6.1 Results'!E22&amp;"/7")</f>
        <v/>
      </c>
      <c r="K93">
        <f>IF('MT 6.1 Results'!I23="","","Q3 CI for a mean: "&amp;'MT 6.1 Results'!E23&amp;"/7")</f>
        <v/>
      </c>
    </row>
    <row r="94">
      <c r="A94">
        <f>IF('MT 6.1 Results'!I22="","","Q4 Comparing CIs: "&amp;'MT 6.1 Results'!F22&amp;"/6")</f>
        <v/>
      </c>
      <c r="K94">
        <f>IF('MT 6.1 Results'!I23="","","Q4 Comparing CIs: "&amp;'MT 6.1 Results'!F23&amp;"/6")</f>
        <v/>
      </c>
    </row>
    <row r="95">
      <c r="A95">
        <f>IF(OR('MT 6.1 Results'!I22="",'MT 6.1 Results'!J22=""),"",'MT 6.1 Results'!J22)</f>
        <v/>
      </c>
      <c r="K95">
        <f>IF(OR('MT 6.1 Results'!I23="",'MT 6.1 Results'!J23=""),"",'MT 6.1 Results'!J23)</f>
        <v/>
      </c>
    </row>
    <row r="97">
      <c r="A97">
        <f>IF('MT 6.1 Results'!I22="","","Comments:")</f>
        <v/>
      </c>
      <c r="K97">
        <f>IF('MT 6.1 Results'!I23="","","Comments:")</f>
        <v/>
      </c>
    </row>
    <row r="101">
      <c r="A101">
        <f>IF('MT 6.1 Results'!I24="","","Mini Test 6.1 — Probabilities &amp; Estimation")</f>
        <v/>
      </c>
      <c r="K101">
        <f>IF('MT 6.1 Results'!I25="","","Mini Test 6.1 — Probabilities &amp; Estimation")</f>
        <v/>
      </c>
    </row>
    <row r="102">
      <c r="A102">
        <f>IF('MT 6.1 Results'!I24="","","Name: "&amp;'MT 6.1 Results'!B24&amp;"   Class: "&amp;'MT 6.1 Results'!$B$3&amp;"   Date: "&amp;TEXT('MT 6.1 Results'!$B$5,"DD/MM/YY"))</f>
        <v/>
      </c>
      <c r="K102">
        <f>IF('MT 6.1 Results'!I25="","","Name: "&amp;'MT 6.1 Results'!B25&amp;"   Class: "&amp;'MT 6.1 Results'!$B$3&amp;"   Date: "&amp;TEXT('MT 6.1 Results'!$B$5,"DD/MM/YY"))</f>
        <v/>
      </c>
    </row>
    <row r="103">
      <c r="A103">
        <f>IF('MT 6.1 Results'!I24="","","Total: "&amp;'MT 6.1 Results'!G24&amp;"/22 ("&amp;TEXT('MT 6.1 Results'!H24,"0%")&amp;")   Overall: "&amp;'MT 6.1 Results'!I24)</f>
        <v/>
      </c>
      <c r="K103">
        <f>IF('MT 6.1 Results'!I25="","","Total: "&amp;'MT 6.1 Results'!G25&amp;"/22 ("&amp;TEXT('MT 6.1 Results'!H25,"0%")&amp;")   Overall: "&amp;'MT 6.1 Results'!I25)</f>
        <v/>
      </c>
    </row>
    <row r="104">
      <c r="A104">
        <f>IF('MT 6.1 Results'!I24="","",IF('MT 6.1 Results'!I24="Green",Parameters!$C$353,IF('MT 6.1 Results'!I24="Yellow",Parameters!$C$352,Parameters!$C$351)))</f>
        <v/>
      </c>
      <c r="K104">
        <f>IF('MT 6.1 Results'!I25="","",IF('MT 6.1 Results'!I25="Green",Parameters!$C$353,IF('MT 6.1 Results'!I25="Yellow",Parameters!$C$352,Parameters!$C$351)))</f>
        <v/>
      </c>
    </row>
    <row r="106">
      <c r="A106">
        <f>IF('MT 6.1 Results'!I24="","","Breakdown:")</f>
        <v/>
      </c>
      <c r="K106">
        <f>IF('MT 6.1 Results'!I25="","","Breakdown:")</f>
        <v/>
      </c>
    </row>
    <row r="107">
      <c r="A107">
        <f>IF('MT 6.1 Results'!I24="","","Q1 Point estimates: "&amp;'MT 6.1 Results'!C24&amp;"/4")</f>
        <v/>
      </c>
      <c r="K107">
        <f>IF('MT 6.1 Results'!I25="","","Q1 Point estimates: "&amp;'MT 6.1 Results'!C25&amp;"/4")</f>
        <v/>
      </c>
    </row>
    <row r="108">
      <c r="A108">
        <f>IF('MT 6.1 Results'!I24="","","Q2 Standard error: "&amp;'MT 6.1 Results'!D24&amp;"/5")</f>
        <v/>
      </c>
      <c r="K108">
        <f>IF('MT 6.1 Results'!I25="","","Q2 Standard error: "&amp;'MT 6.1 Results'!D25&amp;"/5")</f>
        <v/>
      </c>
    </row>
    <row r="109">
      <c r="A109">
        <f>IF('MT 6.1 Results'!I24="","","Q3 CI for a mean: "&amp;'MT 6.1 Results'!E24&amp;"/7")</f>
        <v/>
      </c>
      <c r="K109">
        <f>IF('MT 6.1 Results'!I25="","","Q3 CI for a mean: "&amp;'MT 6.1 Results'!E25&amp;"/7")</f>
        <v/>
      </c>
    </row>
    <row r="110">
      <c r="A110">
        <f>IF('MT 6.1 Results'!I24="","","Q4 Comparing CIs: "&amp;'MT 6.1 Results'!F24&amp;"/6")</f>
        <v/>
      </c>
      <c r="K110">
        <f>IF('MT 6.1 Results'!I25="","","Q4 Comparing CIs: "&amp;'MT 6.1 Results'!F25&amp;"/6")</f>
        <v/>
      </c>
    </row>
    <row r="111">
      <c r="A111">
        <f>IF(OR('MT 6.1 Results'!I24="",'MT 6.1 Results'!J24=""),"",'MT 6.1 Results'!J24)</f>
        <v/>
      </c>
      <c r="K111">
        <f>IF(OR('MT 6.1 Results'!I25="",'MT 6.1 Results'!J25=""),"",'MT 6.1 Results'!J25)</f>
        <v/>
      </c>
    </row>
    <row r="113">
      <c r="A113">
        <f>IF('MT 6.1 Results'!I24="","","Comments:")</f>
        <v/>
      </c>
      <c r="K113">
        <f>IF('MT 6.1 Results'!I25="","","Comments:")</f>
        <v/>
      </c>
    </row>
    <row r="117">
      <c r="A117">
        <f>IF('MT 6.1 Results'!I26="","","Mini Test 6.1 — Probabilities &amp; Estimation")</f>
        <v/>
      </c>
      <c r="K117">
        <f>IF('MT 6.1 Results'!I27="","","Mini Test 6.1 — Probabilities &amp; Estimation")</f>
        <v/>
      </c>
    </row>
    <row r="118">
      <c r="A118">
        <f>IF('MT 6.1 Results'!I26="","","Name: "&amp;'MT 6.1 Results'!B26&amp;"   Class: "&amp;'MT 6.1 Results'!$B$3&amp;"   Date: "&amp;TEXT('MT 6.1 Results'!$B$5,"DD/MM/YY"))</f>
        <v/>
      </c>
      <c r="K118">
        <f>IF('MT 6.1 Results'!I27="","","Name: "&amp;'MT 6.1 Results'!B27&amp;"   Class: "&amp;'MT 6.1 Results'!$B$3&amp;"   Date: "&amp;TEXT('MT 6.1 Results'!$B$5,"DD/MM/YY"))</f>
        <v/>
      </c>
    </row>
    <row r="119">
      <c r="A119">
        <f>IF('MT 6.1 Results'!I26="","","Total: "&amp;'MT 6.1 Results'!G26&amp;"/22 ("&amp;TEXT('MT 6.1 Results'!H26,"0%")&amp;")   Overall: "&amp;'MT 6.1 Results'!I26)</f>
        <v/>
      </c>
      <c r="K119">
        <f>IF('MT 6.1 Results'!I27="","","Total: "&amp;'MT 6.1 Results'!G27&amp;"/22 ("&amp;TEXT('MT 6.1 Results'!H27,"0%")&amp;")   Overall: "&amp;'MT 6.1 Results'!I27)</f>
        <v/>
      </c>
    </row>
    <row r="120">
      <c r="A120">
        <f>IF('MT 6.1 Results'!I26="","",IF('MT 6.1 Results'!I26="Green",Parameters!$C$353,IF('MT 6.1 Results'!I26="Yellow",Parameters!$C$352,Parameters!$C$351)))</f>
        <v/>
      </c>
      <c r="K120">
        <f>IF('MT 6.1 Results'!I27="","",IF('MT 6.1 Results'!I27="Green",Parameters!$C$353,IF('MT 6.1 Results'!I27="Yellow",Parameters!$C$352,Parameters!$C$351)))</f>
        <v/>
      </c>
    </row>
    <row r="122">
      <c r="A122">
        <f>IF('MT 6.1 Results'!I26="","","Breakdown:")</f>
        <v/>
      </c>
      <c r="K122">
        <f>IF('MT 6.1 Results'!I27="","","Breakdown:")</f>
        <v/>
      </c>
    </row>
    <row r="123">
      <c r="A123">
        <f>IF('MT 6.1 Results'!I26="","","Q1 Point estimates: "&amp;'MT 6.1 Results'!C26&amp;"/4")</f>
        <v/>
      </c>
      <c r="K123">
        <f>IF('MT 6.1 Results'!I27="","","Q1 Point estimates: "&amp;'MT 6.1 Results'!C27&amp;"/4")</f>
        <v/>
      </c>
    </row>
    <row r="124">
      <c r="A124">
        <f>IF('MT 6.1 Results'!I26="","","Q2 Standard error: "&amp;'MT 6.1 Results'!D26&amp;"/5")</f>
        <v/>
      </c>
      <c r="K124">
        <f>IF('MT 6.1 Results'!I27="","","Q2 Standard error: "&amp;'MT 6.1 Results'!D27&amp;"/5")</f>
        <v/>
      </c>
    </row>
    <row r="125">
      <c r="A125">
        <f>IF('MT 6.1 Results'!I26="","","Q3 CI for a mean: "&amp;'MT 6.1 Results'!E26&amp;"/7")</f>
        <v/>
      </c>
      <c r="K125">
        <f>IF('MT 6.1 Results'!I27="","","Q3 CI for a mean: "&amp;'MT 6.1 Results'!E27&amp;"/7")</f>
        <v/>
      </c>
    </row>
    <row r="126">
      <c r="A126">
        <f>IF('MT 6.1 Results'!I26="","","Q4 Comparing CIs: "&amp;'MT 6.1 Results'!F26&amp;"/6")</f>
        <v/>
      </c>
      <c r="K126">
        <f>IF('MT 6.1 Results'!I27="","","Q4 Comparing CIs: "&amp;'MT 6.1 Results'!F27&amp;"/6")</f>
        <v/>
      </c>
    </row>
    <row r="127">
      <c r="A127">
        <f>IF(OR('MT 6.1 Results'!I26="",'MT 6.1 Results'!J26=""),"",'MT 6.1 Results'!J26)</f>
        <v/>
      </c>
      <c r="K127">
        <f>IF(OR('MT 6.1 Results'!I27="",'MT 6.1 Results'!J27=""),"",'MT 6.1 Results'!J27)</f>
        <v/>
      </c>
    </row>
    <row r="129">
      <c r="A129">
        <f>IF('MT 6.1 Results'!I26="","","Comments:")</f>
        <v/>
      </c>
      <c r="K129">
        <f>IF('MT 6.1 Results'!I27="","","Comments:")</f>
        <v/>
      </c>
    </row>
    <row r="133">
      <c r="A133">
        <f>IF('MT 6.1 Results'!I28="","","Mini Test 6.1 — Probabilities &amp; Estimation")</f>
        <v/>
      </c>
      <c r="K133">
        <f>IF('MT 6.1 Results'!I29="","","Mini Test 6.1 — Probabilities &amp; Estimation")</f>
        <v/>
      </c>
    </row>
    <row r="134">
      <c r="A134">
        <f>IF('MT 6.1 Results'!I28="","","Name: "&amp;'MT 6.1 Results'!B28&amp;"   Class: "&amp;'MT 6.1 Results'!$B$3&amp;"   Date: "&amp;TEXT('MT 6.1 Results'!$B$5,"DD/MM/YY"))</f>
        <v/>
      </c>
      <c r="K134">
        <f>IF('MT 6.1 Results'!I29="","","Name: "&amp;'MT 6.1 Results'!B29&amp;"   Class: "&amp;'MT 6.1 Results'!$B$3&amp;"   Date: "&amp;TEXT('MT 6.1 Results'!$B$5,"DD/MM/YY"))</f>
        <v/>
      </c>
    </row>
    <row r="135">
      <c r="A135">
        <f>IF('MT 6.1 Results'!I28="","","Total: "&amp;'MT 6.1 Results'!G28&amp;"/22 ("&amp;TEXT('MT 6.1 Results'!H28,"0%")&amp;")   Overall: "&amp;'MT 6.1 Results'!I28)</f>
        <v/>
      </c>
      <c r="K135">
        <f>IF('MT 6.1 Results'!I29="","","Total: "&amp;'MT 6.1 Results'!G29&amp;"/22 ("&amp;TEXT('MT 6.1 Results'!H29,"0%")&amp;")   Overall: "&amp;'MT 6.1 Results'!I29)</f>
        <v/>
      </c>
    </row>
    <row r="136">
      <c r="A136">
        <f>IF('MT 6.1 Results'!I28="","",IF('MT 6.1 Results'!I28="Green",Parameters!$C$353,IF('MT 6.1 Results'!I28="Yellow",Parameters!$C$352,Parameters!$C$351)))</f>
        <v/>
      </c>
      <c r="K136">
        <f>IF('MT 6.1 Results'!I29="","",IF('MT 6.1 Results'!I29="Green",Parameters!$C$353,IF('MT 6.1 Results'!I29="Yellow",Parameters!$C$352,Parameters!$C$351)))</f>
        <v/>
      </c>
    </row>
    <row r="138">
      <c r="A138">
        <f>IF('MT 6.1 Results'!I28="","","Breakdown:")</f>
        <v/>
      </c>
      <c r="K138">
        <f>IF('MT 6.1 Results'!I29="","","Breakdown:")</f>
        <v/>
      </c>
    </row>
    <row r="139">
      <c r="A139">
        <f>IF('MT 6.1 Results'!I28="","","Q1 Point estimates: "&amp;'MT 6.1 Results'!C28&amp;"/4")</f>
        <v/>
      </c>
      <c r="K139">
        <f>IF('MT 6.1 Results'!I29="","","Q1 Point estimates: "&amp;'MT 6.1 Results'!C29&amp;"/4")</f>
        <v/>
      </c>
    </row>
    <row r="140">
      <c r="A140">
        <f>IF('MT 6.1 Results'!I28="","","Q2 Standard error: "&amp;'MT 6.1 Results'!D28&amp;"/5")</f>
        <v/>
      </c>
      <c r="K140">
        <f>IF('MT 6.1 Results'!I29="","","Q2 Standard error: "&amp;'MT 6.1 Results'!D29&amp;"/5")</f>
        <v/>
      </c>
    </row>
    <row r="141">
      <c r="A141">
        <f>IF('MT 6.1 Results'!I28="","","Q3 CI for a mean: "&amp;'MT 6.1 Results'!E28&amp;"/7")</f>
        <v/>
      </c>
      <c r="K141">
        <f>IF('MT 6.1 Results'!I29="","","Q3 CI for a mean: "&amp;'MT 6.1 Results'!E29&amp;"/7")</f>
        <v/>
      </c>
    </row>
    <row r="142">
      <c r="A142">
        <f>IF('MT 6.1 Results'!I28="","","Q4 Comparing CIs: "&amp;'MT 6.1 Results'!F28&amp;"/6")</f>
        <v/>
      </c>
      <c r="K142">
        <f>IF('MT 6.1 Results'!I29="","","Q4 Comparing CIs: "&amp;'MT 6.1 Results'!F29&amp;"/6")</f>
        <v/>
      </c>
    </row>
    <row r="143">
      <c r="A143">
        <f>IF(OR('MT 6.1 Results'!I28="",'MT 6.1 Results'!J28=""),"",'MT 6.1 Results'!J28)</f>
        <v/>
      </c>
      <c r="K143">
        <f>IF(OR('MT 6.1 Results'!I29="",'MT 6.1 Results'!J29=""),"",'MT 6.1 Results'!J29)</f>
        <v/>
      </c>
    </row>
    <row r="145">
      <c r="A145">
        <f>IF('MT 6.1 Results'!I28="","","Comments:")</f>
        <v/>
      </c>
      <c r="K145">
        <f>IF('MT 6.1 Results'!I29="","","Comments:")</f>
        <v/>
      </c>
    </row>
    <row r="149">
      <c r="A149">
        <f>IF('MT 6.1 Results'!I30="","","Mini Test 6.1 — Probabilities &amp; Estimation")</f>
        <v/>
      </c>
      <c r="K149">
        <f>IF('MT 6.1 Results'!I31="","","Mini Test 6.1 — Probabilities &amp; Estimation")</f>
        <v/>
      </c>
    </row>
    <row r="150">
      <c r="A150">
        <f>IF('MT 6.1 Results'!I30="","","Name: "&amp;'MT 6.1 Results'!B30&amp;"   Class: "&amp;'MT 6.1 Results'!$B$3&amp;"   Date: "&amp;TEXT('MT 6.1 Results'!$B$5,"DD/MM/YY"))</f>
        <v/>
      </c>
      <c r="K150">
        <f>IF('MT 6.1 Results'!I31="","","Name: "&amp;'MT 6.1 Results'!B31&amp;"   Class: "&amp;'MT 6.1 Results'!$B$3&amp;"   Date: "&amp;TEXT('MT 6.1 Results'!$B$5,"DD/MM/YY"))</f>
        <v/>
      </c>
    </row>
    <row r="151">
      <c r="A151">
        <f>IF('MT 6.1 Results'!I30="","","Total: "&amp;'MT 6.1 Results'!G30&amp;"/22 ("&amp;TEXT('MT 6.1 Results'!H30,"0%")&amp;")   Overall: "&amp;'MT 6.1 Results'!I30)</f>
        <v/>
      </c>
      <c r="K151">
        <f>IF('MT 6.1 Results'!I31="","","Total: "&amp;'MT 6.1 Results'!G31&amp;"/22 ("&amp;TEXT('MT 6.1 Results'!H31,"0%")&amp;")   Overall: "&amp;'MT 6.1 Results'!I31)</f>
        <v/>
      </c>
    </row>
    <row r="152">
      <c r="A152">
        <f>IF('MT 6.1 Results'!I30="","",IF('MT 6.1 Results'!I30="Green",Parameters!$C$353,IF('MT 6.1 Results'!I30="Yellow",Parameters!$C$352,Parameters!$C$351)))</f>
        <v/>
      </c>
      <c r="K152">
        <f>IF('MT 6.1 Results'!I31="","",IF('MT 6.1 Results'!I31="Green",Parameters!$C$353,IF('MT 6.1 Results'!I31="Yellow",Parameters!$C$352,Parameters!$C$351)))</f>
        <v/>
      </c>
    </row>
    <row r="154">
      <c r="A154">
        <f>IF('MT 6.1 Results'!I30="","","Breakdown:")</f>
        <v/>
      </c>
      <c r="K154">
        <f>IF('MT 6.1 Results'!I31="","","Breakdown:")</f>
        <v/>
      </c>
    </row>
    <row r="155">
      <c r="A155">
        <f>IF('MT 6.1 Results'!I30="","","Q1 Point estimates: "&amp;'MT 6.1 Results'!C30&amp;"/4")</f>
        <v/>
      </c>
      <c r="K155">
        <f>IF('MT 6.1 Results'!I31="","","Q1 Point estimates: "&amp;'MT 6.1 Results'!C31&amp;"/4")</f>
        <v/>
      </c>
    </row>
    <row r="156">
      <c r="A156">
        <f>IF('MT 6.1 Results'!I30="","","Q2 Standard error: "&amp;'MT 6.1 Results'!D30&amp;"/5")</f>
        <v/>
      </c>
      <c r="K156">
        <f>IF('MT 6.1 Results'!I31="","","Q2 Standard error: "&amp;'MT 6.1 Results'!D31&amp;"/5")</f>
        <v/>
      </c>
    </row>
    <row r="157">
      <c r="A157">
        <f>IF('MT 6.1 Results'!I30="","","Q3 CI for a mean: "&amp;'MT 6.1 Results'!E30&amp;"/7")</f>
        <v/>
      </c>
      <c r="K157">
        <f>IF('MT 6.1 Results'!I31="","","Q3 CI for a mean: "&amp;'MT 6.1 Results'!E31&amp;"/7")</f>
        <v/>
      </c>
    </row>
    <row r="158">
      <c r="A158">
        <f>IF('MT 6.1 Results'!I30="","","Q4 Comparing CIs: "&amp;'MT 6.1 Results'!F30&amp;"/6")</f>
        <v/>
      </c>
      <c r="K158">
        <f>IF('MT 6.1 Results'!I31="","","Q4 Comparing CIs: "&amp;'MT 6.1 Results'!F31&amp;"/6")</f>
        <v/>
      </c>
    </row>
    <row r="159">
      <c r="A159">
        <f>IF(OR('MT 6.1 Results'!I30="",'MT 6.1 Results'!J30=""),"",'MT 6.1 Results'!J30)</f>
        <v/>
      </c>
      <c r="K159">
        <f>IF(OR('MT 6.1 Results'!I31="",'MT 6.1 Results'!J31=""),"",'MT 6.1 Results'!J31)</f>
        <v/>
      </c>
    </row>
    <row r="161">
      <c r="A161">
        <f>IF('MT 6.1 Results'!I30="","","Comments:")</f>
        <v/>
      </c>
      <c r="K161">
        <f>IF('MT 6.1 Results'!I31="","","Comments:")</f>
        <v/>
      </c>
    </row>
    <row r="165">
      <c r="A165">
        <f>IF('MT 6.1 Results'!I32="","","Mini Test 6.1 — Probabilities &amp; Estimation")</f>
        <v/>
      </c>
      <c r="K165">
        <f>IF('MT 6.1 Results'!I33="","","Mini Test 6.1 — Probabilities &amp; Estimation")</f>
        <v/>
      </c>
    </row>
    <row r="166">
      <c r="A166">
        <f>IF('MT 6.1 Results'!I32="","","Name: "&amp;'MT 6.1 Results'!B32&amp;"   Class: "&amp;'MT 6.1 Results'!$B$3&amp;"   Date: "&amp;TEXT('MT 6.1 Results'!$B$5,"DD/MM/YY"))</f>
        <v/>
      </c>
      <c r="K166">
        <f>IF('MT 6.1 Results'!I33="","","Name: "&amp;'MT 6.1 Results'!B33&amp;"   Class: "&amp;'MT 6.1 Results'!$B$3&amp;"   Date: "&amp;TEXT('MT 6.1 Results'!$B$5,"DD/MM/YY"))</f>
        <v/>
      </c>
    </row>
    <row r="167">
      <c r="A167">
        <f>IF('MT 6.1 Results'!I32="","","Total: "&amp;'MT 6.1 Results'!G32&amp;"/22 ("&amp;TEXT('MT 6.1 Results'!H32,"0%")&amp;")   Overall: "&amp;'MT 6.1 Results'!I32)</f>
        <v/>
      </c>
      <c r="K167">
        <f>IF('MT 6.1 Results'!I33="","","Total: "&amp;'MT 6.1 Results'!G33&amp;"/22 ("&amp;TEXT('MT 6.1 Results'!H33,"0%")&amp;")   Overall: "&amp;'MT 6.1 Results'!I33)</f>
        <v/>
      </c>
    </row>
    <row r="168">
      <c r="A168">
        <f>IF('MT 6.1 Results'!I32="","",IF('MT 6.1 Results'!I32="Green",Parameters!$C$353,IF('MT 6.1 Results'!I32="Yellow",Parameters!$C$352,Parameters!$C$351)))</f>
        <v/>
      </c>
      <c r="K168">
        <f>IF('MT 6.1 Results'!I33="","",IF('MT 6.1 Results'!I33="Green",Parameters!$C$353,IF('MT 6.1 Results'!I33="Yellow",Parameters!$C$352,Parameters!$C$351)))</f>
        <v/>
      </c>
    </row>
    <row r="170">
      <c r="A170">
        <f>IF('MT 6.1 Results'!I32="","","Breakdown:")</f>
        <v/>
      </c>
      <c r="K170">
        <f>IF('MT 6.1 Results'!I33="","","Breakdown:")</f>
        <v/>
      </c>
    </row>
    <row r="171">
      <c r="A171">
        <f>IF('MT 6.1 Results'!I32="","","Q1 Point estimates: "&amp;'MT 6.1 Results'!C32&amp;"/4")</f>
        <v/>
      </c>
      <c r="K171">
        <f>IF('MT 6.1 Results'!I33="","","Q1 Point estimates: "&amp;'MT 6.1 Results'!C33&amp;"/4")</f>
        <v/>
      </c>
    </row>
    <row r="172">
      <c r="A172">
        <f>IF('MT 6.1 Results'!I32="","","Q2 Standard error: "&amp;'MT 6.1 Results'!D32&amp;"/5")</f>
        <v/>
      </c>
      <c r="K172">
        <f>IF('MT 6.1 Results'!I33="","","Q2 Standard error: "&amp;'MT 6.1 Results'!D33&amp;"/5")</f>
        <v/>
      </c>
    </row>
    <row r="173">
      <c r="A173">
        <f>IF('MT 6.1 Results'!I32="","","Q3 CI for a mean: "&amp;'MT 6.1 Results'!E32&amp;"/7")</f>
        <v/>
      </c>
      <c r="K173">
        <f>IF('MT 6.1 Results'!I33="","","Q3 CI for a mean: "&amp;'MT 6.1 Results'!E33&amp;"/7")</f>
        <v/>
      </c>
    </row>
    <row r="174">
      <c r="A174">
        <f>IF('MT 6.1 Results'!I32="","","Q4 Comparing CIs: "&amp;'MT 6.1 Results'!F32&amp;"/6")</f>
        <v/>
      </c>
      <c r="K174">
        <f>IF('MT 6.1 Results'!I33="","","Q4 Comparing CIs: "&amp;'MT 6.1 Results'!F33&amp;"/6")</f>
        <v/>
      </c>
    </row>
    <row r="175">
      <c r="A175">
        <f>IF(OR('MT 6.1 Results'!I32="",'MT 6.1 Results'!J32=""),"",'MT 6.1 Results'!J32)</f>
        <v/>
      </c>
      <c r="K175">
        <f>IF(OR('MT 6.1 Results'!I33="",'MT 6.1 Results'!J33=""),"",'MT 6.1 Results'!J33)</f>
        <v/>
      </c>
    </row>
    <row r="177">
      <c r="A177">
        <f>IF('MT 6.1 Results'!I32="","","Comments:")</f>
        <v/>
      </c>
      <c r="K177">
        <f>IF('MT 6.1 Results'!I33="","","Comments:")</f>
        <v/>
      </c>
    </row>
    <row r="181">
      <c r="A181">
        <f>IF('MT 6.1 Results'!I34="","","Mini Test 6.1 — Probabilities &amp; Estimation")</f>
        <v/>
      </c>
      <c r="K181">
        <f>IF('MT 6.1 Results'!I35="","","Mini Test 6.1 — Probabilities &amp; Estimation")</f>
        <v/>
      </c>
    </row>
    <row r="182">
      <c r="A182">
        <f>IF('MT 6.1 Results'!I34="","","Name: "&amp;'MT 6.1 Results'!B34&amp;"   Class: "&amp;'MT 6.1 Results'!$B$3&amp;"   Date: "&amp;TEXT('MT 6.1 Results'!$B$5,"DD/MM/YY"))</f>
        <v/>
      </c>
      <c r="K182">
        <f>IF('MT 6.1 Results'!I35="","","Name: "&amp;'MT 6.1 Results'!B35&amp;"   Class: "&amp;'MT 6.1 Results'!$B$3&amp;"   Date: "&amp;TEXT('MT 6.1 Results'!$B$5,"DD/MM/YY"))</f>
        <v/>
      </c>
    </row>
    <row r="183">
      <c r="A183">
        <f>IF('MT 6.1 Results'!I34="","","Total: "&amp;'MT 6.1 Results'!G34&amp;"/22 ("&amp;TEXT('MT 6.1 Results'!H34,"0%")&amp;")   Overall: "&amp;'MT 6.1 Results'!I34)</f>
        <v/>
      </c>
      <c r="K183">
        <f>IF('MT 6.1 Results'!I35="","","Total: "&amp;'MT 6.1 Results'!G35&amp;"/22 ("&amp;TEXT('MT 6.1 Results'!H35,"0%")&amp;")   Overall: "&amp;'MT 6.1 Results'!I35)</f>
        <v/>
      </c>
    </row>
    <row r="184">
      <c r="A184">
        <f>IF('MT 6.1 Results'!I34="","",IF('MT 6.1 Results'!I34="Green",Parameters!$C$353,IF('MT 6.1 Results'!I34="Yellow",Parameters!$C$352,Parameters!$C$351)))</f>
        <v/>
      </c>
      <c r="K184">
        <f>IF('MT 6.1 Results'!I35="","",IF('MT 6.1 Results'!I35="Green",Parameters!$C$353,IF('MT 6.1 Results'!I35="Yellow",Parameters!$C$352,Parameters!$C$351)))</f>
        <v/>
      </c>
    </row>
    <row r="186">
      <c r="A186">
        <f>IF('MT 6.1 Results'!I34="","","Breakdown:")</f>
        <v/>
      </c>
      <c r="K186">
        <f>IF('MT 6.1 Results'!I35="","","Breakdown:")</f>
        <v/>
      </c>
    </row>
    <row r="187">
      <c r="A187">
        <f>IF('MT 6.1 Results'!I34="","","Q1 Point estimates: "&amp;'MT 6.1 Results'!C34&amp;"/4")</f>
        <v/>
      </c>
      <c r="K187">
        <f>IF('MT 6.1 Results'!I35="","","Q1 Point estimates: "&amp;'MT 6.1 Results'!C35&amp;"/4")</f>
        <v/>
      </c>
    </row>
    <row r="188">
      <c r="A188">
        <f>IF('MT 6.1 Results'!I34="","","Q2 Standard error: "&amp;'MT 6.1 Results'!D34&amp;"/5")</f>
        <v/>
      </c>
      <c r="K188">
        <f>IF('MT 6.1 Results'!I35="","","Q2 Standard error: "&amp;'MT 6.1 Results'!D35&amp;"/5")</f>
        <v/>
      </c>
    </row>
    <row r="189">
      <c r="A189">
        <f>IF('MT 6.1 Results'!I34="","","Q3 CI for a mean: "&amp;'MT 6.1 Results'!E34&amp;"/7")</f>
        <v/>
      </c>
      <c r="K189">
        <f>IF('MT 6.1 Results'!I35="","","Q3 CI for a mean: "&amp;'MT 6.1 Results'!E35&amp;"/7")</f>
        <v/>
      </c>
    </row>
    <row r="190">
      <c r="A190">
        <f>IF('MT 6.1 Results'!I34="","","Q4 Comparing CIs: "&amp;'MT 6.1 Results'!F34&amp;"/6")</f>
        <v/>
      </c>
      <c r="K190">
        <f>IF('MT 6.1 Results'!I35="","","Q4 Comparing CIs: "&amp;'MT 6.1 Results'!F35&amp;"/6")</f>
        <v/>
      </c>
    </row>
    <row r="191">
      <c r="A191">
        <f>IF(OR('MT 6.1 Results'!I34="",'MT 6.1 Results'!J34=""),"",'MT 6.1 Results'!J34)</f>
        <v/>
      </c>
      <c r="K191">
        <f>IF(OR('MT 6.1 Results'!I35="",'MT 6.1 Results'!J35=""),"",'MT 6.1 Results'!J35)</f>
        <v/>
      </c>
    </row>
    <row r="193">
      <c r="A193">
        <f>IF('MT 6.1 Results'!I34="","","Comments:")</f>
        <v/>
      </c>
      <c r="K193">
        <f>IF('MT 6.1 Results'!I35="","","Comments:")</f>
        <v/>
      </c>
    </row>
    <row r="197">
      <c r="A197">
        <f>IF('MT 6.1 Results'!I36="","","Mini Test 6.1 — Probabilities &amp; Estimation")</f>
        <v/>
      </c>
      <c r="K197">
        <f>IF('MT 6.1 Results'!I37="","","Mini Test 6.1 — Probabilities &amp; Estimation")</f>
        <v/>
      </c>
    </row>
    <row r="198">
      <c r="A198">
        <f>IF('MT 6.1 Results'!I36="","","Name: "&amp;'MT 6.1 Results'!B36&amp;"   Class: "&amp;'MT 6.1 Results'!$B$3&amp;"   Date: "&amp;TEXT('MT 6.1 Results'!$B$5,"DD/MM/YY"))</f>
        <v/>
      </c>
      <c r="K198">
        <f>IF('MT 6.1 Results'!I37="","","Name: "&amp;'MT 6.1 Results'!B37&amp;"   Class: "&amp;'MT 6.1 Results'!$B$3&amp;"   Date: "&amp;TEXT('MT 6.1 Results'!$B$5,"DD/MM/YY"))</f>
        <v/>
      </c>
    </row>
    <row r="199">
      <c r="A199">
        <f>IF('MT 6.1 Results'!I36="","","Total: "&amp;'MT 6.1 Results'!G36&amp;"/22 ("&amp;TEXT('MT 6.1 Results'!H36,"0%")&amp;")   Overall: "&amp;'MT 6.1 Results'!I36)</f>
        <v/>
      </c>
      <c r="K199">
        <f>IF('MT 6.1 Results'!I37="","","Total: "&amp;'MT 6.1 Results'!G37&amp;"/22 ("&amp;TEXT('MT 6.1 Results'!H37,"0%")&amp;")   Overall: "&amp;'MT 6.1 Results'!I37)</f>
        <v/>
      </c>
    </row>
    <row r="200">
      <c r="A200">
        <f>IF('MT 6.1 Results'!I36="","",IF('MT 6.1 Results'!I36="Green",Parameters!$C$353,IF('MT 6.1 Results'!I36="Yellow",Parameters!$C$352,Parameters!$C$351)))</f>
        <v/>
      </c>
      <c r="K200">
        <f>IF('MT 6.1 Results'!I37="","",IF('MT 6.1 Results'!I37="Green",Parameters!$C$353,IF('MT 6.1 Results'!I37="Yellow",Parameters!$C$352,Parameters!$C$351)))</f>
        <v/>
      </c>
    </row>
    <row r="202">
      <c r="A202">
        <f>IF('MT 6.1 Results'!I36="","","Breakdown:")</f>
        <v/>
      </c>
      <c r="K202">
        <f>IF('MT 6.1 Results'!I37="","","Breakdown:")</f>
        <v/>
      </c>
    </row>
    <row r="203">
      <c r="A203">
        <f>IF('MT 6.1 Results'!I36="","","Q1 Point estimates: "&amp;'MT 6.1 Results'!C36&amp;"/4")</f>
        <v/>
      </c>
      <c r="K203">
        <f>IF('MT 6.1 Results'!I37="","","Q1 Point estimates: "&amp;'MT 6.1 Results'!C37&amp;"/4")</f>
        <v/>
      </c>
    </row>
    <row r="204">
      <c r="A204">
        <f>IF('MT 6.1 Results'!I36="","","Q2 Standard error: "&amp;'MT 6.1 Results'!D36&amp;"/5")</f>
        <v/>
      </c>
      <c r="K204">
        <f>IF('MT 6.1 Results'!I37="","","Q2 Standard error: "&amp;'MT 6.1 Results'!D37&amp;"/5")</f>
        <v/>
      </c>
    </row>
    <row r="205">
      <c r="A205">
        <f>IF('MT 6.1 Results'!I36="","","Q3 CI for a mean: "&amp;'MT 6.1 Results'!E36&amp;"/7")</f>
        <v/>
      </c>
      <c r="K205">
        <f>IF('MT 6.1 Results'!I37="","","Q3 CI for a mean: "&amp;'MT 6.1 Results'!E37&amp;"/7")</f>
        <v/>
      </c>
    </row>
    <row r="206">
      <c r="A206">
        <f>IF('MT 6.1 Results'!I36="","","Q4 Comparing CIs: "&amp;'MT 6.1 Results'!F36&amp;"/6")</f>
        <v/>
      </c>
      <c r="K206">
        <f>IF('MT 6.1 Results'!I37="","","Q4 Comparing CIs: "&amp;'MT 6.1 Results'!F37&amp;"/6")</f>
        <v/>
      </c>
    </row>
    <row r="207">
      <c r="A207">
        <f>IF(OR('MT 6.1 Results'!I36="",'MT 6.1 Results'!J36=""),"",'MT 6.1 Results'!J36)</f>
        <v/>
      </c>
      <c r="K207">
        <f>IF(OR('MT 6.1 Results'!I37="",'MT 6.1 Results'!J37=""),"",'MT 6.1 Results'!J37)</f>
        <v/>
      </c>
    </row>
    <row r="209">
      <c r="A209">
        <f>IF('MT 6.1 Results'!I36="","","Comments:")</f>
        <v/>
      </c>
      <c r="K209">
        <f>IF('MT 6.1 Results'!I37="","","Comments:")</f>
        <v/>
      </c>
    </row>
    <row r="213">
      <c r="A213">
        <f>IF('MT 6.1 Results'!I38="","","Mini Test 6.1 — Probabilities &amp; Estimation")</f>
        <v/>
      </c>
      <c r="K213">
        <f>IF('MT 6.1 Results'!I39="","","Mini Test 6.1 — Probabilities &amp; Estimation")</f>
        <v/>
      </c>
    </row>
    <row r="214">
      <c r="A214">
        <f>IF('MT 6.1 Results'!I38="","","Name: "&amp;'MT 6.1 Results'!B38&amp;"   Class: "&amp;'MT 6.1 Results'!$B$3&amp;"   Date: "&amp;TEXT('MT 6.1 Results'!$B$5,"DD/MM/YY"))</f>
        <v/>
      </c>
      <c r="K214">
        <f>IF('MT 6.1 Results'!I39="","","Name: "&amp;'MT 6.1 Results'!B39&amp;"   Class: "&amp;'MT 6.1 Results'!$B$3&amp;"   Date: "&amp;TEXT('MT 6.1 Results'!$B$5,"DD/MM/YY"))</f>
        <v/>
      </c>
    </row>
    <row r="215">
      <c r="A215">
        <f>IF('MT 6.1 Results'!I38="","","Total: "&amp;'MT 6.1 Results'!G38&amp;"/22 ("&amp;TEXT('MT 6.1 Results'!H38,"0%")&amp;")   Overall: "&amp;'MT 6.1 Results'!I38)</f>
        <v/>
      </c>
      <c r="K215">
        <f>IF('MT 6.1 Results'!I39="","","Total: "&amp;'MT 6.1 Results'!G39&amp;"/22 ("&amp;TEXT('MT 6.1 Results'!H39,"0%")&amp;")   Overall: "&amp;'MT 6.1 Results'!I39)</f>
        <v/>
      </c>
    </row>
    <row r="216">
      <c r="A216">
        <f>IF('MT 6.1 Results'!I38="","",IF('MT 6.1 Results'!I38="Green",Parameters!$C$353,IF('MT 6.1 Results'!I38="Yellow",Parameters!$C$352,Parameters!$C$351)))</f>
        <v/>
      </c>
      <c r="K216">
        <f>IF('MT 6.1 Results'!I39="","",IF('MT 6.1 Results'!I39="Green",Parameters!$C$353,IF('MT 6.1 Results'!I39="Yellow",Parameters!$C$352,Parameters!$C$351)))</f>
        <v/>
      </c>
    </row>
    <row r="218">
      <c r="A218">
        <f>IF('MT 6.1 Results'!I38="","","Breakdown:")</f>
        <v/>
      </c>
      <c r="K218">
        <f>IF('MT 6.1 Results'!I39="","","Breakdown:")</f>
        <v/>
      </c>
    </row>
    <row r="219">
      <c r="A219">
        <f>IF('MT 6.1 Results'!I38="","","Q1 Point estimates: "&amp;'MT 6.1 Results'!C38&amp;"/4")</f>
        <v/>
      </c>
      <c r="K219">
        <f>IF('MT 6.1 Results'!I39="","","Q1 Point estimates: "&amp;'MT 6.1 Results'!C39&amp;"/4")</f>
        <v/>
      </c>
    </row>
    <row r="220">
      <c r="A220">
        <f>IF('MT 6.1 Results'!I38="","","Q2 Standard error: "&amp;'MT 6.1 Results'!D38&amp;"/5")</f>
        <v/>
      </c>
      <c r="K220">
        <f>IF('MT 6.1 Results'!I39="","","Q2 Standard error: "&amp;'MT 6.1 Results'!D39&amp;"/5")</f>
        <v/>
      </c>
    </row>
    <row r="221">
      <c r="A221">
        <f>IF('MT 6.1 Results'!I38="","","Q3 CI for a mean: "&amp;'MT 6.1 Results'!E38&amp;"/7")</f>
        <v/>
      </c>
      <c r="K221">
        <f>IF('MT 6.1 Results'!I39="","","Q3 CI for a mean: "&amp;'MT 6.1 Results'!E39&amp;"/7")</f>
        <v/>
      </c>
    </row>
    <row r="222">
      <c r="A222">
        <f>IF('MT 6.1 Results'!I38="","","Q4 Comparing CIs: "&amp;'MT 6.1 Results'!F38&amp;"/6")</f>
        <v/>
      </c>
      <c r="K222">
        <f>IF('MT 6.1 Results'!I39="","","Q4 Comparing CIs: "&amp;'MT 6.1 Results'!F39&amp;"/6")</f>
        <v/>
      </c>
    </row>
    <row r="223">
      <c r="A223">
        <f>IF(OR('MT 6.1 Results'!I38="",'MT 6.1 Results'!J38=""),"",'MT 6.1 Results'!J38)</f>
        <v/>
      </c>
      <c r="K223">
        <f>IF(OR('MT 6.1 Results'!I39="",'MT 6.1 Results'!J39=""),"",'MT 6.1 Results'!J39)</f>
        <v/>
      </c>
    </row>
    <row r="225">
      <c r="A225">
        <f>IF('MT 6.1 Results'!I38="","","Comments:")</f>
        <v/>
      </c>
      <c r="K225">
        <f>IF('MT 6.1 Results'!I39="","","Comments:")</f>
        <v/>
      </c>
    </row>
    <row r="229">
      <c r="A229">
        <f>IF('MT 6.1 Results'!I40="","","Mini Test 6.1 — Probabilities &amp; Estimation")</f>
        <v/>
      </c>
      <c r="K229">
        <f>IF('MT 6.1 Results'!I41="","","Mini Test 6.1 — Probabilities &amp; Estimation")</f>
        <v/>
      </c>
    </row>
    <row r="230">
      <c r="A230">
        <f>IF('MT 6.1 Results'!I40="","","Name: "&amp;'MT 6.1 Results'!B40&amp;"   Class: "&amp;'MT 6.1 Results'!$B$3&amp;"   Date: "&amp;TEXT('MT 6.1 Results'!$B$5,"DD/MM/YY"))</f>
        <v/>
      </c>
      <c r="K230">
        <f>IF('MT 6.1 Results'!I41="","","Name: "&amp;'MT 6.1 Results'!B41&amp;"   Class: "&amp;'MT 6.1 Results'!$B$3&amp;"   Date: "&amp;TEXT('MT 6.1 Results'!$B$5,"DD/MM/YY"))</f>
        <v/>
      </c>
    </row>
    <row r="231">
      <c r="A231">
        <f>IF('MT 6.1 Results'!I40="","","Total: "&amp;'MT 6.1 Results'!G40&amp;"/22 ("&amp;TEXT('MT 6.1 Results'!H40,"0%")&amp;")   Overall: "&amp;'MT 6.1 Results'!I40)</f>
        <v/>
      </c>
      <c r="K231">
        <f>IF('MT 6.1 Results'!I41="","","Total: "&amp;'MT 6.1 Results'!G41&amp;"/22 ("&amp;TEXT('MT 6.1 Results'!H41,"0%")&amp;")   Overall: "&amp;'MT 6.1 Results'!I41)</f>
        <v/>
      </c>
    </row>
    <row r="232">
      <c r="A232">
        <f>IF('MT 6.1 Results'!I40="","",IF('MT 6.1 Results'!I40="Green",Parameters!$C$353,IF('MT 6.1 Results'!I40="Yellow",Parameters!$C$352,Parameters!$C$351)))</f>
        <v/>
      </c>
      <c r="K232">
        <f>IF('MT 6.1 Results'!I41="","",IF('MT 6.1 Results'!I41="Green",Parameters!$C$353,IF('MT 6.1 Results'!I41="Yellow",Parameters!$C$352,Parameters!$C$351)))</f>
        <v/>
      </c>
    </row>
    <row r="234">
      <c r="A234">
        <f>IF('MT 6.1 Results'!I40="","","Breakdown:")</f>
        <v/>
      </c>
      <c r="K234">
        <f>IF('MT 6.1 Results'!I41="","","Breakdown:")</f>
        <v/>
      </c>
    </row>
    <row r="235">
      <c r="A235">
        <f>IF('MT 6.1 Results'!I40="","","Q1 Point estimates: "&amp;'MT 6.1 Results'!C40&amp;"/4")</f>
        <v/>
      </c>
      <c r="K235">
        <f>IF('MT 6.1 Results'!I41="","","Q1 Point estimates: "&amp;'MT 6.1 Results'!C41&amp;"/4")</f>
        <v/>
      </c>
    </row>
    <row r="236">
      <c r="A236">
        <f>IF('MT 6.1 Results'!I40="","","Q2 Standard error: "&amp;'MT 6.1 Results'!D40&amp;"/5")</f>
        <v/>
      </c>
      <c r="K236">
        <f>IF('MT 6.1 Results'!I41="","","Q2 Standard error: "&amp;'MT 6.1 Results'!D41&amp;"/5")</f>
        <v/>
      </c>
    </row>
    <row r="237">
      <c r="A237">
        <f>IF('MT 6.1 Results'!I40="","","Q3 CI for a mean: "&amp;'MT 6.1 Results'!E40&amp;"/7")</f>
        <v/>
      </c>
      <c r="K237">
        <f>IF('MT 6.1 Results'!I41="","","Q3 CI for a mean: "&amp;'MT 6.1 Results'!E41&amp;"/7")</f>
        <v/>
      </c>
    </row>
    <row r="238">
      <c r="A238">
        <f>IF('MT 6.1 Results'!I40="","","Q4 Comparing CIs: "&amp;'MT 6.1 Results'!F40&amp;"/6")</f>
        <v/>
      </c>
      <c r="K238">
        <f>IF('MT 6.1 Results'!I41="","","Q4 Comparing CIs: "&amp;'MT 6.1 Results'!F41&amp;"/6")</f>
        <v/>
      </c>
    </row>
    <row r="239">
      <c r="A239">
        <f>IF(OR('MT 6.1 Results'!I40="",'MT 6.1 Results'!J40=""),"",'MT 6.1 Results'!J40)</f>
        <v/>
      </c>
      <c r="K239">
        <f>IF(OR('MT 6.1 Results'!I41="",'MT 6.1 Results'!J41=""),"",'MT 6.1 Results'!J41)</f>
        <v/>
      </c>
    </row>
    <row r="241">
      <c r="A241">
        <f>IF('MT 6.1 Results'!I40="","","Comments:")</f>
        <v/>
      </c>
      <c r="K241">
        <f>IF('MT 6.1 Results'!I41="","","Comments:")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0" customWidth="1" min="7" max="7"/>
    <col width="8" customWidth="1" min="8" max="8"/>
    <col width="10" customWidth="1" min="9" max="9"/>
    <col width="45" customWidth="1" min="10" max="10"/>
  </cols>
  <sheetData>
    <row r="1">
      <c r="A1" s="11" t="inlineStr">
        <is>
          <t>Mini Test 6.2 — Probabilities &amp; Estimation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CI for a proportion
(/7)</t>
        </is>
      </c>
      <c r="D9" s="12" t="inlineStr">
        <is>
          <t>Q2
Sample size
(/6)</t>
        </is>
      </c>
      <c r="E9" s="12" t="inlineStr">
        <is>
          <t>Q3
Critical values
(/5)</t>
        </is>
      </c>
      <c r="F9" s="12" t="inlineStr">
        <is>
          <t>Q4
CIs for decisions
(/6)</t>
        </is>
      </c>
      <c r="G9" s="12" t="inlineStr">
        <is>
          <t>Total
(/24)</t>
        </is>
      </c>
      <c r="H9" s="12" t="inlineStr">
        <is>
          <t>%</t>
        </is>
      </c>
      <c r="I9" s="12" t="inlineStr">
        <is>
          <t>Overall</t>
        </is>
      </c>
      <c r="J9" s="12" t="inlineStr">
        <is>
          <t>Focus for next steps</t>
        </is>
      </c>
      <c r="K9" s="12" t="inlineStr">
        <is>
          <t>Q1%</t>
        </is>
      </c>
      <c r="L9" s="12" t="inlineStr">
        <is>
          <t>Q2%</t>
        </is>
      </c>
      <c r="M9" s="12" t="inlineStr">
        <is>
          <t>Q3%</t>
        </is>
      </c>
      <c r="N9" s="12" t="inlineStr">
        <is>
          <t>Q4%</t>
        </is>
      </c>
    </row>
    <row r="10">
      <c r="A10" s="3" t="n"/>
      <c r="B10" s="3" t="inlineStr">
        <is>
          <t>Max marks</t>
        </is>
      </c>
      <c r="C10" s="3" t="n">
        <v>7</v>
      </c>
      <c r="D10" s="3" t="n">
        <v>6</v>
      </c>
      <c r="E10" s="3" t="n">
        <v>5</v>
      </c>
      <c r="F10" s="3" t="n">
        <v>6</v>
      </c>
      <c r="G10" s="3" t="n">
        <v>24</v>
      </c>
      <c r="H10" s="3" t="inlineStr">
        <is>
          <t>100%</t>
        </is>
      </c>
      <c r="I10" s="3" t="n"/>
      <c r="J10" s="3" t="n"/>
      <c r="K10" s="3" t="n"/>
      <c r="L10" s="3" t="n"/>
      <c r="M10" s="3" t="n"/>
      <c r="N10" s="3" t="n"/>
    </row>
    <row r="11">
      <c r="A11" s="13" t="n">
        <v>1</v>
      </c>
      <c r="B11" s="13" t="inlineStr">
        <is>
          <t>Example pupil (edit me)</t>
        </is>
      </c>
      <c r="C11" s="13" t="n">
        <v>6</v>
      </c>
      <c r="D11" s="13" t="n">
        <v>5</v>
      </c>
      <c r="E11" s="13" t="n">
        <v>4</v>
      </c>
      <c r="F11" s="13" t="n">
        <v>5</v>
      </c>
      <c r="G11" s="13">
        <f>IF(COUNT(C11:F11)&lt;4,"",SUM(C11:F11))</f>
        <v/>
      </c>
      <c r="H11" s="13">
        <f>IF(COUNT(C11:F11)&lt;4,"",G11/24)</f>
        <v/>
      </c>
      <c r="I11" s="13">
        <f>IF(COUNT(C11:F11)&lt;4,"",IF(H11&gt;=0.8,"Green",IF(H11&gt;=0.5,"Yellow","Red")))</f>
        <v/>
      </c>
      <c r="J11" s="13">
        <f>IF(COUNT(C11:F11)&lt;4,"",IF(I11="Green","Well done! "&amp;Parameters!$C$368,"Revise: "&amp;_xlfn.TEXTJOIN(", ",TRUE(),IF(K11&lt;1,Parameters!$A$359,""),IF(L11&lt;1,Parameters!$A$360,""),IF(M11&lt;1,Parameters!$A$361,""),IF(N11&lt;1,Parameters!$A$362,""))))</f>
        <v/>
      </c>
      <c r="K11" s="13">
        <f>IF(C11="","",C11/7)</f>
        <v/>
      </c>
      <c r="L11" s="13">
        <f>IF(D11="","",D11/6)</f>
        <v/>
      </c>
      <c r="M11" s="13">
        <f>IF(E11="","",E11/5)</f>
        <v/>
      </c>
      <c r="N11" s="13">
        <f>IF(F11="","",F11/6)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3">
        <f>IF(COUNT(C12:F12)&lt;4,"",SUM(C12:F12))</f>
        <v/>
      </c>
      <c r="H12" s="13">
        <f>IF(COUNT(C12:F12)&lt;4,"",G12/24)</f>
        <v/>
      </c>
      <c r="I12" s="13">
        <f>IF(COUNT(C12:F12)&lt;4,"",IF(H12&gt;=0.8,"Green",IF(H12&gt;=0.5,"Yellow","Red")))</f>
        <v/>
      </c>
      <c r="J12" s="13">
        <f>IF(COUNT(C12:F12)&lt;4,"",IF(I12="Green","Well done! "&amp;Parameters!$C$368,"Revise: "&amp;_xlfn.TEXTJOIN(", ",TRUE(),IF(K12&lt;1,Parameters!$A$359,""),IF(L12&lt;1,Parameters!$A$360,""),IF(M12&lt;1,Parameters!$A$361,""),IF(N12&lt;1,Parameters!$A$362,""))))</f>
        <v/>
      </c>
      <c r="K12" s="13">
        <f>IF(C12="","",C12/7)</f>
        <v/>
      </c>
      <c r="L12" s="13">
        <f>IF(D12="","",D12/6)</f>
        <v/>
      </c>
      <c r="M12" s="13">
        <f>IF(E12="","",E12/5)</f>
        <v/>
      </c>
      <c r="N12" s="13">
        <f>IF(F12="","",F12/6)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3">
        <f>IF(COUNT(C13:F13)&lt;4,"",SUM(C13:F13))</f>
        <v/>
      </c>
      <c r="H13" s="13">
        <f>IF(COUNT(C13:F13)&lt;4,"",G13/24)</f>
        <v/>
      </c>
      <c r="I13" s="13">
        <f>IF(COUNT(C13:F13)&lt;4,"",IF(H13&gt;=0.8,"Green",IF(H13&gt;=0.5,"Yellow","Red")))</f>
        <v/>
      </c>
      <c r="J13" s="13">
        <f>IF(COUNT(C13:F13)&lt;4,"",IF(I13="Green","Well done! "&amp;Parameters!$C$368,"Revise: "&amp;_xlfn.TEXTJOIN(", ",TRUE(),IF(K13&lt;1,Parameters!$A$359,""),IF(L13&lt;1,Parameters!$A$360,""),IF(M13&lt;1,Parameters!$A$361,""),IF(N13&lt;1,Parameters!$A$362,""))))</f>
        <v/>
      </c>
      <c r="K13" s="13">
        <f>IF(C13="","",C13/7)</f>
        <v/>
      </c>
      <c r="L13" s="13">
        <f>IF(D13="","",D13/6)</f>
        <v/>
      </c>
      <c r="M13" s="13">
        <f>IF(E13="","",E13/5)</f>
        <v/>
      </c>
      <c r="N13" s="13">
        <f>IF(F13="","",F13/6)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3">
        <f>IF(COUNT(C14:F14)&lt;4,"",SUM(C14:F14))</f>
        <v/>
      </c>
      <c r="H14" s="13">
        <f>IF(COUNT(C14:F14)&lt;4,"",G14/24)</f>
        <v/>
      </c>
      <c r="I14" s="13">
        <f>IF(COUNT(C14:F14)&lt;4,"",IF(H14&gt;=0.8,"Green",IF(H14&gt;=0.5,"Yellow","Red")))</f>
        <v/>
      </c>
      <c r="J14" s="13">
        <f>IF(COUNT(C14:F14)&lt;4,"",IF(I14="Green","Well done! "&amp;Parameters!$C$368,"Revise: "&amp;_xlfn.TEXTJOIN(", ",TRUE(),IF(K14&lt;1,Parameters!$A$359,""),IF(L14&lt;1,Parameters!$A$360,""),IF(M14&lt;1,Parameters!$A$361,""),IF(N14&lt;1,Parameters!$A$362,""))))</f>
        <v/>
      </c>
      <c r="K14" s="13">
        <f>IF(C14="","",C14/7)</f>
        <v/>
      </c>
      <c r="L14" s="13">
        <f>IF(D14="","",D14/6)</f>
        <v/>
      </c>
      <c r="M14" s="13">
        <f>IF(E14="","",E14/5)</f>
        <v/>
      </c>
      <c r="N14" s="13">
        <f>IF(F14="","",F14/6)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3">
        <f>IF(COUNT(C15:F15)&lt;4,"",SUM(C15:F15))</f>
        <v/>
      </c>
      <c r="H15" s="13">
        <f>IF(COUNT(C15:F15)&lt;4,"",G15/24)</f>
        <v/>
      </c>
      <c r="I15" s="13">
        <f>IF(COUNT(C15:F15)&lt;4,"",IF(H15&gt;=0.8,"Green",IF(H15&gt;=0.5,"Yellow","Red")))</f>
        <v/>
      </c>
      <c r="J15" s="13">
        <f>IF(COUNT(C15:F15)&lt;4,"",IF(I15="Green","Well done! "&amp;Parameters!$C$368,"Revise: "&amp;_xlfn.TEXTJOIN(", ",TRUE(),IF(K15&lt;1,Parameters!$A$359,""),IF(L15&lt;1,Parameters!$A$360,""),IF(M15&lt;1,Parameters!$A$361,""),IF(N15&lt;1,Parameters!$A$362,""))))</f>
        <v/>
      </c>
      <c r="K15" s="13">
        <f>IF(C15="","",C15/7)</f>
        <v/>
      </c>
      <c r="L15" s="13">
        <f>IF(D15="","",D15/6)</f>
        <v/>
      </c>
      <c r="M15" s="13">
        <f>IF(E15="","",E15/5)</f>
        <v/>
      </c>
      <c r="N15" s="13">
        <f>IF(F15="","",F15/6)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3">
        <f>IF(COUNT(C16:F16)&lt;4,"",SUM(C16:F16))</f>
        <v/>
      </c>
      <c r="H16" s="13">
        <f>IF(COUNT(C16:F16)&lt;4,"",G16/24)</f>
        <v/>
      </c>
      <c r="I16" s="13">
        <f>IF(COUNT(C16:F16)&lt;4,"",IF(H16&gt;=0.8,"Green",IF(H16&gt;=0.5,"Yellow","Red")))</f>
        <v/>
      </c>
      <c r="J16" s="13">
        <f>IF(COUNT(C16:F16)&lt;4,"",IF(I16="Green","Well done! "&amp;Parameters!$C$368,"Revise: "&amp;_xlfn.TEXTJOIN(", ",TRUE(),IF(K16&lt;1,Parameters!$A$359,""),IF(L16&lt;1,Parameters!$A$360,""),IF(M16&lt;1,Parameters!$A$361,""),IF(N16&lt;1,Parameters!$A$362,""))))</f>
        <v/>
      </c>
      <c r="K16" s="13">
        <f>IF(C16="","",C16/7)</f>
        <v/>
      </c>
      <c r="L16" s="13">
        <f>IF(D16="","",D16/6)</f>
        <v/>
      </c>
      <c r="M16" s="13">
        <f>IF(E16="","",E16/5)</f>
        <v/>
      </c>
      <c r="N16" s="13">
        <f>IF(F16="","",F16/6)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3">
        <f>IF(COUNT(C17:F17)&lt;4,"",SUM(C17:F17))</f>
        <v/>
      </c>
      <c r="H17" s="13">
        <f>IF(COUNT(C17:F17)&lt;4,"",G17/24)</f>
        <v/>
      </c>
      <c r="I17" s="13">
        <f>IF(COUNT(C17:F17)&lt;4,"",IF(H17&gt;=0.8,"Green",IF(H17&gt;=0.5,"Yellow","Red")))</f>
        <v/>
      </c>
      <c r="J17" s="13">
        <f>IF(COUNT(C17:F17)&lt;4,"",IF(I17="Green","Well done! "&amp;Parameters!$C$368,"Revise: "&amp;_xlfn.TEXTJOIN(", ",TRUE(),IF(K17&lt;1,Parameters!$A$359,""),IF(L17&lt;1,Parameters!$A$360,""),IF(M17&lt;1,Parameters!$A$361,""),IF(N17&lt;1,Parameters!$A$362,""))))</f>
        <v/>
      </c>
      <c r="K17" s="13">
        <f>IF(C17="","",C17/7)</f>
        <v/>
      </c>
      <c r="L17" s="13">
        <f>IF(D17="","",D17/6)</f>
        <v/>
      </c>
      <c r="M17" s="13">
        <f>IF(E17="","",E17/5)</f>
        <v/>
      </c>
      <c r="N17" s="13">
        <f>IF(F17="","",F17/6)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3">
        <f>IF(COUNT(C18:F18)&lt;4,"",SUM(C18:F18))</f>
        <v/>
      </c>
      <c r="H18" s="13">
        <f>IF(COUNT(C18:F18)&lt;4,"",G18/24)</f>
        <v/>
      </c>
      <c r="I18" s="13">
        <f>IF(COUNT(C18:F18)&lt;4,"",IF(H18&gt;=0.8,"Green",IF(H18&gt;=0.5,"Yellow","Red")))</f>
        <v/>
      </c>
      <c r="J18" s="13">
        <f>IF(COUNT(C18:F18)&lt;4,"",IF(I18="Green","Well done! "&amp;Parameters!$C$368,"Revise: "&amp;_xlfn.TEXTJOIN(", ",TRUE(),IF(K18&lt;1,Parameters!$A$359,""),IF(L18&lt;1,Parameters!$A$360,""),IF(M18&lt;1,Parameters!$A$361,""),IF(N18&lt;1,Parameters!$A$362,""))))</f>
        <v/>
      </c>
      <c r="K18" s="13">
        <f>IF(C18="","",C18/7)</f>
        <v/>
      </c>
      <c r="L18" s="13">
        <f>IF(D18="","",D18/6)</f>
        <v/>
      </c>
      <c r="M18" s="13">
        <f>IF(E18="","",E18/5)</f>
        <v/>
      </c>
      <c r="N18" s="13">
        <f>IF(F18="","",F18/6)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3">
        <f>IF(COUNT(C19:F19)&lt;4,"",SUM(C19:F19))</f>
        <v/>
      </c>
      <c r="H19" s="13">
        <f>IF(COUNT(C19:F19)&lt;4,"",G19/24)</f>
        <v/>
      </c>
      <c r="I19" s="13">
        <f>IF(COUNT(C19:F19)&lt;4,"",IF(H19&gt;=0.8,"Green",IF(H19&gt;=0.5,"Yellow","Red")))</f>
        <v/>
      </c>
      <c r="J19" s="13">
        <f>IF(COUNT(C19:F19)&lt;4,"",IF(I19="Green","Well done! "&amp;Parameters!$C$368,"Revise: "&amp;_xlfn.TEXTJOIN(", ",TRUE(),IF(K19&lt;1,Parameters!$A$359,""),IF(L19&lt;1,Parameters!$A$360,""),IF(M19&lt;1,Parameters!$A$361,""),IF(N19&lt;1,Parameters!$A$362,""))))</f>
        <v/>
      </c>
      <c r="K19" s="13">
        <f>IF(C19="","",C19/7)</f>
        <v/>
      </c>
      <c r="L19" s="13">
        <f>IF(D19="","",D19/6)</f>
        <v/>
      </c>
      <c r="M19" s="13">
        <f>IF(E19="","",E19/5)</f>
        <v/>
      </c>
      <c r="N19" s="13">
        <f>IF(F19="","",F19/6)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3">
        <f>IF(COUNT(C20:F20)&lt;4,"",SUM(C20:F20))</f>
        <v/>
      </c>
      <c r="H20" s="13">
        <f>IF(COUNT(C20:F20)&lt;4,"",G20/24)</f>
        <v/>
      </c>
      <c r="I20" s="13">
        <f>IF(COUNT(C20:F20)&lt;4,"",IF(H20&gt;=0.8,"Green",IF(H20&gt;=0.5,"Yellow","Red")))</f>
        <v/>
      </c>
      <c r="J20" s="13">
        <f>IF(COUNT(C20:F20)&lt;4,"",IF(I20="Green","Well done! "&amp;Parameters!$C$368,"Revise: "&amp;_xlfn.TEXTJOIN(", ",TRUE(),IF(K20&lt;1,Parameters!$A$359,""),IF(L20&lt;1,Parameters!$A$360,""),IF(M20&lt;1,Parameters!$A$361,""),IF(N20&lt;1,Parameters!$A$362,""))))</f>
        <v/>
      </c>
      <c r="K20" s="13">
        <f>IF(C20="","",C20/7)</f>
        <v/>
      </c>
      <c r="L20" s="13">
        <f>IF(D20="","",D20/6)</f>
        <v/>
      </c>
      <c r="M20" s="13">
        <f>IF(E20="","",E20/5)</f>
        <v/>
      </c>
      <c r="N20" s="13">
        <f>IF(F20="","",F20/6)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3">
        <f>IF(COUNT(C21:F21)&lt;4,"",SUM(C21:F21))</f>
        <v/>
      </c>
      <c r="H21" s="13">
        <f>IF(COUNT(C21:F21)&lt;4,"",G21/24)</f>
        <v/>
      </c>
      <c r="I21" s="13">
        <f>IF(COUNT(C21:F21)&lt;4,"",IF(H21&gt;=0.8,"Green",IF(H21&gt;=0.5,"Yellow","Red")))</f>
        <v/>
      </c>
      <c r="J21" s="13">
        <f>IF(COUNT(C21:F21)&lt;4,"",IF(I21="Green","Well done! "&amp;Parameters!$C$368,"Revise: "&amp;_xlfn.TEXTJOIN(", ",TRUE(),IF(K21&lt;1,Parameters!$A$359,""),IF(L21&lt;1,Parameters!$A$360,""),IF(M21&lt;1,Parameters!$A$361,""),IF(N21&lt;1,Parameters!$A$362,""))))</f>
        <v/>
      </c>
      <c r="K21" s="13">
        <f>IF(C21="","",C21/7)</f>
        <v/>
      </c>
      <c r="L21" s="13">
        <f>IF(D21="","",D21/6)</f>
        <v/>
      </c>
      <c r="M21" s="13">
        <f>IF(E21="","",E21/5)</f>
        <v/>
      </c>
      <c r="N21" s="13">
        <f>IF(F21="","",F21/6)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3">
        <f>IF(COUNT(C22:F22)&lt;4,"",SUM(C22:F22))</f>
        <v/>
      </c>
      <c r="H22" s="13">
        <f>IF(COUNT(C22:F22)&lt;4,"",G22/24)</f>
        <v/>
      </c>
      <c r="I22" s="13">
        <f>IF(COUNT(C22:F22)&lt;4,"",IF(H22&gt;=0.8,"Green",IF(H22&gt;=0.5,"Yellow","Red")))</f>
        <v/>
      </c>
      <c r="J22" s="13">
        <f>IF(COUNT(C22:F22)&lt;4,"",IF(I22="Green","Well done! "&amp;Parameters!$C$368,"Revise: "&amp;_xlfn.TEXTJOIN(", ",TRUE(),IF(K22&lt;1,Parameters!$A$359,""),IF(L22&lt;1,Parameters!$A$360,""),IF(M22&lt;1,Parameters!$A$361,""),IF(N22&lt;1,Parameters!$A$362,""))))</f>
        <v/>
      </c>
      <c r="K22" s="13">
        <f>IF(C22="","",C22/7)</f>
        <v/>
      </c>
      <c r="L22" s="13">
        <f>IF(D22="","",D22/6)</f>
        <v/>
      </c>
      <c r="M22" s="13">
        <f>IF(E22="","",E22/5)</f>
        <v/>
      </c>
      <c r="N22" s="13">
        <f>IF(F22="","",F22/6)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3">
        <f>IF(COUNT(C23:F23)&lt;4,"",SUM(C23:F23))</f>
        <v/>
      </c>
      <c r="H23" s="13">
        <f>IF(COUNT(C23:F23)&lt;4,"",G23/24)</f>
        <v/>
      </c>
      <c r="I23" s="13">
        <f>IF(COUNT(C23:F23)&lt;4,"",IF(H23&gt;=0.8,"Green",IF(H23&gt;=0.5,"Yellow","Red")))</f>
        <v/>
      </c>
      <c r="J23" s="13">
        <f>IF(COUNT(C23:F23)&lt;4,"",IF(I23="Green","Well done! "&amp;Parameters!$C$368,"Revise: "&amp;_xlfn.TEXTJOIN(", ",TRUE(),IF(K23&lt;1,Parameters!$A$359,""),IF(L23&lt;1,Parameters!$A$360,""),IF(M23&lt;1,Parameters!$A$361,""),IF(N23&lt;1,Parameters!$A$362,""))))</f>
        <v/>
      </c>
      <c r="K23" s="13">
        <f>IF(C23="","",C23/7)</f>
        <v/>
      </c>
      <c r="L23" s="13">
        <f>IF(D23="","",D23/6)</f>
        <v/>
      </c>
      <c r="M23" s="13">
        <f>IF(E23="","",E23/5)</f>
        <v/>
      </c>
      <c r="N23" s="13">
        <f>IF(F23="","",F23/6)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3">
        <f>IF(COUNT(C24:F24)&lt;4,"",SUM(C24:F24))</f>
        <v/>
      </c>
      <c r="H24" s="13">
        <f>IF(COUNT(C24:F24)&lt;4,"",G24/24)</f>
        <v/>
      </c>
      <c r="I24" s="13">
        <f>IF(COUNT(C24:F24)&lt;4,"",IF(H24&gt;=0.8,"Green",IF(H24&gt;=0.5,"Yellow","Red")))</f>
        <v/>
      </c>
      <c r="J24" s="13">
        <f>IF(COUNT(C24:F24)&lt;4,"",IF(I24="Green","Well done! "&amp;Parameters!$C$368,"Revise: "&amp;_xlfn.TEXTJOIN(", ",TRUE(),IF(K24&lt;1,Parameters!$A$359,""),IF(L24&lt;1,Parameters!$A$360,""),IF(M24&lt;1,Parameters!$A$361,""),IF(N24&lt;1,Parameters!$A$362,""))))</f>
        <v/>
      </c>
      <c r="K24" s="13">
        <f>IF(C24="","",C24/7)</f>
        <v/>
      </c>
      <c r="L24" s="13">
        <f>IF(D24="","",D24/6)</f>
        <v/>
      </c>
      <c r="M24" s="13">
        <f>IF(E24="","",E24/5)</f>
        <v/>
      </c>
      <c r="N24" s="13">
        <f>IF(F24="","",F24/6)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3">
        <f>IF(COUNT(C25:F25)&lt;4,"",SUM(C25:F25))</f>
        <v/>
      </c>
      <c r="H25" s="13">
        <f>IF(COUNT(C25:F25)&lt;4,"",G25/24)</f>
        <v/>
      </c>
      <c r="I25" s="13">
        <f>IF(COUNT(C25:F25)&lt;4,"",IF(H25&gt;=0.8,"Green",IF(H25&gt;=0.5,"Yellow","Red")))</f>
        <v/>
      </c>
      <c r="J25" s="13">
        <f>IF(COUNT(C25:F25)&lt;4,"",IF(I25="Green","Well done! "&amp;Parameters!$C$368,"Revise: "&amp;_xlfn.TEXTJOIN(", ",TRUE(),IF(K25&lt;1,Parameters!$A$359,""),IF(L25&lt;1,Parameters!$A$360,""),IF(M25&lt;1,Parameters!$A$361,""),IF(N25&lt;1,Parameters!$A$362,""))))</f>
        <v/>
      </c>
      <c r="K25" s="13">
        <f>IF(C25="","",C25/7)</f>
        <v/>
      </c>
      <c r="L25" s="13">
        <f>IF(D25="","",D25/6)</f>
        <v/>
      </c>
      <c r="M25" s="13">
        <f>IF(E25="","",E25/5)</f>
        <v/>
      </c>
      <c r="N25" s="13">
        <f>IF(F25="","",F25/6)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3">
        <f>IF(COUNT(C26:F26)&lt;4,"",SUM(C26:F26))</f>
        <v/>
      </c>
      <c r="H26" s="13">
        <f>IF(COUNT(C26:F26)&lt;4,"",G26/24)</f>
        <v/>
      </c>
      <c r="I26" s="13">
        <f>IF(COUNT(C26:F26)&lt;4,"",IF(H26&gt;=0.8,"Green",IF(H26&gt;=0.5,"Yellow","Red")))</f>
        <v/>
      </c>
      <c r="J26" s="13">
        <f>IF(COUNT(C26:F26)&lt;4,"",IF(I26="Green","Well done! "&amp;Parameters!$C$368,"Revise: "&amp;_xlfn.TEXTJOIN(", ",TRUE(),IF(K26&lt;1,Parameters!$A$359,""),IF(L26&lt;1,Parameters!$A$360,""),IF(M26&lt;1,Parameters!$A$361,""),IF(N26&lt;1,Parameters!$A$362,""))))</f>
        <v/>
      </c>
      <c r="K26" s="13">
        <f>IF(C26="","",C26/7)</f>
        <v/>
      </c>
      <c r="L26" s="13">
        <f>IF(D26="","",D26/6)</f>
        <v/>
      </c>
      <c r="M26" s="13">
        <f>IF(E26="","",E26/5)</f>
        <v/>
      </c>
      <c r="N26" s="13">
        <f>IF(F26="","",F26/6)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3">
        <f>IF(COUNT(C27:F27)&lt;4,"",SUM(C27:F27))</f>
        <v/>
      </c>
      <c r="H27" s="13">
        <f>IF(COUNT(C27:F27)&lt;4,"",G27/24)</f>
        <v/>
      </c>
      <c r="I27" s="13">
        <f>IF(COUNT(C27:F27)&lt;4,"",IF(H27&gt;=0.8,"Green",IF(H27&gt;=0.5,"Yellow","Red")))</f>
        <v/>
      </c>
      <c r="J27" s="13">
        <f>IF(COUNT(C27:F27)&lt;4,"",IF(I27="Green","Well done! "&amp;Parameters!$C$368,"Revise: "&amp;_xlfn.TEXTJOIN(", ",TRUE(),IF(K27&lt;1,Parameters!$A$359,""),IF(L27&lt;1,Parameters!$A$360,""),IF(M27&lt;1,Parameters!$A$361,""),IF(N27&lt;1,Parameters!$A$362,""))))</f>
        <v/>
      </c>
      <c r="K27" s="13">
        <f>IF(C27="","",C27/7)</f>
        <v/>
      </c>
      <c r="L27" s="13">
        <f>IF(D27="","",D27/6)</f>
        <v/>
      </c>
      <c r="M27" s="13">
        <f>IF(E27="","",E27/5)</f>
        <v/>
      </c>
      <c r="N27" s="13">
        <f>IF(F27="","",F27/6)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3">
        <f>IF(COUNT(C28:F28)&lt;4,"",SUM(C28:F28))</f>
        <v/>
      </c>
      <c r="H28" s="13">
        <f>IF(COUNT(C28:F28)&lt;4,"",G28/24)</f>
        <v/>
      </c>
      <c r="I28" s="13">
        <f>IF(COUNT(C28:F28)&lt;4,"",IF(H28&gt;=0.8,"Green",IF(H28&gt;=0.5,"Yellow","Red")))</f>
        <v/>
      </c>
      <c r="J28" s="13">
        <f>IF(COUNT(C28:F28)&lt;4,"",IF(I28="Green","Well done! "&amp;Parameters!$C$368,"Revise: "&amp;_xlfn.TEXTJOIN(", ",TRUE(),IF(K28&lt;1,Parameters!$A$359,""),IF(L28&lt;1,Parameters!$A$360,""),IF(M28&lt;1,Parameters!$A$361,""),IF(N28&lt;1,Parameters!$A$362,""))))</f>
        <v/>
      </c>
      <c r="K28" s="13">
        <f>IF(C28="","",C28/7)</f>
        <v/>
      </c>
      <c r="L28" s="13">
        <f>IF(D28="","",D28/6)</f>
        <v/>
      </c>
      <c r="M28" s="13">
        <f>IF(E28="","",E28/5)</f>
        <v/>
      </c>
      <c r="N28" s="13">
        <f>IF(F28="","",F28/6)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3">
        <f>IF(COUNT(C29:F29)&lt;4,"",SUM(C29:F29))</f>
        <v/>
      </c>
      <c r="H29" s="13">
        <f>IF(COUNT(C29:F29)&lt;4,"",G29/24)</f>
        <v/>
      </c>
      <c r="I29" s="13">
        <f>IF(COUNT(C29:F29)&lt;4,"",IF(H29&gt;=0.8,"Green",IF(H29&gt;=0.5,"Yellow","Red")))</f>
        <v/>
      </c>
      <c r="J29" s="13">
        <f>IF(COUNT(C29:F29)&lt;4,"",IF(I29="Green","Well done! "&amp;Parameters!$C$368,"Revise: "&amp;_xlfn.TEXTJOIN(", ",TRUE(),IF(K29&lt;1,Parameters!$A$359,""),IF(L29&lt;1,Parameters!$A$360,""),IF(M29&lt;1,Parameters!$A$361,""),IF(N29&lt;1,Parameters!$A$362,""))))</f>
        <v/>
      </c>
      <c r="K29" s="13">
        <f>IF(C29="","",C29/7)</f>
        <v/>
      </c>
      <c r="L29" s="13">
        <f>IF(D29="","",D29/6)</f>
        <v/>
      </c>
      <c r="M29" s="13">
        <f>IF(E29="","",E29/5)</f>
        <v/>
      </c>
      <c r="N29" s="13">
        <f>IF(F29="","",F29/6)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3">
        <f>IF(COUNT(C30:F30)&lt;4,"",SUM(C30:F30))</f>
        <v/>
      </c>
      <c r="H30" s="13">
        <f>IF(COUNT(C30:F30)&lt;4,"",G30/24)</f>
        <v/>
      </c>
      <c r="I30" s="13">
        <f>IF(COUNT(C30:F30)&lt;4,"",IF(H30&gt;=0.8,"Green",IF(H30&gt;=0.5,"Yellow","Red")))</f>
        <v/>
      </c>
      <c r="J30" s="13">
        <f>IF(COUNT(C30:F30)&lt;4,"",IF(I30="Green","Well done! "&amp;Parameters!$C$368,"Revise: "&amp;_xlfn.TEXTJOIN(", ",TRUE(),IF(K30&lt;1,Parameters!$A$359,""),IF(L30&lt;1,Parameters!$A$360,""),IF(M30&lt;1,Parameters!$A$361,""),IF(N30&lt;1,Parameters!$A$362,""))))</f>
        <v/>
      </c>
      <c r="K30" s="13">
        <f>IF(C30="","",C30/7)</f>
        <v/>
      </c>
      <c r="L30" s="13">
        <f>IF(D30="","",D30/6)</f>
        <v/>
      </c>
      <c r="M30" s="13">
        <f>IF(E30="","",E30/5)</f>
        <v/>
      </c>
      <c r="N30" s="13">
        <f>IF(F30="","",F30/6)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3">
        <f>IF(COUNT(C31:F31)&lt;4,"",SUM(C31:F31))</f>
        <v/>
      </c>
      <c r="H31" s="13">
        <f>IF(COUNT(C31:F31)&lt;4,"",G31/24)</f>
        <v/>
      </c>
      <c r="I31" s="13">
        <f>IF(COUNT(C31:F31)&lt;4,"",IF(H31&gt;=0.8,"Green",IF(H31&gt;=0.5,"Yellow","Red")))</f>
        <v/>
      </c>
      <c r="J31" s="13">
        <f>IF(COUNT(C31:F31)&lt;4,"",IF(I31="Green","Well done! "&amp;Parameters!$C$368,"Revise: "&amp;_xlfn.TEXTJOIN(", ",TRUE(),IF(K31&lt;1,Parameters!$A$359,""),IF(L31&lt;1,Parameters!$A$360,""),IF(M31&lt;1,Parameters!$A$361,""),IF(N31&lt;1,Parameters!$A$362,""))))</f>
        <v/>
      </c>
      <c r="K31" s="13">
        <f>IF(C31="","",C31/7)</f>
        <v/>
      </c>
      <c r="L31" s="13">
        <f>IF(D31="","",D31/6)</f>
        <v/>
      </c>
      <c r="M31" s="13">
        <f>IF(E31="","",E31/5)</f>
        <v/>
      </c>
      <c r="N31" s="13">
        <f>IF(F31="","",F31/6)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3">
        <f>IF(COUNT(C32:F32)&lt;4,"",SUM(C32:F32))</f>
        <v/>
      </c>
      <c r="H32" s="13">
        <f>IF(COUNT(C32:F32)&lt;4,"",G32/24)</f>
        <v/>
      </c>
      <c r="I32" s="13">
        <f>IF(COUNT(C32:F32)&lt;4,"",IF(H32&gt;=0.8,"Green",IF(H32&gt;=0.5,"Yellow","Red")))</f>
        <v/>
      </c>
      <c r="J32" s="13">
        <f>IF(COUNT(C32:F32)&lt;4,"",IF(I32="Green","Well done! "&amp;Parameters!$C$368,"Revise: "&amp;_xlfn.TEXTJOIN(", ",TRUE(),IF(K32&lt;1,Parameters!$A$359,""),IF(L32&lt;1,Parameters!$A$360,""),IF(M32&lt;1,Parameters!$A$361,""),IF(N32&lt;1,Parameters!$A$362,""))))</f>
        <v/>
      </c>
      <c r="K32" s="13">
        <f>IF(C32="","",C32/7)</f>
        <v/>
      </c>
      <c r="L32" s="13">
        <f>IF(D32="","",D32/6)</f>
        <v/>
      </c>
      <c r="M32" s="13">
        <f>IF(E32="","",E32/5)</f>
        <v/>
      </c>
      <c r="N32" s="13">
        <f>IF(F32="","",F32/6)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3">
        <f>IF(COUNT(C33:F33)&lt;4,"",SUM(C33:F33))</f>
        <v/>
      </c>
      <c r="H33" s="13">
        <f>IF(COUNT(C33:F33)&lt;4,"",G33/24)</f>
        <v/>
      </c>
      <c r="I33" s="13">
        <f>IF(COUNT(C33:F33)&lt;4,"",IF(H33&gt;=0.8,"Green",IF(H33&gt;=0.5,"Yellow","Red")))</f>
        <v/>
      </c>
      <c r="J33" s="13">
        <f>IF(COUNT(C33:F33)&lt;4,"",IF(I33="Green","Well done! "&amp;Parameters!$C$368,"Revise: "&amp;_xlfn.TEXTJOIN(", ",TRUE(),IF(K33&lt;1,Parameters!$A$359,""),IF(L33&lt;1,Parameters!$A$360,""),IF(M33&lt;1,Parameters!$A$361,""),IF(N33&lt;1,Parameters!$A$362,""))))</f>
        <v/>
      </c>
      <c r="K33" s="13">
        <f>IF(C33="","",C33/7)</f>
        <v/>
      </c>
      <c r="L33" s="13">
        <f>IF(D33="","",D33/6)</f>
        <v/>
      </c>
      <c r="M33" s="13">
        <f>IF(E33="","",E33/5)</f>
        <v/>
      </c>
      <c r="N33" s="13">
        <f>IF(F33="","",F33/6)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3">
        <f>IF(COUNT(C34:F34)&lt;4,"",SUM(C34:F34))</f>
        <v/>
      </c>
      <c r="H34" s="13">
        <f>IF(COUNT(C34:F34)&lt;4,"",G34/24)</f>
        <v/>
      </c>
      <c r="I34" s="13">
        <f>IF(COUNT(C34:F34)&lt;4,"",IF(H34&gt;=0.8,"Green",IF(H34&gt;=0.5,"Yellow","Red")))</f>
        <v/>
      </c>
      <c r="J34" s="13">
        <f>IF(COUNT(C34:F34)&lt;4,"",IF(I34="Green","Well done! "&amp;Parameters!$C$368,"Revise: "&amp;_xlfn.TEXTJOIN(", ",TRUE(),IF(K34&lt;1,Parameters!$A$359,""),IF(L34&lt;1,Parameters!$A$360,""),IF(M34&lt;1,Parameters!$A$361,""),IF(N34&lt;1,Parameters!$A$362,""))))</f>
        <v/>
      </c>
      <c r="K34" s="13">
        <f>IF(C34="","",C34/7)</f>
        <v/>
      </c>
      <c r="L34" s="13">
        <f>IF(D34="","",D34/6)</f>
        <v/>
      </c>
      <c r="M34" s="13">
        <f>IF(E34="","",E34/5)</f>
        <v/>
      </c>
      <c r="N34" s="13">
        <f>IF(F34="","",F34/6)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3">
        <f>IF(COUNT(C35:F35)&lt;4,"",SUM(C35:F35))</f>
        <v/>
      </c>
      <c r="H35" s="13">
        <f>IF(COUNT(C35:F35)&lt;4,"",G35/24)</f>
        <v/>
      </c>
      <c r="I35" s="13">
        <f>IF(COUNT(C35:F35)&lt;4,"",IF(H35&gt;=0.8,"Green",IF(H35&gt;=0.5,"Yellow","Red")))</f>
        <v/>
      </c>
      <c r="J35" s="13">
        <f>IF(COUNT(C35:F35)&lt;4,"",IF(I35="Green","Well done! "&amp;Parameters!$C$368,"Revise: "&amp;_xlfn.TEXTJOIN(", ",TRUE(),IF(K35&lt;1,Parameters!$A$359,""),IF(L35&lt;1,Parameters!$A$360,""),IF(M35&lt;1,Parameters!$A$361,""),IF(N35&lt;1,Parameters!$A$362,""))))</f>
        <v/>
      </c>
      <c r="K35" s="13">
        <f>IF(C35="","",C35/7)</f>
        <v/>
      </c>
      <c r="L35" s="13">
        <f>IF(D35="","",D35/6)</f>
        <v/>
      </c>
      <c r="M35" s="13">
        <f>IF(E35="","",E35/5)</f>
        <v/>
      </c>
      <c r="N35" s="13">
        <f>IF(F35="","",F35/6)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3">
        <f>IF(COUNT(C36:F36)&lt;4,"",SUM(C36:F36))</f>
        <v/>
      </c>
      <c r="H36" s="13">
        <f>IF(COUNT(C36:F36)&lt;4,"",G36/24)</f>
        <v/>
      </c>
      <c r="I36" s="13">
        <f>IF(COUNT(C36:F36)&lt;4,"",IF(H36&gt;=0.8,"Green",IF(H36&gt;=0.5,"Yellow","Red")))</f>
        <v/>
      </c>
      <c r="J36" s="13">
        <f>IF(COUNT(C36:F36)&lt;4,"",IF(I36="Green","Well done! "&amp;Parameters!$C$368,"Revise: "&amp;_xlfn.TEXTJOIN(", ",TRUE(),IF(K36&lt;1,Parameters!$A$359,""),IF(L36&lt;1,Parameters!$A$360,""),IF(M36&lt;1,Parameters!$A$361,""),IF(N36&lt;1,Parameters!$A$362,""))))</f>
        <v/>
      </c>
      <c r="K36" s="13">
        <f>IF(C36="","",C36/7)</f>
        <v/>
      </c>
      <c r="L36" s="13">
        <f>IF(D36="","",D36/6)</f>
        <v/>
      </c>
      <c r="M36" s="13">
        <f>IF(E36="","",E36/5)</f>
        <v/>
      </c>
      <c r="N36" s="13">
        <f>IF(F36="","",F36/6)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3">
        <f>IF(COUNT(C37:F37)&lt;4,"",SUM(C37:F37))</f>
        <v/>
      </c>
      <c r="H37" s="13">
        <f>IF(COUNT(C37:F37)&lt;4,"",G37/24)</f>
        <v/>
      </c>
      <c r="I37" s="13">
        <f>IF(COUNT(C37:F37)&lt;4,"",IF(H37&gt;=0.8,"Green",IF(H37&gt;=0.5,"Yellow","Red")))</f>
        <v/>
      </c>
      <c r="J37" s="13">
        <f>IF(COUNT(C37:F37)&lt;4,"",IF(I37="Green","Well done! "&amp;Parameters!$C$368,"Revise: "&amp;_xlfn.TEXTJOIN(", ",TRUE(),IF(K37&lt;1,Parameters!$A$359,""),IF(L37&lt;1,Parameters!$A$360,""),IF(M37&lt;1,Parameters!$A$361,""),IF(N37&lt;1,Parameters!$A$362,""))))</f>
        <v/>
      </c>
      <c r="K37" s="13">
        <f>IF(C37="","",C37/7)</f>
        <v/>
      </c>
      <c r="L37" s="13">
        <f>IF(D37="","",D37/6)</f>
        <v/>
      </c>
      <c r="M37" s="13">
        <f>IF(E37="","",E37/5)</f>
        <v/>
      </c>
      <c r="N37" s="13">
        <f>IF(F37="","",F37/6)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3">
        <f>IF(COUNT(C38:F38)&lt;4,"",SUM(C38:F38))</f>
        <v/>
      </c>
      <c r="H38" s="13">
        <f>IF(COUNT(C38:F38)&lt;4,"",G38/24)</f>
        <v/>
      </c>
      <c r="I38" s="13">
        <f>IF(COUNT(C38:F38)&lt;4,"",IF(H38&gt;=0.8,"Green",IF(H38&gt;=0.5,"Yellow","Red")))</f>
        <v/>
      </c>
      <c r="J38" s="13">
        <f>IF(COUNT(C38:F38)&lt;4,"",IF(I38="Green","Well done! "&amp;Parameters!$C$368,"Revise: "&amp;_xlfn.TEXTJOIN(", ",TRUE(),IF(K38&lt;1,Parameters!$A$359,""),IF(L38&lt;1,Parameters!$A$360,""),IF(M38&lt;1,Parameters!$A$361,""),IF(N38&lt;1,Parameters!$A$362,""))))</f>
        <v/>
      </c>
      <c r="K38" s="13">
        <f>IF(C38="","",C38/7)</f>
        <v/>
      </c>
      <c r="L38" s="13">
        <f>IF(D38="","",D38/6)</f>
        <v/>
      </c>
      <c r="M38" s="13">
        <f>IF(E38="","",E38/5)</f>
        <v/>
      </c>
      <c r="N38" s="13">
        <f>IF(F38="","",F38/6)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3">
        <f>IF(COUNT(C39:F39)&lt;4,"",SUM(C39:F39))</f>
        <v/>
      </c>
      <c r="H39" s="13">
        <f>IF(COUNT(C39:F39)&lt;4,"",G39/24)</f>
        <v/>
      </c>
      <c r="I39" s="13">
        <f>IF(COUNT(C39:F39)&lt;4,"",IF(H39&gt;=0.8,"Green",IF(H39&gt;=0.5,"Yellow","Red")))</f>
        <v/>
      </c>
      <c r="J39" s="13">
        <f>IF(COUNT(C39:F39)&lt;4,"",IF(I39="Green","Well done! "&amp;Parameters!$C$368,"Revise: "&amp;_xlfn.TEXTJOIN(", ",TRUE(),IF(K39&lt;1,Parameters!$A$359,""),IF(L39&lt;1,Parameters!$A$360,""),IF(M39&lt;1,Parameters!$A$361,""),IF(N39&lt;1,Parameters!$A$362,""))))</f>
        <v/>
      </c>
      <c r="K39" s="13">
        <f>IF(C39="","",C39/7)</f>
        <v/>
      </c>
      <c r="L39" s="13">
        <f>IF(D39="","",D39/6)</f>
        <v/>
      </c>
      <c r="M39" s="13">
        <f>IF(E39="","",E39/5)</f>
        <v/>
      </c>
      <c r="N39" s="13">
        <f>IF(F39="","",F39/6)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3">
        <f>IF(COUNT(C40:F40)&lt;4,"",SUM(C40:F40))</f>
        <v/>
      </c>
      <c r="H40" s="13">
        <f>IF(COUNT(C40:F40)&lt;4,"",G40/24)</f>
        <v/>
      </c>
      <c r="I40" s="13">
        <f>IF(COUNT(C40:F40)&lt;4,"",IF(H40&gt;=0.8,"Green",IF(H40&gt;=0.5,"Yellow","Red")))</f>
        <v/>
      </c>
      <c r="J40" s="13">
        <f>IF(COUNT(C40:F40)&lt;4,"",IF(I40="Green","Well done! "&amp;Parameters!$C$368,"Revise: "&amp;_xlfn.TEXTJOIN(", ",TRUE(),IF(K40&lt;1,Parameters!$A$359,""),IF(L40&lt;1,Parameters!$A$360,""),IF(M40&lt;1,Parameters!$A$361,""),IF(N40&lt;1,Parameters!$A$362,""))))</f>
        <v/>
      </c>
      <c r="K40" s="13">
        <f>IF(C40="","",C40/7)</f>
        <v/>
      </c>
      <c r="L40" s="13">
        <f>IF(D40="","",D40/6)</f>
        <v/>
      </c>
      <c r="M40" s="13">
        <f>IF(E40="","",E40/5)</f>
        <v/>
      </c>
      <c r="N40" s="13">
        <f>IF(F40="","",F40/6)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3">
        <f>IF(COUNT(C41:F41)&lt;4,"",SUM(C41:F41))</f>
        <v/>
      </c>
      <c r="H41" s="13">
        <f>IF(COUNT(C41:F41)&lt;4,"",G41/24)</f>
        <v/>
      </c>
      <c r="I41" s="13">
        <f>IF(COUNT(C41:F41)&lt;4,"",IF(H41&gt;=0.8,"Green",IF(H41&gt;=0.5,"Yellow","Red")))</f>
        <v/>
      </c>
      <c r="J41" s="13">
        <f>IF(COUNT(C41:F41)&lt;4,"",IF(I41="Green","Well done! "&amp;Parameters!$C$368,"Revise: "&amp;_xlfn.TEXTJOIN(", ",TRUE(),IF(K41&lt;1,Parameters!$A$359,""),IF(L41&lt;1,Parameters!$A$360,""),IF(M41&lt;1,Parameters!$A$361,""),IF(N41&lt;1,Parameters!$A$362,""))))</f>
        <v/>
      </c>
      <c r="K41" s="13">
        <f>IF(C41="","",C41/7)</f>
        <v/>
      </c>
      <c r="L41" s="13">
        <f>IF(D41="","",D41/6)</f>
        <v/>
      </c>
      <c r="M41" s="13">
        <f>IF(E41="","",E41/5)</f>
        <v/>
      </c>
      <c r="N41" s="13">
        <f>IF(F41="","",F41/6)</f>
        <v/>
      </c>
    </row>
  </sheetData>
  <conditionalFormatting sqref="C11">
    <cfRule type="expression" priority="1" dxfId="0">
      <formula>AND(COUNT(C11:F11)=4,C11=7)</formula>
    </cfRule>
    <cfRule type="expression" priority="2" dxfId="1">
      <formula>AND(COUNT(C11:F11)=4,C11&lt;7*0.4)</formula>
    </cfRule>
    <cfRule type="expression" priority="3" dxfId="2">
      <formula>AND(COUNT(C11:F11)=4,C11&gt;=7*0.4,C11&lt;7)</formula>
    </cfRule>
  </conditionalFormatting>
  <conditionalFormatting sqref="C12">
    <cfRule type="expression" priority="4" dxfId="0">
      <formula>AND(COUNT(C12:F12)=4,C12=7)</formula>
    </cfRule>
    <cfRule type="expression" priority="5" dxfId="1">
      <formula>AND(COUNT(C12:F12)=4,C12&lt;7*0.4)</formula>
    </cfRule>
    <cfRule type="expression" priority="6" dxfId="2">
      <formula>AND(COUNT(C12:F12)=4,C12&gt;=7*0.4,C12&lt;7)</formula>
    </cfRule>
  </conditionalFormatting>
  <conditionalFormatting sqref="C13">
    <cfRule type="expression" priority="7" dxfId="0">
      <formula>AND(COUNT(C13:F13)=4,C13=7)</formula>
    </cfRule>
    <cfRule type="expression" priority="8" dxfId="1">
      <formula>AND(COUNT(C13:F13)=4,C13&lt;7*0.4)</formula>
    </cfRule>
    <cfRule type="expression" priority="9" dxfId="2">
      <formula>AND(COUNT(C13:F13)=4,C13&gt;=7*0.4,C13&lt;7)</formula>
    </cfRule>
  </conditionalFormatting>
  <conditionalFormatting sqref="C14">
    <cfRule type="expression" priority="10" dxfId="0">
      <formula>AND(COUNT(C14:F14)=4,C14=7)</formula>
    </cfRule>
    <cfRule type="expression" priority="11" dxfId="1">
      <formula>AND(COUNT(C14:F14)=4,C14&lt;7*0.4)</formula>
    </cfRule>
    <cfRule type="expression" priority="12" dxfId="2">
      <formula>AND(COUNT(C14:F14)=4,C14&gt;=7*0.4,C14&lt;7)</formula>
    </cfRule>
  </conditionalFormatting>
  <conditionalFormatting sqref="C15">
    <cfRule type="expression" priority="13" dxfId="0">
      <formula>AND(COUNT(C15:F15)=4,C15=7)</formula>
    </cfRule>
    <cfRule type="expression" priority="14" dxfId="1">
      <formula>AND(COUNT(C15:F15)=4,C15&lt;7*0.4)</formula>
    </cfRule>
    <cfRule type="expression" priority="15" dxfId="2">
      <formula>AND(COUNT(C15:F15)=4,C15&gt;=7*0.4,C15&lt;7)</formula>
    </cfRule>
  </conditionalFormatting>
  <conditionalFormatting sqref="C16">
    <cfRule type="expression" priority="16" dxfId="0">
      <formula>AND(COUNT(C16:F16)=4,C16=7)</formula>
    </cfRule>
    <cfRule type="expression" priority="17" dxfId="1">
      <formula>AND(COUNT(C16:F16)=4,C16&lt;7*0.4)</formula>
    </cfRule>
    <cfRule type="expression" priority="18" dxfId="2">
      <formula>AND(COUNT(C16:F16)=4,C16&gt;=7*0.4,C16&lt;7)</formula>
    </cfRule>
  </conditionalFormatting>
  <conditionalFormatting sqref="C17">
    <cfRule type="expression" priority="19" dxfId="0">
      <formula>AND(COUNT(C17:F17)=4,C17=7)</formula>
    </cfRule>
    <cfRule type="expression" priority="20" dxfId="1">
      <formula>AND(COUNT(C17:F17)=4,C17&lt;7*0.4)</formula>
    </cfRule>
    <cfRule type="expression" priority="21" dxfId="2">
      <formula>AND(COUNT(C17:F17)=4,C17&gt;=7*0.4,C17&lt;7)</formula>
    </cfRule>
  </conditionalFormatting>
  <conditionalFormatting sqref="C18">
    <cfRule type="expression" priority="22" dxfId="0">
      <formula>AND(COUNT(C18:F18)=4,C18=7)</formula>
    </cfRule>
    <cfRule type="expression" priority="23" dxfId="1">
      <formula>AND(COUNT(C18:F18)=4,C18&lt;7*0.4)</formula>
    </cfRule>
    <cfRule type="expression" priority="24" dxfId="2">
      <formula>AND(COUNT(C18:F18)=4,C18&gt;=7*0.4,C18&lt;7)</formula>
    </cfRule>
  </conditionalFormatting>
  <conditionalFormatting sqref="C19">
    <cfRule type="expression" priority="25" dxfId="0">
      <formula>AND(COUNT(C19:F19)=4,C19=7)</formula>
    </cfRule>
    <cfRule type="expression" priority="26" dxfId="1">
      <formula>AND(COUNT(C19:F19)=4,C19&lt;7*0.4)</formula>
    </cfRule>
    <cfRule type="expression" priority="27" dxfId="2">
      <formula>AND(COUNT(C19:F19)=4,C19&gt;=7*0.4,C19&lt;7)</formula>
    </cfRule>
  </conditionalFormatting>
  <conditionalFormatting sqref="C20">
    <cfRule type="expression" priority="28" dxfId="0">
      <formula>AND(COUNT(C20:F20)=4,C20=7)</formula>
    </cfRule>
    <cfRule type="expression" priority="29" dxfId="1">
      <formula>AND(COUNT(C20:F20)=4,C20&lt;7*0.4)</formula>
    </cfRule>
    <cfRule type="expression" priority="30" dxfId="2">
      <formula>AND(COUNT(C20:F20)=4,C20&gt;=7*0.4,C20&lt;7)</formula>
    </cfRule>
  </conditionalFormatting>
  <conditionalFormatting sqref="C21">
    <cfRule type="expression" priority="31" dxfId="0">
      <formula>AND(COUNT(C21:F21)=4,C21=7)</formula>
    </cfRule>
    <cfRule type="expression" priority="32" dxfId="1">
      <formula>AND(COUNT(C21:F21)=4,C21&lt;7*0.4)</formula>
    </cfRule>
    <cfRule type="expression" priority="33" dxfId="2">
      <formula>AND(COUNT(C21:F21)=4,C21&gt;=7*0.4,C21&lt;7)</formula>
    </cfRule>
  </conditionalFormatting>
  <conditionalFormatting sqref="C22">
    <cfRule type="expression" priority="34" dxfId="0">
      <formula>AND(COUNT(C22:F22)=4,C22=7)</formula>
    </cfRule>
    <cfRule type="expression" priority="35" dxfId="1">
      <formula>AND(COUNT(C22:F22)=4,C22&lt;7*0.4)</formula>
    </cfRule>
    <cfRule type="expression" priority="36" dxfId="2">
      <formula>AND(COUNT(C22:F22)=4,C22&gt;=7*0.4,C22&lt;7)</formula>
    </cfRule>
  </conditionalFormatting>
  <conditionalFormatting sqref="C23">
    <cfRule type="expression" priority="37" dxfId="0">
      <formula>AND(COUNT(C23:F23)=4,C23=7)</formula>
    </cfRule>
    <cfRule type="expression" priority="38" dxfId="1">
      <formula>AND(COUNT(C23:F23)=4,C23&lt;7*0.4)</formula>
    </cfRule>
    <cfRule type="expression" priority="39" dxfId="2">
      <formula>AND(COUNT(C23:F23)=4,C23&gt;=7*0.4,C23&lt;7)</formula>
    </cfRule>
  </conditionalFormatting>
  <conditionalFormatting sqref="C24">
    <cfRule type="expression" priority="40" dxfId="0">
      <formula>AND(COUNT(C24:F24)=4,C24=7)</formula>
    </cfRule>
    <cfRule type="expression" priority="41" dxfId="1">
      <formula>AND(COUNT(C24:F24)=4,C24&lt;7*0.4)</formula>
    </cfRule>
    <cfRule type="expression" priority="42" dxfId="2">
      <formula>AND(COUNT(C24:F24)=4,C24&gt;=7*0.4,C24&lt;7)</formula>
    </cfRule>
  </conditionalFormatting>
  <conditionalFormatting sqref="C25">
    <cfRule type="expression" priority="43" dxfId="0">
      <formula>AND(COUNT(C25:F25)=4,C25=7)</formula>
    </cfRule>
    <cfRule type="expression" priority="44" dxfId="1">
      <formula>AND(COUNT(C25:F25)=4,C25&lt;7*0.4)</formula>
    </cfRule>
    <cfRule type="expression" priority="45" dxfId="2">
      <formula>AND(COUNT(C25:F25)=4,C25&gt;=7*0.4,C25&lt;7)</formula>
    </cfRule>
  </conditionalFormatting>
  <conditionalFormatting sqref="C26">
    <cfRule type="expression" priority="46" dxfId="0">
      <formula>AND(COUNT(C26:F26)=4,C26=7)</formula>
    </cfRule>
    <cfRule type="expression" priority="47" dxfId="1">
      <formula>AND(COUNT(C26:F26)=4,C26&lt;7*0.4)</formula>
    </cfRule>
    <cfRule type="expression" priority="48" dxfId="2">
      <formula>AND(COUNT(C26:F26)=4,C26&gt;=7*0.4,C26&lt;7)</formula>
    </cfRule>
  </conditionalFormatting>
  <conditionalFormatting sqref="C27">
    <cfRule type="expression" priority="49" dxfId="0">
      <formula>AND(COUNT(C27:F27)=4,C27=7)</formula>
    </cfRule>
    <cfRule type="expression" priority="50" dxfId="1">
      <formula>AND(COUNT(C27:F27)=4,C27&lt;7*0.4)</formula>
    </cfRule>
    <cfRule type="expression" priority="51" dxfId="2">
      <formula>AND(COUNT(C27:F27)=4,C27&gt;=7*0.4,C27&lt;7)</formula>
    </cfRule>
  </conditionalFormatting>
  <conditionalFormatting sqref="C28">
    <cfRule type="expression" priority="52" dxfId="0">
      <formula>AND(COUNT(C28:F28)=4,C28=7)</formula>
    </cfRule>
    <cfRule type="expression" priority="53" dxfId="1">
      <formula>AND(COUNT(C28:F28)=4,C28&lt;7*0.4)</formula>
    </cfRule>
    <cfRule type="expression" priority="54" dxfId="2">
      <formula>AND(COUNT(C28:F28)=4,C28&gt;=7*0.4,C28&lt;7)</formula>
    </cfRule>
  </conditionalFormatting>
  <conditionalFormatting sqref="C29">
    <cfRule type="expression" priority="55" dxfId="0">
      <formula>AND(COUNT(C29:F29)=4,C29=7)</formula>
    </cfRule>
    <cfRule type="expression" priority="56" dxfId="1">
      <formula>AND(COUNT(C29:F29)=4,C29&lt;7*0.4)</formula>
    </cfRule>
    <cfRule type="expression" priority="57" dxfId="2">
      <formula>AND(COUNT(C29:F29)=4,C29&gt;=7*0.4,C29&lt;7)</formula>
    </cfRule>
  </conditionalFormatting>
  <conditionalFormatting sqref="C30">
    <cfRule type="expression" priority="58" dxfId="0">
      <formula>AND(COUNT(C30:F30)=4,C30=7)</formula>
    </cfRule>
    <cfRule type="expression" priority="59" dxfId="1">
      <formula>AND(COUNT(C30:F30)=4,C30&lt;7*0.4)</formula>
    </cfRule>
    <cfRule type="expression" priority="60" dxfId="2">
      <formula>AND(COUNT(C30:F30)=4,C30&gt;=7*0.4,C30&lt;7)</formula>
    </cfRule>
  </conditionalFormatting>
  <conditionalFormatting sqref="C31">
    <cfRule type="expression" priority="61" dxfId="0">
      <formula>AND(COUNT(C31:F31)=4,C31=7)</formula>
    </cfRule>
    <cfRule type="expression" priority="62" dxfId="1">
      <formula>AND(COUNT(C31:F31)=4,C31&lt;7*0.4)</formula>
    </cfRule>
    <cfRule type="expression" priority="63" dxfId="2">
      <formula>AND(COUNT(C31:F31)=4,C31&gt;=7*0.4,C31&lt;7)</formula>
    </cfRule>
  </conditionalFormatting>
  <conditionalFormatting sqref="C32">
    <cfRule type="expression" priority="64" dxfId="0">
      <formula>AND(COUNT(C32:F32)=4,C32=7)</formula>
    </cfRule>
    <cfRule type="expression" priority="65" dxfId="1">
      <formula>AND(COUNT(C32:F32)=4,C32&lt;7*0.4)</formula>
    </cfRule>
    <cfRule type="expression" priority="66" dxfId="2">
      <formula>AND(COUNT(C32:F32)=4,C32&gt;=7*0.4,C32&lt;7)</formula>
    </cfRule>
  </conditionalFormatting>
  <conditionalFormatting sqref="C33">
    <cfRule type="expression" priority="67" dxfId="0">
      <formula>AND(COUNT(C33:F33)=4,C33=7)</formula>
    </cfRule>
    <cfRule type="expression" priority="68" dxfId="1">
      <formula>AND(COUNT(C33:F33)=4,C33&lt;7*0.4)</formula>
    </cfRule>
    <cfRule type="expression" priority="69" dxfId="2">
      <formula>AND(COUNT(C33:F33)=4,C33&gt;=7*0.4,C33&lt;7)</formula>
    </cfRule>
  </conditionalFormatting>
  <conditionalFormatting sqref="C34">
    <cfRule type="expression" priority="70" dxfId="0">
      <formula>AND(COUNT(C34:F34)=4,C34=7)</formula>
    </cfRule>
    <cfRule type="expression" priority="71" dxfId="1">
      <formula>AND(COUNT(C34:F34)=4,C34&lt;7*0.4)</formula>
    </cfRule>
    <cfRule type="expression" priority="72" dxfId="2">
      <formula>AND(COUNT(C34:F34)=4,C34&gt;=7*0.4,C34&lt;7)</formula>
    </cfRule>
  </conditionalFormatting>
  <conditionalFormatting sqref="C35">
    <cfRule type="expression" priority="73" dxfId="0">
      <formula>AND(COUNT(C35:F35)=4,C35=7)</formula>
    </cfRule>
    <cfRule type="expression" priority="74" dxfId="1">
      <formula>AND(COUNT(C35:F35)=4,C35&lt;7*0.4)</formula>
    </cfRule>
    <cfRule type="expression" priority="75" dxfId="2">
      <formula>AND(COUNT(C35:F35)=4,C35&gt;=7*0.4,C35&lt;7)</formula>
    </cfRule>
  </conditionalFormatting>
  <conditionalFormatting sqref="C36">
    <cfRule type="expression" priority="76" dxfId="0">
      <formula>AND(COUNT(C36:F36)=4,C36=7)</formula>
    </cfRule>
    <cfRule type="expression" priority="77" dxfId="1">
      <formula>AND(COUNT(C36:F36)=4,C36&lt;7*0.4)</formula>
    </cfRule>
    <cfRule type="expression" priority="78" dxfId="2">
      <formula>AND(COUNT(C36:F36)=4,C36&gt;=7*0.4,C36&lt;7)</formula>
    </cfRule>
  </conditionalFormatting>
  <conditionalFormatting sqref="C37">
    <cfRule type="expression" priority="79" dxfId="0">
      <formula>AND(COUNT(C37:F37)=4,C37=7)</formula>
    </cfRule>
    <cfRule type="expression" priority="80" dxfId="1">
      <formula>AND(COUNT(C37:F37)=4,C37&lt;7*0.4)</formula>
    </cfRule>
    <cfRule type="expression" priority="81" dxfId="2">
      <formula>AND(COUNT(C37:F37)=4,C37&gt;=7*0.4,C37&lt;7)</formula>
    </cfRule>
  </conditionalFormatting>
  <conditionalFormatting sqref="C38">
    <cfRule type="expression" priority="82" dxfId="0">
      <formula>AND(COUNT(C38:F38)=4,C38=7)</formula>
    </cfRule>
    <cfRule type="expression" priority="83" dxfId="1">
      <formula>AND(COUNT(C38:F38)=4,C38&lt;7*0.4)</formula>
    </cfRule>
    <cfRule type="expression" priority="84" dxfId="2">
      <formula>AND(COUNT(C38:F38)=4,C38&gt;=7*0.4,C38&lt;7)</formula>
    </cfRule>
  </conditionalFormatting>
  <conditionalFormatting sqref="C39">
    <cfRule type="expression" priority="85" dxfId="0">
      <formula>AND(COUNT(C39:F39)=4,C39=7)</formula>
    </cfRule>
    <cfRule type="expression" priority="86" dxfId="1">
      <formula>AND(COUNT(C39:F39)=4,C39&lt;7*0.4)</formula>
    </cfRule>
    <cfRule type="expression" priority="87" dxfId="2">
      <formula>AND(COUNT(C39:F39)=4,C39&gt;=7*0.4,C39&lt;7)</formula>
    </cfRule>
  </conditionalFormatting>
  <conditionalFormatting sqref="C40">
    <cfRule type="expression" priority="88" dxfId="0">
      <formula>AND(COUNT(C40:F40)=4,C40=7)</formula>
    </cfRule>
    <cfRule type="expression" priority="89" dxfId="1">
      <formula>AND(COUNT(C40:F40)=4,C40&lt;7*0.4)</formula>
    </cfRule>
    <cfRule type="expression" priority="90" dxfId="2">
      <formula>AND(COUNT(C40:F40)=4,C40&gt;=7*0.4,C40&lt;7)</formula>
    </cfRule>
  </conditionalFormatting>
  <conditionalFormatting sqref="C41">
    <cfRule type="expression" priority="91" dxfId="0">
      <formula>AND(COUNT(C41:F41)=4,C41=7)</formula>
    </cfRule>
    <cfRule type="expression" priority="92" dxfId="1">
      <formula>AND(COUNT(C41:F41)=4,C41&lt;7*0.4)</formula>
    </cfRule>
    <cfRule type="expression" priority="93" dxfId="2">
      <formula>AND(COUNT(C41:F41)=4,C41&gt;=7*0.4,C41&lt;7)</formula>
    </cfRule>
  </conditionalFormatting>
  <conditionalFormatting sqref="D11">
    <cfRule type="expression" priority="94" dxfId="0">
      <formula>AND(COUNT(C11:F11)=4,D11=6)</formula>
    </cfRule>
    <cfRule type="expression" priority="95" dxfId="1">
      <formula>AND(COUNT(C11:F11)=4,D11&lt;6*0.4)</formula>
    </cfRule>
    <cfRule type="expression" priority="96" dxfId="2">
      <formula>AND(COUNT(C11:F11)=4,D11&gt;=6*0.4,D11&lt;6)</formula>
    </cfRule>
  </conditionalFormatting>
  <conditionalFormatting sqref="D12">
    <cfRule type="expression" priority="97" dxfId="0">
      <formula>AND(COUNT(C12:F12)=4,D12=6)</formula>
    </cfRule>
    <cfRule type="expression" priority="98" dxfId="1">
      <formula>AND(COUNT(C12:F12)=4,D12&lt;6*0.4)</formula>
    </cfRule>
    <cfRule type="expression" priority="99" dxfId="2">
      <formula>AND(COUNT(C12:F12)=4,D12&gt;=6*0.4,D12&lt;6)</formula>
    </cfRule>
  </conditionalFormatting>
  <conditionalFormatting sqref="D13">
    <cfRule type="expression" priority="100" dxfId="0">
      <formula>AND(COUNT(C13:F13)=4,D13=6)</formula>
    </cfRule>
    <cfRule type="expression" priority="101" dxfId="1">
      <formula>AND(COUNT(C13:F13)=4,D13&lt;6*0.4)</formula>
    </cfRule>
    <cfRule type="expression" priority="102" dxfId="2">
      <formula>AND(COUNT(C13:F13)=4,D13&gt;=6*0.4,D13&lt;6)</formula>
    </cfRule>
  </conditionalFormatting>
  <conditionalFormatting sqref="D14">
    <cfRule type="expression" priority="103" dxfId="0">
      <formula>AND(COUNT(C14:F14)=4,D14=6)</formula>
    </cfRule>
    <cfRule type="expression" priority="104" dxfId="1">
      <formula>AND(COUNT(C14:F14)=4,D14&lt;6*0.4)</formula>
    </cfRule>
    <cfRule type="expression" priority="105" dxfId="2">
      <formula>AND(COUNT(C14:F14)=4,D14&gt;=6*0.4,D14&lt;6)</formula>
    </cfRule>
  </conditionalFormatting>
  <conditionalFormatting sqref="D15">
    <cfRule type="expression" priority="106" dxfId="0">
      <formula>AND(COUNT(C15:F15)=4,D15=6)</formula>
    </cfRule>
    <cfRule type="expression" priority="107" dxfId="1">
      <formula>AND(COUNT(C15:F15)=4,D15&lt;6*0.4)</formula>
    </cfRule>
    <cfRule type="expression" priority="108" dxfId="2">
      <formula>AND(COUNT(C15:F15)=4,D15&gt;=6*0.4,D15&lt;6)</formula>
    </cfRule>
  </conditionalFormatting>
  <conditionalFormatting sqref="D16">
    <cfRule type="expression" priority="109" dxfId="0">
      <formula>AND(COUNT(C16:F16)=4,D16=6)</formula>
    </cfRule>
    <cfRule type="expression" priority="110" dxfId="1">
      <formula>AND(COUNT(C16:F16)=4,D16&lt;6*0.4)</formula>
    </cfRule>
    <cfRule type="expression" priority="111" dxfId="2">
      <formula>AND(COUNT(C16:F16)=4,D16&gt;=6*0.4,D16&lt;6)</formula>
    </cfRule>
  </conditionalFormatting>
  <conditionalFormatting sqref="D17">
    <cfRule type="expression" priority="112" dxfId="0">
      <formula>AND(COUNT(C17:F17)=4,D17=6)</formula>
    </cfRule>
    <cfRule type="expression" priority="113" dxfId="1">
      <formula>AND(COUNT(C17:F17)=4,D17&lt;6*0.4)</formula>
    </cfRule>
    <cfRule type="expression" priority="114" dxfId="2">
      <formula>AND(COUNT(C17:F17)=4,D17&gt;=6*0.4,D17&lt;6)</formula>
    </cfRule>
  </conditionalFormatting>
  <conditionalFormatting sqref="D18">
    <cfRule type="expression" priority="115" dxfId="0">
      <formula>AND(COUNT(C18:F18)=4,D18=6)</formula>
    </cfRule>
    <cfRule type="expression" priority="116" dxfId="1">
      <formula>AND(COUNT(C18:F18)=4,D18&lt;6*0.4)</formula>
    </cfRule>
    <cfRule type="expression" priority="117" dxfId="2">
      <formula>AND(COUNT(C18:F18)=4,D18&gt;=6*0.4,D18&lt;6)</formula>
    </cfRule>
  </conditionalFormatting>
  <conditionalFormatting sqref="D19">
    <cfRule type="expression" priority="118" dxfId="0">
      <formula>AND(COUNT(C19:F19)=4,D19=6)</formula>
    </cfRule>
    <cfRule type="expression" priority="119" dxfId="1">
      <formula>AND(COUNT(C19:F19)=4,D19&lt;6*0.4)</formula>
    </cfRule>
    <cfRule type="expression" priority="120" dxfId="2">
      <formula>AND(COUNT(C19:F19)=4,D19&gt;=6*0.4,D19&lt;6)</formula>
    </cfRule>
  </conditionalFormatting>
  <conditionalFormatting sqref="D20">
    <cfRule type="expression" priority="121" dxfId="0">
      <formula>AND(COUNT(C20:F20)=4,D20=6)</formula>
    </cfRule>
    <cfRule type="expression" priority="122" dxfId="1">
      <formula>AND(COUNT(C20:F20)=4,D20&lt;6*0.4)</formula>
    </cfRule>
    <cfRule type="expression" priority="123" dxfId="2">
      <formula>AND(COUNT(C20:F20)=4,D20&gt;=6*0.4,D20&lt;6)</formula>
    </cfRule>
  </conditionalFormatting>
  <conditionalFormatting sqref="D21">
    <cfRule type="expression" priority="124" dxfId="0">
      <formula>AND(COUNT(C21:F21)=4,D21=6)</formula>
    </cfRule>
    <cfRule type="expression" priority="125" dxfId="1">
      <formula>AND(COUNT(C21:F21)=4,D21&lt;6*0.4)</formula>
    </cfRule>
    <cfRule type="expression" priority="126" dxfId="2">
      <formula>AND(COUNT(C21:F21)=4,D21&gt;=6*0.4,D21&lt;6)</formula>
    </cfRule>
  </conditionalFormatting>
  <conditionalFormatting sqref="D22">
    <cfRule type="expression" priority="127" dxfId="0">
      <formula>AND(COUNT(C22:F22)=4,D22=6)</formula>
    </cfRule>
    <cfRule type="expression" priority="128" dxfId="1">
      <formula>AND(COUNT(C22:F22)=4,D22&lt;6*0.4)</formula>
    </cfRule>
    <cfRule type="expression" priority="129" dxfId="2">
      <formula>AND(COUNT(C22:F22)=4,D22&gt;=6*0.4,D22&lt;6)</formula>
    </cfRule>
  </conditionalFormatting>
  <conditionalFormatting sqref="D23">
    <cfRule type="expression" priority="130" dxfId="0">
      <formula>AND(COUNT(C23:F23)=4,D23=6)</formula>
    </cfRule>
    <cfRule type="expression" priority="131" dxfId="1">
      <formula>AND(COUNT(C23:F23)=4,D23&lt;6*0.4)</formula>
    </cfRule>
    <cfRule type="expression" priority="132" dxfId="2">
      <formula>AND(COUNT(C23:F23)=4,D23&gt;=6*0.4,D23&lt;6)</formula>
    </cfRule>
  </conditionalFormatting>
  <conditionalFormatting sqref="D24">
    <cfRule type="expression" priority="133" dxfId="0">
      <formula>AND(COUNT(C24:F24)=4,D24=6)</formula>
    </cfRule>
    <cfRule type="expression" priority="134" dxfId="1">
      <formula>AND(COUNT(C24:F24)=4,D24&lt;6*0.4)</formula>
    </cfRule>
    <cfRule type="expression" priority="135" dxfId="2">
      <formula>AND(COUNT(C24:F24)=4,D24&gt;=6*0.4,D24&lt;6)</formula>
    </cfRule>
  </conditionalFormatting>
  <conditionalFormatting sqref="D25">
    <cfRule type="expression" priority="136" dxfId="0">
      <formula>AND(COUNT(C25:F25)=4,D25=6)</formula>
    </cfRule>
    <cfRule type="expression" priority="137" dxfId="1">
      <formula>AND(COUNT(C25:F25)=4,D25&lt;6*0.4)</formula>
    </cfRule>
    <cfRule type="expression" priority="138" dxfId="2">
      <formula>AND(COUNT(C25:F25)=4,D25&gt;=6*0.4,D25&lt;6)</formula>
    </cfRule>
  </conditionalFormatting>
  <conditionalFormatting sqref="D26">
    <cfRule type="expression" priority="139" dxfId="0">
      <formula>AND(COUNT(C26:F26)=4,D26=6)</formula>
    </cfRule>
    <cfRule type="expression" priority="140" dxfId="1">
      <formula>AND(COUNT(C26:F26)=4,D26&lt;6*0.4)</formula>
    </cfRule>
    <cfRule type="expression" priority="141" dxfId="2">
      <formula>AND(COUNT(C26:F26)=4,D26&gt;=6*0.4,D26&lt;6)</formula>
    </cfRule>
  </conditionalFormatting>
  <conditionalFormatting sqref="D27">
    <cfRule type="expression" priority="142" dxfId="0">
      <formula>AND(COUNT(C27:F27)=4,D27=6)</formula>
    </cfRule>
    <cfRule type="expression" priority="143" dxfId="1">
      <formula>AND(COUNT(C27:F27)=4,D27&lt;6*0.4)</formula>
    </cfRule>
    <cfRule type="expression" priority="144" dxfId="2">
      <formula>AND(COUNT(C27:F27)=4,D27&gt;=6*0.4,D27&lt;6)</formula>
    </cfRule>
  </conditionalFormatting>
  <conditionalFormatting sqref="D28">
    <cfRule type="expression" priority="145" dxfId="0">
      <formula>AND(COUNT(C28:F28)=4,D28=6)</formula>
    </cfRule>
    <cfRule type="expression" priority="146" dxfId="1">
      <formula>AND(COUNT(C28:F28)=4,D28&lt;6*0.4)</formula>
    </cfRule>
    <cfRule type="expression" priority="147" dxfId="2">
      <formula>AND(COUNT(C28:F28)=4,D28&gt;=6*0.4,D28&lt;6)</formula>
    </cfRule>
  </conditionalFormatting>
  <conditionalFormatting sqref="D29">
    <cfRule type="expression" priority="148" dxfId="0">
      <formula>AND(COUNT(C29:F29)=4,D29=6)</formula>
    </cfRule>
    <cfRule type="expression" priority="149" dxfId="1">
      <formula>AND(COUNT(C29:F29)=4,D29&lt;6*0.4)</formula>
    </cfRule>
    <cfRule type="expression" priority="150" dxfId="2">
      <formula>AND(COUNT(C29:F29)=4,D29&gt;=6*0.4,D29&lt;6)</formula>
    </cfRule>
  </conditionalFormatting>
  <conditionalFormatting sqref="D30">
    <cfRule type="expression" priority="151" dxfId="0">
      <formula>AND(COUNT(C30:F30)=4,D30=6)</formula>
    </cfRule>
    <cfRule type="expression" priority="152" dxfId="1">
      <formula>AND(COUNT(C30:F30)=4,D30&lt;6*0.4)</formula>
    </cfRule>
    <cfRule type="expression" priority="153" dxfId="2">
      <formula>AND(COUNT(C30:F30)=4,D30&gt;=6*0.4,D30&lt;6)</formula>
    </cfRule>
  </conditionalFormatting>
  <conditionalFormatting sqref="D31">
    <cfRule type="expression" priority="154" dxfId="0">
      <formula>AND(COUNT(C31:F31)=4,D31=6)</formula>
    </cfRule>
    <cfRule type="expression" priority="155" dxfId="1">
      <formula>AND(COUNT(C31:F31)=4,D31&lt;6*0.4)</formula>
    </cfRule>
    <cfRule type="expression" priority="156" dxfId="2">
      <formula>AND(COUNT(C31:F31)=4,D31&gt;=6*0.4,D31&lt;6)</formula>
    </cfRule>
  </conditionalFormatting>
  <conditionalFormatting sqref="D32">
    <cfRule type="expression" priority="157" dxfId="0">
      <formula>AND(COUNT(C32:F32)=4,D32=6)</formula>
    </cfRule>
    <cfRule type="expression" priority="158" dxfId="1">
      <formula>AND(COUNT(C32:F32)=4,D32&lt;6*0.4)</formula>
    </cfRule>
    <cfRule type="expression" priority="159" dxfId="2">
      <formula>AND(COUNT(C32:F32)=4,D32&gt;=6*0.4,D32&lt;6)</formula>
    </cfRule>
  </conditionalFormatting>
  <conditionalFormatting sqref="D33">
    <cfRule type="expression" priority="160" dxfId="0">
      <formula>AND(COUNT(C33:F33)=4,D33=6)</formula>
    </cfRule>
    <cfRule type="expression" priority="161" dxfId="1">
      <formula>AND(COUNT(C33:F33)=4,D33&lt;6*0.4)</formula>
    </cfRule>
    <cfRule type="expression" priority="162" dxfId="2">
      <formula>AND(COUNT(C33:F33)=4,D33&gt;=6*0.4,D33&lt;6)</formula>
    </cfRule>
  </conditionalFormatting>
  <conditionalFormatting sqref="D34">
    <cfRule type="expression" priority="163" dxfId="0">
      <formula>AND(COUNT(C34:F34)=4,D34=6)</formula>
    </cfRule>
    <cfRule type="expression" priority="164" dxfId="1">
      <formula>AND(COUNT(C34:F34)=4,D34&lt;6*0.4)</formula>
    </cfRule>
    <cfRule type="expression" priority="165" dxfId="2">
      <formula>AND(COUNT(C34:F34)=4,D34&gt;=6*0.4,D34&lt;6)</formula>
    </cfRule>
  </conditionalFormatting>
  <conditionalFormatting sqref="D35">
    <cfRule type="expression" priority="166" dxfId="0">
      <formula>AND(COUNT(C35:F35)=4,D35=6)</formula>
    </cfRule>
    <cfRule type="expression" priority="167" dxfId="1">
      <formula>AND(COUNT(C35:F35)=4,D35&lt;6*0.4)</formula>
    </cfRule>
    <cfRule type="expression" priority="168" dxfId="2">
      <formula>AND(COUNT(C35:F35)=4,D35&gt;=6*0.4,D35&lt;6)</formula>
    </cfRule>
  </conditionalFormatting>
  <conditionalFormatting sqref="D36">
    <cfRule type="expression" priority="169" dxfId="0">
      <formula>AND(COUNT(C36:F36)=4,D36=6)</formula>
    </cfRule>
    <cfRule type="expression" priority="170" dxfId="1">
      <formula>AND(COUNT(C36:F36)=4,D36&lt;6*0.4)</formula>
    </cfRule>
    <cfRule type="expression" priority="171" dxfId="2">
      <formula>AND(COUNT(C36:F36)=4,D36&gt;=6*0.4,D36&lt;6)</formula>
    </cfRule>
  </conditionalFormatting>
  <conditionalFormatting sqref="D37">
    <cfRule type="expression" priority="172" dxfId="0">
      <formula>AND(COUNT(C37:F37)=4,D37=6)</formula>
    </cfRule>
    <cfRule type="expression" priority="173" dxfId="1">
      <formula>AND(COUNT(C37:F37)=4,D37&lt;6*0.4)</formula>
    </cfRule>
    <cfRule type="expression" priority="174" dxfId="2">
      <formula>AND(COUNT(C37:F37)=4,D37&gt;=6*0.4,D37&lt;6)</formula>
    </cfRule>
  </conditionalFormatting>
  <conditionalFormatting sqref="D38">
    <cfRule type="expression" priority="175" dxfId="0">
      <formula>AND(COUNT(C38:F38)=4,D38=6)</formula>
    </cfRule>
    <cfRule type="expression" priority="176" dxfId="1">
      <formula>AND(COUNT(C38:F38)=4,D38&lt;6*0.4)</formula>
    </cfRule>
    <cfRule type="expression" priority="177" dxfId="2">
      <formula>AND(COUNT(C38:F38)=4,D38&gt;=6*0.4,D38&lt;6)</formula>
    </cfRule>
  </conditionalFormatting>
  <conditionalFormatting sqref="D39">
    <cfRule type="expression" priority="178" dxfId="0">
      <formula>AND(COUNT(C39:F39)=4,D39=6)</formula>
    </cfRule>
    <cfRule type="expression" priority="179" dxfId="1">
      <formula>AND(COUNT(C39:F39)=4,D39&lt;6*0.4)</formula>
    </cfRule>
    <cfRule type="expression" priority="180" dxfId="2">
      <formula>AND(COUNT(C39:F39)=4,D39&gt;=6*0.4,D39&lt;6)</formula>
    </cfRule>
  </conditionalFormatting>
  <conditionalFormatting sqref="D40">
    <cfRule type="expression" priority="181" dxfId="0">
      <formula>AND(COUNT(C40:F40)=4,D40=6)</formula>
    </cfRule>
    <cfRule type="expression" priority="182" dxfId="1">
      <formula>AND(COUNT(C40:F40)=4,D40&lt;6*0.4)</formula>
    </cfRule>
    <cfRule type="expression" priority="183" dxfId="2">
      <formula>AND(COUNT(C40:F40)=4,D40&gt;=6*0.4,D40&lt;6)</formula>
    </cfRule>
  </conditionalFormatting>
  <conditionalFormatting sqref="D41">
    <cfRule type="expression" priority="184" dxfId="0">
      <formula>AND(COUNT(C41:F41)=4,D41=6)</formula>
    </cfRule>
    <cfRule type="expression" priority="185" dxfId="1">
      <formula>AND(COUNT(C41:F41)=4,D41&lt;6*0.4)</formula>
    </cfRule>
    <cfRule type="expression" priority="186" dxfId="2">
      <formula>AND(COUNT(C41:F41)=4,D41&gt;=6*0.4,D41&lt;6)</formula>
    </cfRule>
  </conditionalFormatting>
  <conditionalFormatting sqref="E11">
    <cfRule type="expression" priority="187" dxfId="0">
      <formula>AND(COUNT(C11:F11)=4,E11=5)</formula>
    </cfRule>
    <cfRule type="expression" priority="188" dxfId="1">
      <formula>AND(COUNT(C11:F11)=4,E11&lt;5*0.4)</formula>
    </cfRule>
    <cfRule type="expression" priority="189" dxfId="2">
      <formula>AND(COUNT(C11:F11)=4,E11&gt;=5*0.4,E11&lt;5)</formula>
    </cfRule>
  </conditionalFormatting>
  <conditionalFormatting sqref="E12">
    <cfRule type="expression" priority="190" dxfId="0">
      <formula>AND(COUNT(C12:F12)=4,E12=5)</formula>
    </cfRule>
    <cfRule type="expression" priority="191" dxfId="1">
      <formula>AND(COUNT(C12:F12)=4,E12&lt;5*0.4)</formula>
    </cfRule>
    <cfRule type="expression" priority="192" dxfId="2">
      <formula>AND(COUNT(C12:F12)=4,E12&gt;=5*0.4,E12&lt;5)</formula>
    </cfRule>
  </conditionalFormatting>
  <conditionalFormatting sqref="E13">
    <cfRule type="expression" priority="193" dxfId="0">
      <formula>AND(COUNT(C13:F13)=4,E13=5)</formula>
    </cfRule>
    <cfRule type="expression" priority="194" dxfId="1">
      <formula>AND(COUNT(C13:F13)=4,E13&lt;5*0.4)</formula>
    </cfRule>
    <cfRule type="expression" priority="195" dxfId="2">
      <formula>AND(COUNT(C13:F13)=4,E13&gt;=5*0.4,E13&lt;5)</formula>
    </cfRule>
  </conditionalFormatting>
  <conditionalFormatting sqref="E14">
    <cfRule type="expression" priority="196" dxfId="0">
      <formula>AND(COUNT(C14:F14)=4,E14=5)</formula>
    </cfRule>
    <cfRule type="expression" priority="197" dxfId="1">
      <formula>AND(COUNT(C14:F14)=4,E14&lt;5*0.4)</formula>
    </cfRule>
    <cfRule type="expression" priority="198" dxfId="2">
      <formula>AND(COUNT(C14:F14)=4,E14&gt;=5*0.4,E14&lt;5)</formula>
    </cfRule>
  </conditionalFormatting>
  <conditionalFormatting sqref="E15">
    <cfRule type="expression" priority="199" dxfId="0">
      <formula>AND(COUNT(C15:F15)=4,E15=5)</formula>
    </cfRule>
    <cfRule type="expression" priority="200" dxfId="1">
      <formula>AND(COUNT(C15:F15)=4,E15&lt;5*0.4)</formula>
    </cfRule>
    <cfRule type="expression" priority="201" dxfId="2">
      <formula>AND(COUNT(C15:F15)=4,E15&gt;=5*0.4,E15&lt;5)</formula>
    </cfRule>
  </conditionalFormatting>
  <conditionalFormatting sqref="E16">
    <cfRule type="expression" priority="202" dxfId="0">
      <formula>AND(COUNT(C16:F16)=4,E16=5)</formula>
    </cfRule>
    <cfRule type="expression" priority="203" dxfId="1">
      <formula>AND(COUNT(C16:F16)=4,E16&lt;5*0.4)</formula>
    </cfRule>
    <cfRule type="expression" priority="204" dxfId="2">
      <formula>AND(COUNT(C16:F16)=4,E16&gt;=5*0.4,E16&lt;5)</formula>
    </cfRule>
  </conditionalFormatting>
  <conditionalFormatting sqref="E17">
    <cfRule type="expression" priority="205" dxfId="0">
      <formula>AND(COUNT(C17:F17)=4,E17=5)</formula>
    </cfRule>
    <cfRule type="expression" priority="206" dxfId="1">
      <formula>AND(COUNT(C17:F17)=4,E17&lt;5*0.4)</formula>
    </cfRule>
    <cfRule type="expression" priority="207" dxfId="2">
      <formula>AND(COUNT(C17:F17)=4,E17&gt;=5*0.4,E17&lt;5)</formula>
    </cfRule>
  </conditionalFormatting>
  <conditionalFormatting sqref="E18">
    <cfRule type="expression" priority="208" dxfId="0">
      <formula>AND(COUNT(C18:F18)=4,E18=5)</formula>
    </cfRule>
    <cfRule type="expression" priority="209" dxfId="1">
      <formula>AND(COUNT(C18:F18)=4,E18&lt;5*0.4)</formula>
    </cfRule>
    <cfRule type="expression" priority="210" dxfId="2">
      <formula>AND(COUNT(C18:F18)=4,E18&gt;=5*0.4,E18&lt;5)</formula>
    </cfRule>
  </conditionalFormatting>
  <conditionalFormatting sqref="E19">
    <cfRule type="expression" priority="211" dxfId="0">
      <formula>AND(COUNT(C19:F19)=4,E19=5)</formula>
    </cfRule>
    <cfRule type="expression" priority="212" dxfId="1">
      <formula>AND(COUNT(C19:F19)=4,E19&lt;5*0.4)</formula>
    </cfRule>
    <cfRule type="expression" priority="213" dxfId="2">
      <formula>AND(COUNT(C19:F19)=4,E19&gt;=5*0.4,E19&lt;5)</formula>
    </cfRule>
  </conditionalFormatting>
  <conditionalFormatting sqref="E20">
    <cfRule type="expression" priority="214" dxfId="0">
      <formula>AND(COUNT(C20:F20)=4,E20=5)</formula>
    </cfRule>
    <cfRule type="expression" priority="215" dxfId="1">
      <formula>AND(COUNT(C20:F20)=4,E20&lt;5*0.4)</formula>
    </cfRule>
    <cfRule type="expression" priority="216" dxfId="2">
      <formula>AND(COUNT(C20:F20)=4,E20&gt;=5*0.4,E20&lt;5)</formula>
    </cfRule>
  </conditionalFormatting>
  <conditionalFormatting sqref="E21">
    <cfRule type="expression" priority="217" dxfId="0">
      <formula>AND(COUNT(C21:F21)=4,E21=5)</formula>
    </cfRule>
    <cfRule type="expression" priority="218" dxfId="1">
      <formula>AND(COUNT(C21:F21)=4,E21&lt;5*0.4)</formula>
    </cfRule>
    <cfRule type="expression" priority="219" dxfId="2">
      <formula>AND(COUNT(C21:F21)=4,E21&gt;=5*0.4,E21&lt;5)</formula>
    </cfRule>
  </conditionalFormatting>
  <conditionalFormatting sqref="E22">
    <cfRule type="expression" priority="220" dxfId="0">
      <formula>AND(COUNT(C22:F22)=4,E22=5)</formula>
    </cfRule>
    <cfRule type="expression" priority="221" dxfId="1">
      <formula>AND(COUNT(C22:F22)=4,E22&lt;5*0.4)</formula>
    </cfRule>
    <cfRule type="expression" priority="222" dxfId="2">
      <formula>AND(COUNT(C22:F22)=4,E22&gt;=5*0.4,E22&lt;5)</formula>
    </cfRule>
  </conditionalFormatting>
  <conditionalFormatting sqref="E23">
    <cfRule type="expression" priority="223" dxfId="0">
      <formula>AND(COUNT(C23:F23)=4,E23=5)</formula>
    </cfRule>
    <cfRule type="expression" priority="224" dxfId="1">
      <formula>AND(COUNT(C23:F23)=4,E23&lt;5*0.4)</formula>
    </cfRule>
    <cfRule type="expression" priority="225" dxfId="2">
      <formula>AND(COUNT(C23:F23)=4,E23&gt;=5*0.4,E23&lt;5)</formula>
    </cfRule>
  </conditionalFormatting>
  <conditionalFormatting sqref="E24">
    <cfRule type="expression" priority="226" dxfId="0">
      <formula>AND(COUNT(C24:F24)=4,E24=5)</formula>
    </cfRule>
    <cfRule type="expression" priority="227" dxfId="1">
      <formula>AND(COUNT(C24:F24)=4,E24&lt;5*0.4)</formula>
    </cfRule>
    <cfRule type="expression" priority="228" dxfId="2">
      <formula>AND(COUNT(C24:F24)=4,E24&gt;=5*0.4,E24&lt;5)</formula>
    </cfRule>
  </conditionalFormatting>
  <conditionalFormatting sqref="E25">
    <cfRule type="expression" priority="229" dxfId="0">
      <formula>AND(COUNT(C25:F25)=4,E25=5)</formula>
    </cfRule>
    <cfRule type="expression" priority="230" dxfId="1">
      <formula>AND(COUNT(C25:F25)=4,E25&lt;5*0.4)</formula>
    </cfRule>
    <cfRule type="expression" priority="231" dxfId="2">
      <formula>AND(COUNT(C25:F25)=4,E25&gt;=5*0.4,E25&lt;5)</formula>
    </cfRule>
  </conditionalFormatting>
  <conditionalFormatting sqref="E26">
    <cfRule type="expression" priority="232" dxfId="0">
      <formula>AND(COUNT(C26:F26)=4,E26=5)</formula>
    </cfRule>
    <cfRule type="expression" priority="233" dxfId="1">
      <formula>AND(COUNT(C26:F26)=4,E26&lt;5*0.4)</formula>
    </cfRule>
    <cfRule type="expression" priority="234" dxfId="2">
      <formula>AND(COUNT(C26:F26)=4,E26&gt;=5*0.4,E26&lt;5)</formula>
    </cfRule>
  </conditionalFormatting>
  <conditionalFormatting sqref="E27">
    <cfRule type="expression" priority="235" dxfId="0">
      <formula>AND(COUNT(C27:F27)=4,E27=5)</formula>
    </cfRule>
    <cfRule type="expression" priority="236" dxfId="1">
      <formula>AND(COUNT(C27:F27)=4,E27&lt;5*0.4)</formula>
    </cfRule>
    <cfRule type="expression" priority="237" dxfId="2">
      <formula>AND(COUNT(C27:F27)=4,E27&gt;=5*0.4,E27&lt;5)</formula>
    </cfRule>
  </conditionalFormatting>
  <conditionalFormatting sqref="E28">
    <cfRule type="expression" priority="238" dxfId="0">
      <formula>AND(COUNT(C28:F28)=4,E28=5)</formula>
    </cfRule>
    <cfRule type="expression" priority="239" dxfId="1">
      <formula>AND(COUNT(C28:F28)=4,E28&lt;5*0.4)</formula>
    </cfRule>
    <cfRule type="expression" priority="240" dxfId="2">
      <formula>AND(COUNT(C28:F28)=4,E28&gt;=5*0.4,E28&lt;5)</formula>
    </cfRule>
  </conditionalFormatting>
  <conditionalFormatting sqref="E29">
    <cfRule type="expression" priority="241" dxfId="0">
      <formula>AND(COUNT(C29:F29)=4,E29=5)</formula>
    </cfRule>
    <cfRule type="expression" priority="242" dxfId="1">
      <formula>AND(COUNT(C29:F29)=4,E29&lt;5*0.4)</formula>
    </cfRule>
    <cfRule type="expression" priority="243" dxfId="2">
      <formula>AND(COUNT(C29:F29)=4,E29&gt;=5*0.4,E29&lt;5)</formula>
    </cfRule>
  </conditionalFormatting>
  <conditionalFormatting sqref="E30">
    <cfRule type="expression" priority="244" dxfId="0">
      <formula>AND(COUNT(C30:F30)=4,E30=5)</formula>
    </cfRule>
    <cfRule type="expression" priority="245" dxfId="1">
      <formula>AND(COUNT(C30:F30)=4,E30&lt;5*0.4)</formula>
    </cfRule>
    <cfRule type="expression" priority="246" dxfId="2">
      <formula>AND(COUNT(C30:F30)=4,E30&gt;=5*0.4,E30&lt;5)</formula>
    </cfRule>
  </conditionalFormatting>
  <conditionalFormatting sqref="E31">
    <cfRule type="expression" priority="247" dxfId="0">
      <formula>AND(COUNT(C31:F31)=4,E31=5)</formula>
    </cfRule>
    <cfRule type="expression" priority="248" dxfId="1">
      <formula>AND(COUNT(C31:F31)=4,E31&lt;5*0.4)</formula>
    </cfRule>
    <cfRule type="expression" priority="249" dxfId="2">
      <formula>AND(COUNT(C31:F31)=4,E31&gt;=5*0.4,E31&lt;5)</formula>
    </cfRule>
  </conditionalFormatting>
  <conditionalFormatting sqref="E32">
    <cfRule type="expression" priority="250" dxfId="0">
      <formula>AND(COUNT(C32:F32)=4,E32=5)</formula>
    </cfRule>
    <cfRule type="expression" priority="251" dxfId="1">
      <formula>AND(COUNT(C32:F32)=4,E32&lt;5*0.4)</formula>
    </cfRule>
    <cfRule type="expression" priority="252" dxfId="2">
      <formula>AND(COUNT(C32:F32)=4,E32&gt;=5*0.4,E32&lt;5)</formula>
    </cfRule>
  </conditionalFormatting>
  <conditionalFormatting sqref="E33">
    <cfRule type="expression" priority="253" dxfId="0">
      <formula>AND(COUNT(C33:F33)=4,E33=5)</formula>
    </cfRule>
    <cfRule type="expression" priority="254" dxfId="1">
      <formula>AND(COUNT(C33:F33)=4,E33&lt;5*0.4)</formula>
    </cfRule>
    <cfRule type="expression" priority="255" dxfId="2">
      <formula>AND(COUNT(C33:F33)=4,E33&gt;=5*0.4,E33&lt;5)</formula>
    </cfRule>
  </conditionalFormatting>
  <conditionalFormatting sqref="E34">
    <cfRule type="expression" priority="256" dxfId="0">
      <formula>AND(COUNT(C34:F34)=4,E34=5)</formula>
    </cfRule>
    <cfRule type="expression" priority="257" dxfId="1">
      <formula>AND(COUNT(C34:F34)=4,E34&lt;5*0.4)</formula>
    </cfRule>
    <cfRule type="expression" priority="258" dxfId="2">
      <formula>AND(COUNT(C34:F34)=4,E34&gt;=5*0.4,E34&lt;5)</formula>
    </cfRule>
  </conditionalFormatting>
  <conditionalFormatting sqref="E35">
    <cfRule type="expression" priority="259" dxfId="0">
      <formula>AND(COUNT(C35:F35)=4,E35=5)</formula>
    </cfRule>
    <cfRule type="expression" priority="260" dxfId="1">
      <formula>AND(COUNT(C35:F35)=4,E35&lt;5*0.4)</formula>
    </cfRule>
    <cfRule type="expression" priority="261" dxfId="2">
      <formula>AND(COUNT(C35:F35)=4,E35&gt;=5*0.4,E35&lt;5)</formula>
    </cfRule>
  </conditionalFormatting>
  <conditionalFormatting sqref="E36">
    <cfRule type="expression" priority="262" dxfId="0">
      <formula>AND(COUNT(C36:F36)=4,E36=5)</formula>
    </cfRule>
    <cfRule type="expression" priority="263" dxfId="1">
      <formula>AND(COUNT(C36:F36)=4,E36&lt;5*0.4)</formula>
    </cfRule>
    <cfRule type="expression" priority="264" dxfId="2">
      <formula>AND(COUNT(C36:F36)=4,E36&gt;=5*0.4,E36&lt;5)</formula>
    </cfRule>
  </conditionalFormatting>
  <conditionalFormatting sqref="E37">
    <cfRule type="expression" priority="265" dxfId="0">
      <formula>AND(COUNT(C37:F37)=4,E37=5)</formula>
    </cfRule>
    <cfRule type="expression" priority="266" dxfId="1">
      <formula>AND(COUNT(C37:F37)=4,E37&lt;5*0.4)</formula>
    </cfRule>
    <cfRule type="expression" priority="267" dxfId="2">
      <formula>AND(COUNT(C37:F37)=4,E37&gt;=5*0.4,E37&lt;5)</formula>
    </cfRule>
  </conditionalFormatting>
  <conditionalFormatting sqref="E38">
    <cfRule type="expression" priority="268" dxfId="0">
      <formula>AND(COUNT(C38:F38)=4,E38=5)</formula>
    </cfRule>
    <cfRule type="expression" priority="269" dxfId="1">
      <formula>AND(COUNT(C38:F38)=4,E38&lt;5*0.4)</formula>
    </cfRule>
    <cfRule type="expression" priority="270" dxfId="2">
      <formula>AND(COUNT(C38:F38)=4,E38&gt;=5*0.4,E38&lt;5)</formula>
    </cfRule>
  </conditionalFormatting>
  <conditionalFormatting sqref="E39">
    <cfRule type="expression" priority="271" dxfId="0">
      <formula>AND(COUNT(C39:F39)=4,E39=5)</formula>
    </cfRule>
    <cfRule type="expression" priority="272" dxfId="1">
      <formula>AND(COUNT(C39:F39)=4,E39&lt;5*0.4)</formula>
    </cfRule>
    <cfRule type="expression" priority="273" dxfId="2">
      <formula>AND(COUNT(C39:F39)=4,E39&gt;=5*0.4,E39&lt;5)</formula>
    </cfRule>
  </conditionalFormatting>
  <conditionalFormatting sqref="E40">
    <cfRule type="expression" priority="274" dxfId="0">
      <formula>AND(COUNT(C40:F40)=4,E40=5)</formula>
    </cfRule>
    <cfRule type="expression" priority="275" dxfId="1">
      <formula>AND(COUNT(C40:F40)=4,E40&lt;5*0.4)</formula>
    </cfRule>
    <cfRule type="expression" priority="276" dxfId="2">
      <formula>AND(COUNT(C40:F40)=4,E40&gt;=5*0.4,E40&lt;5)</formula>
    </cfRule>
  </conditionalFormatting>
  <conditionalFormatting sqref="E41">
    <cfRule type="expression" priority="277" dxfId="0">
      <formula>AND(COUNT(C41:F41)=4,E41=5)</formula>
    </cfRule>
    <cfRule type="expression" priority="278" dxfId="1">
      <formula>AND(COUNT(C41:F41)=4,E41&lt;5*0.4)</formula>
    </cfRule>
    <cfRule type="expression" priority="279" dxfId="2">
      <formula>AND(COUNT(C41:F41)=4,E41&gt;=5*0.4,E41&lt;5)</formula>
    </cfRule>
  </conditionalFormatting>
  <conditionalFormatting sqref="F11">
    <cfRule type="expression" priority="280" dxfId="0">
      <formula>AND(COUNT(C11:F11)=4,F11=6)</formula>
    </cfRule>
    <cfRule type="expression" priority="281" dxfId="1">
      <formula>AND(COUNT(C11:F11)=4,F11&lt;6*0.4)</formula>
    </cfRule>
    <cfRule type="expression" priority="282" dxfId="2">
      <formula>AND(COUNT(C11:F11)=4,F11&gt;=6*0.4,F11&lt;6)</formula>
    </cfRule>
  </conditionalFormatting>
  <conditionalFormatting sqref="F12">
    <cfRule type="expression" priority="283" dxfId="0">
      <formula>AND(COUNT(C12:F12)=4,F12=6)</formula>
    </cfRule>
    <cfRule type="expression" priority="284" dxfId="1">
      <formula>AND(COUNT(C12:F12)=4,F12&lt;6*0.4)</formula>
    </cfRule>
    <cfRule type="expression" priority="285" dxfId="2">
      <formula>AND(COUNT(C12:F12)=4,F12&gt;=6*0.4,F12&lt;6)</formula>
    </cfRule>
  </conditionalFormatting>
  <conditionalFormatting sqref="F13">
    <cfRule type="expression" priority="286" dxfId="0">
      <formula>AND(COUNT(C13:F13)=4,F13=6)</formula>
    </cfRule>
    <cfRule type="expression" priority="287" dxfId="1">
      <formula>AND(COUNT(C13:F13)=4,F13&lt;6*0.4)</formula>
    </cfRule>
    <cfRule type="expression" priority="288" dxfId="2">
      <formula>AND(COUNT(C13:F13)=4,F13&gt;=6*0.4,F13&lt;6)</formula>
    </cfRule>
  </conditionalFormatting>
  <conditionalFormatting sqref="F14">
    <cfRule type="expression" priority="289" dxfId="0">
      <formula>AND(COUNT(C14:F14)=4,F14=6)</formula>
    </cfRule>
    <cfRule type="expression" priority="290" dxfId="1">
      <formula>AND(COUNT(C14:F14)=4,F14&lt;6*0.4)</formula>
    </cfRule>
    <cfRule type="expression" priority="291" dxfId="2">
      <formula>AND(COUNT(C14:F14)=4,F14&gt;=6*0.4,F14&lt;6)</formula>
    </cfRule>
  </conditionalFormatting>
  <conditionalFormatting sqref="F15">
    <cfRule type="expression" priority="292" dxfId="0">
      <formula>AND(COUNT(C15:F15)=4,F15=6)</formula>
    </cfRule>
    <cfRule type="expression" priority="293" dxfId="1">
      <formula>AND(COUNT(C15:F15)=4,F15&lt;6*0.4)</formula>
    </cfRule>
    <cfRule type="expression" priority="294" dxfId="2">
      <formula>AND(COUNT(C15:F15)=4,F15&gt;=6*0.4,F15&lt;6)</formula>
    </cfRule>
  </conditionalFormatting>
  <conditionalFormatting sqref="F16">
    <cfRule type="expression" priority="295" dxfId="0">
      <formula>AND(COUNT(C16:F16)=4,F16=6)</formula>
    </cfRule>
    <cfRule type="expression" priority="296" dxfId="1">
      <formula>AND(COUNT(C16:F16)=4,F16&lt;6*0.4)</formula>
    </cfRule>
    <cfRule type="expression" priority="297" dxfId="2">
      <formula>AND(COUNT(C16:F16)=4,F16&gt;=6*0.4,F16&lt;6)</formula>
    </cfRule>
  </conditionalFormatting>
  <conditionalFormatting sqref="F17">
    <cfRule type="expression" priority="298" dxfId="0">
      <formula>AND(COUNT(C17:F17)=4,F17=6)</formula>
    </cfRule>
    <cfRule type="expression" priority="299" dxfId="1">
      <formula>AND(COUNT(C17:F17)=4,F17&lt;6*0.4)</formula>
    </cfRule>
    <cfRule type="expression" priority="300" dxfId="2">
      <formula>AND(COUNT(C17:F17)=4,F17&gt;=6*0.4,F17&lt;6)</formula>
    </cfRule>
  </conditionalFormatting>
  <conditionalFormatting sqref="F18">
    <cfRule type="expression" priority="301" dxfId="0">
      <formula>AND(COUNT(C18:F18)=4,F18=6)</formula>
    </cfRule>
    <cfRule type="expression" priority="302" dxfId="1">
      <formula>AND(COUNT(C18:F18)=4,F18&lt;6*0.4)</formula>
    </cfRule>
    <cfRule type="expression" priority="303" dxfId="2">
      <formula>AND(COUNT(C18:F18)=4,F18&gt;=6*0.4,F18&lt;6)</formula>
    </cfRule>
  </conditionalFormatting>
  <conditionalFormatting sqref="F19">
    <cfRule type="expression" priority="304" dxfId="0">
      <formula>AND(COUNT(C19:F19)=4,F19=6)</formula>
    </cfRule>
    <cfRule type="expression" priority="305" dxfId="1">
      <formula>AND(COUNT(C19:F19)=4,F19&lt;6*0.4)</formula>
    </cfRule>
    <cfRule type="expression" priority="306" dxfId="2">
      <formula>AND(COUNT(C19:F19)=4,F19&gt;=6*0.4,F19&lt;6)</formula>
    </cfRule>
  </conditionalFormatting>
  <conditionalFormatting sqref="F20">
    <cfRule type="expression" priority="307" dxfId="0">
      <formula>AND(COUNT(C20:F20)=4,F20=6)</formula>
    </cfRule>
    <cfRule type="expression" priority="308" dxfId="1">
      <formula>AND(COUNT(C20:F20)=4,F20&lt;6*0.4)</formula>
    </cfRule>
    <cfRule type="expression" priority="309" dxfId="2">
      <formula>AND(COUNT(C20:F20)=4,F20&gt;=6*0.4,F20&lt;6)</formula>
    </cfRule>
  </conditionalFormatting>
  <conditionalFormatting sqref="F21">
    <cfRule type="expression" priority="310" dxfId="0">
      <formula>AND(COUNT(C21:F21)=4,F21=6)</formula>
    </cfRule>
    <cfRule type="expression" priority="311" dxfId="1">
      <formula>AND(COUNT(C21:F21)=4,F21&lt;6*0.4)</formula>
    </cfRule>
    <cfRule type="expression" priority="312" dxfId="2">
      <formula>AND(COUNT(C21:F21)=4,F21&gt;=6*0.4,F21&lt;6)</formula>
    </cfRule>
  </conditionalFormatting>
  <conditionalFormatting sqref="F22">
    <cfRule type="expression" priority="313" dxfId="0">
      <formula>AND(COUNT(C22:F22)=4,F22=6)</formula>
    </cfRule>
    <cfRule type="expression" priority="314" dxfId="1">
      <formula>AND(COUNT(C22:F22)=4,F22&lt;6*0.4)</formula>
    </cfRule>
    <cfRule type="expression" priority="315" dxfId="2">
      <formula>AND(COUNT(C22:F22)=4,F22&gt;=6*0.4,F22&lt;6)</formula>
    </cfRule>
  </conditionalFormatting>
  <conditionalFormatting sqref="F23">
    <cfRule type="expression" priority="316" dxfId="0">
      <formula>AND(COUNT(C23:F23)=4,F23=6)</formula>
    </cfRule>
    <cfRule type="expression" priority="317" dxfId="1">
      <formula>AND(COUNT(C23:F23)=4,F23&lt;6*0.4)</formula>
    </cfRule>
    <cfRule type="expression" priority="318" dxfId="2">
      <formula>AND(COUNT(C23:F23)=4,F23&gt;=6*0.4,F23&lt;6)</formula>
    </cfRule>
  </conditionalFormatting>
  <conditionalFormatting sqref="F24">
    <cfRule type="expression" priority="319" dxfId="0">
      <formula>AND(COUNT(C24:F24)=4,F24=6)</formula>
    </cfRule>
    <cfRule type="expression" priority="320" dxfId="1">
      <formula>AND(COUNT(C24:F24)=4,F24&lt;6*0.4)</formula>
    </cfRule>
    <cfRule type="expression" priority="321" dxfId="2">
      <formula>AND(COUNT(C24:F24)=4,F24&gt;=6*0.4,F24&lt;6)</formula>
    </cfRule>
  </conditionalFormatting>
  <conditionalFormatting sqref="F25">
    <cfRule type="expression" priority="322" dxfId="0">
      <formula>AND(COUNT(C25:F25)=4,F25=6)</formula>
    </cfRule>
    <cfRule type="expression" priority="323" dxfId="1">
      <formula>AND(COUNT(C25:F25)=4,F25&lt;6*0.4)</formula>
    </cfRule>
    <cfRule type="expression" priority="324" dxfId="2">
      <formula>AND(COUNT(C25:F25)=4,F25&gt;=6*0.4,F25&lt;6)</formula>
    </cfRule>
  </conditionalFormatting>
  <conditionalFormatting sqref="F26">
    <cfRule type="expression" priority="325" dxfId="0">
      <formula>AND(COUNT(C26:F26)=4,F26=6)</formula>
    </cfRule>
    <cfRule type="expression" priority="326" dxfId="1">
      <formula>AND(COUNT(C26:F26)=4,F26&lt;6*0.4)</formula>
    </cfRule>
    <cfRule type="expression" priority="327" dxfId="2">
      <formula>AND(COUNT(C26:F26)=4,F26&gt;=6*0.4,F26&lt;6)</formula>
    </cfRule>
  </conditionalFormatting>
  <conditionalFormatting sqref="F27">
    <cfRule type="expression" priority="328" dxfId="0">
      <formula>AND(COUNT(C27:F27)=4,F27=6)</formula>
    </cfRule>
    <cfRule type="expression" priority="329" dxfId="1">
      <formula>AND(COUNT(C27:F27)=4,F27&lt;6*0.4)</formula>
    </cfRule>
    <cfRule type="expression" priority="330" dxfId="2">
      <formula>AND(COUNT(C27:F27)=4,F27&gt;=6*0.4,F27&lt;6)</formula>
    </cfRule>
  </conditionalFormatting>
  <conditionalFormatting sqref="F28">
    <cfRule type="expression" priority="331" dxfId="0">
      <formula>AND(COUNT(C28:F28)=4,F28=6)</formula>
    </cfRule>
    <cfRule type="expression" priority="332" dxfId="1">
      <formula>AND(COUNT(C28:F28)=4,F28&lt;6*0.4)</formula>
    </cfRule>
    <cfRule type="expression" priority="333" dxfId="2">
      <formula>AND(COUNT(C28:F28)=4,F28&gt;=6*0.4,F28&lt;6)</formula>
    </cfRule>
  </conditionalFormatting>
  <conditionalFormatting sqref="F29">
    <cfRule type="expression" priority="334" dxfId="0">
      <formula>AND(COUNT(C29:F29)=4,F29=6)</formula>
    </cfRule>
    <cfRule type="expression" priority="335" dxfId="1">
      <formula>AND(COUNT(C29:F29)=4,F29&lt;6*0.4)</formula>
    </cfRule>
    <cfRule type="expression" priority="336" dxfId="2">
      <formula>AND(COUNT(C29:F29)=4,F29&gt;=6*0.4,F29&lt;6)</formula>
    </cfRule>
  </conditionalFormatting>
  <conditionalFormatting sqref="F30">
    <cfRule type="expression" priority="337" dxfId="0">
      <formula>AND(COUNT(C30:F30)=4,F30=6)</formula>
    </cfRule>
    <cfRule type="expression" priority="338" dxfId="1">
      <formula>AND(COUNT(C30:F30)=4,F30&lt;6*0.4)</formula>
    </cfRule>
    <cfRule type="expression" priority="339" dxfId="2">
      <formula>AND(COUNT(C30:F30)=4,F30&gt;=6*0.4,F30&lt;6)</formula>
    </cfRule>
  </conditionalFormatting>
  <conditionalFormatting sqref="F31">
    <cfRule type="expression" priority="340" dxfId="0">
      <formula>AND(COUNT(C31:F31)=4,F31=6)</formula>
    </cfRule>
    <cfRule type="expression" priority="341" dxfId="1">
      <formula>AND(COUNT(C31:F31)=4,F31&lt;6*0.4)</formula>
    </cfRule>
    <cfRule type="expression" priority="342" dxfId="2">
      <formula>AND(COUNT(C31:F31)=4,F31&gt;=6*0.4,F31&lt;6)</formula>
    </cfRule>
  </conditionalFormatting>
  <conditionalFormatting sqref="F32">
    <cfRule type="expression" priority="343" dxfId="0">
      <formula>AND(COUNT(C32:F32)=4,F32=6)</formula>
    </cfRule>
    <cfRule type="expression" priority="344" dxfId="1">
      <formula>AND(COUNT(C32:F32)=4,F32&lt;6*0.4)</formula>
    </cfRule>
    <cfRule type="expression" priority="345" dxfId="2">
      <formula>AND(COUNT(C32:F32)=4,F32&gt;=6*0.4,F32&lt;6)</formula>
    </cfRule>
  </conditionalFormatting>
  <conditionalFormatting sqref="F33">
    <cfRule type="expression" priority="346" dxfId="0">
      <formula>AND(COUNT(C33:F33)=4,F33=6)</formula>
    </cfRule>
    <cfRule type="expression" priority="347" dxfId="1">
      <formula>AND(COUNT(C33:F33)=4,F33&lt;6*0.4)</formula>
    </cfRule>
    <cfRule type="expression" priority="348" dxfId="2">
      <formula>AND(COUNT(C33:F33)=4,F33&gt;=6*0.4,F33&lt;6)</formula>
    </cfRule>
  </conditionalFormatting>
  <conditionalFormatting sqref="F34">
    <cfRule type="expression" priority="349" dxfId="0">
      <formula>AND(COUNT(C34:F34)=4,F34=6)</formula>
    </cfRule>
    <cfRule type="expression" priority="350" dxfId="1">
      <formula>AND(COUNT(C34:F34)=4,F34&lt;6*0.4)</formula>
    </cfRule>
    <cfRule type="expression" priority="351" dxfId="2">
      <formula>AND(COUNT(C34:F34)=4,F34&gt;=6*0.4,F34&lt;6)</formula>
    </cfRule>
  </conditionalFormatting>
  <conditionalFormatting sqref="F35">
    <cfRule type="expression" priority="352" dxfId="0">
      <formula>AND(COUNT(C35:F35)=4,F35=6)</formula>
    </cfRule>
    <cfRule type="expression" priority="353" dxfId="1">
      <formula>AND(COUNT(C35:F35)=4,F35&lt;6*0.4)</formula>
    </cfRule>
    <cfRule type="expression" priority="354" dxfId="2">
      <formula>AND(COUNT(C35:F35)=4,F35&gt;=6*0.4,F35&lt;6)</formula>
    </cfRule>
  </conditionalFormatting>
  <conditionalFormatting sqref="F36">
    <cfRule type="expression" priority="355" dxfId="0">
      <formula>AND(COUNT(C36:F36)=4,F36=6)</formula>
    </cfRule>
    <cfRule type="expression" priority="356" dxfId="1">
      <formula>AND(COUNT(C36:F36)=4,F36&lt;6*0.4)</formula>
    </cfRule>
    <cfRule type="expression" priority="357" dxfId="2">
      <formula>AND(COUNT(C36:F36)=4,F36&gt;=6*0.4,F36&lt;6)</formula>
    </cfRule>
  </conditionalFormatting>
  <conditionalFormatting sqref="F37">
    <cfRule type="expression" priority="358" dxfId="0">
      <formula>AND(COUNT(C37:F37)=4,F37=6)</formula>
    </cfRule>
    <cfRule type="expression" priority="359" dxfId="1">
      <formula>AND(COUNT(C37:F37)=4,F37&lt;6*0.4)</formula>
    </cfRule>
    <cfRule type="expression" priority="360" dxfId="2">
      <formula>AND(COUNT(C37:F37)=4,F37&gt;=6*0.4,F37&lt;6)</formula>
    </cfRule>
  </conditionalFormatting>
  <conditionalFormatting sqref="F38">
    <cfRule type="expression" priority="361" dxfId="0">
      <formula>AND(COUNT(C38:F38)=4,F38=6)</formula>
    </cfRule>
    <cfRule type="expression" priority="362" dxfId="1">
      <formula>AND(COUNT(C38:F38)=4,F38&lt;6*0.4)</formula>
    </cfRule>
    <cfRule type="expression" priority="363" dxfId="2">
      <formula>AND(COUNT(C38:F38)=4,F38&gt;=6*0.4,F38&lt;6)</formula>
    </cfRule>
  </conditionalFormatting>
  <conditionalFormatting sqref="F39">
    <cfRule type="expression" priority="364" dxfId="0">
      <formula>AND(COUNT(C39:F39)=4,F39=6)</formula>
    </cfRule>
    <cfRule type="expression" priority="365" dxfId="1">
      <formula>AND(COUNT(C39:F39)=4,F39&lt;6*0.4)</formula>
    </cfRule>
    <cfRule type="expression" priority="366" dxfId="2">
      <formula>AND(COUNT(C39:F39)=4,F39&gt;=6*0.4,F39&lt;6)</formula>
    </cfRule>
  </conditionalFormatting>
  <conditionalFormatting sqref="F40">
    <cfRule type="expression" priority="367" dxfId="0">
      <formula>AND(COUNT(C40:F40)=4,F40=6)</formula>
    </cfRule>
    <cfRule type="expression" priority="368" dxfId="1">
      <formula>AND(COUNT(C40:F40)=4,F40&lt;6*0.4)</formula>
    </cfRule>
    <cfRule type="expression" priority="369" dxfId="2">
      <formula>AND(COUNT(C40:F40)=4,F40&gt;=6*0.4,F40&lt;6)</formula>
    </cfRule>
  </conditionalFormatting>
  <conditionalFormatting sqref="F41">
    <cfRule type="expression" priority="370" dxfId="0">
      <formula>AND(COUNT(C41:F41)=4,F41=6)</formula>
    </cfRule>
    <cfRule type="expression" priority="371" dxfId="1">
      <formula>AND(COUNT(C41:F41)=4,F41&lt;6*0.4)</formula>
    </cfRule>
    <cfRule type="expression" priority="372" dxfId="2">
      <formula>AND(COUNT(C41:F41)=4,F41&gt;=6*0.4,F41&lt;6)</formula>
    </cfRule>
  </conditionalFormatting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Mini Test 6.2 — Probabilities &amp; Estimation</t>
        </is>
      </c>
    </row>
    <row r="2">
      <c r="A2" s="2" t="inlineStr">
        <is>
          <t>Every block below pulls live from 'MT 6.2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SUMPRODUCT(--ISNUMBER('MT 6.2 Results'!I12:I41))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IF('MT 6.2 Results'!I12="","","Mini Test 6.2 — Probabilities &amp; Estimation")</f>
        <v/>
      </c>
      <c r="K5">
        <f>IF('MT 6.2 Results'!I13="","","Mini Test 6.2 — Probabilities &amp; Estimation")</f>
        <v/>
      </c>
    </row>
    <row r="6">
      <c r="A6">
        <f>IF('MT 6.2 Results'!I12="","","Name: "&amp;'MT 6.2 Results'!B12&amp;"   Class: "&amp;'MT 6.2 Results'!$B$3&amp;"   Date: "&amp;TEXT('MT 6.2 Results'!$B$5,"DD/MM/YY"))</f>
        <v/>
      </c>
      <c r="K6">
        <f>IF('MT 6.2 Results'!I13="","","Name: "&amp;'MT 6.2 Results'!B13&amp;"   Class: "&amp;'MT 6.2 Results'!$B$3&amp;"   Date: "&amp;TEXT('MT 6.2 Results'!$B$5,"DD/MM/YY"))</f>
        <v/>
      </c>
    </row>
    <row r="7">
      <c r="A7">
        <f>IF('MT 6.2 Results'!I12="","","Total: "&amp;'MT 6.2 Results'!G12&amp;"/24 ("&amp;TEXT('MT 6.2 Results'!H12,"0%")&amp;")   Overall: "&amp;'MT 6.2 Results'!I12)</f>
        <v/>
      </c>
      <c r="K7">
        <f>IF('MT 6.2 Results'!I13="","","Total: "&amp;'MT 6.2 Results'!G13&amp;"/24 ("&amp;TEXT('MT 6.2 Results'!H13,"0%")&amp;")   Overall: "&amp;'MT 6.2 Results'!I13)</f>
        <v/>
      </c>
    </row>
    <row r="8">
      <c r="A8">
        <f>IF('MT 6.2 Results'!I12="","",IF('MT 6.2 Results'!I12="Green",Parameters!$C$368,IF('MT 6.2 Results'!I12="Yellow",Parameters!$C$367,Parameters!$C$366)))</f>
        <v/>
      </c>
      <c r="K8">
        <f>IF('MT 6.2 Results'!I13="","",IF('MT 6.2 Results'!I13="Green",Parameters!$C$368,IF('MT 6.2 Results'!I13="Yellow",Parameters!$C$367,Parameters!$C$366)))</f>
        <v/>
      </c>
    </row>
    <row r="10">
      <c r="A10">
        <f>IF('MT 6.2 Results'!I12="","","Breakdown:")</f>
        <v/>
      </c>
      <c r="K10">
        <f>IF('MT 6.2 Results'!I13="","","Breakdown:")</f>
        <v/>
      </c>
    </row>
    <row r="11">
      <c r="A11">
        <f>IF('MT 6.2 Results'!I12="","","Q1 CI for a proportion: "&amp;'MT 6.2 Results'!C12&amp;"/7")</f>
        <v/>
      </c>
      <c r="K11">
        <f>IF('MT 6.2 Results'!I13="","","Q1 CI for a proportion: "&amp;'MT 6.2 Results'!C13&amp;"/7")</f>
        <v/>
      </c>
    </row>
    <row r="12">
      <c r="A12">
        <f>IF('MT 6.2 Results'!I12="","","Q2 Sample size: "&amp;'MT 6.2 Results'!D12&amp;"/6")</f>
        <v/>
      </c>
      <c r="K12">
        <f>IF('MT 6.2 Results'!I13="","","Q2 Sample size: "&amp;'MT 6.2 Results'!D13&amp;"/6")</f>
        <v/>
      </c>
    </row>
    <row r="13">
      <c r="A13">
        <f>IF('MT 6.2 Results'!I12="","","Q3 Critical values &amp; misconceptions: "&amp;'MT 6.2 Results'!E12&amp;"/5")</f>
        <v/>
      </c>
      <c r="K13">
        <f>IF('MT 6.2 Results'!I13="","","Q3 Critical values &amp; misconceptions: "&amp;'MT 6.2 Results'!E13&amp;"/5")</f>
        <v/>
      </c>
    </row>
    <row r="14">
      <c r="A14">
        <f>IF('MT 6.2 Results'!I12="","","Q4 CIs for decisions: "&amp;'MT 6.2 Results'!F12&amp;"/6")</f>
        <v/>
      </c>
      <c r="K14">
        <f>IF('MT 6.2 Results'!I13="","","Q4 CIs for decisions: "&amp;'MT 6.2 Results'!F13&amp;"/6")</f>
        <v/>
      </c>
    </row>
    <row r="15">
      <c r="A15">
        <f>IF(OR('MT 6.2 Results'!I12="",'MT 6.2 Results'!J12=""),"",'MT 6.2 Results'!J12)</f>
        <v/>
      </c>
      <c r="K15">
        <f>IF(OR('MT 6.2 Results'!I13="",'MT 6.2 Results'!J13=""),"",'MT 6.2 Results'!J13)</f>
        <v/>
      </c>
    </row>
    <row r="17">
      <c r="A17">
        <f>IF('MT 6.2 Results'!I12="","","Comments:")</f>
        <v/>
      </c>
      <c r="K17">
        <f>IF('MT 6.2 Results'!I13="","","Comments:")</f>
        <v/>
      </c>
    </row>
    <row r="21">
      <c r="A21">
        <f>IF('MT 6.2 Results'!I14="","","Mini Test 6.2 — Probabilities &amp; Estimation")</f>
        <v/>
      </c>
      <c r="K21">
        <f>IF('MT 6.2 Results'!I15="","","Mini Test 6.2 — Probabilities &amp; Estimation")</f>
        <v/>
      </c>
    </row>
    <row r="22">
      <c r="A22">
        <f>IF('MT 6.2 Results'!I14="","","Name: "&amp;'MT 6.2 Results'!B14&amp;"   Class: "&amp;'MT 6.2 Results'!$B$3&amp;"   Date: "&amp;TEXT('MT 6.2 Results'!$B$5,"DD/MM/YY"))</f>
        <v/>
      </c>
      <c r="K22">
        <f>IF('MT 6.2 Results'!I15="","","Name: "&amp;'MT 6.2 Results'!B15&amp;"   Class: "&amp;'MT 6.2 Results'!$B$3&amp;"   Date: "&amp;TEXT('MT 6.2 Results'!$B$5,"DD/MM/YY"))</f>
        <v/>
      </c>
    </row>
    <row r="23">
      <c r="A23">
        <f>IF('MT 6.2 Results'!I14="","","Total: "&amp;'MT 6.2 Results'!G14&amp;"/24 ("&amp;TEXT('MT 6.2 Results'!H14,"0%")&amp;")   Overall: "&amp;'MT 6.2 Results'!I14)</f>
        <v/>
      </c>
      <c r="K23">
        <f>IF('MT 6.2 Results'!I15="","","Total: "&amp;'MT 6.2 Results'!G15&amp;"/24 ("&amp;TEXT('MT 6.2 Results'!H15,"0%")&amp;")   Overall: "&amp;'MT 6.2 Results'!I15)</f>
        <v/>
      </c>
    </row>
    <row r="24">
      <c r="A24">
        <f>IF('MT 6.2 Results'!I14="","",IF('MT 6.2 Results'!I14="Green",Parameters!$C$368,IF('MT 6.2 Results'!I14="Yellow",Parameters!$C$367,Parameters!$C$366)))</f>
        <v/>
      </c>
      <c r="K24">
        <f>IF('MT 6.2 Results'!I15="","",IF('MT 6.2 Results'!I15="Green",Parameters!$C$368,IF('MT 6.2 Results'!I15="Yellow",Parameters!$C$367,Parameters!$C$366)))</f>
        <v/>
      </c>
    </row>
    <row r="26">
      <c r="A26">
        <f>IF('MT 6.2 Results'!I14="","","Breakdown:")</f>
        <v/>
      </c>
      <c r="K26">
        <f>IF('MT 6.2 Results'!I15="","","Breakdown:")</f>
        <v/>
      </c>
    </row>
    <row r="27">
      <c r="A27">
        <f>IF('MT 6.2 Results'!I14="","","Q1 CI for a proportion: "&amp;'MT 6.2 Results'!C14&amp;"/7")</f>
        <v/>
      </c>
      <c r="K27">
        <f>IF('MT 6.2 Results'!I15="","","Q1 CI for a proportion: "&amp;'MT 6.2 Results'!C15&amp;"/7")</f>
        <v/>
      </c>
    </row>
    <row r="28">
      <c r="A28">
        <f>IF('MT 6.2 Results'!I14="","","Q2 Sample size: "&amp;'MT 6.2 Results'!D14&amp;"/6")</f>
        <v/>
      </c>
      <c r="K28">
        <f>IF('MT 6.2 Results'!I15="","","Q2 Sample size: "&amp;'MT 6.2 Results'!D15&amp;"/6")</f>
        <v/>
      </c>
    </row>
    <row r="29">
      <c r="A29">
        <f>IF('MT 6.2 Results'!I14="","","Q3 Critical values &amp; misconceptions: "&amp;'MT 6.2 Results'!E14&amp;"/5")</f>
        <v/>
      </c>
      <c r="K29">
        <f>IF('MT 6.2 Results'!I15="","","Q3 Critical values &amp; misconceptions: "&amp;'MT 6.2 Results'!E15&amp;"/5")</f>
        <v/>
      </c>
    </row>
    <row r="30">
      <c r="A30">
        <f>IF('MT 6.2 Results'!I14="","","Q4 CIs for decisions: "&amp;'MT 6.2 Results'!F14&amp;"/6")</f>
        <v/>
      </c>
      <c r="K30">
        <f>IF('MT 6.2 Results'!I15="","","Q4 CIs for decisions: "&amp;'MT 6.2 Results'!F15&amp;"/6")</f>
        <v/>
      </c>
    </row>
    <row r="31">
      <c r="A31">
        <f>IF(OR('MT 6.2 Results'!I14="",'MT 6.2 Results'!J14=""),"",'MT 6.2 Results'!J14)</f>
        <v/>
      </c>
      <c r="K31">
        <f>IF(OR('MT 6.2 Results'!I15="",'MT 6.2 Results'!J15=""),"",'MT 6.2 Results'!J15)</f>
        <v/>
      </c>
    </row>
    <row r="33">
      <c r="A33">
        <f>IF('MT 6.2 Results'!I14="","","Comments:")</f>
        <v/>
      </c>
      <c r="K33">
        <f>IF('MT 6.2 Results'!I15="","","Comments:")</f>
        <v/>
      </c>
    </row>
    <row r="37">
      <c r="A37">
        <f>IF('MT 6.2 Results'!I16="","","Mini Test 6.2 — Probabilities &amp; Estimation")</f>
        <v/>
      </c>
      <c r="K37">
        <f>IF('MT 6.2 Results'!I17="","","Mini Test 6.2 — Probabilities &amp; Estimation")</f>
        <v/>
      </c>
    </row>
    <row r="38">
      <c r="A38">
        <f>IF('MT 6.2 Results'!I16="","","Name: "&amp;'MT 6.2 Results'!B16&amp;"   Class: "&amp;'MT 6.2 Results'!$B$3&amp;"   Date: "&amp;TEXT('MT 6.2 Results'!$B$5,"DD/MM/YY"))</f>
        <v/>
      </c>
      <c r="K38">
        <f>IF('MT 6.2 Results'!I17="","","Name: "&amp;'MT 6.2 Results'!B17&amp;"   Class: "&amp;'MT 6.2 Results'!$B$3&amp;"   Date: "&amp;TEXT('MT 6.2 Results'!$B$5,"DD/MM/YY"))</f>
        <v/>
      </c>
    </row>
    <row r="39">
      <c r="A39">
        <f>IF('MT 6.2 Results'!I16="","","Total: "&amp;'MT 6.2 Results'!G16&amp;"/24 ("&amp;TEXT('MT 6.2 Results'!H16,"0%")&amp;")   Overall: "&amp;'MT 6.2 Results'!I16)</f>
        <v/>
      </c>
      <c r="K39">
        <f>IF('MT 6.2 Results'!I17="","","Total: "&amp;'MT 6.2 Results'!G17&amp;"/24 ("&amp;TEXT('MT 6.2 Results'!H17,"0%")&amp;")   Overall: "&amp;'MT 6.2 Results'!I17)</f>
        <v/>
      </c>
    </row>
    <row r="40">
      <c r="A40">
        <f>IF('MT 6.2 Results'!I16="","",IF('MT 6.2 Results'!I16="Green",Parameters!$C$368,IF('MT 6.2 Results'!I16="Yellow",Parameters!$C$367,Parameters!$C$366)))</f>
        <v/>
      </c>
      <c r="K40">
        <f>IF('MT 6.2 Results'!I17="","",IF('MT 6.2 Results'!I17="Green",Parameters!$C$368,IF('MT 6.2 Results'!I17="Yellow",Parameters!$C$367,Parameters!$C$366)))</f>
        <v/>
      </c>
    </row>
    <row r="42">
      <c r="A42">
        <f>IF('MT 6.2 Results'!I16="","","Breakdown:")</f>
        <v/>
      </c>
      <c r="K42">
        <f>IF('MT 6.2 Results'!I17="","","Breakdown:")</f>
        <v/>
      </c>
    </row>
    <row r="43">
      <c r="A43">
        <f>IF('MT 6.2 Results'!I16="","","Q1 CI for a proportion: "&amp;'MT 6.2 Results'!C16&amp;"/7")</f>
        <v/>
      </c>
      <c r="K43">
        <f>IF('MT 6.2 Results'!I17="","","Q1 CI for a proportion: "&amp;'MT 6.2 Results'!C17&amp;"/7")</f>
        <v/>
      </c>
    </row>
    <row r="44">
      <c r="A44">
        <f>IF('MT 6.2 Results'!I16="","","Q2 Sample size: "&amp;'MT 6.2 Results'!D16&amp;"/6")</f>
        <v/>
      </c>
      <c r="K44">
        <f>IF('MT 6.2 Results'!I17="","","Q2 Sample size: "&amp;'MT 6.2 Results'!D17&amp;"/6")</f>
        <v/>
      </c>
    </row>
    <row r="45">
      <c r="A45">
        <f>IF('MT 6.2 Results'!I16="","","Q3 Critical values &amp; misconceptions: "&amp;'MT 6.2 Results'!E16&amp;"/5")</f>
        <v/>
      </c>
      <c r="K45">
        <f>IF('MT 6.2 Results'!I17="","","Q3 Critical values &amp; misconceptions: "&amp;'MT 6.2 Results'!E17&amp;"/5")</f>
        <v/>
      </c>
    </row>
    <row r="46">
      <c r="A46">
        <f>IF('MT 6.2 Results'!I16="","","Q4 CIs for decisions: "&amp;'MT 6.2 Results'!F16&amp;"/6")</f>
        <v/>
      </c>
      <c r="K46">
        <f>IF('MT 6.2 Results'!I17="","","Q4 CIs for decisions: "&amp;'MT 6.2 Results'!F17&amp;"/6")</f>
        <v/>
      </c>
    </row>
    <row r="47">
      <c r="A47">
        <f>IF(OR('MT 6.2 Results'!I16="",'MT 6.2 Results'!J16=""),"",'MT 6.2 Results'!J16)</f>
        <v/>
      </c>
      <c r="K47">
        <f>IF(OR('MT 6.2 Results'!I17="",'MT 6.2 Results'!J17=""),"",'MT 6.2 Results'!J17)</f>
        <v/>
      </c>
    </row>
    <row r="49">
      <c r="A49">
        <f>IF('MT 6.2 Results'!I16="","","Comments:")</f>
        <v/>
      </c>
      <c r="K49">
        <f>IF('MT 6.2 Results'!I17="","","Comments:")</f>
        <v/>
      </c>
    </row>
    <row r="53">
      <c r="A53">
        <f>IF('MT 6.2 Results'!I18="","","Mini Test 6.2 — Probabilities &amp; Estimation")</f>
        <v/>
      </c>
      <c r="K53">
        <f>IF('MT 6.2 Results'!I19="","","Mini Test 6.2 — Probabilities &amp; Estimation")</f>
        <v/>
      </c>
    </row>
    <row r="54">
      <c r="A54">
        <f>IF('MT 6.2 Results'!I18="","","Name: "&amp;'MT 6.2 Results'!B18&amp;"   Class: "&amp;'MT 6.2 Results'!$B$3&amp;"   Date: "&amp;TEXT('MT 6.2 Results'!$B$5,"DD/MM/YY"))</f>
        <v/>
      </c>
      <c r="K54">
        <f>IF('MT 6.2 Results'!I19="","","Name: "&amp;'MT 6.2 Results'!B19&amp;"   Class: "&amp;'MT 6.2 Results'!$B$3&amp;"   Date: "&amp;TEXT('MT 6.2 Results'!$B$5,"DD/MM/YY"))</f>
        <v/>
      </c>
    </row>
    <row r="55">
      <c r="A55">
        <f>IF('MT 6.2 Results'!I18="","","Total: "&amp;'MT 6.2 Results'!G18&amp;"/24 ("&amp;TEXT('MT 6.2 Results'!H18,"0%")&amp;")   Overall: "&amp;'MT 6.2 Results'!I18)</f>
        <v/>
      </c>
      <c r="K55">
        <f>IF('MT 6.2 Results'!I19="","","Total: "&amp;'MT 6.2 Results'!G19&amp;"/24 ("&amp;TEXT('MT 6.2 Results'!H19,"0%")&amp;")   Overall: "&amp;'MT 6.2 Results'!I19)</f>
        <v/>
      </c>
    </row>
    <row r="56">
      <c r="A56">
        <f>IF('MT 6.2 Results'!I18="","",IF('MT 6.2 Results'!I18="Green",Parameters!$C$368,IF('MT 6.2 Results'!I18="Yellow",Parameters!$C$367,Parameters!$C$366)))</f>
        <v/>
      </c>
      <c r="K56">
        <f>IF('MT 6.2 Results'!I19="","",IF('MT 6.2 Results'!I19="Green",Parameters!$C$368,IF('MT 6.2 Results'!I19="Yellow",Parameters!$C$367,Parameters!$C$366)))</f>
        <v/>
      </c>
    </row>
    <row r="58">
      <c r="A58">
        <f>IF('MT 6.2 Results'!I18="","","Breakdown:")</f>
        <v/>
      </c>
      <c r="K58">
        <f>IF('MT 6.2 Results'!I19="","","Breakdown:")</f>
        <v/>
      </c>
    </row>
    <row r="59">
      <c r="A59">
        <f>IF('MT 6.2 Results'!I18="","","Q1 CI for a proportion: "&amp;'MT 6.2 Results'!C18&amp;"/7")</f>
        <v/>
      </c>
      <c r="K59">
        <f>IF('MT 6.2 Results'!I19="","","Q1 CI for a proportion: "&amp;'MT 6.2 Results'!C19&amp;"/7")</f>
        <v/>
      </c>
    </row>
    <row r="60">
      <c r="A60">
        <f>IF('MT 6.2 Results'!I18="","","Q2 Sample size: "&amp;'MT 6.2 Results'!D18&amp;"/6")</f>
        <v/>
      </c>
      <c r="K60">
        <f>IF('MT 6.2 Results'!I19="","","Q2 Sample size: "&amp;'MT 6.2 Results'!D19&amp;"/6")</f>
        <v/>
      </c>
    </row>
    <row r="61">
      <c r="A61">
        <f>IF('MT 6.2 Results'!I18="","","Q3 Critical values &amp; misconceptions: "&amp;'MT 6.2 Results'!E18&amp;"/5")</f>
        <v/>
      </c>
      <c r="K61">
        <f>IF('MT 6.2 Results'!I19="","","Q3 Critical values &amp; misconceptions: "&amp;'MT 6.2 Results'!E19&amp;"/5")</f>
        <v/>
      </c>
    </row>
    <row r="62">
      <c r="A62">
        <f>IF('MT 6.2 Results'!I18="","","Q4 CIs for decisions: "&amp;'MT 6.2 Results'!F18&amp;"/6")</f>
        <v/>
      </c>
      <c r="K62">
        <f>IF('MT 6.2 Results'!I19="","","Q4 CIs for decisions: "&amp;'MT 6.2 Results'!F19&amp;"/6")</f>
        <v/>
      </c>
    </row>
    <row r="63">
      <c r="A63">
        <f>IF(OR('MT 6.2 Results'!I18="",'MT 6.2 Results'!J18=""),"",'MT 6.2 Results'!J18)</f>
        <v/>
      </c>
      <c r="K63">
        <f>IF(OR('MT 6.2 Results'!I19="",'MT 6.2 Results'!J19=""),"",'MT 6.2 Results'!J19)</f>
        <v/>
      </c>
    </row>
    <row r="65">
      <c r="A65">
        <f>IF('MT 6.2 Results'!I18="","","Comments:")</f>
        <v/>
      </c>
      <c r="K65">
        <f>IF('MT 6.2 Results'!I19="","","Comments:")</f>
        <v/>
      </c>
    </row>
    <row r="69">
      <c r="A69">
        <f>IF('MT 6.2 Results'!I20="","","Mini Test 6.2 — Probabilities &amp; Estimation")</f>
        <v/>
      </c>
      <c r="K69">
        <f>IF('MT 6.2 Results'!I21="","","Mini Test 6.2 — Probabilities &amp; Estimation")</f>
        <v/>
      </c>
    </row>
    <row r="70">
      <c r="A70">
        <f>IF('MT 6.2 Results'!I20="","","Name: "&amp;'MT 6.2 Results'!B20&amp;"   Class: "&amp;'MT 6.2 Results'!$B$3&amp;"   Date: "&amp;TEXT('MT 6.2 Results'!$B$5,"DD/MM/YY"))</f>
        <v/>
      </c>
      <c r="K70">
        <f>IF('MT 6.2 Results'!I21="","","Name: "&amp;'MT 6.2 Results'!B21&amp;"   Class: "&amp;'MT 6.2 Results'!$B$3&amp;"   Date: "&amp;TEXT('MT 6.2 Results'!$B$5,"DD/MM/YY"))</f>
        <v/>
      </c>
    </row>
    <row r="71">
      <c r="A71">
        <f>IF('MT 6.2 Results'!I20="","","Total: "&amp;'MT 6.2 Results'!G20&amp;"/24 ("&amp;TEXT('MT 6.2 Results'!H20,"0%")&amp;")   Overall: "&amp;'MT 6.2 Results'!I20)</f>
        <v/>
      </c>
      <c r="K71">
        <f>IF('MT 6.2 Results'!I21="","","Total: "&amp;'MT 6.2 Results'!G21&amp;"/24 ("&amp;TEXT('MT 6.2 Results'!H21,"0%")&amp;")   Overall: "&amp;'MT 6.2 Results'!I21)</f>
        <v/>
      </c>
    </row>
    <row r="72">
      <c r="A72">
        <f>IF('MT 6.2 Results'!I20="","",IF('MT 6.2 Results'!I20="Green",Parameters!$C$368,IF('MT 6.2 Results'!I20="Yellow",Parameters!$C$367,Parameters!$C$366)))</f>
        <v/>
      </c>
      <c r="K72">
        <f>IF('MT 6.2 Results'!I21="","",IF('MT 6.2 Results'!I21="Green",Parameters!$C$368,IF('MT 6.2 Results'!I21="Yellow",Parameters!$C$367,Parameters!$C$366)))</f>
        <v/>
      </c>
    </row>
    <row r="74">
      <c r="A74">
        <f>IF('MT 6.2 Results'!I20="","","Breakdown:")</f>
        <v/>
      </c>
      <c r="K74">
        <f>IF('MT 6.2 Results'!I21="","","Breakdown:")</f>
        <v/>
      </c>
    </row>
    <row r="75">
      <c r="A75">
        <f>IF('MT 6.2 Results'!I20="","","Q1 CI for a proportion: "&amp;'MT 6.2 Results'!C20&amp;"/7")</f>
        <v/>
      </c>
      <c r="K75">
        <f>IF('MT 6.2 Results'!I21="","","Q1 CI for a proportion: "&amp;'MT 6.2 Results'!C21&amp;"/7")</f>
        <v/>
      </c>
    </row>
    <row r="76">
      <c r="A76">
        <f>IF('MT 6.2 Results'!I20="","","Q2 Sample size: "&amp;'MT 6.2 Results'!D20&amp;"/6")</f>
        <v/>
      </c>
      <c r="K76">
        <f>IF('MT 6.2 Results'!I21="","","Q2 Sample size: "&amp;'MT 6.2 Results'!D21&amp;"/6")</f>
        <v/>
      </c>
    </row>
    <row r="77">
      <c r="A77">
        <f>IF('MT 6.2 Results'!I20="","","Q3 Critical values &amp; misconceptions: "&amp;'MT 6.2 Results'!E20&amp;"/5")</f>
        <v/>
      </c>
      <c r="K77">
        <f>IF('MT 6.2 Results'!I21="","","Q3 Critical values &amp; misconceptions: "&amp;'MT 6.2 Results'!E21&amp;"/5")</f>
        <v/>
      </c>
    </row>
    <row r="78">
      <c r="A78">
        <f>IF('MT 6.2 Results'!I20="","","Q4 CIs for decisions: "&amp;'MT 6.2 Results'!F20&amp;"/6")</f>
        <v/>
      </c>
      <c r="K78">
        <f>IF('MT 6.2 Results'!I21="","","Q4 CIs for decisions: "&amp;'MT 6.2 Results'!F21&amp;"/6")</f>
        <v/>
      </c>
    </row>
    <row r="79">
      <c r="A79">
        <f>IF(OR('MT 6.2 Results'!I20="",'MT 6.2 Results'!J20=""),"",'MT 6.2 Results'!J20)</f>
        <v/>
      </c>
      <c r="K79">
        <f>IF(OR('MT 6.2 Results'!I21="",'MT 6.2 Results'!J21=""),"",'MT 6.2 Results'!J21)</f>
        <v/>
      </c>
    </row>
    <row r="81">
      <c r="A81">
        <f>IF('MT 6.2 Results'!I20="","","Comments:")</f>
        <v/>
      </c>
      <c r="K81">
        <f>IF('MT 6.2 Results'!I21="","","Comments:")</f>
        <v/>
      </c>
    </row>
    <row r="85">
      <c r="A85">
        <f>IF('MT 6.2 Results'!I22="","","Mini Test 6.2 — Probabilities &amp; Estimation")</f>
        <v/>
      </c>
      <c r="K85">
        <f>IF('MT 6.2 Results'!I23="","","Mini Test 6.2 — Probabilities &amp; Estimation")</f>
        <v/>
      </c>
    </row>
    <row r="86">
      <c r="A86">
        <f>IF('MT 6.2 Results'!I22="","","Name: "&amp;'MT 6.2 Results'!B22&amp;"   Class: "&amp;'MT 6.2 Results'!$B$3&amp;"   Date: "&amp;TEXT('MT 6.2 Results'!$B$5,"DD/MM/YY"))</f>
        <v/>
      </c>
      <c r="K86">
        <f>IF('MT 6.2 Results'!I23="","","Name: "&amp;'MT 6.2 Results'!B23&amp;"   Class: "&amp;'MT 6.2 Results'!$B$3&amp;"   Date: "&amp;TEXT('MT 6.2 Results'!$B$5,"DD/MM/YY"))</f>
        <v/>
      </c>
    </row>
    <row r="87">
      <c r="A87">
        <f>IF('MT 6.2 Results'!I22="","","Total: "&amp;'MT 6.2 Results'!G22&amp;"/24 ("&amp;TEXT('MT 6.2 Results'!H22,"0%")&amp;")   Overall: "&amp;'MT 6.2 Results'!I22)</f>
        <v/>
      </c>
      <c r="K87">
        <f>IF('MT 6.2 Results'!I23="","","Total: "&amp;'MT 6.2 Results'!G23&amp;"/24 ("&amp;TEXT('MT 6.2 Results'!H23,"0%")&amp;")   Overall: "&amp;'MT 6.2 Results'!I23)</f>
        <v/>
      </c>
    </row>
    <row r="88">
      <c r="A88">
        <f>IF('MT 6.2 Results'!I22="","",IF('MT 6.2 Results'!I22="Green",Parameters!$C$368,IF('MT 6.2 Results'!I22="Yellow",Parameters!$C$367,Parameters!$C$366)))</f>
        <v/>
      </c>
      <c r="K88">
        <f>IF('MT 6.2 Results'!I23="","",IF('MT 6.2 Results'!I23="Green",Parameters!$C$368,IF('MT 6.2 Results'!I23="Yellow",Parameters!$C$367,Parameters!$C$366)))</f>
        <v/>
      </c>
    </row>
    <row r="90">
      <c r="A90">
        <f>IF('MT 6.2 Results'!I22="","","Breakdown:")</f>
        <v/>
      </c>
      <c r="K90">
        <f>IF('MT 6.2 Results'!I23="","","Breakdown:")</f>
        <v/>
      </c>
    </row>
    <row r="91">
      <c r="A91">
        <f>IF('MT 6.2 Results'!I22="","","Q1 CI for a proportion: "&amp;'MT 6.2 Results'!C22&amp;"/7")</f>
        <v/>
      </c>
      <c r="K91">
        <f>IF('MT 6.2 Results'!I23="","","Q1 CI for a proportion: "&amp;'MT 6.2 Results'!C23&amp;"/7")</f>
        <v/>
      </c>
    </row>
    <row r="92">
      <c r="A92">
        <f>IF('MT 6.2 Results'!I22="","","Q2 Sample size: "&amp;'MT 6.2 Results'!D22&amp;"/6")</f>
        <v/>
      </c>
      <c r="K92">
        <f>IF('MT 6.2 Results'!I23="","","Q2 Sample size: "&amp;'MT 6.2 Results'!D23&amp;"/6")</f>
        <v/>
      </c>
    </row>
    <row r="93">
      <c r="A93">
        <f>IF('MT 6.2 Results'!I22="","","Q3 Critical values &amp; misconceptions: "&amp;'MT 6.2 Results'!E22&amp;"/5")</f>
        <v/>
      </c>
      <c r="K93">
        <f>IF('MT 6.2 Results'!I23="","","Q3 Critical values &amp; misconceptions: "&amp;'MT 6.2 Results'!E23&amp;"/5")</f>
        <v/>
      </c>
    </row>
    <row r="94">
      <c r="A94">
        <f>IF('MT 6.2 Results'!I22="","","Q4 CIs for decisions: "&amp;'MT 6.2 Results'!F22&amp;"/6")</f>
        <v/>
      </c>
      <c r="K94">
        <f>IF('MT 6.2 Results'!I23="","","Q4 CIs for decisions: "&amp;'MT 6.2 Results'!F23&amp;"/6")</f>
        <v/>
      </c>
    </row>
    <row r="95">
      <c r="A95">
        <f>IF(OR('MT 6.2 Results'!I22="",'MT 6.2 Results'!J22=""),"",'MT 6.2 Results'!J22)</f>
        <v/>
      </c>
      <c r="K95">
        <f>IF(OR('MT 6.2 Results'!I23="",'MT 6.2 Results'!J23=""),"",'MT 6.2 Results'!J23)</f>
        <v/>
      </c>
    </row>
    <row r="97">
      <c r="A97">
        <f>IF('MT 6.2 Results'!I22="","","Comments:")</f>
        <v/>
      </c>
      <c r="K97">
        <f>IF('MT 6.2 Results'!I23="","","Comments:")</f>
        <v/>
      </c>
    </row>
    <row r="101">
      <c r="A101">
        <f>IF('MT 6.2 Results'!I24="","","Mini Test 6.2 — Probabilities &amp; Estimation")</f>
        <v/>
      </c>
      <c r="K101">
        <f>IF('MT 6.2 Results'!I25="","","Mini Test 6.2 — Probabilities &amp; Estimation")</f>
        <v/>
      </c>
    </row>
    <row r="102">
      <c r="A102">
        <f>IF('MT 6.2 Results'!I24="","","Name: "&amp;'MT 6.2 Results'!B24&amp;"   Class: "&amp;'MT 6.2 Results'!$B$3&amp;"   Date: "&amp;TEXT('MT 6.2 Results'!$B$5,"DD/MM/YY"))</f>
        <v/>
      </c>
      <c r="K102">
        <f>IF('MT 6.2 Results'!I25="","","Name: "&amp;'MT 6.2 Results'!B25&amp;"   Class: "&amp;'MT 6.2 Results'!$B$3&amp;"   Date: "&amp;TEXT('MT 6.2 Results'!$B$5,"DD/MM/YY"))</f>
        <v/>
      </c>
    </row>
    <row r="103">
      <c r="A103">
        <f>IF('MT 6.2 Results'!I24="","","Total: "&amp;'MT 6.2 Results'!G24&amp;"/24 ("&amp;TEXT('MT 6.2 Results'!H24,"0%")&amp;")   Overall: "&amp;'MT 6.2 Results'!I24)</f>
        <v/>
      </c>
      <c r="K103">
        <f>IF('MT 6.2 Results'!I25="","","Total: "&amp;'MT 6.2 Results'!G25&amp;"/24 ("&amp;TEXT('MT 6.2 Results'!H25,"0%")&amp;")   Overall: "&amp;'MT 6.2 Results'!I25)</f>
        <v/>
      </c>
    </row>
    <row r="104">
      <c r="A104">
        <f>IF('MT 6.2 Results'!I24="","",IF('MT 6.2 Results'!I24="Green",Parameters!$C$368,IF('MT 6.2 Results'!I24="Yellow",Parameters!$C$367,Parameters!$C$366)))</f>
        <v/>
      </c>
      <c r="K104">
        <f>IF('MT 6.2 Results'!I25="","",IF('MT 6.2 Results'!I25="Green",Parameters!$C$368,IF('MT 6.2 Results'!I25="Yellow",Parameters!$C$367,Parameters!$C$366)))</f>
        <v/>
      </c>
    </row>
    <row r="106">
      <c r="A106">
        <f>IF('MT 6.2 Results'!I24="","","Breakdown:")</f>
        <v/>
      </c>
      <c r="K106">
        <f>IF('MT 6.2 Results'!I25="","","Breakdown:")</f>
        <v/>
      </c>
    </row>
    <row r="107">
      <c r="A107">
        <f>IF('MT 6.2 Results'!I24="","","Q1 CI for a proportion: "&amp;'MT 6.2 Results'!C24&amp;"/7")</f>
        <v/>
      </c>
      <c r="K107">
        <f>IF('MT 6.2 Results'!I25="","","Q1 CI for a proportion: "&amp;'MT 6.2 Results'!C25&amp;"/7")</f>
        <v/>
      </c>
    </row>
    <row r="108">
      <c r="A108">
        <f>IF('MT 6.2 Results'!I24="","","Q2 Sample size: "&amp;'MT 6.2 Results'!D24&amp;"/6")</f>
        <v/>
      </c>
      <c r="K108">
        <f>IF('MT 6.2 Results'!I25="","","Q2 Sample size: "&amp;'MT 6.2 Results'!D25&amp;"/6")</f>
        <v/>
      </c>
    </row>
    <row r="109">
      <c r="A109">
        <f>IF('MT 6.2 Results'!I24="","","Q3 Critical values &amp; misconceptions: "&amp;'MT 6.2 Results'!E24&amp;"/5")</f>
        <v/>
      </c>
      <c r="K109">
        <f>IF('MT 6.2 Results'!I25="","","Q3 Critical values &amp; misconceptions: "&amp;'MT 6.2 Results'!E25&amp;"/5")</f>
        <v/>
      </c>
    </row>
    <row r="110">
      <c r="A110">
        <f>IF('MT 6.2 Results'!I24="","","Q4 CIs for decisions: "&amp;'MT 6.2 Results'!F24&amp;"/6")</f>
        <v/>
      </c>
      <c r="K110">
        <f>IF('MT 6.2 Results'!I25="","","Q4 CIs for decisions: "&amp;'MT 6.2 Results'!F25&amp;"/6")</f>
        <v/>
      </c>
    </row>
    <row r="111">
      <c r="A111">
        <f>IF(OR('MT 6.2 Results'!I24="",'MT 6.2 Results'!J24=""),"",'MT 6.2 Results'!J24)</f>
        <v/>
      </c>
      <c r="K111">
        <f>IF(OR('MT 6.2 Results'!I25="",'MT 6.2 Results'!J25=""),"",'MT 6.2 Results'!J25)</f>
        <v/>
      </c>
    </row>
    <row r="113">
      <c r="A113">
        <f>IF('MT 6.2 Results'!I24="","","Comments:")</f>
        <v/>
      </c>
      <c r="K113">
        <f>IF('MT 6.2 Results'!I25="","","Comments:")</f>
        <v/>
      </c>
    </row>
    <row r="117">
      <c r="A117">
        <f>IF('MT 6.2 Results'!I26="","","Mini Test 6.2 — Probabilities &amp; Estimation")</f>
        <v/>
      </c>
      <c r="K117">
        <f>IF('MT 6.2 Results'!I27="","","Mini Test 6.2 — Probabilities &amp; Estimation")</f>
        <v/>
      </c>
    </row>
    <row r="118">
      <c r="A118">
        <f>IF('MT 6.2 Results'!I26="","","Name: "&amp;'MT 6.2 Results'!B26&amp;"   Class: "&amp;'MT 6.2 Results'!$B$3&amp;"   Date: "&amp;TEXT('MT 6.2 Results'!$B$5,"DD/MM/YY"))</f>
        <v/>
      </c>
      <c r="K118">
        <f>IF('MT 6.2 Results'!I27="","","Name: "&amp;'MT 6.2 Results'!B27&amp;"   Class: "&amp;'MT 6.2 Results'!$B$3&amp;"   Date: "&amp;TEXT('MT 6.2 Results'!$B$5,"DD/MM/YY"))</f>
        <v/>
      </c>
    </row>
    <row r="119">
      <c r="A119">
        <f>IF('MT 6.2 Results'!I26="","","Total: "&amp;'MT 6.2 Results'!G26&amp;"/24 ("&amp;TEXT('MT 6.2 Results'!H26,"0%")&amp;")   Overall: "&amp;'MT 6.2 Results'!I26)</f>
        <v/>
      </c>
      <c r="K119">
        <f>IF('MT 6.2 Results'!I27="","","Total: "&amp;'MT 6.2 Results'!G27&amp;"/24 ("&amp;TEXT('MT 6.2 Results'!H27,"0%")&amp;")   Overall: "&amp;'MT 6.2 Results'!I27)</f>
        <v/>
      </c>
    </row>
    <row r="120">
      <c r="A120">
        <f>IF('MT 6.2 Results'!I26="","",IF('MT 6.2 Results'!I26="Green",Parameters!$C$368,IF('MT 6.2 Results'!I26="Yellow",Parameters!$C$367,Parameters!$C$366)))</f>
        <v/>
      </c>
      <c r="K120">
        <f>IF('MT 6.2 Results'!I27="","",IF('MT 6.2 Results'!I27="Green",Parameters!$C$368,IF('MT 6.2 Results'!I27="Yellow",Parameters!$C$367,Parameters!$C$366)))</f>
        <v/>
      </c>
    </row>
    <row r="122">
      <c r="A122">
        <f>IF('MT 6.2 Results'!I26="","","Breakdown:")</f>
        <v/>
      </c>
      <c r="K122">
        <f>IF('MT 6.2 Results'!I27="","","Breakdown:")</f>
        <v/>
      </c>
    </row>
    <row r="123">
      <c r="A123">
        <f>IF('MT 6.2 Results'!I26="","","Q1 CI for a proportion: "&amp;'MT 6.2 Results'!C26&amp;"/7")</f>
        <v/>
      </c>
      <c r="K123">
        <f>IF('MT 6.2 Results'!I27="","","Q1 CI for a proportion: "&amp;'MT 6.2 Results'!C27&amp;"/7")</f>
        <v/>
      </c>
    </row>
    <row r="124">
      <c r="A124">
        <f>IF('MT 6.2 Results'!I26="","","Q2 Sample size: "&amp;'MT 6.2 Results'!D26&amp;"/6")</f>
        <v/>
      </c>
      <c r="K124">
        <f>IF('MT 6.2 Results'!I27="","","Q2 Sample size: "&amp;'MT 6.2 Results'!D27&amp;"/6")</f>
        <v/>
      </c>
    </row>
    <row r="125">
      <c r="A125">
        <f>IF('MT 6.2 Results'!I26="","","Q3 Critical values &amp; misconceptions: "&amp;'MT 6.2 Results'!E26&amp;"/5")</f>
        <v/>
      </c>
      <c r="K125">
        <f>IF('MT 6.2 Results'!I27="","","Q3 Critical values &amp; misconceptions: "&amp;'MT 6.2 Results'!E27&amp;"/5")</f>
        <v/>
      </c>
    </row>
    <row r="126">
      <c r="A126">
        <f>IF('MT 6.2 Results'!I26="","","Q4 CIs for decisions: "&amp;'MT 6.2 Results'!F26&amp;"/6")</f>
        <v/>
      </c>
      <c r="K126">
        <f>IF('MT 6.2 Results'!I27="","","Q4 CIs for decisions: "&amp;'MT 6.2 Results'!F27&amp;"/6")</f>
        <v/>
      </c>
    </row>
    <row r="127">
      <c r="A127">
        <f>IF(OR('MT 6.2 Results'!I26="",'MT 6.2 Results'!J26=""),"",'MT 6.2 Results'!J26)</f>
        <v/>
      </c>
      <c r="K127">
        <f>IF(OR('MT 6.2 Results'!I27="",'MT 6.2 Results'!J27=""),"",'MT 6.2 Results'!J27)</f>
        <v/>
      </c>
    </row>
    <row r="129">
      <c r="A129">
        <f>IF('MT 6.2 Results'!I26="","","Comments:")</f>
        <v/>
      </c>
      <c r="K129">
        <f>IF('MT 6.2 Results'!I27="","","Comments:")</f>
        <v/>
      </c>
    </row>
    <row r="133">
      <c r="A133">
        <f>IF('MT 6.2 Results'!I28="","","Mini Test 6.2 — Probabilities &amp; Estimation")</f>
        <v/>
      </c>
      <c r="K133">
        <f>IF('MT 6.2 Results'!I29="","","Mini Test 6.2 — Probabilities &amp; Estimation")</f>
        <v/>
      </c>
    </row>
    <row r="134">
      <c r="A134">
        <f>IF('MT 6.2 Results'!I28="","","Name: "&amp;'MT 6.2 Results'!B28&amp;"   Class: "&amp;'MT 6.2 Results'!$B$3&amp;"   Date: "&amp;TEXT('MT 6.2 Results'!$B$5,"DD/MM/YY"))</f>
        <v/>
      </c>
      <c r="K134">
        <f>IF('MT 6.2 Results'!I29="","","Name: "&amp;'MT 6.2 Results'!B29&amp;"   Class: "&amp;'MT 6.2 Results'!$B$3&amp;"   Date: "&amp;TEXT('MT 6.2 Results'!$B$5,"DD/MM/YY"))</f>
        <v/>
      </c>
    </row>
    <row r="135">
      <c r="A135">
        <f>IF('MT 6.2 Results'!I28="","","Total: "&amp;'MT 6.2 Results'!G28&amp;"/24 ("&amp;TEXT('MT 6.2 Results'!H28,"0%")&amp;")   Overall: "&amp;'MT 6.2 Results'!I28)</f>
        <v/>
      </c>
      <c r="K135">
        <f>IF('MT 6.2 Results'!I29="","","Total: "&amp;'MT 6.2 Results'!G29&amp;"/24 ("&amp;TEXT('MT 6.2 Results'!H29,"0%")&amp;")   Overall: "&amp;'MT 6.2 Results'!I29)</f>
        <v/>
      </c>
    </row>
    <row r="136">
      <c r="A136">
        <f>IF('MT 6.2 Results'!I28="","",IF('MT 6.2 Results'!I28="Green",Parameters!$C$368,IF('MT 6.2 Results'!I28="Yellow",Parameters!$C$367,Parameters!$C$366)))</f>
        <v/>
      </c>
      <c r="K136">
        <f>IF('MT 6.2 Results'!I29="","",IF('MT 6.2 Results'!I29="Green",Parameters!$C$368,IF('MT 6.2 Results'!I29="Yellow",Parameters!$C$367,Parameters!$C$366)))</f>
        <v/>
      </c>
    </row>
    <row r="138">
      <c r="A138">
        <f>IF('MT 6.2 Results'!I28="","","Breakdown:")</f>
        <v/>
      </c>
      <c r="K138">
        <f>IF('MT 6.2 Results'!I29="","","Breakdown:")</f>
        <v/>
      </c>
    </row>
    <row r="139">
      <c r="A139">
        <f>IF('MT 6.2 Results'!I28="","","Q1 CI for a proportion: "&amp;'MT 6.2 Results'!C28&amp;"/7")</f>
        <v/>
      </c>
      <c r="K139">
        <f>IF('MT 6.2 Results'!I29="","","Q1 CI for a proportion: "&amp;'MT 6.2 Results'!C29&amp;"/7")</f>
        <v/>
      </c>
    </row>
    <row r="140">
      <c r="A140">
        <f>IF('MT 6.2 Results'!I28="","","Q2 Sample size: "&amp;'MT 6.2 Results'!D28&amp;"/6")</f>
        <v/>
      </c>
      <c r="K140">
        <f>IF('MT 6.2 Results'!I29="","","Q2 Sample size: "&amp;'MT 6.2 Results'!D29&amp;"/6")</f>
        <v/>
      </c>
    </row>
    <row r="141">
      <c r="A141">
        <f>IF('MT 6.2 Results'!I28="","","Q3 Critical values &amp; misconceptions: "&amp;'MT 6.2 Results'!E28&amp;"/5")</f>
        <v/>
      </c>
      <c r="K141">
        <f>IF('MT 6.2 Results'!I29="","","Q3 Critical values &amp; misconceptions: "&amp;'MT 6.2 Results'!E29&amp;"/5")</f>
        <v/>
      </c>
    </row>
    <row r="142">
      <c r="A142">
        <f>IF('MT 6.2 Results'!I28="","","Q4 CIs for decisions: "&amp;'MT 6.2 Results'!F28&amp;"/6")</f>
        <v/>
      </c>
      <c r="K142">
        <f>IF('MT 6.2 Results'!I29="","","Q4 CIs for decisions: "&amp;'MT 6.2 Results'!F29&amp;"/6")</f>
        <v/>
      </c>
    </row>
    <row r="143">
      <c r="A143">
        <f>IF(OR('MT 6.2 Results'!I28="",'MT 6.2 Results'!J28=""),"",'MT 6.2 Results'!J28)</f>
        <v/>
      </c>
      <c r="K143">
        <f>IF(OR('MT 6.2 Results'!I29="",'MT 6.2 Results'!J29=""),"",'MT 6.2 Results'!J29)</f>
        <v/>
      </c>
    </row>
    <row r="145">
      <c r="A145">
        <f>IF('MT 6.2 Results'!I28="","","Comments:")</f>
        <v/>
      </c>
      <c r="K145">
        <f>IF('MT 6.2 Results'!I29="","","Comments:")</f>
        <v/>
      </c>
    </row>
    <row r="149">
      <c r="A149">
        <f>IF('MT 6.2 Results'!I30="","","Mini Test 6.2 — Probabilities &amp; Estimation")</f>
        <v/>
      </c>
      <c r="K149">
        <f>IF('MT 6.2 Results'!I31="","","Mini Test 6.2 — Probabilities &amp; Estimation")</f>
        <v/>
      </c>
    </row>
    <row r="150">
      <c r="A150">
        <f>IF('MT 6.2 Results'!I30="","","Name: "&amp;'MT 6.2 Results'!B30&amp;"   Class: "&amp;'MT 6.2 Results'!$B$3&amp;"   Date: "&amp;TEXT('MT 6.2 Results'!$B$5,"DD/MM/YY"))</f>
        <v/>
      </c>
      <c r="K150">
        <f>IF('MT 6.2 Results'!I31="","","Name: "&amp;'MT 6.2 Results'!B31&amp;"   Class: "&amp;'MT 6.2 Results'!$B$3&amp;"   Date: "&amp;TEXT('MT 6.2 Results'!$B$5,"DD/MM/YY"))</f>
        <v/>
      </c>
    </row>
    <row r="151">
      <c r="A151">
        <f>IF('MT 6.2 Results'!I30="","","Total: "&amp;'MT 6.2 Results'!G30&amp;"/24 ("&amp;TEXT('MT 6.2 Results'!H30,"0%")&amp;")   Overall: "&amp;'MT 6.2 Results'!I30)</f>
        <v/>
      </c>
      <c r="K151">
        <f>IF('MT 6.2 Results'!I31="","","Total: "&amp;'MT 6.2 Results'!G31&amp;"/24 ("&amp;TEXT('MT 6.2 Results'!H31,"0%")&amp;")   Overall: "&amp;'MT 6.2 Results'!I31)</f>
        <v/>
      </c>
    </row>
    <row r="152">
      <c r="A152">
        <f>IF('MT 6.2 Results'!I30="","",IF('MT 6.2 Results'!I30="Green",Parameters!$C$368,IF('MT 6.2 Results'!I30="Yellow",Parameters!$C$367,Parameters!$C$366)))</f>
        <v/>
      </c>
      <c r="K152">
        <f>IF('MT 6.2 Results'!I31="","",IF('MT 6.2 Results'!I31="Green",Parameters!$C$368,IF('MT 6.2 Results'!I31="Yellow",Parameters!$C$367,Parameters!$C$366)))</f>
        <v/>
      </c>
    </row>
    <row r="154">
      <c r="A154">
        <f>IF('MT 6.2 Results'!I30="","","Breakdown:")</f>
        <v/>
      </c>
      <c r="K154">
        <f>IF('MT 6.2 Results'!I31="","","Breakdown:")</f>
        <v/>
      </c>
    </row>
    <row r="155">
      <c r="A155">
        <f>IF('MT 6.2 Results'!I30="","","Q1 CI for a proportion: "&amp;'MT 6.2 Results'!C30&amp;"/7")</f>
        <v/>
      </c>
      <c r="K155">
        <f>IF('MT 6.2 Results'!I31="","","Q1 CI for a proportion: "&amp;'MT 6.2 Results'!C31&amp;"/7")</f>
        <v/>
      </c>
    </row>
    <row r="156">
      <c r="A156">
        <f>IF('MT 6.2 Results'!I30="","","Q2 Sample size: "&amp;'MT 6.2 Results'!D30&amp;"/6")</f>
        <v/>
      </c>
      <c r="K156">
        <f>IF('MT 6.2 Results'!I31="","","Q2 Sample size: "&amp;'MT 6.2 Results'!D31&amp;"/6")</f>
        <v/>
      </c>
    </row>
    <row r="157">
      <c r="A157">
        <f>IF('MT 6.2 Results'!I30="","","Q3 Critical values &amp; misconceptions: "&amp;'MT 6.2 Results'!E30&amp;"/5")</f>
        <v/>
      </c>
      <c r="K157">
        <f>IF('MT 6.2 Results'!I31="","","Q3 Critical values &amp; misconceptions: "&amp;'MT 6.2 Results'!E31&amp;"/5")</f>
        <v/>
      </c>
    </row>
    <row r="158">
      <c r="A158">
        <f>IF('MT 6.2 Results'!I30="","","Q4 CIs for decisions: "&amp;'MT 6.2 Results'!F30&amp;"/6")</f>
        <v/>
      </c>
      <c r="K158">
        <f>IF('MT 6.2 Results'!I31="","","Q4 CIs for decisions: "&amp;'MT 6.2 Results'!F31&amp;"/6")</f>
        <v/>
      </c>
    </row>
    <row r="159">
      <c r="A159">
        <f>IF(OR('MT 6.2 Results'!I30="",'MT 6.2 Results'!J30=""),"",'MT 6.2 Results'!J30)</f>
        <v/>
      </c>
      <c r="K159">
        <f>IF(OR('MT 6.2 Results'!I31="",'MT 6.2 Results'!J31=""),"",'MT 6.2 Results'!J31)</f>
        <v/>
      </c>
    </row>
    <row r="161">
      <c r="A161">
        <f>IF('MT 6.2 Results'!I30="","","Comments:")</f>
        <v/>
      </c>
      <c r="K161">
        <f>IF('MT 6.2 Results'!I31="","","Comments:")</f>
        <v/>
      </c>
    </row>
    <row r="165">
      <c r="A165">
        <f>IF('MT 6.2 Results'!I32="","","Mini Test 6.2 — Probabilities &amp; Estimation")</f>
        <v/>
      </c>
      <c r="K165">
        <f>IF('MT 6.2 Results'!I33="","","Mini Test 6.2 — Probabilities &amp; Estimation")</f>
        <v/>
      </c>
    </row>
    <row r="166">
      <c r="A166">
        <f>IF('MT 6.2 Results'!I32="","","Name: "&amp;'MT 6.2 Results'!B32&amp;"   Class: "&amp;'MT 6.2 Results'!$B$3&amp;"   Date: "&amp;TEXT('MT 6.2 Results'!$B$5,"DD/MM/YY"))</f>
        <v/>
      </c>
      <c r="K166">
        <f>IF('MT 6.2 Results'!I33="","","Name: "&amp;'MT 6.2 Results'!B33&amp;"   Class: "&amp;'MT 6.2 Results'!$B$3&amp;"   Date: "&amp;TEXT('MT 6.2 Results'!$B$5,"DD/MM/YY"))</f>
        <v/>
      </c>
    </row>
    <row r="167">
      <c r="A167">
        <f>IF('MT 6.2 Results'!I32="","","Total: "&amp;'MT 6.2 Results'!G32&amp;"/24 ("&amp;TEXT('MT 6.2 Results'!H32,"0%")&amp;")   Overall: "&amp;'MT 6.2 Results'!I32)</f>
        <v/>
      </c>
      <c r="K167">
        <f>IF('MT 6.2 Results'!I33="","","Total: "&amp;'MT 6.2 Results'!G33&amp;"/24 ("&amp;TEXT('MT 6.2 Results'!H33,"0%")&amp;")   Overall: "&amp;'MT 6.2 Results'!I33)</f>
        <v/>
      </c>
    </row>
    <row r="168">
      <c r="A168">
        <f>IF('MT 6.2 Results'!I32="","",IF('MT 6.2 Results'!I32="Green",Parameters!$C$368,IF('MT 6.2 Results'!I32="Yellow",Parameters!$C$367,Parameters!$C$366)))</f>
        <v/>
      </c>
      <c r="K168">
        <f>IF('MT 6.2 Results'!I33="","",IF('MT 6.2 Results'!I33="Green",Parameters!$C$368,IF('MT 6.2 Results'!I33="Yellow",Parameters!$C$367,Parameters!$C$366)))</f>
        <v/>
      </c>
    </row>
    <row r="170">
      <c r="A170">
        <f>IF('MT 6.2 Results'!I32="","","Breakdown:")</f>
        <v/>
      </c>
      <c r="K170">
        <f>IF('MT 6.2 Results'!I33="","","Breakdown:")</f>
        <v/>
      </c>
    </row>
    <row r="171">
      <c r="A171">
        <f>IF('MT 6.2 Results'!I32="","","Q1 CI for a proportion: "&amp;'MT 6.2 Results'!C32&amp;"/7")</f>
        <v/>
      </c>
      <c r="K171">
        <f>IF('MT 6.2 Results'!I33="","","Q1 CI for a proportion: "&amp;'MT 6.2 Results'!C33&amp;"/7")</f>
        <v/>
      </c>
    </row>
    <row r="172">
      <c r="A172">
        <f>IF('MT 6.2 Results'!I32="","","Q2 Sample size: "&amp;'MT 6.2 Results'!D32&amp;"/6")</f>
        <v/>
      </c>
      <c r="K172">
        <f>IF('MT 6.2 Results'!I33="","","Q2 Sample size: "&amp;'MT 6.2 Results'!D33&amp;"/6")</f>
        <v/>
      </c>
    </row>
    <row r="173">
      <c r="A173">
        <f>IF('MT 6.2 Results'!I32="","","Q3 Critical values &amp; misconceptions: "&amp;'MT 6.2 Results'!E32&amp;"/5")</f>
        <v/>
      </c>
      <c r="K173">
        <f>IF('MT 6.2 Results'!I33="","","Q3 Critical values &amp; misconceptions: "&amp;'MT 6.2 Results'!E33&amp;"/5")</f>
        <v/>
      </c>
    </row>
    <row r="174">
      <c r="A174">
        <f>IF('MT 6.2 Results'!I32="","","Q4 CIs for decisions: "&amp;'MT 6.2 Results'!F32&amp;"/6")</f>
        <v/>
      </c>
      <c r="K174">
        <f>IF('MT 6.2 Results'!I33="","","Q4 CIs for decisions: "&amp;'MT 6.2 Results'!F33&amp;"/6")</f>
        <v/>
      </c>
    </row>
    <row r="175">
      <c r="A175">
        <f>IF(OR('MT 6.2 Results'!I32="",'MT 6.2 Results'!J32=""),"",'MT 6.2 Results'!J32)</f>
        <v/>
      </c>
      <c r="K175">
        <f>IF(OR('MT 6.2 Results'!I33="",'MT 6.2 Results'!J33=""),"",'MT 6.2 Results'!J33)</f>
        <v/>
      </c>
    </row>
    <row r="177">
      <c r="A177">
        <f>IF('MT 6.2 Results'!I32="","","Comments:")</f>
        <v/>
      </c>
      <c r="K177">
        <f>IF('MT 6.2 Results'!I33="","","Comments:")</f>
        <v/>
      </c>
    </row>
    <row r="181">
      <c r="A181">
        <f>IF('MT 6.2 Results'!I34="","","Mini Test 6.2 — Probabilities &amp; Estimation")</f>
        <v/>
      </c>
      <c r="K181">
        <f>IF('MT 6.2 Results'!I35="","","Mini Test 6.2 — Probabilities &amp; Estimation")</f>
        <v/>
      </c>
    </row>
    <row r="182">
      <c r="A182">
        <f>IF('MT 6.2 Results'!I34="","","Name: "&amp;'MT 6.2 Results'!B34&amp;"   Class: "&amp;'MT 6.2 Results'!$B$3&amp;"   Date: "&amp;TEXT('MT 6.2 Results'!$B$5,"DD/MM/YY"))</f>
        <v/>
      </c>
      <c r="K182">
        <f>IF('MT 6.2 Results'!I35="","","Name: "&amp;'MT 6.2 Results'!B35&amp;"   Class: "&amp;'MT 6.2 Results'!$B$3&amp;"   Date: "&amp;TEXT('MT 6.2 Results'!$B$5,"DD/MM/YY"))</f>
        <v/>
      </c>
    </row>
    <row r="183">
      <c r="A183">
        <f>IF('MT 6.2 Results'!I34="","","Total: "&amp;'MT 6.2 Results'!G34&amp;"/24 ("&amp;TEXT('MT 6.2 Results'!H34,"0%")&amp;")   Overall: "&amp;'MT 6.2 Results'!I34)</f>
        <v/>
      </c>
      <c r="K183">
        <f>IF('MT 6.2 Results'!I35="","","Total: "&amp;'MT 6.2 Results'!G35&amp;"/24 ("&amp;TEXT('MT 6.2 Results'!H35,"0%")&amp;")   Overall: "&amp;'MT 6.2 Results'!I35)</f>
        <v/>
      </c>
    </row>
    <row r="184">
      <c r="A184">
        <f>IF('MT 6.2 Results'!I34="","",IF('MT 6.2 Results'!I34="Green",Parameters!$C$368,IF('MT 6.2 Results'!I34="Yellow",Parameters!$C$367,Parameters!$C$366)))</f>
        <v/>
      </c>
      <c r="K184">
        <f>IF('MT 6.2 Results'!I35="","",IF('MT 6.2 Results'!I35="Green",Parameters!$C$368,IF('MT 6.2 Results'!I35="Yellow",Parameters!$C$367,Parameters!$C$366)))</f>
        <v/>
      </c>
    </row>
    <row r="186">
      <c r="A186">
        <f>IF('MT 6.2 Results'!I34="","","Breakdown:")</f>
        <v/>
      </c>
      <c r="K186">
        <f>IF('MT 6.2 Results'!I35="","","Breakdown:")</f>
        <v/>
      </c>
    </row>
    <row r="187">
      <c r="A187">
        <f>IF('MT 6.2 Results'!I34="","","Q1 CI for a proportion: "&amp;'MT 6.2 Results'!C34&amp;"/7")</f>
        <v/>
      </c>
      <c r="K187">
        <f>IF('MT 6.2 Results'!I35="","","Q1 CI for a proportion: "&amp;'MT 6.2 Results'!C35&amp;"/7")</f>
        <v/>
      </c>
    </row>
    <row r="188">
      <c r="A188">
        <f>IF('MT 6.2 Results'!I34="","","Q2 Sample size: "&amp;'MT 6.2 Results'!D34&amp;"/6")</f>
        <v/>
      </c>
      <c r="K188">
        <f>IF('MT 6.2 Results'!I35="","","Q2 Sample size: "&amp;'MT 6.2 Results'!D35&amp;"/6")</f>
        <v/>
      </c>
    </row>
    <row r="189">
      <c r="A189">
        <f>IF('MT 6.2 Results'!I34="","","Q3 Critical values &amp; misconceptions: "&amp;'MT 6.2 Results'!E34&amp;"/5")</f>
        <v/>
      </c>
      <c r="K189">
        <f>IF('MT 6.2 Results'!I35="","","Q3 Critical values &amp; misconceptions: "&amp;'MT 6.2 Results'!E35&amp;"/5")</f>
        <v/>
      </c>
    </row>
    <row r="190">
      <c r="A190">
        <f>IF('MT 6.2 Results'!I34="","","Q4 CIs for decisions: "&amp;'MT 6.2 Results'!F34&amp;"/6")</f>
        <v/>
      </c>
      <c r="K190">
        <f>IF('MT 6.2 Results'!I35="","","Q4 CIs for decisions: "&amp;'MT 6.2 Results'!F35&amp;"/6")</f>
        <v/>
      </c>
    </row>
    <row r="191">
      <c r="A191">
        <f>IF(OR('MT 6.2 Results'!I34="",'MT 6.2 Results'!J34=""),"",'MT 6.2 Results'!J34)</f>
        <v/>
      </c>
      <c r="K191">
        <f>IF(OR('MT 6.2 Results'!I35="",'MT 6.2 Results'!J35=""),"",'MT 6.2 Results'!J35)</f>
        <v/>
      </c>
    </row>
    <row r="193">
      <c r="A193">
        <f>IF('MT 6.2 Results'!I34="","","Comments:")</f>
        <v/>
      </c>
      <c r="K193">
        <f>IF('MT 6.2 Results'!I35="","","Comments:")</f>
        <v/>
      </c>
    </row>
    <row r="197">
      <c r="A197">
        <f>IF('MT 6.2 Results'!I36="","","Mini Test 6.2 — Probabilities &amp; Estimation")</f>
        <v/>
      </c>
      <c r="K197">
        <f>IF('MT 6.2 Results'!I37="","","Mini Test 6.2 — Probabilities &amp; Estimation")</f>
        <v/>
      </c>
    </row>
    <row r="198">
      <c r="A198">
        <f>IF('MT 6.2 Results'!I36="","","Name: "&amp;'MT 6.2 Results'!B36&amp;"   Class: "&amp;'MT 6.2 Results'!$B$3&amp;"   Date: "&amp;TEXT('MT 6.2 Results'!$B$5,"DD/MM/YY"))</f>
        <v/>
      </c>
      <c r="K198">
        <f>IF('MT 6.2 Results'!I37="","","Name: "&amp;'MT 6.2 Results'!B37&amp;"   Class: "&amp;'MT 6.2 Results'!$B$3&amp;"   Date: "&amp;TEXT('MT 6.2 Results'!$B$5,"DD/MM/YY"))</f>
        <v/>
      </c>
    </row>
    <row r="199">
      <c r="A199">
        <f>IF('MT 6.2 Results'!I36="","","Total: "&amp;'MT 6.2 Results'!G36&amp;"/24 ("&amp;TEXT('MT 6.2 Results'!H36,"0%")&amp;")   Overall: "&amp;'MT 6.2 Results'!I36)</f>
        <v/>
      </c>
      <c r="K199">
        <f>IF('MT 6.2 Results'!I37="","","Total: "&amp;'MT 6.2 Results'!G37&amp;"/24 ("&amp;TEXT('MT 6.2 Results'!H37,"0%")&amp;")   Overall: "&amp;'MT 6.2 Results'!I37)</f>
        <v/>
      </c>
    </row>
    <row r="200">
      <c r="A200">
        <f>IF('MT 6.2 Results'!I36="","",IF('MT 6.2 Results'!I36="Green",Parameters!$C$368,IF('MT 6.2 Results'!I36="Yellow",Parameters!$C$367,Parameters!$C$366)))</f>
        <v/>
      </c>
      <c r="K200">
        <f>IF('MT 6.2 Results'!I37="","",IF('MT 6.2 Results'!I37="Green",Parameters!$C$368,IF('MT 6.2 Results'!I37="Yellow",Parameters!$C$367,Parameters!$C$366)))</f>
        <v/>
      </c>
    </row>
    <row r="202">
      <c r="A202">
        <f>IF('MT 6.2 Results'!I36="","","Breakdown:")</f>
        <v/>
      </c>
      <c r="K202">
        <f>IF('MT 6.2 Results'!I37="","","Breakdown:")</f>
        <v/>
      </c>
    </row>
    <row r="203">
      <c r="A203">
        <f>IF('MT 6.2 Results'!I36="","","Q1 CI for a proportion: "&amp;'MT 6.2 Results'!C36&amp;"/7")</f>
        <v/>
      </c>
      <c r="K203">
        <f>IF('MT 6.2 Results'!I37="","","Q1 CI for a proportion: "&amp;'MT 6.2 Results'!C37&amp;"/7")</f>
        <v/>
      </c>
    </row>
    <row r="204">
      <c r="A204">
        <f>IF('MT 6.2 Results'!I36="","","Q2 Sample size: "&amp;'MT 6.2 Results'!D36&amp;"/6")</f>
        <v/>
      </c>
      <c r="K204">
        <f>IF('MT 6.2 Results'!I37="","","Q2 Sample size: "&amp;'MT 6.2 Results'!D37&amp;"/6")</f>
        <v/>
      </c>
    </row>
    <row r="205">
      <c r="A205">
        <f>IF('MT 6.2 Results'!I36="","","Q3 Critical values &amp; misconceptions: "&amp;'MT 6.2 Results'!E36&amp;"/5")</f>
        <v/>
      </c>
      <c r="K205">
        <f>IF('MT 6.2 Results'!I37="","","Q3 Critical values &amp; misconceptions: "&amp;'MT 6.2 Results'!E37&amp;"/5")</f>
        <v/>
      </c>
    </row>
    <row r="206">
      <c r="A206">
        <f>IF('MT 6.2 Results'!I36="","","Q4 CIs for decisions: "&amp;'MT 6.2 Results'!F36&amp;"/6")</f>
        <v/>
      </c>
      <c r="K206">
        <f>IF('MT 6.2 Results'!I37="","","Q4 CIs for decisions: "&amp;'MT 6.2 Results'!F37&amp;"/6")</f>
        <v/>
      </c>
    </row>
    <row r="207">
      <c r="A207">
        <f>IF(OR('MT 6.2 Results'!I36="",'MT 6.2 Results'!J36=""),"",'MT 6.2 Results'!J36)</f>
        <v/>
      </c>
      <c r="K207">
        <f>IF(OR('MT 6.2 Results'!I37="",'MT 6.2 Results'!J37=""),"",'MT 6.2 Results'!J37)</f>
        <v/>
      </c>
    </row>
    <row r="209">
      <c r="A209">
        <f>IF('MT 6.2 Results'!I36="","","Comments:")</f>
        <v/>
      </c>
      <c r="K209">
        <f>IF('MT 6.2 Results'!I37="","","Comments:")</f>
        <v/>
      </c>
    </row>
    <row r="213">
      <c r="A213">
        <f>IF('MT 6.2 Results'!I38="","","Mini Test 6.2 — Probabilities &amp; Estimation")</f>
        <v/>
      </c>
      <c r="K213">
        <f>IF('MT 6.2 Results'!I39="","","Mini Test 6.2 — Probabilities &amp; Estimation")</f>
        <v/>
      </c>
    </row>
    <row r="214">
      <c r="A214">
        <f>IF('MT 6.2 Results'!I38="","","Name: "&amp;'MT 6.2 Results'!B38&amp;"   Class: "&amp;'MT 6.2 Results'!$B$3&amp;"   Date: "&amp;TEXT('MT 6.2 Results'!$B$5,"DD/MM/YY"))</f>
        <v/>
      </c>
      <c r="K214">
        <f>IF('MT 6.2 Results'!I39="","","Name: "&amp;'MT 6.2 Results'!B39&amp;"   Class: "&amp;'MT 6.2 Results'!$B$3&amp;"   Date: "&amp;TEXT('MT 6.2 Results'!$B$5,"DD/MM/YY"))</f>
        <v/>
      </c>
    </row>
    <row r="215">
      <c r="A215">
        <f>IF('MT 6.2 Results'!I38="","","Total: "&amp;'MT 6.2 Results'!G38&amp;"/24 ("&amp;TEXT('MT 6.2 Results'!H38,"0%")&amp;")   Overall: "&amp;'MT 6.2 Results'!I38)</f>
        <v/>
      </c>
      <c r="K215">
        <f>IF('MT 6.2 Results'!I39="","","Total: "&amp;'MT 6.2 Results'!G39&amp;"/24 ("&amp;TEXT('MT 6.2 Results'!H39,"0%")&amp;")   Overall: "&amp;'MT 6.2 Results'!I39)</f>
        <v/>
      </c>
    </row>
    <row r="216">
      <c r="A216">
        <f>IF('MT 6.2 Results'!I38="","",IF('MT 6.2 Results'!I38="Green",Parameters!$C$368,IF('MT 6.2 Results'!I38="Yellow",Parameters!$C$367,Parameters!$C$366)))</f>
        <v/>
      </c>
      <c r="K216">
        <f>IF('MT 6.2 Results'!I39="","",IF('MT 6.2 Results'!I39="Green",Parameters!$C$368,IF('MT 6.2 Results'!I39="Yellow",Parameters!$C$367,Parameters!$C$366)))</f>
        <v/>
      </c>
    </row>
    <row r="218">
      <c r="A218">
        <f>IF('MT 6.2 Results'!I38="","","Breakdown:")</f>
        <v/>
      </c>
      <c r="K218">
        <f>IF('MT 6.2 Results'!I39="","","Breakdown:")</f>
        <v/>
      </c>
    </row>
    <row r="219">
      <c r="A219">
        <f>IF('MT 6.2 Results'!I38="","","Q1 CI for a proportion: "&amp;'MT 6.2 Results'!C38&amp;"/7")</f>
        <v/>
      </c>
      <c r="K219">
        <f>IF('MT 6.2 Results'!I39="","","Q1 CI for a proportion: "&amp;'MT 6.2 Results'!C39&amp;"/7")</f>
        <v/>
      </c>
    </row>
    <row r="220">
      <c r="A220">
        <f>IF('MT 6.2 Results'!I38="","","Q2 Sample size: "&amp;'MT 6.2 Results'!D38&amp;"/6")</f>
        <v/>
      </c>
      <c r="K220">
        <f>IF('MT 6.2 Results'!I39="","","Q2 Sample size: "&amp;'MT 6.2 Results'!D39&amp;"/6")</f>
        <v/>
      </c>
    </row>
    <row r="221">
      <c r="A221">
        <f>IF('MT 6.2 Results'!I38="","","Q3 Critical values &amp; misconceptions: "&amp;'MT 6.2 Results'!E38&amp;"/5")</f>
        <v/>
      </c>
      <c r="K221">
        <f>IF('MT 6.2 Results'!I39="","","Q3 Critical values &amp; misconceptions: "&amp;'MT 6.2 Results'!E39&amp;"/5")</f>
        <v/>
      </c>
    </row>
    <row r="222">
      <c r="A222">
        <f>IF('MT 6.2 Results'!I38="","","Q4 CIs for decisions: "&amp;'MT 6.2 Results'!F38&amp;"/6")</f>
        <v/>
      </c>
      <c r="K222">
        <f>IF('MT 6.2 Results'!I39="","","Q4 CIs for decisions: "&amp;'MT 6.2 Results'!F39&amp;"/6")</f>
        <v/>
      </c>
    </row>
    <row r="223">
      <c r="A223">
        <f>IF(OR('MT 6.2 Results'!I38="",'MT 6.2 Results'!J38=""),"",'MT 6.2 Results'!J38)</f>
        <v/>
      </c>
      <c r="K223">
        <f>IF(OR('MT 6.2 Results'!I39="",'MT 6.2 Results'!J39=""),"",'MT 6.2 Results'!J39)</f>
        <v/>
      </c>
    </row>
    <row r="225">
      <c r="A225">
        <f>IF('MT 6.2 Results'!I38="","","Comments:")</f>
        <v/>
      </c>
      <c r="K225">
        <f>IF('MT 6.2 Results'!I39="","","Comments:")</f>
        <v/>
      </c>
    </row>
    <row r="229">
      <c r="A229">
        <f>IF('MT 6.2 Results'!I40="","","Mini Test 6.2 — Probabilities &amp; Estimation")</f>
        <v/>
      </c>
      <c r="K229">
        <f>IF('MT 6.2 Results'!I41="","","Mini Test 6.2 — Probabilities &amp; Estimation")</f>
        <v/>
      </c>
    </row>
    <row r="230">
      <c r="A230">
        <f>IF('MT 6.2 Results'!I40="","","Name: "&amp;'MT 6.2 Results'!B40&amp;"   Class: "&amp;'MT 6.2 Results'!$B$3&amp;"   Date: "&amp;TEXT('MT 6.2 Results'!$B$5,"DD/MM/YY"))</f>
        <v/>
      </c>
      <c r="K230">
        <f>IF('MT 6.2 Results'!I41="","","Name: "&amp;'MT 6.2 Results'!B41&amp;"   Class: "&amp;'MT 6.2 Results'!$B$3&amp;"   Date: "&amp;TEXT('MT 6.2 Results'!$B$5,"DD/MM/YY"))</f>
        <v/>
      </c>
    </row>
    <row r="231">
      <c r="A231">
        <f>IF('MT 6.2 Results'!I40="","","Total: "&amp;'MT 6.2 Results'!G40&amp;"/24 ("&amp;TEXT('MT 6.2 Results'!H40,"0%")&amp;")   Overall: "&amp;'MT 6.2 Results'!I40)</f>
        <v/>
      </c>
      <c r="K231">
        <f>IF('MT 6.2 Results'!I41="","","Total: "&amp;'MT 6.2 Results'!G41&amp;"/24 ("&amp;TEXT('MT 6.2 Results'!H41,"0%")&amp;")   Overall: "&amp;'MT 6.2 Results'!I41)</f>
        <v/>
      </c>
    </row>
    <row r="232">
      <c r="A232">
        <f>IF('MT 6.2 Results'!I40="","",IF('MT 6.2 Results'!I40="Green",Parameters!$C$368,IF('MT 6.2 Results'!I40="Yellow",Parameters!$C$367,Parameters!$C$366)))</f>
        <v/>
      </c>
      <c r="K232">
        <f>IF('MT 6.2 Results'!I41="","",IF('MT 6.2 Results'!I41="Green",Parameters!$C$368,IF('MT 6.2 Results'!I41="Yellow",Parameters!$C$367,Parameters!$C$366)))</f>
        <v/>
      </c>
    </row>
    <row r="234">
      <c r="A234">
        <f>IF('MT 6.2 Results'!I40="","","Breakdown:")</f>
        <v/>
      </c>
      <c r="K234">
        <f>IF('MT 6.2 Results'!I41="","","Breakdown:")</f>
        <v/>
      </c>
    </row>
    <row r="235">
      <c r="A235">
        <f>IF('MT 6.2 Results'!I40="","","Q1 CI for a proportion: "&amp;'MT 6.2 Results'!C40&amp;"/7")</f>
        <v/>
      </c>
      <c r="K235">
        <f>IF('MT 6.2 Results'!I41="","","Q1 CI for a proportion: "&amp;'MT 6.2 Results'!C41&amp;"/7")</f>
        <v/>
      </c>
    </row>
    <row r="236">
      <c r="A236">
        <f>IF('MT 6.2 Results'!I40="","","Q2 Sample size: "&amp;'MT 6.2 Results'!D40&amp;"/6")</f>
        <v/>
      </c>
      <c r="K236">
        <f>IF('MT 6.2 Results'!I41="","","Q2 Sample size: "&amp;'MT 6.2 Results'!D41&amp;"/6")</f>
        <v/>
      </c>
    </row>
    <row r="237">
      <c r="A237">
        <f>IF('MT 6.2 Results'!I40="","","Q3 Critical values &amp; misconceptions: "&amp;'MT 6.2 Results'!E40&amp;"/5")</f>
        <v/>
      </c>
      <c r="K237">
        <f>IF('MT 6.2 Results'!I41="","","Q3 Critical values &amp; misconceptions: "&amp;'MT 6.2 Results'!E41&amp;"/5")</f>
        <v/>
      </c>
    </row>
    <row r="238">
      <c r="A238">
        <f>IF('MT 6.2 Results'!I40="","","Q4 CIs for decisions: "&amp;'MT 6.2 Results'!F40&amp;"/6")</f>
        <v/>
      </c>
      <c r="K238">
        <f>IF('MT 6.2 Results'!I41="","","Q4 CIs for decisions: "&amp;'MT 6.2 Results'!F41&amp;"/6")</f>
        <v/>
      </c>
    </row>
    <row r="239">
      <c r="A239">
        <f>IF(OR('MT 6.2 Results'!I40="",'MT 6.2 Results'!J40=""),"",'MT 6.2 Results'!J40)</f>
        <v/>
      </c>
      <c r="K239">
        <f>IF(OR('MT 6.2 Results'!I41="",'MT 6.2 Results'!J41=""),"",'MT 6.2 Results'!J41)</f>
        <v/>
      </c>
    </row>
    <row r="241">
      <c r="A241">
        <f>IF('MT 6.2 Results'!I40="","","Comments:")</f>
        <v/>
      </c>
      <c r="K241">
        <f>IF('MT 6.2 Results'!I41="","","Comments:")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8" customWidth="1" min="10" max="10"/>
    <col width="10" customWidth="1" min="11" max="11"/>
    <col width="45" customWidth="1" min="12" max="12"/>
  </cols>
  <sheetData>
    <row r="1">
      <c r="A1" s="11" t="inlineStr">
        <is>
          <t>Chapter 6 End of Topic Test — Probabilities &amp; Estimation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CI for a mean (t)
(/10)</t>
        </is>
      </c>
      <c r="D9" s="12" t="inlineStr">
        <is>
          <t>Q2
CI for a proportion
(/9)</t>
        </is>
      </c>
      <c r="E9" s="12" t="inlineStr">
        <is>
          <t>Q3
Sample size
(/6)</t>
        </is>
      </c>
      <c r="F9" s="12" t="inlineStr">
        <is>
          <t>Q4
Critical values
(/5)</t>
        </is>
      </c>
      <c r="G9" s="12" t="inlineStr">
        <is>
          <t>Q5
Interpretation
(/8)</t>
        </is>
      </c>
      <c r="H9" s="12" t="inlineStr">
        <is>
          <t>Q6
CIs for decisions
(/10)</t>
        </is>
      </c>
      <c r="I9" s="12" t="inlineStr">
        <is>
          <t>Total
(/48)</t>
        </is>
      </c>
      <c r="J9" s="12" t="inlineStr">
        <is>
          <t>%</t>
        </is>
      </c>
      <c r="K9" s="12" t="inlineStr">
        <is>
          <t>Overall</t>
        </is>
      </c>
      <c r="L9" s="12" t="inlineStr">
        <is>
          <t>Focus for next steps</t>
        </is>
      </c>
      <c r="M9" s="12" t="inlineStr">
        <is>
          <t>Q1%</t>
        </is>
      </c>
      <c r="N9" s="12" t="inlineStr">
        <is>
          <t>Q2%</t>
        </is>
      </c>
      <c r="O9" s="12" t="inlineStr">
        <is>
          <t>Q3%</t>
        </is>
      </c>
      <c r="P9" s="12" t="inlineStr">
        <is>
          <t>Q4%</t>
        </is>
      </c>
      <c r="Q9" s="12" t="inlineStr">
        <is>
          <t>Q5%</t>
        </is>
      </c>
      <c r="R9" s="12" t="inlineStr">
        <is>
          <t>Q6%</t>
        </is>
      </c>
    </row>
    <row r="10">
      <c r="A10" s="3" t="n"/>
      <c r="B10" s="3" t="inlineStr">
        <is>
          <t>Max marks</t>
        </is>
      </c>
      <c r="C10" s="3" t="n">
        <v>10</v>
      </c>
      <c r="D10" s="3" t="n">
        <v>9</v>
      </c>
      <c r="E10" s="3" t="n">
        <v>6</v>
      </c>
      <c r="F10" s="3" t="n">
        <v>5</v>
      </c>
      <c r="G10" s="3" t="n">
        <v>8</v>
      </c>
      <c r="H10" s="3" t="n">
        <v>10</v>
      </c>
      <c r="I10" s="3" t="n">
        <v>48</v>
      </c>
      <c r="J10" s="3" t="inlineStr">
        <is>
          <t>100%</t>
        </is>
      </c>
      <c r="K10" s="3" t="n"/>
      <c r="L10" s="3" t="n"/>
      <c r="M10" s="3" t="n"/>
      <c r="N10" s="3" t="n"/>
      <c r="O10" s="3" t="n"/>
      <c r="P10" s="3" t="n"/>
      <c r="Q10" s="3" t="n"/>
      <c r="R10" s="3" t="n"/>
    </row>
    <row r="11">
      <c r="A11" s="13" t="n">
        <v>1</v>
      </c>
      <c r="B11" s="13" t="inlineStr">
        <is>
          <t>Example pupil (edit me)</t>
        </is>
      </c>
      <c r="C11" s="13" t="n">
        <v>8</v>
      </c>
      <c r="D11" s="13" t="n">
        <v>7</v>
      </c>
      <c r="E11" s="13" t="n">
        <v>5</v>
      </c>
      <c r="F11" s="13" t="n">
        <v>4</v>
      </c>
      <c r="G11" s="13" t="n">
        <v>6</v>
      </c>
      <c r="H11" s="13" t="n">
        <v>8</v>
      </c>
      <c r="I11" s="13">
        <f>IF(COUNT(C11:H11)&lt;6,"",SUM(C11:H11))</f>
        <v/>
      </c>
      <c r="J11" s="13">
        <f>IF(COUNT(C11:H11)&lt;6,"",I11/48)</f>
        <v/>
      </c>
      <c r="K11" s="13">
        <f>IF(COUNT(C11:H11)&lt;6,"",IF(J11&gt;=0.8,"Green",IF(J11&gt;=0.5,"Yellow","Red")))</f>
        <v/>
      </c>
      <c r="L11" s="13">
        <f>IF(COUNT(C11:H11)&lt;6,"",IF(K11="Green","Well done! "&amp;Parameters!$C$385,"Revise: "&amp;_xlfn.TEXTJOIN(", ",TRUE(),IF(M11&lt;1,Parameters!$A$374,""),IF(N11&lt;1,Parameters!$A$375,""),IF(O11&lt;1,Parameters!$A$376,""),IF(P11&lt;1,Parameters!$A$377,""),IF(Q11&lt;1,Parameters!$A$378,""),IF(R11&lt;1,Parameters!$A$379,""))))</f>
        <v/>
      </c>
      <c r="M11" s="13">
        <f>IF(C11="","",C11/10)</f>
        <v/>
      </c>
      <c r="N11" s="13">
        <f>IF(D11="","",D11/9)</f>
        <v/>
      </c>
      <c r="O11" s="13">
        <f>IF(E11="","",E11/6)</f>
        <v/>
      </c>
      <c r="P11" s="13">
        <f>IF(F11="","",F11/5)</f>
        <v/>
      </c>
      <c r="Q11" s="13">
        <f>IF(G11="","",G11/8)</f>
        <v/>
      </c>
      <c r="R11" s="13">
        <f>IF(H11="","",H11/10)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4" t="n"/>
      <c r="H12" s="14" t="n"/>
      <c r="I12" s="13">
        <f>IF(COUNT(C12:H12)&lt;6,"",SUM(C12:H12))</f>
        <v/>
      </c>
      <c r="J12" s="13">
        <f>IF(COUNT(C12:H12)&lt;6,"",I12/48)</f>
        <v/>
      </c>
      <c r="K12" s="13">
        <f>IF(COUNT(C12:H12)&lt;6,"",IF(J12&gt;=0.8,"Green",IF(J12&gt;=0.5,"Yellow","Red")))</f>
        <v/>
      </c>
      <c r="L12" s="13">
        <f>IF(COUNT(C12:H12)&lt;6,"",IF(K12="Green","Well done! "&amp;Parameters!$C$385,"Revise: "&amp;_xlfn.TEXTJOIN(", ",TRUE(),IF(M12&lt;1,Parameters!$A$374,""),IF(N12&lt;1,Parameters!$A$375,""),IF(O12&lt;1,Parameters!$A$376,""),IF(P12&lt;1,Parameters!$A$377,""),IF(Q12&lt;1,Parameters!$A$378,""),IF(R12&lt;1,Parameters!$A$379,""))))</f>
        <v/>
      </c>
      <c r="M12" s="13">
        <f>IF(C12="","",C12/10)</f>
        <v/>
      </c>
      <c r="N12" s="13">
        <f>IF(D12="","",D12/9)</f>
        <v/>
      </c>
      <c r="O12" s="13">
        <f>IF(E12="","",E12/6)</f>
        <v/>
      </c>
      <c r="P12" s="13">
        <f>IF(F12="","",F12/5)</f>
        <v/>
      </c>
      <c r="Q12" s="13">
        <f>IF(G12="","",G12/8)</f>
        <v/>
      </c>
      <c r="R12" s="13">
        <f>IF(H12="","",H12/10)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4" t="n"/>
      <c r="H13" s="14" t="n"/>
      <c r="I13" s="13">
        <f>IF(COUNT(C13:H13)&lt;6,"",SUM(C13:H13))</f>
        <v/>
      </c>
      <c r="J13" s="13">
        <f>IF(COUNT(C13:H13)&lt;6,"",I13/48)</f>
        <v/>
      </c>
      <c r="K13" s="13">
        <f>IF(COUNT(C13:H13)&lt;6,"",IF(J13&gt;=0.8,"Green",IF(J13&gt;=0.5,"Yellow","Red")))</f>
        <v/>
      </c>
      <c r="L13" s="13">
        <f>IF(COUNT(C13:H13)&lt;6,"",IF(K13="Green","Well done! "&amp;Parameters!$C$385,"Revise: "&amp;_xlfn.TEXTJOIN(", ",TRUE(),IF(M13&lt;1,Parameters!$A$374,""),IF(N13&lt;1,Parameters!$A$375,""),IF(O13&lt;1,Parameters!$A$376,""),IF(P13&lt;1,Parameters!$A$377,""),IF(Q13&lt;1,Parameters!$A$378,""),IF(R13&lt;1,Parameters!$A$379,""))))</f>
        <v/>
      </c>
      <c r="M13" s="13">
        <f>IF(C13="","",C13/10)</f>
        <v/>
      </c>
      <c r="N13" s="13">
        <f>IF(D13="","",D13/9)</f>
        <v/>
      </c>
      <c r="O13" s="13">
        <f>IF(E13="","",E13/6)</f>
        <v/>
      </c>
      <c r="P13" s="13">
        <f>IF(F13="","",F13/5)</f>
        <v/>
      </c>
      <c r="Q13" s="13">
        <f>IF(G13="","",G13/8)</f>
        <v/>
      </c>
      <c r="R13" s="13">
        <f>IF(H13="","",H13/10)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4" t="n"/>
      <c r="H14" s="14" t="n"/>
      <c r="I14" s="13">
        <f>IF(COUNT(C14:H14)&lt;6,"",SUM(C14:H14))</f>
        <v/>
      </c>
      <c r="J14" s="13">
        <f>IF(COUNT(C14:H14)&lt;6,"",I14/48)</f>
        <v/>
      </c>
      <c r="K14" s="13">
        <f>IF(COUNT(C14:H14)&lt;6,"",IF(J14&gt;=0.8,"Green",IF(J14&gt;=0.5,"Yellow","Red")))</f>
        <v/>
      </c>
      <c r="L14" s="13">
        <f>IF(COUNT(C14:H14)&lt;6,"",IF(K14="Green","Well done! "&amp;Parameters!$C$385,"Revise: "&amp;_xlfn.TEXTJOIN(", ",TRUE(),IF(M14&lt;1,Parameters!$A$374,""),IF(N14&lt;1,Parameters!$A$375,""),IF(O14&lt;1,Parameters!$A$376,""),IF(P14&lt;1,Parameters!$A$377,""),IF(Q14&lt;1,Parameters!$A$378,""),IF(R14&lt;1,Parameters!$A$379,""))))</f>
        <v/>
      </c>
      <c r="M14" s="13">
        <f>IF(C14="","",C14/10)</f>
        <v/>
      </c>
      <c r="N14" s="13">
        <f>IF(D14="","",D14/9)</f>
        <v/>
      </c>
      <c r="O14" s="13">
        <f>IF(E14="","",E14/6)</f>
        <v/>
      </c>
      <c r="P14" s="13">
        <f>IF(F14="","",F14/5)</f>
        <v/>
      </c>
      <c r="Q14" s="13">
        <f>IF(G14="","",G14/8)</f>
        <v/>
      </c>
      <c r="R14" s="13">
        <f>IF(H14="","",H14/10)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4" t="n"/>
      <c r="H15" s="14" t="n"/>
      <c r="I15" s="13">
        <f>IF(COUNT(C15:H15)&lt;6,"",SUM(C15:H15))</f>
        <v/>
      </c>
      <c r="J15" s="13">
        <f>IF(COUNT(C15:H15)&lt;6,"",I15/48)</f>
        <v/>
      </c>
      <c r="K15" s="13">
        <f>IF(COUNT(C15:H15)&lt;6,"",IF(J15&gt;=0.8,"Green",IF(J15&gt;=0.5,"Yellow","Red")))</f>
        <v/>
      </c>
      <c r="L15" s="13">
        <f>IF(COUNT(C15:H15)&lt;6,"",IF(K15="Green","Well done! "&amp;Parameters!$C$385,"Revise: "&amp;_xlfn.TEXTJOIN(", ",TRUE(),IF(M15&lt;1,Parameters!$A$374,""),IF(N15&lt;1,Parameters!$A$375,""),IF(O15&lt;1,Parameters!$A$376,""),IF(P15&lt;1,Parameters!$A$377,""),IF(Q15&lt;1,Parameters!$A$378,""),IF(R15&lt;1,Parameters!$A$379,""))))</f>
        <v/>
      </c>
      <c r="M15" s="13">
        <f>IF(C15="","",C15/10)</f>
        <v/>
      </c>
      <c r="N15" s="13">
        <f>IF(D15="","",D15/9)</f>
        <v/>
      </c>
      <c r="O15" s="13">
        <f>IF(E15="","",E15/6)</f>
        <v/>
      </c>
      <c r="P15" s="13">
        <f>IF(F15="","",F15/5)</f>
        <v/>
      </c>
      <c r="Q15" s="13">
        <f>IF(G15="","",G15/8)</f>
        <v/>
      </c>
      <c r="R15" s="13">
        <f>IF(H15="","",H15/10)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4" t="n"/>
      <c r="H16" s="14" t="n"/>
      <c r="I16" s="13">
        <f>IF(COUNT(C16:H16)&lt;6,"",SUM(C16:H16))</f>
        <v/>
      </c>
      <c r="J16" s="13">
        <f>IF(COUNT(C16:H16)&lt;6,"",I16/48)</f>
        <v/>
      </c>
      <c r="K16" s="13">
        <f>IF(COUNT(C16:H16)&lt;6,"",IF(J16&gt;=0.8,"Green",IF(J16&gt;=0.5,"Yellow","Red")))</f>
        <v/>
      </c>
      <c r="L16" s="13">
        <f>IF(COUNT(C16:H16)&lt;6,"",IF(K16="Green","Well done! "&amp;Parameters!$C$385,"Revise: "&amp;_xlfn.TEXTJOIN(", ",TRUE(),IF(M16&lt;1,Parameters!$A$374,""),IF(N16&lt;1,Parameters!$A$375,""),IF(O16&lt;1,Parameters!$A$376,""),IF(P16&lt;1,Parameters!$A$377,""),IF(Q16&lt;1,Parameters!$A$378,""),IF(R16&lt;1,Parameters!$A$379,""))))</f>
        <v/>
      </c>
      <c r="M16" s="13">
        <f>IF(C16="","",C16/10)</f>
        <v/>
      </c>
      <c r="N16" s="13">
        <f>IF(D16="","",D16/9)</f>
        <v/>
      </c>
      <c r="O16" s="13">
        <f>IF(E16="","",E16/6)</f>
        <v/>
      </c>
      <c r="P16" s="13">
        <f>IF(F16="","",F16/5)</f>
        <v/>
      </c>
      <c r="Q16" s="13">
        <f>IF(G16="","",G16/8)</f>
        <v/>
      </c>
      <c r="R16" s="13">
        <f>IF(H16="","",H16/10)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4" t="n"/>
      <c r="H17" s="14" t="n"/>
      <c r="I17" s="13">
        <f>IF(COUNT(C17:H17)&lt;6,"",SUM(C17:H17))</f>
        <v/>
      </c>
      <c r="J17" s="13">
        <f>IF(COUNT(C17:H17)&lt;6,"",I17/48)</f>
        <v/>
      </c>
      <c r="K17" s="13">
        <f>IF(COUNT(C17:H17)&lt;6,"",IF(J17&gt;=0.8,"Green",IF(J17&gt;=0.5,"Yellow","Red")))</f>
        <v/>
      </c>
      <c r="L17" s="13">
        <f>IF(COUNT(C17:H17)&lt;6,"",IF(K17="Green","Well done! "&amp;Parameters!$C$385,"Revise: "&amp;_xlfn.TEXTJOIN(", ",TRUE(),IF(M17&lt;1,Parameters!$A$374,""),IF(N17&lt;1,Parameters!$A$375,""),IF(O17&lt;1,Parameters!$A$376,""),IF(P17&lt;1,Parameters!$A$377,""),IF(Q17&lt;1,Parameters!$A$378,""),IF(R17&lt;1,Parameters!$A$379,""))))</f>
        <v/>
      </c>
      <c r="M17" s="13">
        <f>IF(C17="","",C17/10)</f>
        <v/>
      </c>
      <c r="N17" s="13">
        <f>IF(D17="","",D17/9)</f>
        <v/>
      </c>
      <c r="O17" s="13">
        <f>IF(E17="","",E17/6)</f>
        <v/>
      </c>
      <c r="P17" s="13">
        <f>IF(F17="","",F17/5)</f>
        <v/>
      </c>
      <c r="Q17" s="13">
        <f>IF(G17="","",G17/8)</f>
        <v/>
      </c>
      <c r="R17" s="13">
        <f>IF(H17="","",H17/10)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4" t="n"/>
      <c r="H18" s="14" t="n"/>
      <c r="I18" s="13">
        <f>IF(COUNT(C18:H18)&lt;6,"",SUM(C18:H18))</f>
        <v/>
      </c>
      <c r="J18" s="13">
        <f>IF(COUNT(C18:H18)&lt;6,"",I18/48)</f>
        <v/>
      </c>
      <c r="K18" s="13">
        <f>IF(COUNT(C18:H18)&lt;6,"",IF(J18&gt;=0.8,"Green",IF(J18&gt;=0.5,"Yellow","Red")))</f>
        <v/>
      </c>
      <c r="L18" s="13">
        <f>IF(COUNT(C18:H18)&lt;6,"",IF(K18="Green","Well done! "&amp;Parameters!$C$385,"Revise: "&amp;_xlfn.TEXTJOIN(", ",TRUE(),IF(M18&lt;1,Parameters!$A$374,""),IF(N18&lt;1,Parameters!$A$375,""),IF(O18&lt;1,Parameters!$A$376,""),IF(P18&lt;1,Parameters!$A$377,""),IF(Q18&lt;1,Parameters!$A$378,""),IF(R18&lt;1,Parameters!$A$379,""))))</f>
        <v/>
      </c>
      <c r="M18" s="13">
        <f>IF(C18="","",C18/10)</f>
        <v/>
      </c>
      <c r="N18" s="13">
        <f>IF(D18="","",D18/9)</f>
        <v/>
      </c>
      <c r="O18" s="13">
        <f>IF(E18="","",E18/6)</f>
        <v/>
      </c>
      <c r="P18" s="13">
        <f>IF(F18="","",F18/5)</f>
        <v/>
      </c>
      <c r="Q18" s="13">
        <f>IF(G18="","",G18/8)</f>
        <v/>
      </c>
      <c r="R18" s="13">
        <f>IF(H18="","",H18/10)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4" t="n"/>
      <c r="H19" s="14" t="n"/>
      <c r="I19" s="13">
        <f>IF(COUNT(C19:H19)&lt;6,"",SUM(C19:H19))</f>
        <v/>
      </c>
      <c r="J19" s="13">
        <f>IF(COUNT(C19:H19)&lt;6,"",I19/48)</f>
        <v/>
      </c>
      <c r="K19" s="13">
        <f>IF(COUNT(C19:H19)&lt;6,"",IF(J19&gt;=0.8,"Green",IF(J19&gt;=0.5,"Yellow","Red")))</f>
        <v/>
      </c>
      <c r="L19" s="13">
        <f>IF(COUNT(C19:H19)&lt;6,"",IF(K19="Green","Well done! "&amp;Parameters!$C$385,"Revise: "&amp;_xlfn.TEXTJOIN(", ",TRUE(),IF(M19&lt;1,Parameters!$A$374,""),IF(N19&lt;1,Parameters!$A$375,""),IF(O19&lt;1,Parameters!$A$376,""),IF(P19&lt;1,Parameters!$A$377,""),IF(Q19&lt;1,Parameters!$A$378,""),IF(R19&lt;1,Parameters!$A$379,""))))</f>
        <v/>
      </c>
      <c r="M19" s="13">
        <f>IF(C19="","",C19/10)</f>
        <v/>
      </c>
      <c r="N19" s="13">
        <f>IF(D19="","",D19/9)</f>
        <v/>
      </c>
      <c r="O19" s="13">
        <f>IF(E19="","",E19/6)</f>
        <v/>
      </c>
      <c r="P19" s="13">
        <f>IF(F19="","",F19/5)</f>
        <v/>
      </c>
      <c r="Q19" s="13">
        <f>IF(G19="","",G19/8)</f>
        <v/>
      </c>
      <c r="R19" s="13">
        <f>IF(H19="","",H19/10)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4" t="n"/>
      <c r="H20" s="14" t="n"/>
      <c r="I20" s="13">
        <f>IF(COUNT(C20:H20)&lt;6,"",SUM(C20:H20))</f>
        <v/>
      </c>
      <c r="J20" s="13">
        <f>IF(COUNT(C20:H20)&lt;6,"",I20/48)</f>
        <v/>
      </c>
      <c r="K20" s="13">
        <f>IF(COUNT(C20:H20)&lt;6,"",IF(J20&gt;=0.8,"Green",IF(J20&gt;=0.5,"Yellow","Red")))</f>
        <v/>
      </c>
      <c r="L20" s="13">
        <f>IF(COUNT(C20:H20)&lt;6,"",IF(K20="Green","Well done! "&amp;Parameters!$C$385,"Revise: "&amp;_xlfn.TEXTJOIN(", ",TRUE(),IF(M20&lt;1,Parameters!$A$374,""),IF(N20&lt;1,Parameters!$A$375,""),IF(O20&lt;1,Parameters!$A$376,""),IF(P20&lt;1,Parameters!$A$377,""),IF(Q20&lt;1,Parameters!$A$378,""),IF(R20&lt;1,Parameters!$A$379,""))))</f>
        <v/>
      </c>
      <c r="M20" s="13">
        <f>IF(C20="","",C20/10)</f>
        <v/>
      </c>
      <c r="N20" s="13">
        <f>IF(D20="","",D20/9)</f>
        <v/>
      </c>
      <c r="O20" s="13">
        <f>IF(E20="","",E20/6)</f>
        <v/>
      </c>
      <c r="P20" s="13">
        <f>IF(F20="","",F20/5)</f>
        <v/>
      </c>
      <c r="Q20" s="13">
        <f>IF(G20="","",G20/8)</f>
        <v/>
      </c>
      <c r="R20" s="13">
        <f>IF(H20="","",H20/10)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4" t="n"/>
      <c r="H21" s="14" t="n"/>
      <c r="I21" s="13">
        <f>IF(COUNT(C21:H21)&lt;6,"",SUM(C21:H21))</f>
        <v/>
      </c>
      <c r="J21" s="13">
        <f>IF(COUNT(C21:H21)&lt;6,"",I21/48)</f>
        <v/>
      </c>
      <c r="K21" s="13">
        <f>IF(COUNT(C21:H21)&lt;6,"",IF(J21&gt;=0.8,"Green",IF(J21&gt;=0.5,"Yellow","Red")))</f>
        <v/>
      </c>
      <c r="L21" s="13">
        <f>IF(COUNT(C21:H21)&lt;6,"",IF(K21="Green","Well done! "&amp;Parameters!$C$385,"Revise: "&amp;_xlfn.TEXTJOIN(", ",TRUE(),IF(M21&lt;1,Parameters!$A$374,""),IF(N21&lt;1,Parameters!$A$375,""),IF(O21&lt;1,Parameters!$A$376,""),IF(P21&lt;1,Parameters!$A$377,""),IF(Q21&lt;1,Parameters!$A$378,""),IF(R21&lt;1,Parameters!$A$379,""))))</f>
        <v/>
      </c>
      <c r="M21" s="13">
        <f>IF(C21="","",C21/10)</f>
        <v/>
      </c>
      <c r="N21" s="13">
        <f>IF(D21="","",D21/9)</f>
        <v/>
      </c>
      <c r="O21" s="13">
        <f>IF(E21="","",E21/6)</f>
        <v/>
      </c>
      <c r="P21" s="13">
        <f>IF(F21="","",F21/5)</f>
        <v/>
      </c>
      <c r="Q21" s="13">
        <f>IF(G21="","",G21/8)</f>
        <v/>
      </c>
      <c r="R21" s="13">
        <f>IF(H21="","",H21/10)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4" t="n"/>
      <c r="H22" s="14" t="n"/>
      <c r="I22" s="13">
        <f>IF(COUNT(C22:H22)&lt;6,"",SUM(C22:H22))</f>
        <v/>
      </c>
      <c r="J22" s="13">
        <f>IF(COUNT(C22:H22)&lt;6,"",I22/48)</f>
        <v/>
      </c>
      <c r="K22" s="13">
        <f>IF(COUNT(C22:H22)&lt;6,"",IF(J22&gt;=0.8,"Green",IF(J22&gt;=0.5,"Yellow","Red")))</f>
        <v/>
      </c>
      <c r="L22" s="13">
        <f>IF(COUNT(C22:H22)&lt;6,"",IF(K22="Green","Well done! "&amp;Parameters!$C$385,"Revise: "&amp;_xlfn.TEXTJOIN(", ",TRUE(),IF(M22&lt;1,Parameters!$A$374,""),IF(N22&lt;1,Parameters!$A$375,""),IF(O22&lt;1,Parameters!$A$376,""),IF(P22&lt;1,Parameters!$A$377,""),IF(Q22&lt;1,Parameters!$A$378,""),IF(R22&lt;1,Parameters!$A$379,""))))</f>
        <v/>
      </c>
      <c r="M22" s="13">
        <f>IF(C22="","",C22/10)</f>
        <v/>
      </c>
      <c r="N22" s="13">
        <f>IF(D22="","",D22/9)</f>
        <v/>
      </c>
      <c r="O22" s="13">
        <f>IF(E22="","",E22/6)</f>
        <v/>
      </c>
      <c r="P22" s="13">
        <f>IF(F22="","",F22/5)</f>
        <v/>
      </c>
      <c r="Q22" s="13">
        <f>IF(G22="","",G22/8)</f>
        <v/>
      </c>
      <c r="R22" s="13">
        <f>IF(H22="","",H22/10)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4" t="n"/>
      <c r="H23" s="14" t="n"/>
      <c r="I23" s="13">
        <f>IF(COUNT(C23:H23)&lt;6,"",SUM(C23:H23))</f>
        <v/>
      </c>
      <c r="J23" s="13">
        <f>IF(COUNT(C23:H23)&lt;6,"",I23/48)</f>
        <v/>
      </c>
      <c r="K23" s="13">
        <f>IF(COUNT(C23:H23)&lt;6,"",IF(J23&gt;=0.8,"Green",IF(J23&gt;=0.5,"Yellow","Red")))</f>
        <v/>
      </c>
      <c r="L23" s="13">
        <f>IF(COUNT(C23:H23)&lt;6,"",IF(K23="Green","Well done! "&amp;Parameters!$C$385,"Revise: "&amp;_xlfn.TEXTJOIN(", ",TRUE(),IF(M23&lt;1,Parameters!$A$374,""),IF(N23&lt;1,Parameters!$A$375,""),IF(O23&lt;1,Parameters!$A$376,""),IF(P23&lt;1,Parameters!$A$377,""),IF(Q23&lt;1,Parameters!$A$378,""),IF(R23&lt;1,Parameters!$A$379,""))))</f>
        <v/>
      </c>
      <c r="M23" s="13">
        <f>IF(C23="","",C23/10)</f>
        <v/>
      </c>
      <c r="N23" s="13">
        <f>IF(D23="","",D23/9)</f>
        <v/>
      </c>
      <c r="O23" s="13">
        <f>IF(E23="","",E23/6)</f>
        <v/>
      </c>
      <c r="P23" s="13">
        <f>IF(F23="","",F23/5)</f>
        <v/>
      </c>
      <c r="Q23" s="13">
        <f>IF(G23="","",G23/8)</f>
        <v/>
      </c>
      <c r="R23" s="13">
        <f>IF(H23="","",H23/10)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4" t="n"/>
      <c r="H24" s="14" t="n"/>
      <c r="I24" s="13">
        <f>IF(COUNT(C24:H24)&lt;6,"",SUM(C24:H24))</f>
        <v/>
      </c>
      <c r="J24" s="13">
        <f>IF(COUNT(C24:H24)&lt;6,"",I24/48)</f>
        <v/>
      </c>
      <c r="K24" s="13">
        <f>IF(COUNT(C24:H24)&lt;6,"",IF(J24&gt;=0.8,"Green",IF(J24&gt;=0.5,"Yellow","Red")))</f>
        <v/>
      </c>
      <c r="L24" s="13">
        <f>IF(COUNT(C24:H24)&lt;6,"",IF(K24="Green","Well done! "&amp;Parameters!$C$385,"Revise: "&amp;_xlfn.TEXTJOIN(", ",TRUE(),IF(M24&lt;1,Parameters!$A$374,""),IF(N24&lt;1,Parameters!$A$375,""),IF(O24&lt;1,Parameters!$A$376,""),IF(P24&lt;1,Parameters!$A$377,""),IF(Q24&lt;1,Parameters!$A$378,""),IF(R24&lt;1,Parameters!$A$379,""))))</f>
        <v/>
      </c>
      <c r="M24" s="13">
        <f>IF(C24="","",C24/10)</f>
        <v/>
      </c>
      <c r="N24" s="13">
        <f>IF(D24="","",D24/9)</f>
        <v/>
      </c>
      <c r="O24" s="13">
        <f>IF(E24="","",E24/6)</f>
        <v/>
      </c>
      <c r="P24" s="13">
        <f>IF(F24="","",F24/5)</f>
        <v/>
      </c>
      <c r="Q24" s="13">
        <f>IF(G24="","",G24/8)</f>
        <v/>
      </c>
      <c r="R24" s="13">
        <f>IF(H24="","",H24/10)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4" t="n"/>
      <c r="H25" s="14" t="n"/>
      <c r="I25" s="13">
        <f>IF(COUNT(C25:H25)&lt;6,"",SUM(C25:H25))</f>
        <v/>
      </c>
      <c r="J25" s="13">
        <f>IF(COUNT(C25:H25)&lt;6,"",I25/48)</f>
        <v/>
      </c>
      <c r="K25" s="13">
        <f>IF(COUNT(C25:H25)&lt;6,"",IF(J25&gt;=0.8,"Green",IF(J25&gt;=0.5,"Yellow","Red")))</f>
        <v/>
      </c>
      <c r="L25" s="13">
        <f>IF(COUNT(C25:H25)&lt;6,"",IF(K25="Green","Well done! "&amp;Parameters!$C$385,"Revise: "&amp;_xlfn.TEXTJOIN(", ",TRUE(),IF(M25&lt;1,Parameters!$A$374,""),IF(N25&lt;1,Parameters!$A$375,""),IF(O25&lt;1,Parameters!$A$376,""),IF(P25&lt;1,Parameters!$A$377,""),IF(Q25&lt;1,Parameters!$A$378,""),IF(R25&lt;1,Parameters!$A$379,""))))</f>
        <v/>
      </c>
      <c r="M25" s="13">
        <f>IF(C25="","",C25/10)</f>
        <v/>
      </c>
      <c r="N25" s="13">
        <f>IF(D25="","",D25/9)</f>
        <v/>
      </c>
      <c r="O25" s="13">
        <f>IF(E25="","",E25/6)</f>
        <v/>
      </c>
      <c r="P25" s="13">
        <f>IF(F25="","",F25/5)</f>
        <v/>
      </c>
      <c r="Q25" s="13">
        <f>IF(G25="","",G25/8)</f>
        <v/>
      </c>
      <c r="R25" s="13">
        <f>IF(H25="","",H25/10)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4" t="n"/>
      <c r="H26" s="14" t="n"/>
      <c r="I26" s="13">
        <f>IF(COUNT(C26:H26)&lt;6,"",SUM(C26:H26))</f>
        <v/>
      </c>
      <c r="J26" s="13">
        <f>IF(COUNT(C26:H26)&lt;6,"",I26/48)</f>
        <v/>
      </c>
      <c r="K26" s="13">
        <f>IF(COUNT(C26:H26)&lt;6,"",IF(J26&gt;=0.8,"Green",IF(J26&gt;=0.5,"Yellow","Red")))</f>
        <v/>
      </c>
      <c r="L26" s="13">
        <f>IF(COUNT(C26:H26)&lt;6,"",IF(K26="Green","Well done! "&amp;Parameters!$C$385,"Revise: "&amp;_xlfn.TEXTJOIN(", ",TRUE(),IF(M26&lt;1,Parameters!$A$374,""),IF(N26&lt;1,Parameters!$A$375,""),IF(O26&lt;1,Parameters!$A$376,""),IF(P26&lt;1,Parameters!$A$377,""),IF(Q26&lt;1,Parameters!$A$378,""),IF(R26&lt;1,Parameters!$A$379,""))))</f>
        <v/>
      </c>
      <c r="M26" s="13">
        <f>IF(C26="","",C26/10)</f>
        <v/>
      </c>
      <c r="N26" s="13">
        <f>IF(D26="","",D26/9)</f>
        <v/>
      </c>
      <c r="O26" s="13">
        <f>IF(E26="","",E26/6)</f>
        <v/>
      </c>
      <c r="P26" s="13">
        <f>IF(F26="","",F26/5)</f>
        <v/>
      </c>
      <c r="Q26" s="13">
        <f>IF(G26="","",G26/8)</f>
        <v/>
      </c>
      <c r="R26" s="13">
        <f>IF(H26="","",H26/10)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4" t="n"/>
      <c r="H27" s="14" t="n"/>
      <c r="I27" s="13">
        <f>IF(COUNT(C27:H27)&lt;6,"",SUM(C27:H27))</f>
        <v/>
      </c>
      <c r="J27" s="13">
        <f>IF(COUNT(C27:H27)&lt;6,"",I27/48)</f>
        <v/>
      </c>
      <c r="K27" s="13">
        <f>IF(COUNT(C27:H27)&lt;6,"",IF(J27&gt;=0.8,"Green",IF(J27&gt;=0.5,"Yellow","Red")))</f>
        <v/>
      </c>
      <c r="L27" s="13">
        <f>IF(COUNT(C27:H27)&lt;6,"",IF(K27="Green","Well done! "&amp;Parameters!$C$385,"Revise: "&amp;_xlfn.TEXTJOIN(", ",TRUE(),IF(M27&lt;1,Parameters!$A$374,""),IF(N27&lt;1,Parameters!$A$375,""),IF(O27&lt;1,Parameters!$A$376,""),IF(P27&lt;1,Parameters!$A$377,""),IF(Q27&lt;1,Parameters!$A$378,""),IF(R27&lt;1,Parameters!$A$379,""))))</f>
        <v/>
      </c>
      <c r="M27" s="13">
        <f>IF(C27="","",C27/10)</f>
        <v/>
      </c>
      <c r="N27" s="13">
        <f>IF(D27="","",D27/9)</f>
        <v/>
      </c>
      <c r="O27" s="13">
        <f>IF(E27="","",E27/6)</f>
        <v/>
      </c>
      <c r="P27" s="13">
        <f>IF(F27="","",F27/5)</f>
        <v/>
      </c>
      <c r="Q27" s="13">
        <f>IF(G27="","",G27/8)</f>
        <v/>
      </c>
      <c r="R27" s="13">
        <f>IF(H27="","",H27/10)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4" t="n"/>
      <c r="H28" s="14" t="n"/>
      <c r="I28" s="13">
        <f>IF(COUNT(C28:H28)&lt;6,"",SUM(C28:H28))</f>
        <v/>
      </c>
      <c r="J28" s="13">
        <f>IF(COUNT(C28:H28)&lt;6,"",I28/48)</f>
        <v/>
      </c>
      <c r="K28" s="13">
        <f>IF(COUNT(C28:H28)&lt;6,"",IF(J28&gt;=0.8,"Green",IF(J28&gt;=0.5,"Yellow","Red")))</f>
        <v/>
      </c>
      <c r="L28" s="13">
        <f>IF(COUNT(C28:H28)&lt;6,"",IF(K28="Green","Well done! "&amp;Parameters!$C$385,"Revise: "&amp;_xlfn.TEXTJOIN(", ",TRUE(),IF(M28&lt;1,Parameters!$A$374,""),IF(N28&lt;1,Parameters!$A$375,""),IF(O28&lt;1,Parameters!$A$376,""),IF(P28&lt;1,Parameters!$A$377,""),IF(Q28&lt;1,Parameters!$A$378,""),IF(R28&lt;1,Parameters!$A$379,""))))</f>
        <v/>
      </c>
      <c r="M28" s="13">
        <f>IF(C28="","",C28/10)</f>
        <v/>
      </c>
      <c r="N28" s="13">
        <f>IF(D28="","",D28/9)</f>
        <v/>
      </c>
      <c r="O28" s="13">
        <f>IF(E28="","",E28/6)</f>
        <v/>
      </c>
      <c r="P28" s="13">
        <f>IF(F28="","",F28/5)</f>
        <v/>
      </c>
      <c r="Q28" s="13">
        <f>IF(G28="","",G28/8)</f>
        <v/>
      </c>
      <c r="R28" s="13">
        <f>IF(H28="","",H28/10)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4" t="n"/>
      <c r="H29" s="14" t="n"/>
      <c r="I29" s="13">
        <f>IF(COUNT(C29:H29)&lt;6,"",SUM(C29:H29))</f>
        <v/>
      </c>
      <c r="J29" s="13">
        <f>IF(COUNT(C29:H29)&lt;6,"",I29/48)</f>
        <v/>
      </c>
      <c r="K29" s="13">
        <f>IF(COUNT(C29:H29)&lt;6,"",IF(J29&gt;=0.8,"Green",IF(J29&gt;=0.5,"Yellow","Red")))</f>
        <v/>
      </c>
      <c r="L29" s="13">
        <f>IF(COUNT(C29:H29)&lt;6,"",IF(K29="Green","Well done! "&amp;Parameters!$C$385,"Revise: "&amp;_xlfn.TEXTJOIN(", ",TRUE(),IF(M29&lt;1,Parameters!$A$374,""),IF(N29&lt;1,Parameters!$A$375,""),IF(O29&lt;1,Parameters!$A$376,""),IF(P29&lt;1,Parameters!$A$377,""),IF(Q29&lt;1,Parameters!$A$378,""),IF(R29&lt;1,Parameters!$A$379,""))))</f>
        <v/>
      </c>
      <c r="M29" s="13">
        <f>IF(C29="","",C29/10)</f>
        <v/>
      </c>
      <c r="N29" s="13">
        <f>IF(D29="","",D29/9)</f>
        <v/>
      </c>
      <c r="O29" s="13">
        <f>IF(E29="","",E29/6)</f>
        <v/>
      </c>
      <c r="P29" s="13">
        <f>IF(F29="","",F29/5)</f>
        <v/>
      </c>
      <c r="Q29" s="13">
        <f>IF(G29="","",G29/8)</f>
        <v/>
      </c>
      <c r="R29" s="13">
        <f>IF(H29="","",H29/10)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4" t="n"/>
      <c r="H30" s="14" t="n"/>
      <c r="I30" s="13">
        <f>IF(COUNT(C30:H30)&lt;6,"",SUM(C30:H30))</f>
        <v/>
      </c>
      <c r="J30" s="13">
        <f>IF(COUNT(C30:H30)&lt;6,"",I30/48)</f>
        <v/>
      </c>
      <c r="K30" s="13">
        <f>IF(COUNT(C30:H30)&lt;6,"",IF(J30&gt;=0.8,"Green",IF(J30&gt;=0.5,"Yellow","Red")))</f>
        <v/>
      </c>
      <c r="L30" s="13">
        <f>IF(COUNT(C30:H30)&lt;6,"",IF(K30="Green","Well done! "&amp;Parameters!$C$385,"Revise: "&amp;_xlfn.TEXTJOIN(", ",TRUE(),IF(M30&lt;1,Parameters!$A$374,""),IF(N30&lt;1,Parameters!$A$375,""),IF(O30&lt;1,Parameters!$A$376,""),IF(P30&lt;1,Parameters!$A$377,""),IF(Q30&lt;1,Parameters!$A$378,""),IF(R30&lt;1,Parameters!$A$379,""))))</f>
        <v/>
      </c>
      <c r="M30" s="13">
        <f>IF(C30="","",C30/10)</f>
        <v/>
      </c>
      <c r="N30" s="13">
        <f>IF(D30="","",D30/9)</f>
        <v/>
      </c>
      <c r="O30" s="13">
        <f>IF(E30="","",E30/6)</f>
        <v/>
      </c>
      <c r="P30" s="13">
        <f>IF(F30="","",F30/5)</f>
        <v/>
      </c>
      <c r="Q30" s="13">
        <f>IF(G30="","",G30/8)</f>
        <v/>
      </c>
      <c r="R30" s="13">
        <f>IF(H30="","",H30/10)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4" t="n"/>
      <c r="H31" s="14" t="n"/>
      <c r="I31" s="13">
        <f>IF(COUNT(C31:H31)&lt;6,"",SUM(C31:H31))</f>
        <v/>
      </c>
      <c r="J31" s="13">
        <f>IF(COUNT(C31:H31)&lt;6,"",I31/48)</f>
        <v/>
      </c>
      <c r="K31" s="13">
        <f>IF(COUNT(C31:H31)&lt;6,"",IF(J31&gt;=0.8,"Green",IF(J31&gt;=0.5,"Yellow","Red")))</f>
        <v/>
      </c>
      <c r="L31" s="13">
        <f>IF(COUNT(C31:H31)&lt;6,"",IF(K31="Green","Well done! "&amp;Parameters!$C$385,"Revise: "&amp;_xlfn.TEXTJOIN(", ",TRUE(),IF(M31&lt;1,Parameters!$A$374,""),IF(N31&lt;1,Parameters!$A$375,""),IF(O31&lt;1,Parameters!$A$376,""),IF(P31&lt;1,Parameters!$A$377,""),IF(Q31&lt;1,Parameters!$A$378,""),IF(R31&lt;1,Parameters!$A$379,""))))</f>
        <v/>
      </c>
      <c r="M31" s="13">
        <f>IF(C31="","",C31/10)</f>
        <v/>
      </c>
      <c r="N31" s="13">
        <f>IF(D31="","",D31/9)</f>
        <v/>
      </c>
      <c r="O31" s="13">
        <f>IF(E31="","",E31/6)</f>
        <v/>
      </c>
      <c r="P31" s="13">
        <f>IF(F31="","",F31/5)</f>
        <v/>
      </c>
      <c r="Q31" s="13">
        <f>IF(G31="","",G31/8)</f>
        <v/>
      </c>
      <c r="R31" s="13">
        <f>IF(H31="","",H31/10)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4" t="n"/>
      <c r="H32" s="14" t="n"/>
      <c r="I32" s="13">
        <f>IF(COUNT(C32:H32)&lt;6,"",SUM(C32:H32))</f>
        <v/>
      </c>
      <c r="J32" s="13">
        <f>IF(COUNT(C32:H32)&lt;6,"",I32/48)</f>
        <v/>
      </c>
      <c r="K32" s="13">
        <f>IF(COUNT(C32:H32)&lt;6,"",IF(J32&gt;=0.8,"Green",IF(J32&gt;=0.5,"Yellow","Red")))</f>
        <v/>
      </c>
      <c r="L32" s="13">
        <f>IF(COUNT(C32:H32)&lt;6,"",IF(K32="Green","Well done! "&amp;Parameters!$C$385,"Revise: "&amp;_xlfn.TEXTJOIN(", ",TRUE(),IF(M32&lt;1,Parameters!$A$374,""),IF(N32&lt;1,Parameters!$A$375,""),IF(O32&lt;1,Parameters!$A$376,""),IF(P32&lt;1,Parameters!$A$377,""),IF(Q32&lt;1,Parameters!$A$378,""),IF(R32&lt;1,Parameters!$A$379,""))))</f>
        <v/>
      </c>
      <c r="M32" s="13">
        <f>IF(C32="","",C32/10)</f>
        <v/>
      </c>
      <c r="N32" s="13">
        <f>IF(D32="","",D32/9)</f>
        <v/>
      </c>
      <c r="O32" s="13">
        <f>IF(E32="","",E32/6)</f>
        <v/>
      </c>
      <c r="P32" s="13">
        <f>IF(F32="","",F32/5)</f>
        <v/>
      </c>
      <c r="Q32" s="13">
        <f>IF(G32="","",G32/8)</f>
        <v/>
      </c>
      <c r="R32" s="13">
        <f>IF(H32="","",H32/10)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4" t="n"/>
      <c r="H33" s="14" t="n"/>
      <c r="I33" s="13">
        <f>IF(COUNT(C33:H33)&lt;6,"",SUM(C33:H33))</f>
        <v/>
      </c>
      <c r="J33" s="13">
        <f>IF(COUNT(C33:H33)&lt;6,"",I33/48)</f>
        <v/>
      </c>
      <c r="K33" s="13">
        <f>IF(COUNT(C33:H33)&lt;6,"",IF(J33&gt;=0.8,"Green",IF(J33&gt;=0.5,"Yellow","Red")))</f>
        <v/>
      </c>
      <c r="L33" s="13">
        <f>IF(COUNT(C33:H33)&lt;6,"",IF(K33="Green","Well done! "&amp;Parameters!$C$385,"Revise: "&amp;_xlfn.TEXTJOIN(", ",TRUE(),IF(M33&lt;1,Parameters!$A$374,""),IF(N33&lt;1,Parameters!$A$375,""),IF(O33&lt;1,Parameters!$A$376,""),IF(P33&lt;1,Parameters!$A$377,""),IF(Q33&lt;1,Parameters!$A$378,""),IF(R33&lt;1,Parameters!$A$379,""))))</f>
        <v/>
      </c>
      <c r="M33" s="13">
        <f>IF(C33="","",C33/10)</f>
        <v/>
      </c>
      <c r="N33" s="13">
        <f>IF(D33="","",D33/9)</f>
        <v/>
      </c>
      <c r="O33" s="13">
        <f>IF(E33="","",E33/6)</f>
        <v/>
      </c>
      <c r="P33" s="13">
        <f>IF(F33="","",F33/5)</f>
        <v/>
      </c>
      <c r="Q33" s="13">
        <f>IF(G33="","",G33/8)</f>
        <v/>
      </c>
      <c r="R33" s="13">
        <f>IF(H33="","",H33/10)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4" t="n"/>
      <c r="H34" s="14" t="n"/>
      <c r="I34" s="13">
        <f>IF(COUNT(C34:H34)&lt;6,"",SUM(C34:H34))</f>
        <v/>
      </c>
      <c r="J34" s="13">
        <f>IF(COUNT(C34:H34)&lt;6,"",I34/48)</f>
        <v/>
      </c>
      <c r="K34" s="13">
        <f>IF(COUNT(C34:H34)&lt;6,"",IF(J34&gt;=0.8,"Green",IF(J34&gt;=0.5,"Yellow","Red")))</f>
        <v/>
      </c>
      <c r="L34" s="13">
        <f>IF(COUNT(C34:H34)&lt;6,"",IF(K34="Green","Well done! "&amp;Parameters!$C$385,"Revise: "&amp;_xlfn.TEXTJOIN(", ",TRUE(),IF(M34&lt;1,Parameters!$A$374,""),IF(N34&lt;1,Parameters!$A$375,""),IF(O34&lt;1,Parameters!$A$376,""),IF(P34&lt;1,Parameters!$A$377,""),IF(Q34&lt;1,Parameters!$A$378,""),IF(R34&lt;1,Parameters!$A$379,""))))</f>
        <v/>
      </c>
      <c r="M34" s="13">
        <f>IF(C34="","",C34/10)</f>
        <v/>
      </c>
      <c r="N34" s="13">
        <f>IF(D34="","",D34/9)</f>
        <v/>
      </c>
      <c r="O34" s="13">
        <f>IF(E34="","",E34/6)</f>
        <v/>
      </c>
      <c r="P34" s="13">
        <f>IF(F34="","",F34/5)</f>
        <v/>
      </c>
      <c r="Q34" s="13">
        <f>IF(G34="","",G34/8)</f>
        <v/>
      </c>
      <c r="R34" s="13">
        <f>IF(H34="","",H34/10)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4" t="n"/>
      <c r="H35" s="14" t="n"/>
      <c r="I35" s="13">
        <f>IF(COUNT(C35:H35)&lt;6,"",SUM(C35:H35))</f>
        <v/>
      </c>
      <c r="J35" s="13">
        <f>IF(COUNT(C35:H35)&lt;6,"",I35/48)</f>
        <v/>
      </c>
      <c r="K35" s="13">
        <f>IF(COUNT(C35:H35)&lt;6,"",IF(J35&gt;=0.8,"Green",IF(J35&gt;=0.5,"Yellow","Red")))</f>
        <v/>
      </c>
      <c r="L35" s="13">
        <f>IF(COUNT(C35:H35)&lt;6,"",IF(K35="Green","Well done! "&amp;Parameters!$C$385,"Revise: "&amp;_xlfn.TEXTJOIN(", ",TRUE(),IF(M35&lt;1,Parameters!$A$374,""),IF(N35&lt;1,Parameters!$A$375,""),IF(O35&lt;1,Parameters!$A$376,""),IF(P35&lt;1,Parameters!$A$377,""),IF(Q35&lt;1,Parameters!$A$378,""),IF(R35&lt;1,Parameters!$A$379,""))))</f>
        <v/>
      </c>
      <c r="M35" s="13">
        <f>IF(C35="","",C35/10)</f>
        <v/>
      </c>
      <c r="N35" s="13">
        <f>IF(D35="","",D35/9)</f>
        <v/>
      </c>
      <c r="O35" s="13">
        <f>IF(E35="","",E35/6)</f>
        <v/>
      </c>
      <c r="P35" s="13">
        <f>IF(F35="","",F35/5)</f>
        <v/>
      </c>
      <c r="Q35" s="13">
        <f>IF(G35="","",G35/8)</f>
        <v/>
      </c>
      <c r="R35" s="13">
        <f>IF(H35="","",H35/10)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4" t="n"/>
      <c r="H36" s="14" t="n"/>
      <c r="I36" s="13">
        <f>IF(COUNT(C36:H36)&lt;6,"",SUM(C36:H36))</f>
        <v/>
      </c>
      <c r="J36" s="13">
        <f>IF(COUNT(C36:H36)&lt;6,"",I36/48)</f>
        <v/>
      </c>
      <c r="K36" s="13">
        <f>IF(COUNT(C36:H36)&lt;6,"",IF(J36&gt;=0.8,"Green",IF(J36&gt;=0.5,"Yellow","Red")))</f>
        <v/>
      </c>
      <c r="L36" s="13">
        <f>IF(COUNT(C36:H36)&lt;6,"",IF(K36="Green","Well done! "&amp;Parameters!$C$385,"Revise: "&amp;_xlfn.TEXTJOIN(", ",TRUE(),IF(M36&lt;1,Parameters!$A$374,""),IF(N36&lt;1,Parameters!$A$375,""),IF(O36&lt;1,Parameters!$A$376,""),IF(P36&lt;1,Parameters!$A$377,""),IF(Q36&lt;1,Parameters!$A$378,""),IF(R36&lt;1,Parameters!$A$379,""))))</f>
        <v/>
      </c>
      <c r="M36" s="13">
        <f>IF(C36="","",C36/10)</f>
        <v/>
      </c>
      <c r="N36" s="13">
        <f>IF(D36="","",D36/9)</f>
        <v/>
      </c>
      <c r="O36" s="13">
        <f>IF(E36="","",E36/6)</f>
        <v/>
      </c>
      <c r="P36" s="13">
        <f>IF(F36="","",F36/5)</f>
        <v/>
      </c>
      <c r="Q36" s="13">
        <f>IF(G36="","",G36/8)</f>
        <v/>
      </c>
      <c r="R36" s="13">
        <f>IF(H36="","",H36/10)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4" t="n"/>
      <c r="H37" s="14" t="n"/>
      <c r="I37" s="13">
        <f>IF(COUNT(C37:H37)&lt;6,"",SUM(C37:H37))</f>
        <v/>
      </c>
      <c r="J37" s="13">
        <f>IF(COUNT(C37:H37)&lt;6,"",I37/48)</f>
        <v/>
      </c>
      <c r="K37" s="13">
        <f>IF(COUNT(C37:H37)&lt;6,"",IF(J37&gt;=0.8,"Green",IF(J37&gt;=0.5,"Yellow","Red")))</f>
        <v/>
      </c>
      <c r="L37" s="13">
        <f>IF(COUNT(C37:H37)&lt;6,"",IF(K37="Green","Well done! "&amp;Parameters!$C$385,"Revise: "&amp;_xlfn.TEXTJOIN(", ",TRUE(),IF(M37&lt;1,Parameters!$A$374,""),IF(N37&lt;1,Parameters!$A$375,""),IF(O37&lt;1,Parameters!$A$376,""),IF(P37&lt;1,Parameters!$A$377,""),IF(Q37&lt;1,Parameters!$A$378,""),IF(R37&lt;1,Parameters!$A$379,""))))</f>
        <v/>
      </c>
      <c r="M37" s="13">
        <f>IF(C37="","",C37/10)</f>
        <v/>
      </c>
      <c r="N37" s="13">
        <f>IF(D37="","",D37/9)</f>
        <v/>
      </c>
      <c r="O37" s="13">
        <f>IF(E37="","",E37/6)</f>
        <v/>
      </c>
      <c r="P37" s="13">
        <f>IF(F37="","",F37/5)</f>
        <v/>
      </c>
      <c r="Q37" s="13">
        <f>IF(G37="","",G37/8)</f>
        <v/>
      </c>
      <c r="R37" s="13">
        <f>IF(H37="","",H37/10)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4" t="n"/>
      <c r="H38" s="14" t="n"/>
      <c r="I38" s="13">
        <f>IF(COUNT(C38:H38)&lt;6,"",SUM(C38:H38))</f>
        <v/>
      </c>
      <c r="J38" s="13">
        <f>IF(COUNT(C38:H38)&lt;6,"",I38/48)</f>
        <v/>
      </c>
      <c r="K38" s="13">
        <f>IF(COUNT(C38:H38)&lt;6,"",IF(J38&gt;=0.8,"Green",IF(J38&gt;=0.5,"Yellow","Red")))</f>
        <v/>
      </c>
      <c r="L38" s="13">
        <f>IF(COUNT(C38:H38)&lt;6,"",IF(K38="Green","Well done! "&amp;Parameters!$C$385,"Revise: "&amp;_xlfn.TEXTJOIN(", ",TRUE(),IF(M38&lt;1,Parameters!$A$374,""),IF(N38&lt;1,Parameters!$A$375,""),IF(O38&lt;1,Parameters!$A$376,""),IF(P38&lt;1,Parameters!$A$377,""),IF(Q38&lt;1,Parameters!$A$378,""),IF(R38&lt;1,Parameters!$A$379,""))))</f>
        <v/>
      </c>
      <c r="M38" s="13">
        <f>IF(C38="","",C38/10)</f>
        <v/>
      </c>
      <c r="N38" s="13">
        <f>IF(D38="","",D38/9)</f>
        <v/>
      </c>
      <c r="O38" s="13">
        <f>IF(E38="","",E38/6)</f>
        <v/>
      </c>
      <c r="P38" s="13">
        <f>IF(F38="","",F38/5)</f>
        <v/>
      </c>
      <c r="Q38" s="13">
        <f>IF(G38="","",G38/8)</f>
        <v/>
      </c>
      <c r="R38" s="13">
        <f>IF(H38="","",H38/10)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4" t="n"/>
      <c r="H39" s="14" t="n"/>
      <c r="I39" s="13">
        <f>IF(COUNT(C39:H39)&lt;6,"",SUM(C39:H39))</f>
        <v/>
      </c>
      <c r="J39" s="13">
        <f>IF(COUNT(C39:H39)&lt;6,"",I39/48)</f>
        <v/>
      </c>
      <c r="K39" s="13">
        <f>IF(COUNT(C39:H39)&lt;6,"",IF(J39&gt;=0.8,"Green",IF(J39&gt;=0.5,"Yellow","Red")))</f>
        <v/>
      </c>
      <c r="L39" s="13">
        <f>IF(COUNT(C39:H39)&lt;6,"",IF(K39="Green","Well done! "&amp;Parameters!$C$385,"Revise: "&amp;_xlfn.TEXTJOIN(", ",TRUE(),IF(M39&lt;1,Parameters!$A$374,""),IF(N39&lt;1,Parameters!$A$375,""),IF(O39&lt;1,Parameters!$A$376,""),IF(P39&lt;1,Parameters!$A$377,""),IF(Q39&lt;1,Parameters!$A$378,""),IF(R39&lt;1,Parameters!$A$379,""))))</f>
        <v/>
      </c>
      <c r="M39" s="13">
        <f>IF(C39="","",C39/10)</f>
        <v/>
      </c>
      <c r="N39" s="13">
        <f>IF(D39="","",D39/9)</f>
        <v/>
      </c>
      <c r="O39" s="13">
        <f>IF(E39="","",E39/6)</f>
        <v/>
      </c>
      <c r="P39" s="13">
        <f>IF(F39="","",F39/5)</f>
        <v/>
      </c>
      <c r="Q39" s="13">
        <f>IF(G39="","",G39/8)</f>
        <v/>
      </c>
      <c r="R39" s="13">
        <f>IF(H39="","",H39/10)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4" t="n"/>
      <c r="H40" s="14" t="n"/>
      <c r="I40" s="13">
        <f>IF(COUNT(C40:H40)&lt;6,"",SUM(C40:H40))</f>
        <v/>
      </c>
      <c r="J40" s="13">
        <f>IF(COUNT(C40:H40)&lt;6,"",I40/48)</f>
        <v/>
      </c>
      <c r="K40" s="13">
        <f>IF(COUNT(C40:H40)&lt;6,"",IF(J40&gt;=0.8,"Green",IF(J40&gt;=0.5,"Yellow","Red")))</f>
        <v/>
      </c>
      <c r="L40" s="13">
        <f>IF(COUNT(C40:H40)&lt;6,"",IF(K40="Green","Well done! "&amp;Parameters!$C$385,"Revise: "&amp;_xlfn.TEXTJOIN(", ",TRUE(),IF(M40&lt;1,Parameters!$A$374,""),IF(N40&lt;1,Parameters!$A$375,""),IF(O40&lt;1,Parameters!$A$376,""),IF(P40&lt;1,Parameters!$A$377,""),IF(Q40&lt;1,Parameters!$A$378,""),IF(R40&lt;1,Parameters!$A$379,""))))</f>
        <v/>
      </c>
      <c r="M40" s="13">
        <f>IF(C40="","",C40/10)</f>
        <v/>
      </c>
      <c r="N40" s="13">
        <f>IF(D40="","",D40/9)</f>
        <v/>
      </c>
      <c r="O40" s="13">
        <f>IF(E40="","",E40/6)</f>
        <v/>
      </c>
      <c r="P40" s="13">
        <f>IF(F40="","",F40/5)</f>
        <v/>
      </c>
      <c r="Q40" s="13">
        <f>IF(G40="","",G40/8)</f>
        <v/>
      </c>
      <c r="R40" s="13">
        <f>IF(H40="","",H40/10)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4" t="n"/>
      <c r="H41" s="14" t="n"/>
      <c r="I41" s="13">
        <f>IF(COUNT(C41:H41)&lt;6,"",SUM(C41:H41))</f>
        <v/>
      </c>
      <c r="J41" s="13">
        <f>IF(COUNT(C41:H41)&lt;6,"",I41/48)</f>
        <v/>
      </c>
      <c r="K41" s="13">
        <f>IF(COUNT(C41:H41)&lt;6,"",IF(J41&gt;=0.8,"Green",IF(J41&gt;=0.5,"Yellow","Red")))</f>
        <v/>
      </c>
      <c r="L41" s="13">
        <f>IF(COUNT(C41:H41)&lt;6,"",IF(K41="Green","Well done! "&amp;Parameters!$C$385,"Revise: "&amp;_xlfn.TEXTJOIN(", ",TRUE(),IF(M41&lt;1,Parameters!$A$374,""),IF(N41&lt;1,Parameters!$A$375,""),IF(O41&lt;1,Parameters!$A$376,""),IF(P41&lt;1,Parameters!$A$377,""),IF(Q41&lt;1,Parameters!$A$378,""),IF(R41&lt;1,Parameters!$A$379,""))))</f>
        <v/>
      </c>
      <c r="M41" s="13">
        <f>IF(C41="","",C41/10)</f>
        <v/>
      </c>
      <c r="N41" s="13">
        <f>IF(D41="","",D41/9)</f>
        <v/>
      </c>
      <c r="O41" s="13">
        <f>IF(E41="","",E41/6)</f>
        <v/>
      </c>
      <c r="P41" s="13">
        <f>IF(F41="","",F41/5)</f>
        <v/>
      </c>
      <c r="Q41" s="13">
        <f>IF(G41="","",G41/8)</f>
        <v/>
      </c>
      <c r="R41" s="13">
        <f>IF(H41="","",H41/10)</f>
        <v/>
      </c>
    </row>
  </sheetData>
  <conditionalFormatting sqref="C11">
    <cfRule type="expression" priority="1" dxfId="0">
      <formula>AND(COUNT(C11:H11)=6,C11=10)</formula>
    </cfRule>
    <cfRule type="expression" priority="2" dxfId="1">
      <formula>AND(COUNT(C11:H11)=6,C11&lt;10*0.4)</formula>
    </cfRule>
    <cfRule type="expression" priority="3" dxfId="2">
      <formula>AND(COUNT(C11:H11)=6,C11&gt;=10*0.4,C11&lt;10)</formula>
    </cfRule>
  </conditionalFormatting>
  <conditionalFormatting sqref="C12">
    <cfRule type="expression" priority="4" dxfId="0">
      <formula>AND(COUNT(C12:H12)=6,C12=10)</formula>
    </cfRule>
    <cfRule type="expression" priority="5" dxfId="1">
      <formula>AND(COUNT(C12:H12)=6,C12&lt;10*0.4)</formula>
    </cfRule>
    <cfRule type="expression" priority="6" dxfId="2">
      <formula>AND(COUNT(C12:H12)=6,C12&gt;=10*0.4,C12&lt;10)</formula>
    </cfRule>
  </conditionalFormatting>
  <conditionalFormatting sqref="C13">
    <cfRule type="expression" priority="7" dxfId="0">
      <formula>AND(COUNT(C13:H13)=6,C13=10)</formula>
    </cfRule>
    <cfRule type="expression" priority="8" dxfId="1">
      <formula>AND(COUNT(C13:H13)=6,C13&lt;10*0.4)</formula>
    </cfRule>
    <cfRule type="expression" priority="9" dxfId="2">
      <formula>AND(COUNT(C13:H13)=6,C13&gt;=10*0.4,C13&lt;10)</formula>
    </cfRule>
  </conditionalFormatting>
  <conditionalFormatting sqref="C14">
    <cfRule type="expression" priority="10" dxfId="0">
      <formula>AND(COUNT(C14:H14)=6,C14=10)</formula>
    </cfRule>
    <cfRule type="expression" priority="11" dxfId="1">
      <formula>AND(COUNT(C14:H14)=6,C14&lt;10*0.4)</formula>
    </cfRule>
    <cfRule type="expression" priority="12" dxfId="2">
      <formula>AND(COUNT(C14:H14)=6,C14&gt;=10*0.4,C14&lt;10)</formula>
    </cfRule>
  </conditionalFormatting>
  <conditionalFormatting sqref="C15">
    <cfRule type="expression" priority="13" dxfId="0">
      <formula>AND(COUNT(C15:H15)=6,C15=10)</formula>
    </cfRule>
    <cfRule type="expression" priority="14" dxfId="1">
      <formula>AND(COUNT(C15:H15)=6,C15&lt;10*0.4)</formula>
    </cfRule>
    <cfRule type="expression" priority="15" dxfId="2">
      <formula>AND(COUNT(C15:H15)=6,C15&gt;=10*0.4,C15&lt;10)</formula>
    </cfRule>
  </conditionalFormatting>
  <conditionalFormatting sqref="C16">
    <cfRule type="expression" priority="16" dxfId="0">
      <formula>AND(COUNT(C16:H16)=6,C16=10)</formula>
    </cfRule>
    <cfRule type="expression" priority="17" dxfId="1">
      <formula>AND(COUNT(C16:H16)=6,C16&lt;10*0.4)</formula>
    </cfRule>
    <cfRule type="expression" priority="18" dxfId="2">
      <formula>AND(COUNT(C16:H16)=6,C16&gt;=10*0.4,C16&lt;10)</formula>
    </cfRule>
  </conditionalFormatting>
  <conditionalFormatting sqref="C17">
    <cfRule type="expression" priority="19" dxfId="0">
      <formula>AND(COUNT(C17:H17)=6,C17=10)</formula>
    </cfRule>
    <cfRule type="expression" priority="20" dxfId="1">
      <formula>AND(COUNT(C17:H17)=6,C17&lt;10*0.4)</formula>
    </cfRule>
    <cfRule type="expression" priority="21" dxfId="2">
      <formula>AND(COUNT(C17:H17)=6,C17&gt;=10*0.4,C17&lt;10)</formula>
    </cfRule>
  </conditionalFormatting>
  <conditionalFormatting sqref="C18">
    <cfRule type="expression" priority="22" dxfId="0">
      <formula>AND(COUNT(C18:H18)=6,C18=10)</formula>
    </cfRule>
    <cfRule type="expression" priority="23" dxfId="1">
      <formula>AND(COUNT(C18:H18)=6,C18&lt;10*0.4)</formula>
    </cfRule>
    <cfRule type="expression" priority="24" dxfId="2">
      <formula>AND(COUNT(C18:H18)=6,C18&gt;=10*0.4,C18&lt;10)</formula>
    </cfRule>
  </conditionalFormatting>
  <conditionalFormatting sqref="C19">
    <cfRule type="expression" priority="25" dxfId="0">
      <formula>AND(COUNT(C19:H19)=6,C19=10)</formula>
    </cfRule>
    <cfRule type="expression" priority="26" dxfId="1">
      <formula>AND(COUNT(C19:H19)=6,C19&lt;10*0.4)</formula>
    </cfRule>
    <cfRule type="expression" priority="27" dxfId="2">
      <formula>AND(COUNT(C19:H19)=6,C19&gt;=10*0.4,C19&lt;10)</formula>
    </cfRule>
  </conditionalFormatting>
  <conditionalFormatting sqref="C20">
    <cfRule type="expression" priority="28" dxfId="0">
      <formula>AND(COUNT(C20:H20)=6,C20=10)</formula>
    </cfRule>
    <cfRule type="expression" priority="29" dxfId="1">
      <formula>AND(COUNT(C20:H20)=6,C20&lt;10*0.4)</formula>
    </cfRule>
    <cfRule type="expression" priority="30" dxfId="2">
      <formula>AND(COUNT(C20:H20)=6,C20&gt;=10*0.4,C20&lt;10)</formula>
    </cfRule>
  </conditionalFormatting>
  <conditionalFormatting sqref="C21">
    <cfRule type="expression" priority="31" dxfId="0">
      <formula>AND(COUNT(C21:H21)=6,C21=10)</formula>
    </cfRule>
    <cfRule type="expression" priority="32" dxfId="1">
      <formula>AND(COUNT(C21:H21)=6,C21&lt;10*0.4)</formula>
    </cfRule>
    <cfRule type="expression" priority="33" dxfId="2">
      <formula>AND(COUNT(C21:H21)=6,C21&gt;=10*0.4,C21&lt;10)</formula>
    </cfRule>
  </conditionalFormatting>
  <conditionalFormatting sqref="C22">
    <cfRule type="expression" priority="34" dxfId="0">
      <formula>AND(COUNT(C22:H22)=6,C22=10)</formula>
    </cfRule>
    <cfRule type="expression" priority="35" dxfId="1">
      <formula>AND(COUNT(C22:H22)=6,C22&lt;10*0.4)</formula>
    </cfRule>
    <cfRule type="expression" priority="36" dxfId="2">
      <formula>AND(COUNT(C22:H22)=6,C22&gt;=10*0.4,C22&lt;10)</formula>
    </cfRule>
  </conditionalFormatting>
  <conditionalFormatting sqref="C23">
    <cfRule type="expression" priority="37" dxfId="0">
      <formula>AND(COUNT(C23:H23)=6,C23=10)</formula>
    </cfRule>
    <cfRule type="expression" priority="38" dxfId="1">
      <formula>AND(COUNT(C23:H23)=6,C23&lt;10*0.4)</formula>
    </cfRule>
    <cfRule type="expression" priority="39" dxfId="2">
      <formula>AND(COUNT(C23:H23)=6,C23&gt;=10*0.4,C23&lt;10)</formula>
    </cfRule>
  </conditionalFormatting>
  <conditionalFormatting sqref="C24">
    <cfRule type="expression" priority="40" dxfId="0">
      <formula>AND(COUNT(C24:H24)=6,C24=10)</formula>
    </cfRule>
    <cfRule type="expression" priority="41" dxfId="1">
      <formula>AND(COUNT(C24:H24)=6,C24&lt;10*0.4)</formula>
    </cfRule>
    <cfRule type="expression" priority="42" dxfId="2">
      <formula>AND(COUNT(C24:H24)=6,C24&gt;=10*0.4,C24&lt;10)</formula>
    </cfRule>
  </conditionalFormatting>
  <conditionalFormatting sqref="C25">
    <cfRule type="expression" priority="43" dxfId="0">
      <formula>AND(COUNT(C25:H25)=6,C25=10)</formula>
    </cfRule>
    <cfRule type="expression" priority="44" dxfId="1">
      <formula>AND(COUNT(C25:H25)=6,C25&lt;10*0.4)</formula>
    </cfRule>
    <cfRule type="expression" priority="45" dxfId="2">
      <formula>AND(COUNT(C25:H25)=6,C25&gt;=10*0.4,C25&lt;10)</formula>
    </cfRule>
  </conditionalFormatting>
  <conditionalFormatting sqref="C26">
    <cfRule type="expression" priority="46" dxfId="0">
      <formula>AND(COUNT(C26:H26)=6,C26=10)</formula>
    </cfRule>
    <cfRule type="expression" priority="47" dxfId="1">
      <formula>AND(COUNT(C26:H26)=6,C26&lt;10*0.4)</formula>
    </cfRule>
    <cfRule type="expression" priority="48" dxfId="2">
      <formula>AND(COUNT(C26:H26)=6,C26&gt;=10*0.4,C26&lt;10)</formula>
    </cfRule>
  </conditionalFormatting>
  <conditionalFormatting sqref="C27">
    <cfRule type="expression" priority="49" dxfId="0">
      <formula>AND(COUNT(C27:H27)=6,C27=10)</formula>
    </cfRule>
    <cfRule type="expression" priority="50" dxfId="1">
      <formula>AND(COUNT(C27:H27)=6,C27&lt;10*0.4)</formula>
    </cfRule>
    <cfRule type="expression" priority="51" dxfId="2">
      <formula>AND(COUNT(C27:H27)=6,C27&gt;=10*0.4,C27&lt;10)</formula>
    </cfRule>
  </conditionalFormatting>
  <conditionalFormatting sqref="C28">
    <cfRule type="expression" priority="52" dxfId="0">
      <formula>AND(COUNT(C28:H28)=6,C28=10)</formula>
    </cfRule>
    <cfRule type="expression" priority="53" dxfId="1">
      <formula>AND(COUNT(C28:H28)=6,C28&lt;10*0.4)</formula>
    </cfRule>
    <cfRule type="expression" priority="54" dxfId="2">
      <formula>AND(COUNT(C28:H28)=6,C28&gt;=10*0.4,C28&lt;10)</formula>
    </cfRule>
  </conditionalFormatting>
  <conditionalFormatting sqref="C29">
    <cfRule type="expression" priority="55" dxfId="0">
      <formula>AND(COUNT(C29:H29)=6,C29=10)</formula>
    </cfRule>
    <cfRule type="expression" priority="56" dxfId="1">
      <formula>AND(COUNT(C29:H29)=6,C29&lt;10*0.4)</formula>
    </cfRule>
    <cfRule type="expression" priority="57" dxfId="2">
      <formula>AND(COUNT(C29:H29)=6,C29&gt;=10*0.4,C29&lt;10)</formula>
    </cfRule>
  </conditionalFormatting>
  <conditionalFormatting sqref="C30">
    <cfRule type="expression" priority="58" dxfId="0">
      <formula>AND(COUNT(C30:H30)=6,C30=10)</formula>
    </cfRule>
    <cfRule type="expression" priority="59" dxfId="1">
      <formula>AND(COUNT(C30:H30)=6,C30&lt;10*0.4)</formula>
    </cfRule>
    <cfRule type="expression" priority="60" dxfId="2">
      <formula>AND(COUNT(C30:H30)=6,C30&gt;=10*0.4,C30&lt;10)</formula>
    </cfRule>
  </conditionalFormatting>
  <conditionalFormatting sqref="C31">
    <cfRule type="expression" priority="61" dxfId="0">
      <formula>AND(COUNT(C31:H31)=6,C31=10)</formula>
    </cfRule>
    <cfRule type="expression" priority="62" dxfId="1">
      <formula>AND(COUNT(C31:H31)=6,C31&lt;10*0.4)</formula>
    </cfRule>
    <cfRule type="expression" priority="63" dxfId="2">
      <formula>AND(COUNT(C31:H31)=6,C31&gt;=10*0.4,C31&lt;10)</formula>
    </cfRule>
  </conditionalFormatting>
  <conditionalFormatting sqref="C32">
    <cfRule type="expression" priority="64" dxfId="0">
      <formula>AND(COUNT(C32:H32)=6,C32=10)</formula>
    </cfRule>
    <cfRule type="expression" priority="65" dxfId="1">
      <formula>AND(COUNT(C32:H32)=6,C32&lt;10*0.4)</formula>
    </cfRule>
    <cfRule type="expression" priority="66" dxfId="2">
      <formula>AND(COUNT(C32:H32)=6,C32&gt;=10*0.4,C32&lt;10)</formula>
    </cfRule>
  </conditionalFormatting>
  <conditionalFormatting sqref="C33">
    <cfRule type="expression" priority="67" dxfId="0">
      <formula>AND(COUNT(C33:H33)=6,C33=10)</formula>
    </cfRule>
    <cfRule type="expression" priority="68" dxfId="1">
      <formula>AND(COUNT(C33:H33)=6,C33&lt;10*0.4)</formula>
    </cfRule>
    <cfRule type="expression" priority="69" dxfId="2">
      <formula>AND(COUNT(C33:H33)=6,C33&gt;=10*0.4,C33&lt;10)</formula>
    </cfRule>
  </conditionalFormatting>
  <conditionalFormatting sqref="C34">
    <cfRule type="expression" priority="70" dxfId="0">
      <formula>AND(COUNT(C34:H34)=6,C34=10)</formula>
    </cfRule>
    <cfRule type="expression" priority="71" dxfId="1">
      <formula>AND(COUNT(C34:H34)=6,C34&lt;10*0.4)</formula>
    </cfRule>
    <cfRule type="expression" priority="72" dxfId="2">
      <formula>AND(COUNT(C34:H34)=6,C34&gt;=10*0.4,C34&lt;10)</formula>
    </cfRule>
  </conditionalFormatting>
  <conditionalFormatting sqref="C35">
    <cfRule type="expression" priority="73" dxfId="0">
      <formula>AND(COUNT(C35:H35)=6,C35=10)</formula>
    </cfRule>
    <cfRule type="expression" priority="74" dxfId="1">
      <formula>AND(COUNT(C35:H35)=6,C35&lt;10*0.4)</formula>
    </cfRule>
    <cfRule type="expression" priority="75" dxfId="2">
      <formula>AND(COUNT(C35:H35)=6,C35&gt;=10*0.4,C35&lt;10)</formula>
    </cfRule>
  </conditionalFormatting>
  <conditionalFormatting sqref="C36">
    <cfRule type="expression" priority="76" dxfId="0">
      <formula>AND(COUNT(C36:H36)=6,C36=10)</formula>
    </cfRule>
    <cfRule type="expression" priority="77" dxfId="1">
      <formula>AND(COUNT(C36:H36)=6,C36&lt;10*0.4)</formula>
    </cfRule>
    <cfRule type="expression" priority="78" dxfId="2">
      <formula>AND(COUNT(C36:H36)=6,C36&gt;=10*0.4,C36&lt;10)</formula>
    </cfRule>
  </conditionalFormatting>
  <conditionalFormatting sqref="C37">
    <cfRule type="expression" priority="79" dxfId="0">
      <formula>AND(COUNT(C37:H37)=6,C37=10)</formula>
    </cfRule>
    <cfRule type="expression" priority="80" dxfId="1">
      <formula>AND(COUNT(C37:H37)=6,C37&lt;10*0.4)</formula>
    </cfRule>
    <cfRule type="expression" priority="81" dxfId="2">
      <formula>AND(COUNT(C37:H37)=6,C37&gt;=10*0.4,C37&lt;10)</formula>
    </cfRule>
  </conditionalFormatting>
  <conditionalFormatting sqref="C38">
    <cfRule type="expression" priority="82" dxfId="0">
      <formula>AND(COUNT(C38:H38)=6,C38=10)</formula>
    </cfRule>
    <cfRule type="expression" priority="83" dxfId="1">
      <formula>AND(COUNT(C38:H38)=6,C38&lt;10*0.4)</formula>
    </cfRule>
    <cfRule type="expression" priority="84" dxfId="2">
      <formula>AND(COUNT(C38:H38)=6,C38&gt;=10*0.4,C38&lt;10)</formula>
    </cfRule>
  </conditionalFormatting>
  <conditionalFormatting sqref="C39">
    <cfRule type="expression" priority="85" dxfId="0">
      <formula>AND(COUNT(C39:H39)=6,C39=10)</formula>
    </cfRule>
    <cfRule type="expression" priority="86" dxfId="1">
      <formula>AND(COUNT(C39:H39)=6,C39&lt;10*0.4)</formula>
    </cfRule>
    <cfRule type="expression" priority="87" dxfId="2">
      <formula>AND(COUNT(C39:H39)=6,C39&gt;=10*0.4,C39&lt;10)</formula>
    </cfRule>
  </conditionalFormatting>
  <conditionalFormatting sqref="C40">
    <cfRule type="expression" priority="88" dxfId="0">
      <formula>AND(COUNT(C40:H40)=6,C40=10)</formula>
    </cfRule>
    <cfRule type="expression" priority="89" dxfId="1">
      <formula>AND(COUNT(C40:H40)=6,C40&lt;10*0.4)</formula>
    </cfRule>
    <cfRule type="expression" priority="90" dxfId="2">
      <formula>AND(COUNT(C40:H40)=6,C40&gt;=10*0.4,C40&lt;10)</formula>
    </cfRule>
  </conditionalFormatting>
  <conditionalFormatting sqref="C41">
    <cfRule type="expression" priority="91" dxfId="0">
      <formula>AND(COUNT(C41:H41)=6,C41=10)</formula>
    </cfRule>
    <cfRule type="expression" priority="92" dxfId="1">
      <formula>AND(COUNT(C41:H41)=6,C41&lt;10*0.4)</formula>
    </cfRule>
    <cfRule type="expression" priority="93" dxfId="2">
      <formula>AND(COUNT(C41:H41)=6,C41&gt;=10*0.4,C41&lt;10)</formula>
    </cfRule>
  </conditionalFormatting>
  <conditionalFormatting sqref="D11">
    <cfRule type="expression" priority="94" dxfId="0">
      <formula>AND(COUNT(C11:H11)=6,D11=9)</formula>
    </cfRule>
    <cfRule type="expression" priority="95" dxfId="1">
      <formula>AND(COUNT(C11:H11)=6,D11&lt;9*0.4)</formula>
    </cfRule>
    <cfRule type="expression" priority="96" dxfId="2">
      <formula>AND(COUNT(C11:H11)=6,D11&gt;=9*0.4,D11&lt;9)</formula>
    </cfRule>
  </conditionalFormatting>
  <conditionalFormatting sqref="D12">
    <cfRule type="expression" priority="97" dxfId="0">
      <formula>AND(COUNT(C12:H12)=6,D12=9)</formula>
    </cfRule>
    <cfRule type="expression" priority="98" dxfId="1">
      <formula>AND(COUNT(C12:H12)=6,D12&lt;9*0.4)</formula>
    </cfRule>
    <cfRule type="expression" priority="99" dxfId="2">
      <formula>AND(COUNT(C12:H12)=6,D12&gt;=9*0.4,D12&lt;9)</formula>
    </cfRule>
  </conditionalFormatting>
  <conditionalFormatting sqref="D13">
    <cfRule type="expression" priority="100" dxfId="0">
      <formula>AND(COUNT(C13:H13)=6,D13=9)</formula>
    </cfRule>
    <cfRule type="expression" priority="101" dxfId="1">
      <formula>AND(COUNT(C13:H13)=6,D13&lt;9*0.4)</formula>
    </cfRule>
    <cfRule type="expression" priority="102" dxfId="2">
      <formula>AND(COUNT(C13:H13)=6,D13&gt;=9*0.4,D13&lt;9)</formula>
    </cfRule>
  </conditionalFormatting>
  <conditionalFormatting sqref="D14">
    <cfRule type="expression" priority="103" dxfId="0">
      <formula>AND(COUNT(C14:H14)=6,D14=9)</formula>
    </cfRule>
    <cfRule type="expression" priority="104" dxfId="1">
      <formula>AND(COUNT(C14:H14)=6,D14&lt;9*0.4)</formula>
    </cfRule>
    <cfRule type="expression" priority="105" dxfId="2">
      <formula>AND(COUNT(C14:H14)=6,D14&gt;=9*0.4,D14&lt;9)</formula>
    </cfRule>
  </conditionalFormatting>
  <conditionalFormatting sqref="D15">
    <cfRule type="expression" priority="106" dxfId="0">
      <formula>AND(COUNT(C15:H15)=6,D15=9)</formula>
    </cfRule>
    <cfRule type="expression" priority="107" dxfId="1">
      <formula>AND(COUNT(C15:H15)=6,D15&lt;9*0.4)</formula>
    </cfRule>
    <cfRule type="expression" priority="108" dxfId="2">
      <formula>AND(COUNT(C15:H15)=6,D15&gt;=9*0.4,D15&lt;9)</formula>
    </cfRule>
  </conditionalFormatting>
  <conditionalFormatting sqref="D16">
    <cfRule type="expression" priority="109" dxfId="0">
      <formula>AND(COUNT(C16:H16)=6,D16=9)</formula>
    </cfRule>
    <cfRule type="expression" priority="110" dxfId="1">
      <formula>AND(COUNT(C16:H16)=6,D16&lt;9*0.4)</formula>
    </cfRule>
    <cfRule type="expression" priority="111" dxfId="2">
      <formula>AND(COUNT(C16:H16)=6,D16&gt;=9*0.4,D16&lt;9)</formula>
    </cfRule>
  </conditionalFormatting>
  <conditionalFormatting sqref="D17">
    <cfRule type="expression" priority="112" dxfId="0">
      <formula>AND(COUNT(C17:H17)=6,D17=9)</formula>
    </cfRule>
    <cfRule type="expression" priority="113" dxfId="1">
      <formula>AND(COUNT(C17:H17)=6,D17&lt;9*0.4)</formula>
    </cfRule>
    <cfRule type="expression" priority="114" dxfId="2">
      <formula>AND(COUNT(C17:H17)=6,D17&gt;=9*0.4,D17&lt;9)</formula>
    </cfRule>
  </conditionalFormatting>
  <conditionalFormatting sqref="D18">
    <cfRule type="expression" priority="115" dxfId="0">
      <formula>AND(COUNT(C18:H18)=6,D18=9)</formula>
    </cfRule>
    <cfRule type="expression" priority="116" dxfId="1">
      <formula>AND(COUNT(C18:H18)=6,D18&lt;9*0.4)</formula>
    </cfRule>
    <cfRule type="expression" priority="117" dxfId="2">
      <formula>AND(COUNT(C18:H18)=6,D18&gt;=9*0.4,D18&lt;9)</formula>
    </cfRule>
  </conditionalFormatting>
  <conditionalFormatting sqref="D19">
    <cfRule type="expression" priority="118" dxfId="0">
      <formula>AND(COUNT(C19:H19)=6,D19=9)</formula>
    </cfRule>
    <cfRule type="expression" priority="119" dxfId="1">
      <formula>AND(COUNT(C19:H19)=6,D19&lt;9*0.4)</formula>
    </cfRule>
    <cfRule type="expression" priority="120" dxfId="2">
      <formula>AND(COUNT(C19:H19)=6,D19&gt;=9*0.4,D19&lt;9)</formula>
    </cfRule>
  </conditionalFormatting>
  <conditionalFormatting sqref="D20">
    <cfRule type="expression" priority="121" dxfId="0">
      <formula>AND(COUNT(C20:H20)=6,D20=9)</formula>
    </cfRule>
    <cfRule type="expression" priority="122" dxfId="1">
      <formula>AND(COUNT(C20:H20)=6,D20&lt;9*0.4)</formula>
    </cfRule>
    <cfRule type="expression" priority="123" dxfId="2">
      <formula>AND(COUNT(C20:H20)=6,D20&gt;=9*0.4,D20&lt;9)</formula>
    </cfRule>
  </conditionalFormatting>
  <conditionalFormatting sqref="D21">
    <cfRule type="expression" priority="124" dxfId="0">
      <formula>AND(COUNT(C21:H21)=6,D21=9)</formula>
    </cfRule>
    <cfRule type="expression" priority="125" dxfId="1">
      <formula>AND(COUNT(C21:H21)=6,D21&lt;9*0.4)</formula>
    </cfRule>
    <cfRule type="expression" priority="126" dxfId="2">
      <formula>AND(COUNT(C21:H21)=6,D21&gt;=9*0.4,D21&lt;9)</formula>
    </cfRule>
  </conditionalFormatting>
  <conditionalFormatting sqref="D22">
    <cfRule type="expression" priority="127" dxfId="0">
      <formula>AND(COUNT(C22:H22)=6,D22=9)</formula>
    </cfRule>
    <cfRule type="expression" priority="128" dxfId="1">
      <formula>AND(COUNT(C22:H22)=6,D22&lt;9*0.4)</formula>
    </cfRule>
    <cfRule type="expression" priority="129" dxfId="2">
      <formula>AND(COUNT(C22:H22)=6,D22&gt;=9*0.4,D22&lt;9)</formula>
    </cfRule>
  </conditionalFormatting>
  <conditionalFormatting sqref="D23">
    <cfRule type="expression" priority="130" dxfId="0">
      <formula>AND(COUNT(C23:H23)=6,D23=9)</formula>
    </cfRule>
    <cfRule type="expression" priority="131" dxfId="1">
      <formula>AND(COUNT(C23:H23)=6,D23&lt;9*0.4)</formula>
    </cfRule>
    <cfRule type="expression" priority="132" dxfId="2">
      <formula>AND(COUNT(C23:H23)=6,D23&gt;=9*0.4,D23&lt;9)</formula>
    </cfRule>
  </conditionalFormatting>
  <conditionalFormatting sqref="D24">
    <cfRule type="expression" priority="133" dxfId="0">
      <formula>AND(COUNT(C24:H24)=6,D24=9)</formula>
    </cfRule>
    <cfRule type="expression" priority="134" dxfId="1">
      <formula>AND(COUNT(C24:H24)=6,D24&lt;9*0.4)</formula>
    </cfRule>
    <cfRule type="expression" priority="135" dxfId="2">
      <formula>AND(COUNT(C24:H24)=6,D24&gt;=9*0.4,D24&lt;9)</formula>
    </cfRule>
  </conditionalFormatting>
  <conditionalFormatting sqref="D25">
    <cfRule type="expression" priority="136" dxfId="0">
      <formula>AND(COUNT(C25:H25)=6,D25=9)</formula>
    </cfRule>
    <cfRule type="expression" priority="137" dxfId="1">
      <formula>AND(COUNT(C25:H25)=6,D25&lt;9*0.4)</formula>
    </cfRule>
    <cfRule type="expression" priority="138" dxfId="2">
      <formula>AND(COUNT(C25:H25)=6,D25&gt;=9*0.4,D25&lt;9)</formula>
    </cfRule>
  </conditionalFormatting>
  <conditionalFormatting sqref="D26">
    <cfRule type="expression" priority="139" dxfId="0">
      <formula>AND(COUNT(C26:H26)=6,D26=9)</formula>
    </cfRule>
    <cfRule type="expression" priority="140" dxfId="1">
      <formula>AND(COUNT(C26:H26)=6,D26&lt;9*0.4)</formula>
    </cfRule>
    <cfRule type="expression" priority="141" dxfId="2">
      <formula>AND(COUNT(C26:H26)=6,D26&gt;=9*0.4,D26&lt;9)</formula>
    </cfRule>
  </conditionalFormatting>
  <conditionalFormatting sqref="D27">
    <cfRule type="expression" priority="142" dxfId="0">
      <formula>AND(COUNT(C27:H27)=6,D27=9)</formula>
    </cfRule>
    <cfRule type="expression" priority="143" dxfId="1">
      <formula>AND(COUNT(C27:H27)=6,D27&lt;9*0.4)</formula>
    </cfRule>
    <cfRule type="expression" priority="144" dxfId="2">
      <formula>AND(COUNT(C27:H27)=6,D27&gt;=9*0.4,D27&lt;9)</formula>
    </cfRule>
  </conditionalFormatting>
  <conditionalFormatting sqref="D28">
    <cfRule type="expression" priority="145" dxfId="0">
      <formula>AND(COUNT(C28:H28)=6,D28=9)</formula>
    </cfRule>
    <cfRule type="expression" priority="146" dxfId="1">
      <formula>AND(COUNT(C28:H28)=6,D28&lt;9*0.4)</formula>
    </cfRule>
    <cfRule type="expression" priority="147" dxfId="2">
      <formula>AND(COUNT(C28:H28)=6,D28&gt;=9*0.4,D28&lt;9)</formula>
    </cfRule>
  </conditionalFormatting>
  <conditionalFormatting sqref="D29">
    <cfRule type="expression" priority="148" dxfId="0">
      <formula>AND(COUNT(C29:H29)=6,D29=9)</formula>
    </cfRule>
    <cfRule type="expression" priority="149" dxfId="1">
      <formula>AND(COUNT(C29:H29)=6,D29&lt;9*0.4)</formula>
    </cfRule>
    <cfRule type="expression" priority="150" dxfId="2">
      <formula>AND(COUNT(C29:H29)=6,D29&gt;=9*0.4,D29&lt;9)</formula>
    </cfRule>
  </conditionalFormatting>
  <conditionalFormatting sqref="D30">
    <cfRule type="expression" priority="151" dxfId="0">
      <formula>AND(COUNT(C30:H30)=6,D30=9)</formula>
    </cfRule>
    <cfRule type="expression" priority="152" dxfId="1">
      <formula>AND(COUNT(C30:H30)=6,D30&lt;9*0.4)</formula>
    </cfRule>
    <cfRule type="expression" priority="153" dxfId="2">
      <formula>AND(COUNT(C30:H30)=6,D30&gt;=9*0.4,D30&lt;9)</formula>
    </cfRule>
  </conditionalFormatting>
  <conditionalFormatting sqref="D31">
    <cfRule type="expression" priority="154" dxfId="0">
      <formula>AND(COUNT(C31:H31)=6,D31=9)</formula>
    </cfRule>
    <cfRule type="expression" priority="155" dxfId="1">
      <formula>AND(COUNT(C31:H31)=6,D31&lt;9*0.4)</formula>
    </cfRule>
    <cfRule type="expression" priority="156" dxfId="2">
      <formula>AND(COUNT(C31:H31)=6,D31&gt;=9*0.4,D31&lt;9)</formula>
    </cfRule>
  </conditionalFormatting>
  <conditionalFormatting sqref="D32">
    <cfRule type="expression" priority="157" dxfId="0">
      <formula>AND(COUNT(C32:H32)=6,D32=9)</formula>
    </cfRule>
    <cfRule type="expression" priority="158" dxfId="1">
      <formula>AND(COUNT(C32:H32)=6,D32&lt;9*0.4)</formula>
    </cfRule>
    <cfRule type="expression" priority="159" dxfId="2">
      <formula>AND(COUNT(C32:H32)=6,D32&gt;=9*0.4,D32&lt;9)</formula>
    </cfRule>
  </conditionalFormatting>
  <conditionalFormatting sqref="D33">
    <cfRule type="expression" priority="160" dxfId="0">
      <formula>AND(COUNT(C33:H33)=6,D33=9)</formula>
    </cfRule>
    <cfRule type="expression" priority="161" dxfId="1">
      <formula>AND(COUNT(C33:H33)=6,D33&lt;9*0.4)</formula>
    </cfRule>
    <cfRule type="expression" priority="162" dxfId="2">
      <formula>AND(COUNT(C33:H33)=6,D33&gt;=9*0.4,D33&lt;9)</formula>
    </cfRule>
  </conditionalFormatting>
  <conditionalFormatting sqref="D34">
    <cfRule type="expression" priority="163" dxfId="0">
      <formula>AND(COUNT(C34:H34)=6,D34=9)</formula>
    </cfRule>
    <cfRule type="expression" priority="164" dxfId="1">
      <formula>AND(COUNT(C34:H34)=6,D34&lt;9*0.4)</formula>
    </cfRule>
    <cfRule type="expression" priority="165" dxfId="2">
      <formula>AND(COUNT(C34:H34)=6,D34&gt;=9*0.4,D34&lt;9)</formula>
    </cfRule>
  </conditionalFormatting>
  <conditionalFormatting sqref="D35">
    <cfRule type="expression" priority="166" dxfId="0">
      <formula>AND(COUNT(C35:H35)=6,D35=9)</formula>
    </cfRule>
    <cfRule type="expression" priority="167" dxfId="1">
      <formula>AND(COUNT(C35:H35)=6,D35&lt;9*0.4)</formula>
    </cfRule>
    <cfRule type="expression" priority="168" dxfId="2">
      <formula>AND(COUNT(C35:H35)=6,D35&gt;=9*0.4,D35&lt;9)</formula>
    </cfRule>
  </conditionalFormatting>
  <conditionalFormatting sqref="D36">
    <cfRule type="expression" priority="169" dxfId="0">
      <formula>AND(COUNT(C36:H36)=6,D36=9)</formula>
    </cfRule>
    <cfRule type="expression" priority="170" dxfId="1">
      <formula>AND(COUNT(C36:H36)=6,D36&lt;9*0.4)</formula>
    </cfRule>
    <cfRule type="expression" priority="171" dxfId="2">
      <formula>AND(COUNT(C36:H36)=6,D36&gt;=9*0.4,D36&lt;9)</formula>
    </cfRule>
  </conditionalFormatting>
  <conditionalFormatting sqref="D37">
    <cfRule type="expression" priority="172" dxfId="0">
      <formula>AND(COUNT(C37:H37)=6,D37=9)</formula>
    </cfRule>
    <cfRule type="expression" priority="173" dxfId="1">
      <formula>AND(COUNT(C37:H37)=6,D37&lt;9*0.4)</formula>
    </cfRule>
    <cfRule type="expression" priority="174" dxfId="2">
      <formula>AND(COUNT(C37:H37)=6,D37&gt;=9*0.4,D37&lt;9)</formula>
    </cfRule>
  </conditionalFormatting>
  <conditionalFormatting sqref="D38">
    <cfRule type="expression" priority="175" dxfId="0">
      <formula>AND(COUNT(C38:H38)=6,D38=9)</formula>
    </cfRule>
    <cfRule type="expression" priority="176" dxfId="1">
      <formula>AND(COUNT(C38:H38)=6,D38&lt;9*0.4)</formula>
    </cfRule>
    <cfRule type="expression" priority="177" dxfId="2">
      <formula>AND(COUNT(C38:H38)=6,D38&gt;=9*0.4,D38&lt;9)</formula>
    </cfRule>
  </conditionalFormatting>
  <conditionalFormatting sqref="D39">
    <cfRule type="expression" priority="178" dxfId="0">
      <formula>AND(COUNT(C39:H39)=6,D39=9)</formula>
    </cfRule>
    <cfRule type="expression" priority="179" dxfId="1">
      <formula>AND(COUNT(C39:H39)=6,D39&lt;9*0.4)</formula>
    </cfRule>
    <cfRule type="expression" priority="180" dxfId="2">
      <formula>AND(COUNT(C39:H39)=6,D39&gt;=9*0.4,D39&lt;9)</formula>
    </cfRule>
  </conditionalFormatting>
  <conditionalFormatting sqref="D40">
    <cfRule type="expression" priority="181" dxfId="0">
      <formula>AND(COUNT(C40:H40)=6,D40=9)</formula>
    </cfRule>
    <cfRule type="expression" priority="182" dxfId="1">
      <formula>AND(COUNT(C40:H40)=6,D40&lt;9*0.4)</formula>
    </cfRule>
    <cfRule type="expression" priority="183" dxfId="2">
      <formula>AND(COUNT(C40:H40)=6,D40&gt;=9*0.4,D40&lt;9)</formula>
    </cfRule>
  </conditionalFormatting>
  <conditionalFormatting sqref="D41">
    <cfRule type="expression" priority="184" dxfId="0">
      <formula>AND(COUNT(C41:H41)=6,D41=9)</formula>
    </cfRule>
    <cfRule type="expression" priority="185" dxfId="1">
      <formula>AND(COUNT(C41:H41)=6,D41&lt;9*0.4)</formula>
    </cfRule>
    <cfRule type="expression" priority="186" dxfId="2">
      <formula>AND(COUNT(C41:H41)=6,D41&gt;=9*0.4,D41&lt;9)</formula>
    </cfRule>
  </conditionalFormatting>
  <conditionalFormatting sqref="E11">
    <cfRule type="expression" priority="187" dxfId="0">
      <formula>AND(COUNT(C11:H11)=6,E11=6)</formula>
    </cfRule>
    <cfRule type="expression" priority="188" dxfId="1">
      <formula>AND(COUNT(C11:H11)=6,E11&lt;6*0.4)</formula>
    </cfRule>
    <cfRule type="expression" priority="189" dxfId="2">
      <formula>AND(COUNT(C11:H11)=6,E11&gt;=6*0.4,E11&lt;6)</formula>
    </cfRule>
  </conditionalFormatting>
  <conditionalFormatting sqref="E12">
    <cfRule type="expression" priority="190" dxfId="0">
      <formula>AND(COUNT(C12:H12)=6,E12=6)</formula>
    </cfRule>
    <cfRule type="expression" priority="191" dxfId="1">
      <formula>AND(COUNT(C12:H12)=6,E12&lt;6*0.4)</formula>
    </cfRule>
    <cfRule type="expression" priority="192" dxfId="2">
      <formula>AND(COUNT(C12:H12)=6,E12&gt;=6*0.4,E12&lt;6)</formula>
    </cfRule>
  </conditionalFormatting>
  <conditionalFormatting sqref="E13">
    <cfRule type="expression" priority="193" dxfId="0">
      <formula>AND(COUNT(C13:H13)=6,E13=6)</formula>
    </cfRule>
    <cfRule type="expression" priority="194" dxfId="1">
      <formula>AND(COUNT(C13:H13)=6,E13&lt;6*0.4)</formula>
    </cfRule>
    <cfRule type="expression" priority="195" dxfId="2">
      <formula>AND(COUNT(C13:H13)=6,E13&gt;=6*0.4,E13&lt;6)</formula>
    </cfRule>
  </conditionalFormatting>
  <conditionalFormatting sqref="E14">
    <cfRule type="expression" priority="196" dxfId="0">
      <formula>AND(COUNT(C14:H14)=6,E14=6)</formula>
    </cfRule>
    <cfRule type="expression" priority="197" dxfId="1">
      <formula>AND(COUNT(C14:H14)=6,E14&lt;6*0.4)</formula>
    </cfRule>
    <cfRule type="expression" priority="198" dxfId="2">
      <formula>AND(COUNT(C14:H14)=6,E14&gt;=6*0.4,E14&lt;6)</formula>
    </cfRule>
  </conditionalFormatting>
  <conditionalFormatting sqref="E15">
    <cfRule type="expression" priority="199" dxfId="0">
      <formula>AND(COUNT(C15:H15)=6,E15=6)</formula>
    </cfRule>
    <cfRule type="expression" priority="200" dxfId="1">
      <formula>AND(COUNT(C15:H15)=6,E15&lt;6*0.4)</formula>
    </cfRule>
    <cfRule type="expression" priority="201" dxfId="2">
      <formula>AND(COUNT(C15:H15)=6,E15&gt;=6*0.4,E15&lt;6)</formula>
    </cfRule>
  </conditionalFormatting>
  <conditionalFormatting sqref="E16">
    <cfRule type="expression" priority="202" dxfId="0">
      <formula>AND(COUNT(C16:H16)=6,E16=6)</formula>
    </cfRule>
    <cfRule type="expression" priority="203" dxfId="1">
      <formula>AND(COUNT(C16:H16)=6,E16&lt;6*0.4)</formula>
    </cfRule>
    <cfRule type="expression" priority="204" dxfId="2">
      <formula>AND(COUNT(C16:H16)=6,E16&gt;=6*0.4,E16&lt;6)</formula>
    </cfRule>
  </conditionalFormatting>
  <conditionalFormatting sqref="E17">
    <cfRule type="expression" priority="205" dxfId="0">
      <formula>AND(COUNT(C17:H17)=6,E17=6)</formula>
    </cfRule>
    <cfRule type="expression" priority="206" dxfId="1">
      <formula>AND(COUNT(C17:H17)=6,E17&lt;6*0.4)</formula>
    </cfRule>
    <cfRule type="expression" priority="207" dxfId="2">
      <formula>AND(COUNT(C17:H17)=6,E17&gt;=6*0.4,E17&lt;6)</formula>
    </cfRule>
  </conditionalFormatting>
  <conditionalFormatting sqref="E18">
    <cfRule type="expression" priority="208" dxfId="0">
      <formula>AND(COUNT(C18:H18)=6,E18=6)</formula>
    </cfRule>
    <cfRule type="expression" priority="209" dxfId="1">
      <formula>AND(COUNT(C18:H18)=6,E18&lt;6*0.4)</formula>
    </cfRule>
    <cfRule type="expression" priority="210" dxfId="2">
      <formula>AND(COUNT(C18:H18)=6,E18&gt;=6*0.4,E18&lt;6)</formula>
    </cfRule>
  </conditionalFormatting>
  <conditionalFormatting sqref="E19">
    <cfRule type="expression" priority="211" dxfId="0">
      <formula>AND(COUNT(C19:H19)=6,E19=6)</formula>
    </cfRule>
    <cfRule type="expression" priority="212" dxfId="1">
      <formula>AND(COUNT(C19:H19)=6,E19&lt;6*0.4)</formula>
    </cfRule>
    <cfRule type="expression" priority="213" dxfId="2">
      <formula>AND(COUNT(C19:H19)=6,E19&gt;=6*0.4,E19&lt;6)</formula>
    </cfRule>
  </conditionalFormatting>
  <conditionalFormatting sqref="E20">
    <cfRule type="expression" priority="214" dxfId="0">
      <formula>AND(COUNT(C20:H20)=6,E20=6)</formula>
    </cfRule>
    <cfRule type="expression" priority="215" dxfId="1">
      <formula>AND(COUNT(C20:H20)=6,E20&lt;6*0.4)</formula>
    </cfRule>
    <cfRule type="expression" priority="216" dxfId="2">
      <formula>AND(COUNT(C20:H20)=6,E20&gt;=6*0.4,E20&lt;6)</formula>
    </cfRule>
  </conditionalFormatting>
  <conditionalFormatting sqref="E21">
    <cfRule type="expression" priority="217" dxfId="0">
      <formula>AND(COUNT(C21:H21)=6,E21=6)</formula>
    </cfRule>
    <cfRule type="expression" priority="218" dxfId="1">
      <formula>AND(COUNT(C21:H21)=6,E21&lt;6*0.4)</formula>
    </cfRule>
    <cfRule type="expression" priority="219" dxfId="2">
      <formula>AND(COUNT(C21:H21)=6,E21&gt;=6*0.4,E21&lt;6)</formula>
    </cfRule>
  </conditionalFormatting>
  <conditionalFormatting sqref="E22">
    <cfRule type="expression" priority="220" dxfId="0">
      <formula>AND(COUNT(C22:H22)=6,E22=6)</formula>
    </cfRule>
    <cfRule type="expression" priority="221" dxfId="1">
      <formula>AND(COUNT(C22:H22)=6,E22&lt;6*0.4)</formula>
    </cfRule>
    <cfRule type="expression" priority="222" dxfId="2">
      <formula>AND(COUNT(C22:H22)=6,E22&gt;=6*0.4,E22&lt;6)</formula>
    </cfRule>
  </conditionalFormatting>
  <conditionalFormatting sqref="E23">
    <cfRule type="expression" priority="223" dxfId="0">
      <formula>AND(COUNT(C23:H23)=6,E23=6)</formula>
    </cfRule>
    <cfRule type="expression" priority="224" dxfId="1">
      <formula>AND(COUNT(C23:H23)=6,E23&lt;6*0.4)</formula>
    </cfRule>
    <cfRule type="expression" priority="225" dxfId="2">
      <formula>AND(COUNT(C23:H23)=6,E23&gt;=6*0.4,E23&lt;6)</formula>
    </cfRule>
  </conditionalFormatting>
  <conditionalFormatting sqref="E24">
    <cfRule type="expression" priority="226" dxfId="0">
      <formula>AND(COUNT(C24:H24)=6,E24=6)</formula>
    </cfRule>
    <cfRule type="expression" priority="227" dxfId="1">
      <formula>AND(COUNT(C24:H24)=6,E24&lt;6*0.4)</formula>
    </cfRule>
    <cfRule type="expression" priority="228" dxfId="2">
      <formula>AND(COUNT(C24:H24)=6,E24&gt;=6*0.4,E24&lt;6)</formula>
    </cfRule>
  </conditionalFormatting>
  <conditionalFormatting sqref="E25">
    <cfRule type="expression" priority="229" dxfId="0">
      <formula>AND(COUNT(C25:H25)=6,E25=6)</formula>
    </cfRule>
    <cfRule type="expression" priority="230" dxfId="1">
      <formula>AND(COUNT(C25:H25)=6,E25&lt;6*0.4)</formula>
    </cfRule>
    <cfRule type="expression" priority="231" dxfId="2">
      <formula>AND(COUNT(C25:H25)=6,E25&gt;=6*0.4,E25&lt;6)</formula>
    </cfRule>
  </conditionalFormatting>
  <conditionalFormatting sqref="E26">
    <cfRule type="expression" priority="232" dxfId="0">
      <formula>AND(COUNT(C26:H26)=6,E26=6)</formula>
    </cfRule>
    <cfRule type="expression" priority="233" dxfId="1">
      <formula>AND(COUNT(C26:H26)=6,E26&lt;6*0.4)</formula>
    </cfRule>
    <cfRule type="expression" priority="234" dxfId="2">
      <formula>AND(COUNT(C26:H26)=6,E26&gt;=6*0.4,E26&lt;6)</formula>
    </cfRule>
  </conditionalFormatting>
  <conditionalFormatting sqref="E27">
    <cfRule type="expression" priority="235" dxfId="0">
      <formula>AND(COUNT(C27:H27)=6,E27=6)</formula>
    </cfRule>
    <cfRule type="expression" priority="236" dxfId="1">
      <formula>AND(COUNT(C27:H27)=6,E27&lt;6*0.4)</formula>
    </cfRule>
    <cfRule type="expression" priority="237" dxfId="2">
      <formula>AND(COUNT(C27:H27)=6,E27&gt;=6*0.4,E27&lt;6)</formula>
    </cfRule>
  </conditionalFormatting>
  <conditionalFormatting sqref="E28">
    <cfRule type="expression" priority="238" dxfId="0">
      <formula>AND(COUNT(C28:H28)=6,E28=6)</formula>
    </cfRule>
    <cfRule type="expression" priority="239" dxfId="1">
      <formula>AND(COUNT(C28:H28)=6,E28&lt;6*0.4)</formula>
    </cfRule>
    <cfRule type="expression" priority="240" dxfId="2">
      <formula>AND(COUNT(C28:H28)=6,E28&gt;=6*0.4,E28&lt;6)</formula>
    </cfRule>
  </conditionalFormatting>
  <conditionalFormatting sqref="E29">
    <cfRule type="expression" priority="241" dxfId="0">
      <formula>AND(COUNT(C29:H29)=6,E29=6)</formula>
    </cfRule>
    <cfRule type="expression" priority="242" dxfId="1">
      <formula>AND(COUNT(C29:H29)=6,E29&lt;6*0.4)</formula>
    </cfRule>
    <cfRule type="expression" priority="243" dxfId="2">
      <formula>AND(COUNT(C29:H29)=6,E29&gt;=6*0.4,E29&lt;6)</formula>
    </cfRule>
  </conditionalFormatting>
  <conditionalFormatting sqref="E30">
    <cfRule type="expression" priority="244" dxfId="0">
      <formula>AND(COUNT(C30:H30)=6,E30=6)</formula>
    </cfRule>
    <cfRule type="expression" priority="245" dxfId="1">
      <formula>AND(COUNT(C30:H30)=6,E30&lt;6*0.4)</formula>
    </cfRule>
    <cfRule type="expression" priority="246" dxfId="2">
      <formula>AND(COUNT(C30:H30)=6,E30&gt;=6*0.4,E30&lt;6)</formula>
    </cfRule>
  </conditionalFormatting>
  <conditionalFormatting sqref="E31">
    <cfRule type="expression" priority="247" dxfId="0">
      <formula>AND(COUNT(C31:H31)=6,E31=6)</formula>
    </cfRule>
    <cfRule type="expression" priority="248" dxfId="1">
      <formula>AND(COUNT(C31:H31)=6,E31&lt;6*0.4)</formula>
    </cfRule>
    <cfRule type="expression" priority="249" dxfId="2">
      <formula>AND(COUNT(C31:H31)=6,E31&gt;=6*0.4,E31&lt;6)</formula>
    </cfRule>
  </conditionalFormatting>
  <conditionalFormatting sqref="E32">
    <cfRule type="expression" priority="250" dxfId="0">
      <formula>AND(COUNT(C32:H32)=6,E32=6)</formula>
    </cfRule>
    <cfRule type="expression" priority="251" dxfId="1">
      <formula>AND(COUNT(C32:H32)=6,E32&lt;6*0.4)</formula>
    </cfRule>
    <cfRule type="expression" priority="252" dxfId="2">
      <formula>AND(COUNT(C32:H32)=6,E32&gt;=6*0.4,E32&lt;6)</formula>
    </cfRule>
  </conditionalFormatting>
  <conditionalFormatting sqref="E33">
    <cfRule type="expression" priority="253" dxfId="0">
      <formula>AND(COUNT(C33:H33)=6,E33=6)</formula>
    </cfRule>
    <cfRule type="expression" priority="254" dxfId="1">
      <formula>AND(COUNT(C33:H33)=6,E33&lt;6*0.4)</formula>
    </cfRule>
    <cfRule type="expression" priority="255" dxfId="2">
      <formula>AND(COUNT(C33:H33)=6,E33&gt;=6*0.4,E33&lt;6)</formula>
    </cfRule>
  </conditionalFormatting>
  <conditionalFormatting sqref="E34">
    <cfRule type="expression" priority="256" dxfId="0">
      <formula>AND(COUNT(C34:H34)=6,E34=6)</formula>
    </cfRule>
    <cfRule type="expression" priority="257" dxfId="1">
      <formula>AND(COUNT(C34:H34)=6,E34&lt;6*0.4)</formula>
    </cfRule>
    <cfRule type="expression" priority="258" dxfId="2">
      <formula>AND(COUNT(C34:H34)=6,E34&gt;=6*0.4,E34&lt;6)</formula>
    </cfRule>
  </conditionalFormatting>
  <conditionalFormatting sqref="E35">
    <cfRule type="expression" priority="259" dxfId="0">
      <formula>AND(COUNT(C35:H35)=6,E35=6)</formula>
    </cfRule>
    <cfRule type="expression" priority="260" dxfId="1">
      <formula>AND(COUNT(C35:H35)=6,E35&lt;6*0.4)</formula>
    </cfRule>
    <cfRule type="expression" priority="261" dxfId="2">
      <formula>AND(COUNT(C35:H35)=6,E35&gt;=6*0.4,E35&lt;6)</formula>
    </cfRule>
  </conditionalFormatting>
  <conditionalFormatting sqref="E36">
    <cfRule type="expression" priority="262" dxfId="0">
      <formula>AND(COUNT(C36:H36)=6,E36=6)</formula>
    </cfRule>
    <cfRule type="expression" priority="263" dxfId="1">
      <formula>AND(COUNT(C36:H36)=6,E36&lt;6*0.4)</formula>
    </cfRule>
    <cfRule type="expression" priority="264" dxfId="2">
      <formula>AND(COUNT(C36:H36)=6,E36&gt;=6*0.4,E36&lt;6)</formula>
    </cfRule>
  </conditionalFormatting>
  <conditionalFormatting sqref="E37">
    <cfRule type="expression" priority="265" dxfId="0">
      <formula>AND(COUNT(C37:H37)=6,E37=6)</formula>
    </cfRule>
    <cfRule type="expression" priority="266" dxfId="1">
      <formula>AND(COUNT(C37:H37)=6,E37&lt;6*0.4)</formula>
    </cfRule>
    <cfRule type="expression" priority="267" dxfId="2">
      <formula>AND(COUNT(C37:H37)=6,E37&gt;=6*0.4,E37&lt;6)</formula>
    </cfRule>
  </conditionalFormatting>
  <conditionalFormatting sqref="E38">
    <cfRule type="expression" priority="268" dxfId="0">
      <formula>AND(COUNT(C38:H38)=6,E38=6)</formula>
    </cfRule>
    <cfRule type="expression" priority="269" dxfId="1">
      <formula>AND(COUNT(C38:H38)=6,E38&lt;6*0.4)</formula>
    </cfRule>
    <cfRule type="expression" priority="270" dxfId="2">
      <formula>AND(COUNT(C38:H38)=6,E38&gt;=6*0.4,E38&lt;6)</formula>
    </cfRule>
  </conditionalFormatting>
  <conditionalFormatting sqref="E39">
    <cfRule type="expression" priority="271" dxfId="0">
      <formula>AND(COUNT(C39:H39)=6,E39=6)</formula>
    </cfRule>
    <cfRule type="expression" priority="272" dxfId="1">
      <formula>AND(COUNT(C39:H39)=6,E39&lt;6*0.4)</formula>
    </cfRule>
    <cfRule type="expression" priority="273" dxfId="2">
      <formula>AND(COUNT(C39:H39)=6,E39&gt;=6*0.4,E39&lt;6)</formula>
    </cfRule>
  </conditionalFormatting>
  <conditionalFormatting sqref="E40">
    <cfRule type="expression" priority="274" dxfId="0">
      <formula>AND(COUNT(C40:H40)=6,E40=6)</formula>
    </cfRule>
    <cfRule type="expression" priority="275" dxfId="1">
      <formula>AND(COUNT(C40:H40)=6,E40&lt;6*0.4)</formula>
    </cfRule>
    <cfRule type="expression" priority="276" dxfId="2">
      <formula>AND(COUNT(C40:H40)=6,E40&gt;=6*0.4,E40&lt;6)</formula>
    </cfRule>
  </conditionalFormatting>
  <conditionalFormatting sqref="E41">
    <cfRule type="expression" priority="277" dxfId="0">
      <formula>AND(COUNT(C41:H41)=6,E41=6)</formula>
    </cfRule>
    <cfRule type="expression" priority="278" dxfId="1">
      <formula>AND(COUNT(C41:H41)=6,E41&lt;6*0.4)</formula>
    </cfRule>
    <cfRule type="expression" priority="279" dxfId="2">
      <formula>AND(COUNT(C41:H41)=6,E41&gt;=6*0.4,E41&lt;6)</formula>
    </cfRule>
  </conditionalFormatting>
  <conditionalFormatting sqref="F11">
    <cfRule type="expression" priority="280" dxfId="0">
      <formula>AND(COUNT(C11:H11)=6,F11=5)</formula>
    </cfRule>
    <cfRule type="expression" priority="281" dxfId="1">
      <formula>AND(COUNT(C11:H11)=6,F11&lt;5*0.4)</formula>
    </cfRule>
    <cfRule type="expression" priority="282" dxfId="2">
      <formula>AND(COUNT(C11:H11)=6,F11&gt;=5*0.4,F11&lt;5)</formula>
    </cfRule>
  </conditionalFormatting>
  <conditionalFormatting sqref="F12">
    <cfRule type="expression" priority="283" dxfId="0">
      <formula>AND(COUNT(C12:H12)=6,F12=5)</formula>
    </cfRule>
    <cfRule type="expression" priority="284" dxfId="1">
      <formula>AND(COUNT(C12:H12)=6,F12&lt;5*0.4)</formula>
    </cfRule>
    <cfRule type="expression" priority="285" dxfId="2">
      <formula>AND(COUNT(C12:H12)=6,F12&gt;=5*0.4,F12&lt;5)</formula>
    </cfRule>
  </conditionalFormatting>
  <conditionalFormatting sqref="F13">
    <cfRule type="expression" priority="286" dxfId="0">
      <formula>AND(COUNT(C13:H13)=6,F13=5)</formula>
    </cfRule>
    <cfRule type="expression" priority="287" dxfId="1">
      <formula>AND(COUNT(C13:H13)=6,F13&lt;5*0.4)</formula>
    </cfRule>
    <cfRule type="expression" priority="288" dxfId="2">
      <formula>AND(COUNT(C13:H13)=6,F13&gt;=5*0.4,F13&lt;5)</formula>
    </cfRule>
  </conditionalFormatting>
  <conditionalFormatting sqref="F14">
    <cfRule type="expression" priority="289" dxfId="0">
      <formula>AND(COUNT(C14:H14)=6,F14=5)</formula>
    </cfRule>
    <cfRule type="expression" priority="290" dxfId="1">
      <formula>AND(COUNT(C14:H14)=6,F14&lt;5*0.4)</formula>
    </cfRule>
    <cfRule type="expression" priority="291" dxfId="2">
      <formula>AND(COUNT(C14:H14)=6,F14&gt;=5*0.4,F14&lt;5)</formula>
    </cfRule>
  </conditionalFormatting>
  <conditionalFormatting sqref="F15">
    <cfRule type="expression" priority="292" dxfId="0">
      <formula>AND(COUNT(C15:H15)=6,F15=5)</formula>
    </cfRule>
    <cfRule type="expression" priority="293" dxfId="1">
      <formula>AND(COUNT(C15:H15)=6,F15&lt;5*0.4)</formula>
    </cfRule>
    <cfRule type="expression" priority="294" dxfId="2">
      <formula>AND(COUNT(C15:H15)=6,F15&gt;=5*0.4,F15&lt;5)</formula>
    </cfRule>
  </conditionalFormatting>
  <conditionalFormatting sqref="F16">
    <cfRule type="expression" priority="295" dxfId="0">
      <formula>AND(COUNT(C16:H16)=6,F16=5)</formula>
    </cfRule>
    <cfRule type="expression" priority="296" dxfId="1">
      <formula>AND(COUNT(C16:H16)=6,F16&lt;5*0.4)</formula>
    </cfRule>
    <cfRule type="expression" priority="297" dxfId="2">
      <formula>AND(COUNT(C16:H16)=6,F16&gt;=5*0.4,F16&lt;5)</formula>
    </cfRule>
  </conditionalFormatting>
  <conditionalFormatting sqref="F17">
    <cfRule type="expression" priority="298" dxfId="0">
      <formula>AND(COUNT(C17:H17)=6,F17=5)</formula>
    </cfRule>
    <cfRule type="expression" priority="299" dxfId="1">
      <formula>AND(COUNT(C17:H17)=6,F17&lt;5*0.4)</formula>
    </cfRule>
    <cfRule type="expression" priority="300" dxfId="2">
      <formula>AND(COUNT(C17:H17)=6,F17&gt;=5*0.4,F17&lt;5)</formula>
    </cfRule>
  </conditionalFormatting>
  <conditionalFormatting sqref="F18">
    <cfRule type="expression" priority="301" dxfId="0">
      <formula>AND(COUNT(C18:H18)=6,F18=5)</formula>
    </cfRule>
    <cfRule type="expression" priority="302" dxfId="1">
      <formula>AND(COUNT(C18:H18)=6,F18&lt;5*0.4)</formula>
    </cfRule>
    <cfRule type="expression" priority="303" dxfId="2">
      <formula>AND(COUNT(C18:H18)=6,F18&gt;=5*0.4,F18&lt;5)</formula>
    </cfRule>
  </conditionalFormatting>
  <conditionalFormatting sqref="F19">
    <cfRule type="expression" priority="304" dxfId="0">
      <formula>AND(COUNT(C19:H19)=6,F19=5)</formula>
    </cfRule>
    <cfRule type="expression" priority="305" dxfId="1">
      <formula>AND(COUNT(C19:H19)=6,F19&lt;5*0.4)</formula>
    </cfRule>
    <cfRule type="expression" priority="306" dxfId="2">
      <formula>AND(COUNT(C19:H19)=6,F19&gt;=5*0.4,F19&lt;5)</formula>
    </cfRule>
  </conditionalFormatting>
  <conditionalFormatting sqref="F20">
    <cfRule type="expression" priority="307" dxfId="0">
      <formula>AND(COUNT(C20:H20)=6,F20=5)</formula>
    </cfRule>
    <cfRule type="expression" priority="308" dxfId="1">
      <formula>AND(COUNT(C20:H20)=6,F20&lt;5*0.4)</formula>
    </cfRule>
    <cfRule type="expression" priority="309" dxfId="2">
      <formula>AND(COUNT(C20:H20)=6,F20&gt;=5*0.4,F20&lt;5)</formula>
    </cfRule>
  </conditionalFormatting>
  <conditionalFormatting sqref="F21">
    <cfRule type="expression" priority="310" dxfId="0">
      <formula>AND(COUNT(C21:H21)=6,F21=5)</formula>
    </cfRule>
    <cfRule type="expression" priority="311" dxfId="1">
      <formula>AND(COUNT(C21:H21)=6,F21&lt;5*0.4)</formula>
    </cfRule>
    <cfRule type="expression" priority="312" dxfId="2">
      <formula>AND(COUNT(C21:H21)=6,F21&gt;=5*0.4,F21&lt;5)</formula>
    </cfRule>
  </conditionalFormatting>
  <conditionalFormatting sqref="F22">
    <cfRule type="expression" priority="313" dxfId="0">
      <formula>AND(COUNT(C22:H22)=6,F22=5)</formula>
    </cfRule>
    <cfRule type="expression" priority="314" dxfId="1">
      <formula>AND(COUNT(C22:H22)=6,F22&lt;5*0.4)</formula>
    </cfRule>
    <cfRule type="expression" priority="315" dxfId="2">
      <formula>AND(COUNT(C22:H22)=6,F22&gt;=5*0.4,F22&lt;5)</formula>
    </cfRule>
  </conditionalFormatting>
  <conditionalFormatting sqref="F23">
    <cfRule type="expression" priority="316" dxfId="0">
      <formula>AND(COUNT(C23:H23)=6,F23=5)</formula>
    </cfRule>
    <cfRule type="expression" priority="317" dxfId="1">
      <formula>AND(COUNT(C23:H23)=6,F23&lt;5*0.4)</formula>
    </cfRule>
    <cfRule type="expression" priority="318" dxfId="2">
      <formula>AND(COUNT(C23:H23)=6,F23&gt;=5*0.4,F23&lt;5)</formula>
    </cfRule>
  </conditionalFormatting>
  <conditionalFormatting sqref="F24">
    <cfRule type="expression" priority="319" dxfId="0">
      <formula>AND(COUNT(C24:H24)=6,F24=5)</formula>
    </cfRule>
    <cfRule type="expression" priority="320" dxfId="1">
      <formula>AND(COUNT(C24:H24)=6,F24&lt;5*0.4)</formula>
    </cfRule>
    <cfRule type="expression" priority="321" dxfId="2">
      <formula>AND(COUNT(C24:H24)=6,F24&gt;=5*0.4,F24&lt;5)</formula>
    </cfRule>
  </conditionalFormatting>
  <conditionalFormatting sqref="F25">
    <cfRule type="expression" priority="322" dxfId="0">
      <formula>AND(COUNT(C25:H25)=6,F25=5)</formula>
    </cfRule>
    <cfRule type="expression" priority="323" dxfId="1">
      <formula>AND(COUNT(C25:H25)=6,F25&lt;5*0.4)</formula>
    </cfRule>
    <cfRule type="expression" priority="324" dxfId="2">
      <formula>AND(COUNT(C25:H25)=6,F25&gt;=5*0.4,F25&lt;5)</formula>
    </cfRule>
  </conditionalFormatting>
  <conditionalFormatting sqref="F26">
    <cfRule type="expression" priority="325" dxfId="0">
      <formula>AND(COUNT(C26:H26)=6,F26=5)</formula>
    </cfRule>
    <cfRule type="expression" priority="326" dxfId="1">
      <formula>AND(COUNT(C26:H26)=6,F26&lt;5*0.4)</formula>
    </cfRule>
    <cfRule type="expression" priority="327" dxfId="2">
      <formula>AND(COUNT(C26:H26)=6,F26&gt;=5*0.4,F26&lt;5)</formula>
    </cfRule>
  </conditionalFormatting>
  <conditionalFormatting sqref="F27">
    <cfRule type="expression" priority="328" dxfId="0">
      <formula>AND(COUNT(C27:H27)=6,F27=5)</formula>
    </cfRule>
    <cfRule type="expression" priority="329" dxfId="1">
      <formula>AND(COUNT(C27:H27)=6,F27&lt;5*0.4)</formula>
    </cfRule>
    <cfRule type="expression" priority="330" dxfId="2">
      <formula>AND(COUNT(C27:H27)=6,F27&gt;=5*0.4,F27&lt;5)</formula>
    </cfRule>
  </conditionalFormatting>
  <conditionalFormatting sqref="F28">
    <cfRule type="expression" priority="331" dxfId="0">
      <formula>AND(COUNT(C28:H28)=6,F28=5)</formula>
    </cfRule>
    <cfRule type="expression" priority="332" dxfId="1">
      <formula>AND(COUNT(C28:H28)=6,F28&lt;5*0.4)</formula>
    </cfRule>
    <cfRule type="expression" priority="333" dxfId="2">
      <formula>AND(COUNT(C28:H28)=6,F28&gt;=5*0.4,F28&lt;5)</formula>
    </cfRule>
  </conditionalFormatting>
  <conditionalFormatting sqref="F29">
    <cfRule type="expression" priority="334" dxfId="0">
      <formula>AND(COUNT(C29:H29)=6,F29=5)</formula>
    </cfRule>
    <cfRule type="expression" priority="335" dxfId="1">
      <formula>AND(COUNT(C29:H29)=6,F29&lt;5*0.4)</formula>
    </cfRule>
    <cfRule type="expression" priority="336" dxfId="2">
      <formula>AND(COUNT(C29:H29)=6,F29&gt;=5*0.4,F29&lt;5)</formula>
    </cfRule>
  </conditionalFormatting>
  <conditionalFormatting sqref="F30">
    <cfRule type="expression" priority="337" dxfId="0">
      <formula>AND(COUNT(C30:H30)=6,F30=5)</formula>
    </cfRule>
    <cfRule type="expression" priority="338" dxfId="1">
      <formula>AND(COUNT(C30:H30)=6,F30&lt;5*0.4)</formula>
    </cfRule>
    <cfRule type="expression" priority="339" dxfId="2">
      <formula>AND(COUNT(C30:H30)=6,F30&gt;=5*0.4,F30&lt;5)</formula>
    </cfRule>
  </conditionalFormatting>
  <conditionalFormatting sqref="F31">
    <cfRule type="expression" priority="340" dxfId="0">
      <formula>AND(COUNT(C31:H31)=6,F31=5)</formula>
    </cfRule>
    <cfRule type="expression" priority="341" dxfId="1">
      <formula>AND(COUNT(C31:H31)=6,F31&lt;5*0.4)</formula>
    </cfRule>
    <cfRule type="expression" priority="342" dxfId="2">
      <formula>AND(COUNT(C31:H31)=6,F31&gt;=5*0.4,F31&lt;5)</formula>
    </cfRule>
  </conditionalFormatting>
  <conditionalFormatting sqref="F32">
    <cfRule type="expression" priority="343" dxfId="0">
      <formula>AND(COUNT(C32:H32)=6,F32=5)</formula>
    </cfRule>
    <cfRule type="expression" priority="344" dxfId="1">
      <formula>AND(COUNT(C32:H32)=6,F32&lt;5*0.4)</formula>
    </cfRule>
    <cfRule type="expression" priority="345" dxfId="2">
      <formula>AND(COUNT(C32:H32)=6,F32&gt;=5*0.4,F32&lt;5)</formula>
    </cfRule>
  </conditionalFormatting>
  <conditionalFormatting sqref="F33">
    <cfRule type="expression" priority="346" dxfId="0">
      <formula>AND(COUNT(C33:H33)=6,F33=5)</formula>
    </cfRule>
    <cfRule type="expression" priority="347" dxfId="1">
      <formula>AND(COUNT(C33:H33)=6,F33&lt;5*0.4)</formula>
    </cfRule>
    <cfRule type="expression" priority="348" dxfId="2">
      <formula>AND(COUNT(C33:H33)=6,F33&gt;=5*0.4,F33&lt;5)</formula>
    </cfRule>
  </conditionalFormatting>
  <conditionalFormatting sqref="F34">
    <cfRule type="expression" priority="349" dxfId="0">
      <formula>AND(COUNT(C34:H34)=6,F34=5)</formula>
    </cfRule>
    <cfRule type="expression" priority="350" dxfId="1">
      <formula>AND(COUNT(C34:H34)=6,F34&lt;5*0.4)</formula>
    </cfRule>
    <cfRule type="expression" priority="351" dxfId="2">
      <formula>AND(COUNT(C34:H34)=6,F34&gt;=5*0.4,F34&lt;5)</formula>
    </cfRule>
  </conditionalFormatting>
  <conditionalFormatting sqref="F35">
    <cfRule type="expression" priority="352" dxfId="0">
      <formula>AND(COUNT(C35:H35)=6,F35=5)</formula>
    </cfRule>
    <cfRule type="expression" priority="353" dxfId="1">
      <formula>AND(COUNT(C35:H35)=6,F35&lt;5*0.4)</formula>
    </cfRule>
    <cfRule type="expression" priority="354" dxfId="2">
      <formula>AND(COUNT(C35:H35)=6,F35&gt;=5*0.4,F35&lt;5)</formula>
    </cfRule>
  </conditionalFormatting>
  <conditionalFormatting sqref="F36">
    <cfRule type="expression" priority="355" dxfId="0">
      <formula>AND(COUNT(C36:H36)=6,F36=5)</formula>
    </cfRule>
    <cfRule type="expression" priority="356" dxfId="1">
      <formula>AND(COUNT(C36:H36)=6,F36&lt;5*0.4)</formula>
    </cfRule>
    <cfRule type="expression" priority="357" dxfId="2">
      <formula>AND(COUNT(C36:H36)=6,F36&gt;=5*0.4,F36&lt;5)</formula>
    </cfRule>
  </conditionalFormatting>
  <conditionalFormatting sqref="F37">
    <cfRule type="expression" priority="358" dxfId="0">
      <formula>AND(COUNT(C37:H37)=6,F37=5)</formula>
    </cfRule>
    <cfRule type="expression" priority="359" dxfId="1">
      <formula>AND(COUNT(C37:H37)=6,F37&lt;5*0.4)</formula>
    </cfRule>
    <cfRule type="expression" priority="360" dxfId="2">
      <formula>AND(COUNT(C37:H37)=6,F37&gt;=5*0.4,F37&lt;5)</formula>
    </cfRule>
  </conditionalFormatting>
  <conditionalFormatting sqref="F38">
    <cfRule type="expression" priority="361" dxfId="0">
      <formula>AND(COUNT(C38:H38)=6,F38=5)</formula>
    </cfRule>
    <cfRule type="expression" priority="362" dxfId="1">
      <formula>AND(COUNT(C38:H38)=6,F38&lt;5*0.4)</formula>
    </cfRule>
    <cfRule type="expression" priority="363" dxfId="2">
      <formula>AND(COUNT(C38:H38)=6,F38&gt;=5*0.4,F38&lt;5)</formula>
    </cfRule>
  </conditionalFormatting>
  <conditionalFormatting sqref="F39">
    <cfRule type="expression" priority="364" dxfId="0">
      <formula>AND(COUNT(C39:H39)=6,F39=5)</formula>
    </cfRule>
    <cfRule type="expression" priority="365" dxfId="1">
      <formula>AND(COUNT(C39:H39)=6,F39&lt;5*0.4)</formula>
    </cfRule>
    <cfRule type="expression" priority="366" dxfId="2">
      <formula>AND(COUNT(C39:H39)=6,F39&gt;=5*0.4,F39&lt;5)</formula>
    </cfRule>
  </conditionalFormatting>
  <conditionalFormatting sqref="F40">
    <cfRule type="expression" priority="367" dxfId="0">
      <formula>AND(COUNT(C40:H40)=6,F40=5)</formula>
    </cfRule>
    <cfRule type="expression" priority="368" dxfId="1">
      <formula>AND(COUNT(C40:H40)=6,F40&lt;5*0.4)</formula>
    </cfRule>
    <cfRule type="expression" priority="369" dxfId="2">
      <formula>AND(COUNT(C40:H40)=6,F40&gt;=5*0.4,F40&lt;5)</formula>
    </cfRule>
  </conditionalFormatting>
  <conditionalFormatting sqref="F41">
    <cfRule type="expression" priority="370" dxfId="0">
      <formula>AND(COUNT(C41:H41)=6,F41=5)</formula>
    </cfRule>
    <cfRule type="expression" priority="371" dxfId="1">
      <formula>AND(COUNT(C41:H41)=6,F41&lt;5*0.4)</formula>
    </cfRule>
    <cfRule type="expression" priority="372" dxfId="2">
      <formula>AND(COUNT(C41:H41)=6,F41&gt;=5*0.4,F41&lt;5)</formula>
    </cfRule>
  </conditionalFormatting>
  <conditionalFormatting sqref="G11">
    <cfRule type="expression" priority="373" dxfId="0">
      <formula>AND(COUNT(C11:H11)=6,G11=8)</formula>
    </cfRule>
    <cfRule type="expression" priority="374" dxfId="1">
      <formula>AND(COUNT(C11:H11)=6,G11&lt;8*0.4)</formula>
    </cfRule>
    <cfRule type="expression" priority="375" dxfId="2">
      <formula>AND(COUNT(C11:H11)=6,G11&gt;=8*0.4,G11&lt;8)</formula>
    </cfRule>
  </conditionalFormatting>
  <conditionalFormatting sqref="G12">
    <cfRule type="expression" priority="376" dxfId="0">
      <formula>AND(COUNT(C12:H12)=6,G12=8)</formula>
    </cfRule>
    <cfRule type="expression" priority="377" dxfId="1">
      <formula>AND(COUNT(C12:H12)=6,G12&lt;8*0.4)</formula>
    </cfRule>
    <cfRule type="expression" priority="378" dxfId="2">
      <formula>AND(COUNT(C12:H12)=6,G12&gt;=8*0.4,G12&lt;8)</formula>
    </cfRule>
  </conditionalFormatting>
  <conditionalFormatting sqref="G13">
    <cfRule type="expression" priority="379" dxfId="0">
      <formula>AND(COUNT(C13:H13)=6,G13=8)</formula>
    </cfRule>
    <cfRule type="expression" priority="380" dxfId="1">
      <formula>AND(COUNT(C13:H13)=6,G13&lt;8*0.4)</formula>
    </cfRule>
    <cfRule type="expression" priority="381" dxfId="2">
      <formula>AND(COUNT(C13:H13)=6,G13&gt;=8*0.4,G13&lt;8)</formula>
    </cfRule>
  </conditionalFormatting>
  <conditionalFormatting sqref="G14">
    <cfRule type="expression" priority="382" dxfId="0">
      <formula>AND(COUNT(C14:H14)=6,G14=8)</formula>
    </cfRule>
    <cfRule type="expression" priority="383" dxfId="1">
      <formula>AND(COUNT(C14:H14)=6,G14&lt;8*0.4)</formula>
    </cfRule>
    <cfRule type="expression" priority="384" dxfId="2">
      <formula>AND(COUNT(C14:H14)=6,G14&gt;=8*0.4,G14&lt;8)</formula>
    </cfRule>
  </conditionalFormatting>
  <conditionalFormatting sqref="G15">
    <cfRule type="expression" priority="385" dxfId="0">
      <formula>AND(COUNT(C15:H15)=6,G15=8)</formula>
    </cfRule>
    <cfRule type="expression" priority="386" dxfId="1">
      <formula>AND(COUNT(C15:H15)=6,G15&lt;8*0.4)</formula>
    </cfRule>
    <cfRule type="expression" priority="387" dxfId="2">
      <formula>AND(COUNT(C15:H15)=6,G15&gt;=8*0.4,G15&lt;8)</formula>
    </cfRule>
  </conditionalFormatting>
  <conditionalFormatting sqref="G16">
    <cfRule type="expression" priority="388" dxfId="0">
      <formula>AND(COUNT(C16:H16)=6,G16=8)</formula>
    </cfRule>
    <cfRule type="expression" priority="389" dxfId="1">
      <formula>AND(COUNT(C16:H16)=6,G16&lt;8*0.4)</formula>
    </cfRule>
    <cfRule type="expression" priority="390" dxfId="2">
      <formula>AND(COUNT(C16:H16)=6,G16&gt;=8*0.4,G16&lt;8)</formula>
    </cfRule>
  </conditionalFormatting>
  <conditionalFormatting sqref="G17">
    <cfRule type="expression" priority="391" dxfId="0">
      <formula>AND(COUNT(C17:H17)=6,G17=8)</formula>
    </cfRule>
    <cfRule type="expression" priority="392" dxfId="1">
      <formula>AND(COUNT(C17:H17)=6,G17&lt;8*0.4)</formula>
    </cfRule>
    <cfRule type="expression" priority="393" dxfId="2">
      <formula>AND(COUNT(C17:H17)=6,G17&gt;=8*0.4,G17&lt;8)</formula>
    </cfRule>
  </conditionalFormatting>
  <conditionalFormatting sqref="G18">
    <cfRule type="expression" priority="394" dxfId="0">
      <formula>AND(COUNT(C18:H18)=6,G18=8)</formula>
    </cfRule>
    <cfRule type="expression" priority="395" dxfId="1">
      <formula>AND(COUNT(C18:H18)=6,G18&lt;8*0.4)</formula>
    </cfRule>
    <cfRule type="expression" priority="396" dxfId="2">
      <formula>AND(COUNT(C18:H18)=6,G18&gt;=8*0.4,G18&lt;8)</formula>
    </cfRule>
  </conditionalFormatting>
  <conditionalFormatting sqref="G19">
    <cfRule type="expression" priority="397" dxfId="0">
      <formula>AND(COUNT(C19:H19)=6,G19=8)</formula>
    </cfRule>
    <cfRule type="expression" priority="398" dxfId="1">
      <formula>AND(COUNT(C19:H19)=6,G19&lt;8*0.4)</formula>
    </cfRule>
    <cfRule type="expression" priority="399" dxfId="2">
      <formula>AND(COUNT(C19:H19)=6,G19&gt;=8*0.4,G19&lt;8)</formula>
    </cfRule>
  </conditionalFormatting>
  <conditionalFormatting sqref="G20">
    <cfRule type="expression" priority="400" dxfId="0">
      <formula>AND(COUNT(C20:H20)=6,G20=8)</formula>
    </cfRule>
    <cfRule type="expression" priority="401" dxfId="1">
      <formula>AND(COUNT(C20:H20)=6,G20&lt;8*0.4)</formula>
    </cfRule>
    <cfRule type="expression" priority="402" dxfId="2">
      <formula>AND(COUNT(C20:H20)=6,G20&gt;=8*0.4,G20&lt;8)</formula>
    </cfRule>
  </conditionalFormatting>
  <conditionalFormatting sqref="G21">
    <cfRule type="expression" priority="403" dxfId="0">
      <formula>AND(COUNT(C21:H21)=6,G21=8)</formula>
    </cfRule>
    <cfRule type="expression" priority="404" dxfId="1">
      <formula>AND(COUNT(C21:H21)=6,G21&lt;8*0.4)</formula>
    </cfRule>
    <cfRule type="expression" priority="405" dxfId="2">
      <formula>AND(COUNT(C21:H21)=6,G21&gt;=8*0.4,G21&lt;8)</formula>
    </cfRule>
  </conditionalFormatting>
  <conditionalFormatting sqref="G22">
    <cfRule type="expression" priority="406" dxfId="0">
      <formula>AND(COUNT(C22:H22)=6,G22=8)</formula>
    </cfRule>
    <cfRule type="expression" priority="407" dxfId="1">
      <formula>AND(COUNT(C22:H22)=6,G22&lt;8*0.4)</formula>
    </cfRule>
    <cfRule type="expression" priority="408" dxfId="2">
      <formula>AND(COUNT(C22:H22)=6,G22&gt;=8*0.4,G22&lt;8)</formula>
    </cfRule>
  </conditionalFormatting>
  <conditionalFormatting sqref="G23">
    <cfRule type="expression" priority="409" dxfId="0">
      <formula>AND(COUNT(C23:H23)=6,G23=8)</formula>
    </cfRule>
    <cfRule type="expression" priority="410" dxfId="1">
      <formula>AND(COUNT(C23:H23)=6,G23&lt;8*0.4)</formula>
    </cfRule>
    <cfRule type="expression" priority="411" dxfId="2">
      <formula>AND(COUNT(C23:H23)=6,G23&gt;=8*0.4,G23&lt;8)</formula>
    </cfRule>
  </conditionalFormatting>
  <conditionalFormatting sqref="G24">
    <cfRule type="expression" priority="412" dxfId="0">
      <formula>AND(COUNT(C24:H24)=6,G24=8)</formula>
    </cfRule>
    <cfRule type="expression" priority="413" dxfId="1">
      <formula>AND(COUNT(C24:H24)=6,G24&lt;8*0.4)</formula>
    </cfRule>
    <cfRule type="expression" priority="414" dxfId="2">
      <formula>AND(COUNT(C24:H24)=6,G24&gt;=8*0.4,G24&lt;8)</formula>
    </cfRule>
  </conditionalFormatting>
  <conditionalFormatting sqref="G25">
    <cfRule type="expression" priority="415" dxfId="0">
      <formula>AND(COUNT(C25:H25)=6,G25=8)</formula>
    </cfRule>
    <cfRule type="expression" priority="416" dxfId="1">
      <formula>AND(COUNT(C25:H25)=6,G25&lt;8*0.4)</formula>
    </cfRule>
    <cfRule type="expression" priority="417" dxfId="2">
      <formula>AND(COUNT(C25:H25)=6,G25&gt;=8*0.4,G25&lt;8)</formula>
    </cfRule>
  </conditionalFormatting>
  <conditionalFormatting sqref="G26">
    <cfRule type="expression" priority="418" dxfId="0">
      <formula>AND(COUNT(C26:H26)=6,G26=8)</formula>
    </cfRule>
    <cfRule type="expression" priority="419" dxfId="1">
      <formula>AND(COUNT(C26:H26)=6,G26&lt;8*0.4)</formula>
    </cfRule>
    <cfRule type="expression" priority="420" dxfId="2">
      <formula>AND(COUNT(C26:H26)=6,G26&gt;=8*0.4,G26&lt;8)</formula>
    </cfRule>
  </conditionalFormatting>
  <conditionalFormatting sqref="G27">
    <cfRule type="expression" priority="421" dxfId="0">
      <formula>AND(COUNT(C27:H27)=6,G27=8)</formula>
    </cfRule>
    <cfRule type="expression" priority="422" dxfId="1">
      <formula>AND(COUNT(C27:H27)=6,G27&lt;8*0.4)</formula>
    </cfRule>
    <cfRule type="expression" priority="423" dxfId="2">
      <formula>AND(COUNT(C27:H27)=6,G27&gt;=8*0.4,G27&lt;8)</formula>
    </cfRule>
  </conditionalFormatting>
  <conditionalFormatting sqref="G28">
    <cfRule type="expression" priority="424" dxfId="0">
      <formula>AND(COUNT(C28:H28)=6,G28=8)</formula>
    </cfRule>
    <cfRule type="expression" priority="425" dxfId="1">
      <formula>AND(COUNT(C28:H28)=6,G28&lt;8*0.4)</formula>
    </cfRule>
    <cfRule type="expression" priority="426" dxfId="2">
      <formula>AND(COUNT(C28:H28)=6,G28&gt;=8*0.4,G28&lt;8)</formula>
    </cfRule>
  </conditionalFormatting>
  <conditionalFormatting sqref="G29">
    <cfRule type="expression" priority="427" dxfId="0">
      <formula>AND(COUNT(C29:H29)=6,G29=8)</formula>
    </cfRule>
    <cfRule type="expression" priority="428" dxfId="1">
      <formula>AND(COUNT(C29:H29)=6,G29&lt;8*0.4)</formula>
    </cfRule>
    <cfRule type="expression" priority="429" dxfId="2">
      <formula>AND(COUNT(C29:H29)=6,G29&gt;=8*0.4,G29&lt;8)</formula>
    </cfRule>
  </conditionalFormatting>
  <conditionalFormatting sqref="G30">
    <cfRule type="expression" priority="430" dxfId="0">
      <formula>AND(COUNT(C30:H30)=6,G30=8)</formula>
    </cfRule>
    <cfRule type="expression" priority="431" dxfId="1">
      <formula>AND(COUNT(C30:H30)=6,G30&lt;8*0.4)</formula>
    </cfRule>
    <cfRule type="expression" priority="432" dxfId="2">
      <formula>AND(COUNT(C30:H30)=6,G30&gt;=8*0.4,G30&lt;8)</formula>
    </cfRule>
  </conditionalFormatting>
  <conditionalFormatting sqref="G31">
    <cfRule type="expression" priority="433" dxfId="0">
      <formula>AND(COUNT(C31:H31)=6,G31=8)</formula>
    </cfRule>
    <cfRule type="expression" priority="434" dxfId="1">
      <formula>AND(COUNT(C31:H31)=6,G31&lt;8*0.4)</formula>
    </cfRule>
    <cfRule type="expression" priority="435" dxfId="2">
      <formula>AND(COUNT(C31:H31)=6,G31&gt;=8*0.4,G31&lt;8)</formula>
    </cfRule>
  </conditionalFormatting>
  <conditionalFormatting sqref="G32">
    <cfRule type="expression" priority="436" dxfId="0">
      <formula>AND(COUNT(C32:H32)=6,G32=8)</formula>
    </cfRule>
    <cfRule type="expression" priority="437" dxfId="1">
      <formula>AND(COUNT(C32:H32)=6,G32&lt;8*0.4)</formula>
    </cfRule>
    <cfRule type="expression" priority="438" dxfId="2">
      <formula>AND(COUNT(C32:H32)=6,G32&gt;=8*0.4,G32&lt;8)</formula>
    </cfRule>
  </conditionalFormatting>
  <conditionalFormatting sqref="G33">
    <cfRule type="expression" priority="439" dxfId="0">
      <formula>AND(COUNT(C33:H33)=6,G33=8)</formula>
    </cfRule>
    <cfRule type="expression" priority="440" dxfId="1">
      <formula>AND(COUNT(C33:H33)=6,G33&lt;8*0.4)</formula>
    </cfRule>
    <cfRule type="expression" priority="441" dxfId="2">
      <formula>AND(COUNT(C33:H33)=6,G33&gt;=8*0.4,G33&lt;8)</formula>
    </cfRule>
  </conditionalFormatting>
  <conditionalFormatting sqref="G34">
    <cfRule type="expression" priority="442" dxfId="0">
      <formula>AND(COUNT(C34:H34)=6,G34=8)</formula>
    </cfRule>
    <cfRule type="expression" priority="443" dxfId="1">
      <formula>AND(COUNT(C34:H34)=6,G34&lt;8*0.4)</formula>
    </cfRule>
    <cfRule type="expression" priority="444" dxfId="2">
      <formula>AND(COUNT(C34:H34)=6,G34&gt;=8*0.4,G34&lt;8)</formula>
    </cfRule>
  </conditionalFormatting>
  <conditionalFormatting sqref="G35">
    <cfRule type="expression" priority="445" dxfId="0">
      <formula>AND(COUNT(C35:H35)=6,G35=8)</formula>
    </cfRule>
    <cfRule type="expression" priority="446" dxfId="1">
      <formula>AND(COUNT(C35:H35)=6,G35&lt;8*0.4)</formula>
    </cfRule>
    <cfRule type="expression" priority="447" dxfId="2">
      <formula>AND(COUNT(C35:H35)=6,G35&gt;=8*0.4,G35&lt;8)</formula>
    </cfRule>
  </conditionalFormatting>
  <conditionalFormatting sqref="G36">
    <cfRule type="expression" priority="448" dxfId="0">
      <formula>AND(COUNT(C36:H36)=6,G36=8)</formula>
    </cfRule>
    <cfRule type="expression" priority="449" dxfId="1">
      <formula>AND(COUNT(C36:H36)=6,G36&lt;8*0.4)</formula>
    </cfRule>
    <cfRule type="expression" priority="450" dxfId="2">
      <formula>AND(COUNT(C36:H36)=6,G36&gt;=8*0.4,G36&lt;8)</formula>
    </cfRule>
  </conditionalFormatting>
  <conditionalFormatting sqref="G37">
    <cfRule type="expression" priority="451" dxfId="0">
      <formula>AND(COUNT(C37:H37)=6,G37=8)</formula>
    </cfRule>
    <cfRule type="expression" priority="452" dxfId="1">
      <formula>AND(COUNT(C37:H37)=6,G37&lt;8*0.4)</formula>
    </cfRule>
    <cfRule type="expression" priority="453" dxfId="2">
      <formula>AND(COUNT(C37:H37)=6,G37&gt;=8*0.4,G37&lt;8)</formula>
    </cfRule>
  </conditionalFormatting>
  <conditionalFormatting sqref="G38">
    <cfRule type="expression" priority="454" dxfId="0">
      <formula>AND(COUNT(C38:H38)=6,G38=8)</formula>
    </cfRule>
    <cfRule type="expression" priority="455" dxfId="1">
      <formula>AND(COUNT(C38:H38)=6,G38&lt;8*0.4)</formula>
    </cfRule>
    <cfRule type="expression" priority="456" dxfId="2">
      <formula>AND(COUNT(C38:H38)=6,G38&gt;=8*0.4,G38&lt;8)</formula>
    </cfRule>
  </conditionalFormatting>
  <conditionalFormatting sqref="G39">
    <cfRule type="expression" priority="457" dxfId="0">
      <formula>AND(COUNT(C39:H39)=6,G39=8)</formula>
    </cfRule>
    <cfRule type="expression" priority="458" dxfId="1">
      <formula>AND(COUNT(C39:H39)=6,G39&lt;8*0.4)</formula>
    </cfRule>
    <cfRule type="expression" priority="459" dxfId="2">
      <formula>AND(COUNT(C39:H39)=6,G39&gt;=8*0.4,G39&lt;8)</formula>
    </cfRule>
  </conditionalFormatting>
  <conditionalFormatting sqref="G40">
    <cfRule type="expression" priority="460" dxfId="0">
      <formula>AND(COUNT(C40:H40)=6,G40=8)</formula>
    </cfRule>
    <cfRule type="expression" priority="461" dxfId="1">
      <formula>AND(COUNT(C40:H40)=6,G40&lt;8*0.4)</formula>
    </cfRule>
    <cfRule type="expression" priority="462" dxfId="2">
      <formula>AND(COUNT(C40:H40)=6,G40&gt;=8*0.4,G40&lt;8)</formula>
    </cfRule>
  </conditionalFormatting>
  <conditionalFormatting sqref="G41">
    <cfRule type="expression" priority="463" dxfId="0">
      <formula>AND(COUNT(C41:H41)=6,G41=8)</formula>
    </cfRule>
    <cfRule type="expression" priority="464" dxfId="1">
      <formula>AND(COUNT(C41:H41)=6,G41&lt;8*0.4)</formula>
    </cfRule>
    <cfRule type="expression" priority="465" dxfId="2">
      <formula>AND(COUNT(C41:H41)=6,G41&gt;=8*0.4,G41&lt;8)</formula>
    </cfRule>
  </conditionalFormatting>
  <conditionalFormatting sqref="H11">
    <cfRule type="expression" priority="466" dxfId="0">
      <formula>AND(COUNT(C11:H11)=6,H11=10)</formula>
    </cfRule>
    <cfRule type="expression" priority="467" dxfId="1">
      <formula>AND(COUNT(C11:H11)=6,H11&lt;10*0.4)</formula>
    </cfRule>
    <cfRule type="expression" priority="468" dxfId="2">
      <formula>AND(COUNT(C11:H11)=6,H11&gt;=10*0.4,H11&lt;10)</formula>
    </cfRule>
  </conditionalFormatting>
  <conditionalFormatting sqref="H12">
    <cfRule type="expression" priority="469" dxfId="0">
      <formula>AND(COUNT(C12:H12)=6,H12=10)</formula>
    </cfRule>
    <cfRule type="expression" priority="470" dxfId="1">
      <formula>AND(COUNT(C12:H12)=6,H12&lt;10*0.4)</formula>
    </cfRule>
    <cfRule type="expression" priority="471" dxfId="2">
      <formula>AND(COUNT(C12:H12)=6,H12&gt;=10*0.4,H12&lt;10)</formula>
    </cfRule>
  </conditionalFormatting>
  <conditionalFormatting sqref="H13">
    <cfRule type="expression" priority="472" dxfId="0">
      <formula>AND(COUNT(C13:H13)=6,H13=10)</formula>
    </cfRule>
    <cfRule type="expression" priority="473" dxfId="1">
      <formula>AND(COUNT(C13:H13)=6,H13&lt;10*0.4)</formula>
    </cfRule>
    <cfRule type="expression" priority="474" dxfId="2">
      <formula>AND(COUNT(C13:H13)=6,H13&gt;=10*0.4,H13&lt;10)</formula>
    </cfRule>
  </conditionalFormatting>
  <conditionalFormatting sqref="H14">
    <cfRule type="expression" priority="475" dxfId="0">
      <formula>AND(COUNT(C14:H14)=6,H14=10)</formula>
    </cfRule>
    <cfRule type="expression" priority="476" dxfId="1">
      <formula>AND(COUNT(C14:H14)=6,H14&lt;10*0.4)</formula>
    </cfRule>
    <cfRule type="expression" priority="477" dxfId="2">
      <formula>AND(COUNT(C14:H14)=6,H14&gt;=10*0.4,H14&lt;10)</formula>
    </cfRule>
  </conditionalFormatting>
  <conditionalFormatting sqref="H15">
    <cfRule type="expression" priority="478" dxfId="0">
      <formula>AND(COUNT(C15:H15)=6,H15=10)</formula>
    </cfRule>
    <cfRule type="expression" priority="479" dxfId="1">
      <formula>AND(COUNT(C15:H15)=6,H15&lt;10*0.4)</formula>
    </cfRule>
    <cfRule type="expression" priority="480" dxfId="2">
      <formula>AND(COUNT(C15:H15)=6,H15&gt;=10*0.4,H15&lt;10)</formula>
    </cfRule>
  </conditionalFormatting>
  <conditionalFormatting sqref="H16">
    <cfRule type="expression" priority="481" dxfId="0">
      <formula>AND(COUNT(C16:H16)=6,H16=10)</formula>
    </cfRule>
    <cfRule type="expression" priority="482" dxfId="1">
      <formula>AND(COUNT(C16:H16)=6,H16&lt;10*0.4)</formula>
    </cfRule>
    <cfRule type="expression" priority="483" dxfId="2">
      <formula>AND(COUNT(C16:H16)=6,H16&gt;=10*0.4,H16&lt;10)</formula>
    </cfRule>
  </conditionalFormatting>
  <conditionalFormatting sqref="H17">
    <cfRule type="expression" priority="484" dxfId="0">
      <formula>AND(COUNT(C17:H17)=6,H17=10)</formula>
    </cfRule>
    <cfRule type="expression" priority="485" dxfId="1">
      <formula>AND(COUNT(C17:H17)=6,H17&lt;10*0.4)</formula>
    </cfRule>
    <cfRule type="expression" priority="486" dxfId="2">
      <formula>AND(COUNT(C17:H17)=6,H17&gt;=10*0.4,H17&lt;10)</formula>
    </cfRule>
  </conditionalFormatting>
  <conditionalFormatting sqref="H18">
    <cfRule type="expression" priority="487" dxfId="0">
      <formula>AND(COUNT(C18:H18)=6,H18=10)</formula>
    </cfRule>
    <cfRule type="expression" priority="488" dxfId="1">
      <formula>AND(COUNT(C18:H18)=6,H18&lt;10*0.4)</formula>
    </cfRule>
    <cfRule type="expression" priority="489" dxfId="2">
      <formula>AND(COUNT(C18:H18)=6,H18&gt;=10*0.4,H18&lt;10)</formula>
    </cfRule>
  </conditionalFormatting>
  <conditionalFormatting sqref="H19">
    <cfRule type="expression" priority="490" dxfId="0">
      <formula>AND(COUNT(C19:H19)=6,H19=10)</formula>
    </cfRule>
    <cfRule type="expression" priority="491" dxfId="1">
      <formula>AND(COUNT(C19:H19)=6,H19&lt;10*0.4)</formula>
    </cfRule>
    <cfRule type="expression" priority="492" dxfId="2">
      <formula>AND(COUNT(C19:H19)=6,H19&gt;=10*0.4,H19&lt;10)</formula>
    </cfRule>
  </conditionalFormatting>
  <conditionalFormatting sqref="H20">
    <cfRule type="expression" priority="493" dxfId="0">
      <formula>AND(COUNT(C20:H20)=6,H20=10)</formula>
    </cfRule>
    <cfRule type="expression" priority="494" dxfId="1">
      <formula>AND(COUNT(C20:H20)=6,H20&lt;10*0.4)</formula>
    </cfRule>
    <cfRule type="expression" priority="495" dxfId="2">
      <formula>AND(COUNT(C20:H20)=6,H20&gt;=10*0.4,H20&lt;10)</formula>
    </cfRule>
  </conditionalFormatting>
  <conditionalFormatting sqref="H21">
    <cfRule type="expression" priority="496" dxfId="0">
      <formula>AND(COUNT(C21:H21)=6,H21=10)</formula>
    </cfRule>
    <cfRule type="expression" priority="497" dxfId="1">
      <formula>AND(COUNT(C21:H21)=6,H21&lt;10*0.4)</formula>
    </cfRule>
    <cfRule type="expression" priority="498" dxfId="2">
      <formula>AND(COUNT(C21:H21)=6,H21&gt;=10*0.4,H21&lt;10)</formula>
    </cfRule>
  </conditionalFormatting>
  <conditionalFormatting sqref="H22">
    <cfRule type="expression" priority="499" dxfId="0">
      <formula>AND(COUNT(C22:H22)=6,H22=10)</formula>
    </cfRule>
    <cfRule type="expression" priority="500" dxfId="1">
      <formula>AND(COUNT(C22:H22)=6,H22&lt;10*0.4)</formula>
    </cfRule>
    <cfRule type="expression" priority="501" dxfId="2">
      <formula>AND(COUNT(C22:H22)=6,H22&gt;=10*0.4,H22&lt;10)</formula>
    </cfRule>
  </conditionalFormatting>
  <conditionalFormatting sqref="H23">
    <cfRule type="expression" priority="502" dxfId="0">
      <formula>AND(COUNT(C23:H23)=6,H23=10)</formula>
    </cfRule>
    <cfRule type="expression" priority="503" dxfId="1">
      <formula>AND(COUNT(C23:H23)=6,H23&lt;10*0.4)</formula>
    </cfRule>
    <cfRule type="expression" priority="504" dxfId="2">
      <formula>AND(COUNT(C23:H23)=6,H23&gt;=10*0.4,H23&lt;10)</formula>
    </cfRule>
  </conditionalFormatting>
  <conditionalFormatting sqref="H24">
    <cfRule type="expression" priority="505" dxfId="0">
      <formula>AND(COUNT(C24:H24)=6,H24=10)</formula>
    </cfRule>
    <cfRule type="expression" priority="506" dxfId="1">
      <formula>AND(COUNT(C24:H24)=6,H24&lt;10*0.4)</formula>
    </cfRule>
    <cfRule type="expression" priority="507" dxfId="2">
      <formula>AND(COUNT(C24:H24)=6,H24&gt;=10*0.4,H24&lt;10)</formula>
    </cfRule>
  </conditionalFormatting>
  <conditionalFormatting sqref="H25">
    <cfRule type="expression" priority="508" dxfId="0">
      <formula>AND(COUNT(C25:H25)=6,H25=10)</formula>
    </cfRule>
    <cfRule type="expression" priority="509" dxfId="1">
      <formula>AND(COUNT(C25:H25)=6,H25&lt;10*0.4)</formula>
    </cfRule>
    <cfRule type="expression" priority="510" dxfId="2">
      <formula>AND(COUNT(C25:H25)=6,H25&gt;=10*0.4,H25&lt;10)</formula>
    </cfRule>
  </conditionalFormatting>
  <conditionalFormatting sqref="H26">
    <cfRule type="expression" priority="511" dxfId="0">
      <formula>AND(COUNT(C26:H26)=6,H26=10)</formula>
    </cfRule>
    <cfRule type="expression" priority="512" dxfId="1">
      <formula>AND(COUNT(C26:H26)=6,H26&lt;10*0.4)</formula>
    </cfRule>
    <cfRule type="expression" priority="513" dxfId="2">
      <formula>AND(COUNT(C26:H26)=6,H26&gt;=10*0.4,H26&lt;10)</formula>
    </cfRule>
  </conditionalFormatting>
  <conditionalFormatting sqref="H27">
    <cfRule type="expression" priority="514" dxfId="0">
      <formula>AND(COUNT(C27:H27)=6,H27=10)</formula>
    </cfRule>
    <cfRule type="expression" priority="515" dxfId="1">
      <formula>AND(COUNT(C27:H27)=6,H27&lt;10*0.4)</formula>
    </cfRule>
    <cfRule type="expression" priority="516" dxfId="2">
      <formula>AND(COUNT(C27:H27)=6,H27&gt;=10*0.4,H27&lt;10)</formula>
    </cfRule>
  </conditionalFormatting>
  <conditionalFormatting sqref="H28">
    <cfRule type="expression" priority="517" dxfId="0">
      <formula>AND(COUNT(C28:H28)=6,H28=10)</formula>
    </cfRule>
    <cfRule type="expression" priority="518" dxfId="1">
      <formula>AND(COUNT(C28:H28)=6,H28&lt;10*0.4)</formula>
    </cfRule>
    <cfRule type="expression" priority="519" dxfId="2">
      <formula>AND(COUNT(C28:H28)=6,H28&gt;=10*0.4,H28&lt;10)</formula>
    </cfRule>
  </conditionalFormatting>
  <conditionalFormatting sqref="H29">
    <cfRule type="expression" priority="520" dxfId="0">
      <formula>AND(COUNT(C29:H29)=6,H29=10)</formula>
    </cfRule>
    <cfRule type="expression" priority="521" dxfId="1">
      <formula>AND(COUNT(C29:H29)=6,H29&lt;10*0.4)</formula>
    </cfRule>
    <cfRule type="expression" priority="522" dxfId="2">
      <formula>AND(COUNT(C29:H29)=6,H29&gt;=10*0.4,H29&lt;10)</formula>
    </cfRule>
  </conditionalFormatting>
  <conditionalFormatting sqref="H30">
    <cfRule type="expression" priority="523" dxfId="0">
      <formula>AND(COUNT(C30:H30)=6,H30=10)</formula>
    </cfRule>
    <cfRule type="expression" priority="524" dxfId="1">
      <formula>AND(COUNT(C30:H30)=6,H30&lt;10*0.4)</formula>
    </cfRule>
    <cfRule type="expression" priority="525" dxfId="2">
      <formula>AND(COUNT(C30:H30)=6,H30&gt;=10*0.4,H30&lt;10)</formula>
    </cfRule>
  </conditionalFormatting>
  <conditionalFormatting sqref="H31">
    <cfRule type="expression" priority="526" dxfId="0">
      <formula>AND(COUNT(C31:H31)=6,H31=10)</formula>
    </cfRule>
    <cfRule type="expression" priority="527" dxfId="1">
      <formula>AND(COUNT(C31:H31)=6,H31&lt;10*0.4)</formula>
    </cfRule>
    <cfRule type="expression" priority="528" dxfId="2">
      <formula>AND(COUNT(C31:H31)=6,H31&gt;=10*0.4,H31&lt;10)</formula>
    </cfRule>
  </conditionalFormatting>
  <conditionalFormatting sqref="H32">
    <cfRule type="expression" priority="529" dxfId="0">
      <formula>AND(COUNT(C32:H32)=6,H32=10)</formula>
    </cfRule>
    <cfRule type="expression" priority="530" dxfId="1">
      <formula>AND(COUNT(C32:H32)=6,H32&lt;10*0.4)</formula>
    </cfRule>
    <cfRule type="expression" priority="531" dxfId="2">
      <formula>AND(COUNT(C32:H32)=6,H32&gt;=10*0.4,H32&lt;10)</formula>
    </cfRule>
  </conditionalFormatting>
  <conditionalFormatting sqref="H33">
    <cfRule type="expression" priority="532" dxfId="0">
      <formula>AND(COUNT(C33:H33)=6,H33=10)</formula>
    </cfRule>
    <cfRule type="expression" priority="533" dxfId="1">
      <formula>AND(COUNT(C33:H33)=6,H33&lt;10*0.4)</formula>
    </cfRule>
    <cfRule type="expression" priority="534" dxfId="2">
      <formula>AND(COUNT(C33:H33)=6,H33&gt;=10*0.4,H33&lt;10)</formula>
    </cfRule>
  </conditionalFormatting>
  <conditionalFormatting sqref="H34">
    <cfRule type="expression" priority="535" dxfId="0">
      <formula>AND(COUNT(C34:H34)=6,H34=10)</formula>
    </cfRule>
    <cfRule type="expression" priority="536" dxfId="1">
      <formula>AND(COUNT(C34:H34)=6,H34&lt;10*0.4)</formula>
    </cfRule>
    <cfRule type="expression" priority="537" dxfId="2">
      <formula>AND(COUNT(C34:H34)=6,H34&gt;=10*0.4,H34&lt;10)</formula>
    </cfRule>
  </conditionalFormatting>
  <conditionalFormatting sqref="H35">
    <cfRule type="expression" priority="538" dxfId="0">
      <formula>AND(COUNT(C35:H35)=6,H35=10)</formula>
    </cfRule>
    <cfRule type="expression" priority="539" dxfId="1">
      <formula>AND(COUNT(C35:H35)=6,H35&lt;10*0.4)</formula>
    </cfRule>
    <cfRule type="expression" priority="540" dxfId="2">
      <formula>AND(COUNT(C35:H35)=6,H35&gt;=10*0.4,H35&lt;10)</formula>
    </cfRule>
  </conditionalFormatting>
  <conditionalFormatting sqref="H36">
    <cfRule type="expression" priority="541" dxfId="0">
      <formula>AND(COUNT(C36:H36)=6,H36=10)</formula>
    </cfRule>
    <cfRule type="expression" priority="542" dxfId="1">
      <formula>AND(COUNT(C36:H36)=6,H36&lt;10*0.4)</formula>
    </cfRule>
    <cfRule type="expression" priority="543" dxfId="2">
      <formula>AND(COUNT(C36:H36)=6,H36&gt;=10*0.4,H36&lt;10)</formula>
    </cfRule>
  </conditionalFormatting>
  <conditionalFormatting sqref="H37">
    <cfRule type="expression" priority="544" dxfId="0">
      <formula>AND(COUNT(C37:H37)=6,H37=10)</formula>
    </cfRule>
    <cfRule type="expression" priority="545" dxfId="1">
      <formula>AND(COUNT(C37:H37)=6,H37&lt;10*0.4)</formula>
    </cfRule>
    <cfRule type="expression" priority="546" dxfId="2">
      <formula>AND(COUNT(C37:H37)=6,H37&gt;=10*0.4,H37&lt;10)</formula>
    </cfRule>
  </conditionalFormatting>
  <conditionalFormatting sqref="H38">
    <cfRule type="expression" priority="547" dxfId="0">
      <formula>AND(COUNT(C38:H38)=6,H38=10)</formula>
    </cfRule>
    <cfRule type="expression" priority="548" dxfId="1">
      <formula>AND(COUNT(C38:H38)=6,H38&lt;10*0.4)</formula>
    </cfRule>
    <cfRule type="expression" priority="549" dxfId="2">
      <formula>AND(COUNT(C38:H38)=6,H38&gt;=10*0.4,H38&lt;10)</formula>
    </cfRule>
  </conditionalFormatting>
  <conditionalFormatting sqref="H39">
    <cfRule type="expression" priority="550" dxfId="0">
      <formula>AND(COUNT(C39:H39)=6,H39=10)</formula>
    </cfRule>
    <cfRule type="expression" priority="551" dxfId="1">
      <formula>AND(COUNT(C39:H39)=6,H39&lt;10*0.4)</formula>
    </cfRule>
    <cfRule type="expression" priority="552" dxfId="2">
      <formula>AND(COUNT(C39:H39)=6,H39&gt;=10*0.4,H39&lt;10)</formula>
    </cfRule>
  </conditionalFormatting>
  <conditionalFormatting sqref="H40">
    <cfRule type="expression" priority="553" dxfId="0">
      <formula>AND(COUNT(C40:H40)=6,H40=10)</formula>
    </cfRule>
    <cfRule type="expression" priority="554" dxfId="1">
      <formula>AND(COUNT(C40:H40)=6,H40&lt;10*0.4)</formula>
    </cfRule>
    <cfRule type="expression" priority="555" dxfId="2">
      <formula>AND(COUNT(C40:H40)=6,H40&gt;=10*0.4,H40&lt;10)</formula>
    </cfRule>
  </conditionalFormatting>
  <conditionalFormatting sqref="H41">
    <cfRule type="expression" priority="556" dxfId="0">
      <formula>AND(COUNT(C41:H41)=6,H41=10)</formula>
    </cfRule>
    <cfRule type="expression" priority="557" dxfId="1">
      <formula>AND(COUNT(C41:H41)=6,H41&lt;10*0.4)</formula>
    </cfRule>
    <cfRule type="expression" priority="558" dxfId="2">
      <formula>AND(COUNT(C41:H41)=6,H41&gt;=10*0.4,H41&lt;10)</formula>
    </cfRule>
  </conditionalFormatting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243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Chapter 6 End of Topic Test — Probabilities &amp; Estimation</t>
        </is>
      </c>
    </row>
    <row r="2">
      <c r="A2" s="2" t="inlineStr">
        <is>
          <t>Every block below pulls live from 'Ch6 EOT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SUMPRODUCT(--ISNUMBER('Ch6 EOT Results'!K12:K41))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IF('Ch6 EOT Results'!K12="","","Chapter 6 End of Topic Test — Probabilities &amp; Estimation")</f>
        <v/>
      </c>
      <c r="K5">
        <f>IF('Ch6 EOT Results'!K13="","","Chapter 6 End of Topic Test — Probabilities &amp; Estimation")</f>
        <v/>
      </c>
    </row>
    <row r="6">
      <c r="A6">
        <f>IF('Ch6 EOT Results'!K12="","","Name: "&amp;'Ch6 EOT Results'!B12&amp;"   Class: "&amp;'Ch6 EOT Results'!$B$3&amp;"   Date: "&amp;TEXT('Ch6 EOT Results'!$B$5,"DD/MM/YY"))</f>
        <v/>
      </c>
      <c r="K6">
        <f>IF('Ch6 EOT Results'!K13="","","Name: "&amp;'Ch6 EOT Results'!B13&amp;"   Class: "&amp;'Ch6 EOT Results'!$B$3&amp;"   Date: "&amp;TEXT('Ch6 EOT Results'!$B$5,"DD/MM/YY"))</f>
        <v/>
      </c>
    </row>
    <row r="7">
      <c r="A7">
        <f>IF('Ch6 EOT Results'!K12="","","Total: "&amp;'Ch6 EOT Results'!I12&amp;"/48 ("&amp;TEXT('Ch6 EOT Results'!J12,"0%")&amp;")   Overall: "&amp;'Ch6 EOT Results'!K12)</f>
        <v/>
      </c>
      <c r="K7">
        <f>IF('Ch6 EOT Results'!K13="","","Total: "&amp;'Ch6 EOT Results'!I13&amp;"/48 ("&amp;TEXT('Ch6 EOT Results'!J13,"0%")&amp;")   Overall: "&amp;'Ch6 EOT Results'!K13)</f>
        <v/>
      </c>
    </row>
    <row r="8">
      <c r="A8">
        <f>IF('Ch6 EOT Results'!K12="","",IF('Ch6 EOT Results'!K12="Green",Parameters!$C$385,IF('Ch6 EOT Results'!K12="Yellow",Parameters!$C$384,Parameters!$C$383)))</f>
        <v/>
      </c>
      <c r="K8">
        <f>IF('Ch6 EOT Results'!K13="","",IF('Ch6 EOT Results'!K13="Green",Parameters!$C$385,IF('Ch6 EOT Results'!K13="Yellow",Parameters!$C$384,Parameters!$C$383)))</f>
        <v/>
      </c>
    </row>
    <row r="10">
      <c r="A10">
        <f>IF('Ch6 EOT Results'!K12="","","Breakdown:")</f>
        <v/>
      </c>
      <c r="K10">
        <f>IF('Ch6 EOT Results'!K13="","","Breakdown:")</f>
        <v/>
      </c>
    </row>
    <row r="11">
      <c r="A11">
        <f>IF('Ch6 EOT Results'!K12="","","Q1 CI for a mean (t-distribution): "&amp;'Ch6 EOT Results'!C12&amp;"/10")</f>
        <v/>
      </c>
      <c r="K11">
        <f>IF('Ch6 EOT Results'!K13="","","Q1 CI for a mean (t-distribution): "&amp;'Ch6 EOT Results'!C13&amp;"/10")</f>
        <v/>
      </c>
    </row>
    <row r="12">
      <c r="A12">
        <f>IF('Ch6 EOT Results'!K12="","","Q2 CI for a proportion: "&amp;'Ch6 EOT Results'!D12&amp;"/9")</f>
        <v/>
      </c>
      <c r="K12">
        <f>IF('Ch6 EOT Results'!K13="","","Q2 CI for a proportion: "&amp;'Ch6 EOT Results'!D13&amp;"/9")</f>
        <v/>
      </c>
    </row>
    <row r="13">
      <c r="A13">
        <f>IF('Ch6 EOT Results'!K12="","","Q3 Sample size: "&amp;'Ch6 EOT Results'!E12&amp;"/6")</f>
        <v/>
      </c>
      <c r="K13">
        <f>IF('Ch6 EOT Results'!K13="","","Q3 Sample size: "&amp;'Ch6 EOT Results'!E13&amp;"/6")</f>
        <v/>
      </c>
    </row>
    <row r="14">
      <c r="A14">
        <f>IF('Ch6 EOT Results'!K12="","","Q4 Critical values &amp; confidence levels: "&amp;'Ch6 EOT Results'!F12&amp;"/5")</f>
        <v/>
      </c>
      <c r="K14">
        <f>IF('Ch6 EOT Results'!K13="","","Q4 Critical values &amp; confidence levels: "&amp;'Ch6 EOT Results'!F13&amp;"/5")</f>
        <v/>
      </c>
    </row>
    <row r="15">
      <c r="A15">
        <f>IF('Ch6 EOT Results'!K12="","","Q5 Interpretation and misconceptions: "&amp;'Ch6 EOT Results'!G12&amp;"/8")</f>
        <v/>
      </c>
      <c r="K15">
        <f>IF('Ch6 EOT Results'!K13="","","Q5 Interpretation and misconceptions: "&amp;'Ch6 EOT Results'!G13&amp;"/8")</f>
        <v/>
      </c>
    </row>
    <row r="16">
      <c r="A16">
        <f>IF('Ch6 EOT Results'!K12="","","Q6 Applying CIs to decision making: "&amp;'Ch6 EOT Results'!H12&amp;"/10")</f>
        <v/>
      </c>
      <c r="K16">
        <f>IF('Ch6 EOT Results'!K13="","","Q6 Applying CIs to decision making: "&amp;'Ch6 EOT Results'!H13&amp;"/10")</f>
        <v/>
      </c>
    </row>
    <row r="17">
      <c r="A17">
        <f>IF(OR('Ch6 EOT Results'!K12="",'Ch6 EOT Results'!L12=""),"",'Ch6 EOT Results'!L12)</f>
        <v/>
      </c>
      <c r="K17">
        <f>IF(OR('Ch6 EOT Results'!K13="",'Ch6 EOT Results'!L13=""),"",'Ch6 EOT Results'!L13)</f>
        <v/>
      </c>
    </row>
    <row r="19">
      <c r="A19">
        <f>IF('Ch6 EOT Results'!K12="","","Comments:")</f>
        <v/>
      </c>
      <c r="K19">
        <f>IF('Ch6 EOT Results'!K13="","","Comments:")</f>
        <v/>
      </c>
    </row>
    <row r="21">
      <c r="A21">
        <f>IF('Ch6 EOT Results'!K14="","","Chapter 6 End of Topic Test — Probabilities &amp; Estimation")</f>
        <v/>
      </c>
      <c r="K21">
        <f>IF('Ch6 EOT Results'!K15="","","Chapter 6 End of Topic Test — Probabilities &amp; Estimation")</f>
        <v/>
      </c>
    </row>
    <row r="22">
      <c r="A22">
        <f>IF('Ch6 EOT Results'!K14="","","Name: "&amp;'Ch6 EOT Results'!B14&amp;"   Class: "&amp;'Ch6 EOT Results'!$B$3&amp;"   Date: "&amp;TEXT('Ch6 EOT Results'!$B$5,"DD/MM/YY"))</f>
        <v/>
      </c>
      <c r="K22">
        <f>IF('Ch6 EOT Results'!K15="","","Name: "&amp;'Ch6 EOT Results'!B15&amp;"   Class: "&amp;'Ch6 EOT Results'!$B$3&amp;"   Date: "&amp;TEXT('Ch6 EOT Results'!$B$5,"DD/MM/YY"))</f>
        <v/>
      </c>
    </row>
    <row r="23">
      <c r="A23">
        <f>IF('Ch6 EOT Results'!K14="","","Total: "&amp;'Ch6 EOT Results'!I14&amp;"/48 ("&amp;TEXT('Ch6 EOT Results'!J14,"0%")&amp;")   Overall: "&amp;'Ch6 EOT Results'!K14)</f>
        <v/>
      </c>
      <c r="K23">
        <f>IF('Ch6 EOT Results'!K15="","","Total: "&amp;'Ch6 EOT Results'!I15&amp;"/48 ("&amp;TEXT('Ch6 EOT Results'!J15,"0%")&amp;")   Overall: "&amp;'Ch6 EOT Results'!K15)</f>
        <v/>
      </c>
    </row>
    <row r="24">
      <c r="A24">
        <f>IF('Ch6 EOT Results'!K14="","",IF('Ch6 EOT Results'!K14="Green",Parameters!$C$385,IF('Ch6 EOT Results'!K14="Yellow",Parameters!$C$384,Parameters!$C$383)))</f>
        <v/>
      </c>
      <c r="K24">
        <f>IF('Ch6 EOT Results'!K15="","",IF('Ch6 EOT Results'!K15="Green",Parameters!$C$385,IF('Ch6 EOT Results'!K15="Yellow",Parameters!$C$384,Parameters!$C$383)))</f>
        <v/>
      </c>
    </row>
    <row r="26">
      <c r="A26">
        <f>IF('Ch6 EOT Results'!K14="","","Breakdown:")</f>
        <v/>
      </c>
      <c r="K26">
        <f>IF('Ch6 EOT Results'!K15="","","Breakdown:")</f>
        <v/>
      </c>
    </row>
    <row r="27">
      <c r="A27">
        <f>IF('Ch6 EOT Results'!K14="","","Q1 CI for a mean (t-distribution): "&amp;'Ch6 EOT Results'!C14&amp;"/10")</f>
        <v/>
      </c>
      <c r="K27">
        <f>IF('Ch6 EOT Results'!K15="","","Q1 CI for a mean (t-distribution): "&amp;'Ch6 EOT Results'!C15&amp;"/10")</f>
        <v/>
      </c>
    </row>
    <row r="28">
      <c r="A28">
        <f>IF('Ch6 EOT Results'!K14="","","Q2 CI for a proportion: "&amp;'Ch6 EOT Results'!D14&amp;"/9")</f>
        <v/>
      </c>
      <c r="K28">
        <f>IF('Ch6 EOT Results'!K15="","","Q2 CI for a proportion: "&amp;'Ch6 EOT Results'!D15&amp;"/9")</f>
        <v/>
      </c>
    </row>
    <row r="29">
      <c r="A29">
        <f>IF('Ch6 EOT Results'!K14="","","Q3 Sample size: "&amp;'Ch6 EOT Results'!E14&amp;"/6")</f>
        <v/>
      </c>
      <c r="K29">
        <f>IF('Ch6 EOT Results'!K15="","","Q3 Sample size: "&amp;'Ch6 EOT Results'!E15&amp;"/6")</f>
        <v/>
      </c>
    </row>
    <row r="30">
      <c r="A30">
        <f>IF('Ch6 EOT Results'!K14="","","Q4 Critical values &amp; confidence levels: "&amp;'Ch6 EOT Results'!F14&amp;"/5")</f>
        <v/>
      </c>
      <c r="K30">
        <f>IF('Ch6 EOT Results'!K15="","","Q4 Critical values &amp; confidence levels: "&amp;'Ch6 EOT Results'!F15&amp;"/5")</f>
        <v/>
      </c>
    </row>
    <row r="31">
      <c r="A31">
        <f>IF('Ch6 EOT Results'!K14="","","Q5 Interpretation and misconceptions: "&amp;'Ch6 EOT Results'!G14&amp;"/8")</f>
        <v/>
      </c>
      <c r="K31">
        <f>IF('Ch6 EOT Results'!K15="","","Q5 Interpretation and misconceptions: "&amp;'Ch6 EOT Results'!G15&amp;"/8")</f>
        <v/>
      </c>
    </row>
    <row r="32">
      <c r="A32">
        <f>IF('Ch6 EOT Results'!K14="","","Q6 Applying CIs to decision making: "&amp;'Ch6 EOT Results'!H14&amp;"/10")</f>
        <v/>
      </c>
      <c r="K32">
        <f>IF('Ch6 EOT Results'!K15="","","Q6 Applying CIs to decision making: "&amp;'Ch6 EOT Results'!H15&amp;"/10")</f>
        <v/>
      </c>
    </row>
    <row r="33">
      <c r="A33">
        <f>IF(OR('Ch6 EOT Results'!K14="",'Ch6 EOT Results'!L14=""),"",'Ch6 EOT Results'!L14)</f>
        <v/>
      </c>
      <c r="K33">
        <f>IF(OR('Ch6 EOT Results'!K15="",'Ch6 EOT Results'!L15=""),"",'Ch6 EOT Results'!L15)</f>
        <v/>
      </c>
    </row>
    <row r="35">
      <c r="A35">
        <f>IF('Ch6 EOT Results'!K14="","","Comments:")</f>
        <v/>
      </c>
      <c r="K35">
        <f>IF('Ch6 EOT Results'!K15="","","Comments:")</f>
        <v/>
      </c>
    </row>
    <row r="37">
      <c r="A37">
        <f>IF('Ch6 EOT Results'!K16="","","Chapter 6 End of Topic Test — Probabilities &amp; Estimation")</f>
        <v/>
      </c>
      <c r="K37">
        <f>IF('Ch6 EOT Results'!K17="","","Chapter 6 End of Topic Test — Probabilities &amp; Estimation")</f>
        <v/>
      </c>
    </row>
    <row r="38">
      <c r="A38">
        <f>IF('Ch6 EOT Results'!K16="","","Name: "&amp;'Ch6 EOT Results'!B16&amp;"   Class: "&amp;'Ch6 EOT Results'!$B$3&amp;"   Date: "&amp;TEXT('Ch6 EOT Results'!$B$5,"DD/MM/YY"))</f>
        <v/>
      </c>
      <c r="K38">
        <f>IF('Ch6 EOT Results'!K17="","","Name: "&amp;'Ch6 EOT Results'!B17&amp;"   Class: "&amp;'Ch6 EOT Results'!$B$3&amp;"   Date: "&amp;TEXT('Ch6 EOT Results'!$B$5,"DD/MM/YY"))</f>
        <v/>
      </c>
    </row>
    <row r="39">
      <c r="A39">
        <f>IF('Ch6 EOT Results'!K16="","","Total: "&amp;'Ch6 EOT Results'!I16&amp;"/48 ("&amp;TEXT('Ch6 EOT Results'!J16,"0%")&amp;")   Overall: "&amp;'Ch6 EOT Results'!K16)</f>
        <v/>
      </c>
      <c r="K39">
        <f>IF('Ch6 EOT Results'!K17="","","Total: "&amp;'Ch6 EOT Results'!I17&amp;"/48 ("&amp;TEXT('Ch6 EOT Results'!J17,"0%")&amp;")   Overall: "&amp;'Ch6 EOT Results'!K17)</f>
        <v/>
      </c>
    </row>
    <row r="40">
      <c r="A40">
        <f>IF('Ch6 EOT Results'!K16="","",IF('Ch6 EOT Results'!K16="Green",Parameters!$C$385,IF('Ch6 EOT Results'!K16="Yellow",Parameters!$C$384,Parameters!$C$383)))</f>
        <v/>
      </c>
      <c r="K40">
        <f>IF('Ch6 EOT Results'!K17="","",IF('Ch6 EOT Results'!K17="Green",Parameters!$C$385,IF('Ch6 EOT Results'!K17="Yellow",Parameters!$C$384,Parameters!$C$383)))</f>
        <v/>
      </c>
    </row>
    <row r="42">
      <c r="A42">
        <f>IF('Ch6 EOT Results'!K16="","","Breakdown:")</f>
        <v/>
      </c>
      <c r="K42">
        <f>IF('Ch6 EOT Results'!K17="","","Breakdown:")</f>
        <v/>
      </c>
    </row>
    <row r="43">
      <c r="A43">
        <f>IF('Ch6 EOT Results'!K16="","","Q1 CI for a mean (t-distribution): "&amp;'Ch6 EOT Results'!C16&amp;"/10")</f>
        <v/>
      </c>
      <c r="K43">
        <f>IF('Ch6 EOT Results'!K17="","","Q1 CI for a mean (t-distribution): "&amp;'Ch6 EOT Results'!C17&amp;"/10")</f>
        <v/>
      </c>
    </row>
    <row r="44">
      <c r="A44">
        <f>IF('Ch6 EOT Results'!K16="","","Q2 CI for a proportion: "&amp;'Ch6 EOT Results'!D16&amp;"/9")</f>
        <v/>
      </c>
      <c r="K44">
        <f>IF('Ch6 EOT Results'!K17="","","Q2 CI for a proportion: "&amp;'Ch6 EOT Results'!D17&amp;"/9")</f>
        <v/>
      </c>
    </row>
    <row r="45">
      <c r="A45">
        <f>IF('Ch6 EOT Results'!K16="","","Q3 Sample size: "&amp;'Ch6 EOT Results'!E16&amp;"/6")</f>
        <v/>
      </c>
      <c r="K45">
        <f>IF('Ch6 EOT Results'!K17="","","Q3 Sample size: "&amp;'Ch6 EOT Results'!E17&amp;"/6")</f>
        <v/>
      </c>
    </row>
    <row r="46">
      <c r="A46">
        <f>IF('Ch6 EOT Results'!K16="","","Q4 Critical values &amp; confidence levels: "&amp;'Ch6 EOT Results'!F16&amp;"/5")</f>
        <v/>
      </c>
      <c r="K46">
        <f>IF('Ch6 EOT Results'!K17="","","Q4 Critical values &amp; confidence levels: "&amp;'Ch6 EOT Results'!F17&amp;"/5")</f>
        <v/>
      </c>
    </row>
    <row r="47">
      <c r="A47">
        <f>IF('Ch6 EOT Results'!K16="","","Q5 Interpretation and misconceptions: "&amp;'Ch6 EOT Results'!G16&amp;"/8")</f>
        <v/>
      </c>
      <c r="K47">
        <f>IF('Ch6 EOT Results'!K17="","","Q5 Interpretation and misconceptions: "&amp;'Ch6 EOT Results'!G17&amp;"/8")</f>
        <v/>
      </c>
    </row>
    <row r="48">
      <c r="A48">
        <f>IF('Ch6 EOT Results'!K16="","","Q6 Applying CIs to decision making: "&amp;'Ch6 EOT Results'!H16&amp;"/10")</f>
        <v/>
      </c>
      <c r="K48">
        <f>IF('Ch6 EOT Results'!K17="","","Q6 Applying CIs to decision making: "&amp;'Ch6 EOT Results'!H17&amp;"/10")</f>
        <v/>
      </c>
    </row>
    <row r="49">
      <c r="A49">
        <f>IF(OR('Ch6 EOT Results'!K16="",'Ch6 EOT Results'!L16=""),"",'Ch6 EOT Results'!L16)</f>
        <v/>
      </c>
      <c r="K49">
        <f>IF(OR('Ch6 EOT Results'!K17="",'Ch6 EOT Results'!L17=""),"",'Ch6 EOT Results'!L17)</f>
        <v/>
      </c>
    </row>
    <row r="51">
      <c r="A51">
        <f>IF('Ch6 EOT Results'!K16="","","Comments:")</f>
        <v/>
      </c>
      <c r="K51">
        <f>IF('Ch6 EOT Results'!K17="","","Comments:")</f>
        <v/>
      </c>
    </row>
    <row r="53">
      <c r="A53">
        <f>IF('Ch6 EOT Results'!K18="","","Chapter 6 End of Topic Test — Probabilities &amp; Estimation")</f>
        <v/>
      </c>
      <c r="K53">
        <f>IF('Ch6 EOT Results'!K19="","","Chapter 6 End of Topic Test — Probabilities &amp; Estimation")</f>
        <v/>
      </c>
    </row>
    <row r="54">
      <c r="A54">
        <f>IF('Ch6 EOT Results'!K18="","","Name: "&amp;'Ch6 EOT Results'!B18&amp;"   Class: "&amp;'Ch6 EOT Results'!$B$3&amp;"   Date: "&amp;TEXT('Ch6 EOT Results'!$B$5,"DD/MM/YY"))</f>
        <v/>
      </c>
      <c r="K54">
        <f>IF('Ch6 EOT Results'!K19="","","Name: "&amp;'Ch6 EOT Results'!B19&amp;"   Class: "&amp;'Ch6 EOT Results'!$B$3&amp;"   Date: "&amp;TEXT('Ch6 EOT Results'!$B$5,"DD/MM/YY"))</f>
        <v/>
      </c>
    </row>
    <row r="55">
      <c r="A55">
        <f>IF('Ch6 EOT Results'!K18="","","Total: "&amp;'Ch6 EOT Results'!I18&amp;"/48 ("&amp;TEXT('Ch6 EOT Results'!J18,"0%")&amp;")   Overall: "&amp;'Ch6 EOT Results'!K18)</f>
        <v/>
      </c>
      <c r="K55">
        <f>IF('Ch6 EOT Results'!K19="","","Total: "&amp;'Ch6 EOT Results'!I19&amp;"/48 ("&amp;TEXT('Ch6 EOT Results'!J19,"0%")&amp;")   Overall: "&amp;'Ch6 EOT Results'!K19)</f>
        <v/>
      </c>
    </row>
    <row r="56">
      <c r="A56">
        <f>IF('Ch6 EOT Results'!K18="","",IF('Ch6 EOT Results'!K18="Green",Parameters!$C$385,IF('Ch6 EOT Results'!K18="Yellow",Parameters!$C$384,Parameters!$C$383)))</f>
        <v/>
      </c>
      <c r="K56">
        <f>IF('Ch6 EOT Results'!K19="","",IF('Ch6 EOT Results'!K19="Green",Parameters!$C$385,IF('Ch6 EOT Results'!K19="Yellow",Parameters!$C$384,Parameters!$C$383)))</f>
        <v/>
      </c>
    </row>
    <row r="58">
      <c r="A58">
        <f>IF('Ch6 EOT Results'!K18="","","Breakdown:")</f>
        <v/>
      </c>
      <c r="K58">
        <f>IF('Ch6 EOT Results'!K19="","","Breakdown:")</f>
        <v/>
      </c>
    </row>
    <row r="59">
      <c r="A59">
        <f>IF('Ch6 EOT Results'!K18="","","Q1 CI for a mean (t-distribution): "&amp;'Ch6 EOT Results'!C18&amp;"/10")</f>
        <v/>
      </c>
      <c r="K59">
        <f>IF('Ch6 EOT Results'!K19="","","Q1 CI for a mean (t-distribution): "&amp;'Ch6 EOT Results'!C19&amp;"/10")</f>
        <v/>
      </c>
    </row>
    <row r="60">
      <c r="A60">
        <f>IF('Ch6 EOT Results'!K18="","","Q2 CI for a proportion: "&amp;'Ch6 EOT Results'!D18&amp;"/9")</f>
        <v/>
      </c>
      <c r="K60">
        <f>IF('Ch6 EOT Results'!K19="","","Q2 CI for a proportion: "&amp;'Ch6 EOT Results'!D19&amp;"/9")</f>
        <v/>
      </c>
    </row>
    <row r="61">
      <c r="A61">
        <f>IF('Ch6 EOT Results'!K18="","","Q3 Sample size: "&amp;'Ch6 EOT Results'!E18&amp;"/6")</f>
        <v/>
      </c>
      <c r="K61">
        <f>IF('Ch6 EOT Results'!K19="","","Q3 Sample size: "&amp;'Ch6 EOT Results'!E19&amp;"/6")</f>
        <v/>
      </c>
    </row>
    <row r="62">
      <c r="A62">
        <f>IF('Ch6 EOT Results'!K18="","","Q4 Critical values &amp; confidence levels: "&amp;'Ch6 EOT Results'!F18&amp;"/5")</f>
        <v/>
      </c>
      <c r="K62">
        <f>IF('Ch6 EOT Results'!K19="","","Q4 Critical values &amp; confidence levels: "&amp;'Ch6 EOT Results'!F19&amp;"/5")</f>
        <v/>
      </c>
    </row>
    <row r="63">
      <c r="A63">
        <f>IF('Ch6 EOT Results'!K18="","","Q5 Interpretation and misconceptions: "&amp;'Ch6 EOT Results'!G18&amp;"/8")</f>
        <v/>
      </c>
      <c r="K63">
        <f>IF('Ch6 EOT Results'!K19="","","Q5 Interpretation and misconceptions: "&amp;'Ch6 EOT Results'!G19&amp;"/8")</f>
        <v/>
      </c>
    </row>
    <row r="64">
      <c r="A64">
        <f>IF('Ch6 EOT Results'!K18="","","Q6 Applying CIs to decision making: "&amp;'Ch6 EOT Results'!H18&amp;"/10")</f>
        <v/>
      </c>
      <c r="K64">
        <f>IF('Ch6 EOT Results'!K19="","","Q6 Applying CIs to decision making: "&amp;'Ch6 EOT Results'!H19&amp;"/10")</f>
        <v/>
      </c>
    </row>
    <row r="65">
      <c r="A65">
        <f>IF(OR('Ch6 EOT Results'!K18="",'Ch6 EOT Results'!L18=""),"",'Ch6 EOT Results'!L18)</f>
        <v/>
      </c>
      <c r="K65">
        <f>IF(OR('Ch6 EOT Results'!K19="",'Ch6 EOT Results'!L19=""),"",'Ch6 EOT Results'!L19)</f>
        <v/>
      </c>
    </row>
    <row r="67">
      <c r="A67">
        <f>IF('Ch6 EOT Results'!K18="","","Comments:")</f>
        <v/>
      </c>
      <c r="K67">
        <f>IF('Ch6 EOT Results'!K19="","","Comments:")</f>
        <v/>
      </c>
    </row>
    <row r="69">
      <c r="A69">
        <f>IF('Ch6 EOT Results'!K20="","","Chapter 6 End of Topic Test — Probabilities &amp; Estimation")</f>
        <v/>
      </c>
      <c r="K69">
        <f>IF('Ch6 EOT Results'!K21="","","Chapter 6 End of Topic Test — Probabilities &amp; Estimation")</f>
        <v/>
      </c>
    </row>
    <row r="70">
      <c r="A70">
        <f>IF('Ch6 EOT Results'!K20="","","Name: "&amp;'Ch6 EOT Results'!B20&amp;"   Class: "&amp;'Ch6 EOT Results'!$B$3&amp;"   Date: "&amp;TEXT('Ch6 EOT Results'!$B$5,"DD/MM/YY"))</f>
        <v/>
      </c>
      <c r="K70">
        <f>IF('Ch6 EOT Results'!K21="","","Name: "&amp;'Ch6 EOT Results'!B21&amp;"   Class: "&amp;'Ch6 EOT Results'!$B$3&amp;"   Date: "&amp;TEXT('Ch6 EOT Results'!$B$5,"DD/MM/YY"))</f>
        <v/>
      </c>
    </row>
    <row r="71">
      <c r="A71">
        <f>IF('Ch6 EOT Results'!K20="","","Total: "&amp;'Ch6 EOT Results'!I20&amp;"/48 ("&amp;TEXT('Ch6 EOT Results'!J20,"0%")&amp;")   Overall: "&amp;'Ch6 EOT Results'!K20)</f>
        <v/>
      </c>
      <c r="K71">
        <f>IF('Ch6 EOT Results'!K21="","","Total: "&amp;'Ch6 EOT Results'!I21&amp;"/48 ("&amp;TEXT('Ch6 EOT Results'!J21,"0%")&amp;")   Overall: "&amp;'Ch6 EOT Results'!K21)</f>
        <v/>
      </c>
    </row>
    <row r="72">
      <c r="A72">
        <f>IF('Ch6 EOT Results'!K20="","",IF('Ch6 EOT Results'!K20="Green",Parameters!$C$385,IF('Ch6 EOT Results'!K20="Yellow",Parameters!$C$384,Parameters!$C$383)))</f>
        <v/>
      </c>
      <c r="K72">
        <f>IF('Ch6 EOT Results'!K21="","",IF('Ch6 EOT Results'!K21="Green",Parameters!$C$385,IF('Ch6 EOT Results'!K21="Yellow",Parameters!$C$384,Parameters!$C$383)))</f>
        <v/>
      </c>
    </row>
    <row r="74">
      <c r="A74">
        <f>IF('Ch6 EOT Results'!K20="","","Breakdown:")</f>
        <v/>
      </c>
      <c r="K74">
        <f>IF('Ch6 EOT Results'!K21="","","Breakdown:")</f>
        <v/>
      </c>
    </row>
    <row r="75">
      <c r="A75">
        <f>IF('Ch6 EOT Results'!K20="","","Q1 CI for a mean (t-distribution): "&amp;'Ch6 EOT Results'!C20&amp;"/10")</f>
        <v/>
      </c>
      <c r="K75">
        <f>IF('Ch6 EOT Results'!K21="","","Q1 CI for a mean (t-distribution): "&amp;'Ch6 EOT Results'!C21&amp;"/10")</f>
        <v/>
      </c>
    </row>
    <row r="76">
      <c r="A76">
        <f>IF('Ch6 EOT Results'!K20="","","Q2 CI for a proportion: "&amp;'Ch6 EOT Results'!D20&amp;"/9")</f>
        <v/>
      </c>
      <c r="K76">
        <f>IF('Ch6 EOT Results'!K21="","","Q2 CI for a proportion: "&amp;'Ch6 EOT Results'!D21&amp;"/9")</f>
        <v/>
      </c>
    </row>
    <row r="77">
      <c r="A77">
        <f>IF('Ch6 EOT Results'!K20="","","Q3 Sample size: "&amp;'Ch6 EOT Results'!E20&amp;"/6")</f>
        <v/>
      </c>
      <c r="K77">
        <f>IF('Ch6 EOT Results'!K21="","","Q3 Sample size: "&amp;'Ch6 EOT Results'!E21&amp;"/6")</f>
        <v/>
      </c>
    </row>
    <row r="78">
      <c r="A78">
        <f>IF('Ch6 EOT Results'!K20="","","Q4 Critical values &amp; confidence levels: "&amp;'Ch6 EOT Results'!F20&amp;"/5")</f>
        <v/>
      </c>
      <c r="K78">
        <f>IF('Ch6 EOT Results'!K21="","","Q4 Critical values &amp; confidence levels: "&amp;'Ch6 EOT Results'!F21&amp;"/5")</f>
        <v/>
      </c>
    </row>
    <row r="79">
      <c r="A79">
        <f>IF('Ch6 EOT Results'!K20="","","Q5 Interpretation and misconceptions: "&amp;'Ch6 EOT Results'!G20&amp;"/8")</f>
        <v/>
      </c>
      <c r="K79">
        <f>IF('Ch6 EOT Results'!K21="","","Q5 Interpretation and misconceptions: "&amp;'Ch6 EOT Results'!G21&amp;"/8")</f>
        <v/>
      </c>
    </row>
    <row r="80">
      <c r="A80">
        <f>IF('Ch6 EOT Results'!K20="","","Q6 Applying CIs to decision making: "&amp;'Ch6 EOT Results'!H20&amp;"/10")</f>
        <v/>
      </c>
      <c r="K80">
        <f>IF('Ch6 EOT Results'!K21="","","Q6 Applying CIs to decision making: "&amp;'Ch6 EOT Results'!H21&amp;"/10")</f>
        <v/>
      </c>
    </row>
    <row r="81">
      <c r="A81">
        <f>IF(OR('Ch6 EOT Results'!K20="",'Ch6 EOT Results'!L20=""),"",'Ch6 EOT Results'!L20)</f>
        <v/>
      </c>
      <c r="K81">
        <f>IF(OR('Ch6 EOT Results'!K21="",'Ch6 EOT Results'!L21=""),"",'Ch6 EOT Results'!L21)</f>
        <v/>
      </c>
    </row>
    <row r="83">
      <c r="A83">
        <f>IF('Ch6 EOT Results'!K20="","","Comments:")</f>
        <v/>
      </c>
      <c r="K83">
        <f>IF('Ch6 EOT Results'!K21="","","Comments:")</f>
        <v/>
      </c>
    </row>
    <row r="85">
      <c r="A85">
        <f>IF('Ch6 EOT Results'!K22="","","Chapter 6 End of Topic Test — Probabilities &amp; Estimation")</f>
        <v/>
      </c>
      <c r="K85">
        <f>IF('Ch6 EOT Results'!K23="","","Chapter 6 End of Topic Test — Probabilities &amp; Estimation")</f>
        <v/>
      </c>
    </row>
    <row r="86">
      <c r="A86">
        <f>IF('Ch6 EOT Results'!K22="","","Name: "&amp;'Ch6 EOT Results'!B22&amp;"   Class: "&amp;'Ch6 EOT Results'!$B$3&amp;"   Date: "&amp;TEXT('Ch6 EOT Results'!$B$5,"DD/MM/YY"))</f>
        <v/>
      </c>
      <c r="K86">
        <f>IF('Ch6 EOT Results'!K23="","","Name: "&amp;'Ch6 EOT Results'!B23&amp;"   Class: "&amp;'Ch6 EOT Results'!$B$3&amp;"   Date: "&amp;TEXT('Ch6 EOT Results'!$B$5,"DD/MM/YY"))</f>
        <v/>
      </c>
    </row>
    <row r="87">
      <c r="A87">
        <f>IF('Ch6 EOT Results'!K22="","","Total: "&amp;'Ch6 EOT Results'!I22&amp;"/48 ("&amp;TEXT('Ch6 EOT Results'!J22,"0%")&amp;")   Overall: "&amp;'Ch6 EOT Results'!K22)</f>
        <v/>
      </c>
      <c r="K87">
        <f>IF('Ch6 EOT Results'!K23="","","Total: "&amp;'Ch6 EOT Results'!I23&amp;"/48 ("&amp;TEXT('Ch6 EOT Results'!J23,"0%")&amp;")   Overall: "&amp;'Ch6 EOT Results'!K23)</f>
        <v/>
      </c>
    </row>
    <row r="88">
      <c r="A88">
        <f>IF('Ch6 EOT Results'!K22="","",IF('Ch6 EOT Results'!K22="Green",Parameters!$C$385,IF('Ch6 EOT Results'!K22="Yellow",Parameters!$C$384,Parameters!$C$383)))</f>
        <v/>
      </c>
      <c r="K88">
        <f>IF('Ch6 EOT Results'!K23="","",IF('Ch6 EOT Results'!K23="Green",Parameters!$C$385,IF('Ch6 EOT Results'!K23="Yellow",Parameters!$C$384,Parameters!$C$383)))</f>
        <v/>
      </c>
    </row>
    <row r="90">
      <c r="A90">
        <f>IF('Ch6 EOT Results'!K22="","","Breakdown:")</f>
        <v/>
      </c>
      <c r="K90">
        <f>IF('Ch6 EOT Results'!K23="","","Breakdown:")</f>
        <v/>
      </c>
    </row>
    <row r="91">
      <c r="A91">
        <f>IF('Ch6 EOT Results'!K22="","","Q1 CI for a mean (t-distribution): "&amp;'Ch6 EOT Results'!C22&amp;"/10")</f>
        <v/>
      </c>
      <c r="K91">
        <f>IF('Ch6 EOT Results'!K23="","","Q1 CI for a mean (t-distribution): "&amp;'Ch6 EOT Results'!C23&amp;"/10")</f>
        <v/>
      </c>
    </row>
    <row r="92">
      <c r="A92">
        <f>IF('Ch6 EOT Results'!K22="","","Q2 CI for a proportion: "&amp;'Ch6 EOT Results'!D22&amp;"/9")</f>
        <v/>
      </c>
      <c r="K92">
        <f>IF('Ch6 EOT Results'!K23="","","Q2 CI for a proportion: "&amp;'Ch6 EOT Results'!D23&amp;"/9")</f>
        <v/>
      </c>
    </row>
    <row r="93">
      <c r="A93">
        <f>IF('Ch6 EOT Results'!K22="","","Q3 Sample size: "&amp;'Ch6 EOT Results'!E22&amp;"/6")</f>
        <v/>
      </c>
      <c r="K93">
        <f>IF('Ch6 EOT Results'!K23="","","Q3 Sample size: "&amp;'Ch6 EOT Results'!E23&amp;"/6")</f>
        <v/>
      </c>
    </row>
    <row r="94">
      <c r="A94">
        <f>IF('Ch6 EOT Results'!K22="","","Q4 Critical values &amp; confidence levels: "&amp;'Ch6 EOT Results'!F22&amp;"/5")</f>
        <v/>
      </c>
      <c r="K94">
        <f>IF('Ch6 EOT Results'!K23="","","Q4 Critical values &amp; confidence levels: "&amp;'Ch6 EOT Results'!F23&amp;"/5")</f>
        <v/>
      </c>
    </row>
    <row r="95">
      <c r="A95">
        <f>IF('Ch6 EOT Results'!K22="","","Q5 Interpretation and misconceptions: "&amp;'Ch6 EOT Results'!G22&amp;"/8")</f>
        <v/>
      </c>
      <c r="K95">
        <f>IF('Ch6 EOT Results'!K23="","","Q5 Interpretation and misconceptions: "&amp;'Ch6 EOT Results'!G23&amp;"/8")</f>
        <v/>
      </c>
    </row>
    <row r="96">
      <c r="A96">
        <f>IF('Ch6 EOT Results'!K22="","","Q6 Applying CIs to decision making: "&amp;'Ch6 EOT Results'!H22&amp;"/10")</f>
        <v/>
      </c>
      <c r="K96">
        <f>IF('Ch6 EOT Results'!K23="","","Q6 Applying CIs to decision making: "&amp;'Ch6 EOT Results'!H23&amp;"/10")</f>
        <v/>
      </c>
    </row>
    <row r="97">
      <c r="A97">
        <f>IF(OR('Ch6 EOT Results'!K22="",'Ch6 EOT Results'!L22=""),"",'Ch6 EOT Results'!L22)</f>
        <v/>
      </c>
      <c r="K97">
        <f>IF(OR('Ch6 EOT Results'!K23="",'Ch6 EOT Results'!L23=""),"",'Ch6 EOT Results'!L23)</f>
        <v/>
      </c>
    </row>
    <row r="99">
      <c r="A99">
        <f>IF('Ch6 EOT Results'!K22="","","Comments:")</f>
        <v/>
      </c>
      <c r="K99">
        <f>IF('Ch6 EOT Results'!K23="","","Comments:")</f>
        <v/>
      </c>
    </row>
    <row r="101">
      <c r="A101">
        <f>IF('Ch6 EOT Results'!K24="","","Chapter 6 End of Topic Test — Probabilities &amp; Estimation")</f>
        <v/>
      </c>
      <c r="K101">
        <f>IF('Ch6 EOT Results'!K25="","","Chapter 6 End of Topic Test — Probabilities &amp; Estimation")</f>
        <v/>
      </c>
    </row>
    <row r="102">
      <c r="A102">
        <f>IF('Ch6 EOT Results'!K24="","","Name: "&amp;'Ch6 EOT Results'!B24&amp;"   Class: "&amp;'Ch6 EOT Results'!$B$3&amp;"   Date: "&amp;TEXT('Ch6 EOT Results'!$B$5,"DD/MM/YY"))</f>
        <v/>
      </c>
      <c r="K102">
        <f>IF('Ch6 EOT Results'!K25="","","Name: "&amp;'Ch6 EOT Results'!B25&amp;"   Class: "&amp;'Ch6 EOT Results'!$B$3&amp;"   Date: "&amp;TEXT('Ch6 EOT Results'!$B$5,"DD/MM/YY"))</f>
        <v/>
      </c>
    </row>
    <row r="103">
      <c r="A103">
        <f>IF('Ch6 EOT Results'!K24="","","Total: "&amp;'Ch6 EOT Results'!I24&amp;"/48 ("&amp;TEXT('Ch6 EOT Results'!J24,"0%")&amp;")   Overall: "&amp;'Ch6 EOT Results'!K24)</f>
        <v/>
      </c>
      <c r="K103">
        <f>IF('Ch6 EOT Results'!K25="","","Total: "&amp;'Ch6 EOT Results'!I25&amp;"/48 ("&amp;TEXT('Ch6 EOT Results'!J25,"0%")&amp;")   Overall: "&amp;'Ch6 EOT Results'!K25)</f>
        <v/>
      </c>
    </row>
    <row r="104">
      <c r="A104">
        <f>IF('Ch6 EOT Results'!K24="","",IF('Ch6 EOT Results'!K24="Green",Parameters!$C$385,IF('Ch6 EOT Results'!K24="Yellow",Parameters!$C$384,Parameters!$C$383)))</f>
        <v/>
      </c>
      <c r="K104">
        <f>IF('Ch6 EOT Results'!K25="","",IF('Ch6 EOT Results'!K25="Green",Parameters!$C$385,IF('Ch6 EOT Results'!K25="Yellow",Parameters!$C$384,Parameters!$C$383)))</f>
        <v/>
      </c>
    </row>
    <row r="106">
      <c r="A106">
        <f>IF('Ch6 EOT Results'!K24="","","Breakdown:")</f>
        <v/>
      </c>
      <c r="K106">
        <f>IF('Ch6 EOT Results'!K25="","","Breakdown:")</f>
        <v/>
      </c>
    </row>
    <row r="107">
      <c r="A107">
        <f>IF('Ch6 EOT Results'!K24="","","Q1 CI for a mean (t-distribution): "&amp;'Ch6 EOT Results'!C24&amp;"/10")</f>
        <v/>
      </c>
      <c r="K107">
        <f>IF('Ch6 EOT Results'!K25="","","Q1 CI for a mean (t-distribution): "&amp;'Ch6 EOT Results'!C25&amp;"/10")</f>
        <v/>
      </c>
    </row>
    <row r="108">
      <c r="A108">
        <f>IF('Ch6 EOT Results'!K24="","","Q2 CI for a proportion: "&amp;'Ch6 EOT Results'!D24&amp;"/9")</f>
        <v/>
      </c>
      <c r="K108">
        <f>IF('Ch6 EOT Results'!K25="","","Q2 CI for a proportion: "&amp;'Ch6 EOT Results'!D25&amp;"/9")</f>
        <v/>
      </c>
    </row>
    <row r="109">
      <c r="A109">
        <f>IF('Ch6 EOT Results'!K24="","","Q3 Sample size: "&amp;'Ch6 EOT Results'!E24&amp;"/6")</f>
        <v/>
      </c>
      <c r="K109">
        <f>IF('Ch6 EOT Results'!K25="","","Q3 Sample size: "&amp;'Ch6 EOT Results'!E25&amp;"/6")</f>
        <v/>
      </c>
    </row>
    <row r="110">
      <c r="A110">
        <f>IF('Ch6 EOT Results'!K24="","","Q4 Critical values &amp; confidence levels: "&amp;'Ch6 EOT Results'!F24&amp;"/5")</f>
        <v/>
      </c>
      <c r="K110">
        <f>IF('Ch6 EOT Results'!K25="","","Q4 Critical values &amp; confidence levels: "&amp;'Ch6 EOT Results'!F25&amp;"/5")</f>
        <v/>
      </c>
    </row>
    <row r="111">
      <c r="A111">
        <f>IF('Ch6 EOT Results'!K24="","","Q5 Interpretation and misconceptions: "&amp;'Ch6 EOT Results'!G24&amp;"/8")</f>
        <v/>
      </c>
      <c r="K111">
        <f>IF('Ch6 EOT Results'!K25="","","Q5 Interpretation and misconceptions: "&amp;'Ch6 EOT Results'!G25&amp;"/8")</f>
        <v/>
      </c>
    </row>
    <row r="112">
      <c r="A112">
        <f>IF('Ch6 EOT Results'!K24="","","Q6 Applying CIs to decision making: "&amp;'Ch6 EOT Results'!H24&amp;"/10")</f>
        <v/>
      </c>
      <c r="K112">
        <f>IF('Ch6 EOT Results'!K25="","","Q6 Applying CIs to decision making: "&amp;'Ch6 EOT Results'!H25&amp;"/10")</f>
        <v/>
      </c>
    </row>
    <row r="113">
      <c r="A113">
        <f>IF(OR('Ch6 EOT Results'!K24="",'Ch6 EOT Results'!L24=""),"",'Ch6 EOT Results'!L24)</f>
        <v/>
      </c>
      <c r="K113">
        <f>IF(OR('Ch6 EOT Results'!K25="",'Ch6 EOT Results'!L25=""),"",'Ch6 EOT Results'!L25)</f>
        <v/>
      </c>
    </row>
    <row r="115">
      <c r="A115">
        <f>IF('Ch6 EOT Results'!K24="","","Comments:")</f>
        <v/>
      </c>
      <c r="K115">
        <f>IF('Ch6 EOT Results'!K25="","","Comments:")</f>
        <v/>
      </c>
    </row>
    <row r="117">
      <c r="A117">
        <f>IF('Ch6 EOT Results'!K26="","","Chapter 6 End of Topic Test — Probabilities &amp; Estimation")</f>
        <v/>
      </c>
      <c r="K117">
        <f>IF('Ch6 EOT Results'!K27="","","Chapter 6 End of Topic Test — Probabilities &amp; Estimation")</f>
        <v/>
      </c>
    </row>
    <row r="118">
      <c r="A118">
        <f>IF('Ch6 EOT Results'!K26="","","Name: "&amp;'Ch6 EOT Results'!B26&amp;"   Class: "&amp;'Ch6 EOT Results'!$B$3&amp;"   Date: "&amp;TEXT('Ch6 EOT Results'!$B$5,"DD/MM/YY"))</f>
        <v/>
      </c>
      <c r="K118">
        <f>IF('Ch6 EOT Results'!K27="","","Name: "&amp;'Ch6 EOT Results'!B27&amp;"   Class: "&amp;'Ch6 EOT Results'!$B$3&amp;"   Date: "&amp;TEXT('Ch6 EOT Results'!$B$5,"DD/MM/YY"))</f>
        <v/>
      </c>
    </row>
    <row r="119">
      <c r="A119">
        <f>IF('Ch6 EOT Results'!K26="","","Total: "&amp;'Ch6 EOT Results'!I26&amp;"/48 ("&amp;TEXT('Ch6 EOT Results'!J26,"0%")&amp;")   Overall: "&amp;'Ch6 EOT Results'!K26)</f>
        <v/>
      </c>
      <c r="K119">
        <f>IF('Ch6 EOT Results'!K27="","","Total: "&amp;'Ch6 EOT Results'!I27&amp;"/48 ("&amp;TEXT('Ch6 EOT Results'!J27,"0%")&amp;")   Overall: "&amp;'Ch6 EOT Results'!K27)</f>
        <v/>
      </c>
    </row>
    <row r="120">
      <c r="A120">
        <f>IF('Ch6 EOT Results'!K26="","",IF('Ch6 EOT Results'!K26="Green",Parameters!$C$385,IF('Ch6 EOT Results'!K26="Yellow",Parameters!$C$384,Parameters!$C$383)))</f>
        <v/>
      </c>
      <c r="K120">
        <f>IF('Ch6 EOT Results'!K27="","",IF('Ch6 EOT Results'!K27="Green",Parameters!$C$385,IF('Ch6 EOT Results'!K27="Yellow",Parameters!$C$384,Parameters!$C$383)))</f>
        <v/>
      </c>
    </row>
    <row r="122">
      <c r="A122">
        <f>IF('Ch6 EOT Results'!K26="","","Breakdown:")</f>
        <v/>
      </c>
      <c r="K122">
        <f>IF('Ch6 EOT Results'!K27="","","Breakdown:")</f>
        <v/>
      </c>
    </row>
    <row r="123">
      <c r="A123">
        <f>IF('Ch6 EOT Results'!K26="","","Q1 CI for a mean (t-distribution): "&amp;'Ch6 EOT Results'!C26&amp;"/10")</f>
        <v/>
      </c>
      <c r="K123">
        <f>IF('Ch6 EOT Results'!K27="","","Q1 CI for a mean (t-distribution): "&amp;'Ch6 EOT Results'!C27&amp;"/10")</f>
        <v/>
      </c>
    </row>
    <row r="124">
      <c r="A124">
        <f>IF('Ch6 EOT Results'!K26="","","Q2 CI for a proportion: "&amp;'Ch6 EOT Results'!D26&amp;"/9")</f>
        <v/>
      </c>
      <c r="K124">
        <f>IF('Ch6 EOT Results'!K27="","","Q2 CI for a proportion: "&amp;'Ch6 EOT Results'!D27&amp;"/9")</f>
        <v/>
      </c>
    </row>
    <row r="125">
      <c r="A125">
        <f>IF('Ch6 EOT Results'!K26="","","Q3 Sample size: "&amp;'Ch6 EOT Results'!E26&amp;"/6")</f>
        <v/>
      </c>
      <c r="K125">
        <f>IF('Ch6 EOT Results'!K27="","","Q3 Sample size: "&amp;'Ch6 EOT Results'!E27&amp;"/6")</f>
        <v/>
      </c>
    </row>
    <row r="126">
      <c r="A126">
        <f>IF('Ch6 EOT Results'!K26="","","Q4 Critical values &amp; confidence levels: "&amp;'Ch6 EOT Results'!F26&amp;"/5")</f>
        <v/>
      </c>
      <c r="K126">
        <f>IF('Ch6 EOT Results'!K27="","","Q4 Critical values &amp; confidence levels: "&amp;'Ch6 EOT Results'!F27&amp;"/5")</f>
        <v/>
      </c>
    </row>
    <row r="127">
      <c r="A127">
        <f>IF('Ch6 EOT Results'!K26="","","Q5 Interpretation and misconceptions: "&amp;'Ch6 EOT Results'!G26&amp;"/8")</f>
        <v/>
      </c>
      <c r="K127">
        <f>IF('Ch6 EOT Results'!K27="","","Q5 Interpretation and misconceptions: "&amp;'Ch6 EOT Results'!G27&amp;"/8")</f>
        <v/>
      </c>
    </row>
    <row r="128">
      <c r="A128">
        <f>IF('Ch6 EOT Results'!K26="","","Q6 Applying CIs to decision making: "&amp;'Ch6 EOT Results'!H26&amp;"/10")</f>
        <v/>
      </c>
      <c r="K128">
        <f>IF('Ch6 EOT Results'!K27="","","Q6 Applying CIs to decision making: "&amp;'Ch6 EOT Results'!H27&amp;"/10")</f>
        <v/>
      </c>
    </row>
    <row r="129">
      <c r="A129">
        <f>IF(OR('Ch6 EOT Results'!K26="",'Ch6 EOT Results'!L26=""),"",'Ch6 EOT Results'!L26)</f>
        <v/>
      </c>
      <c r="K129">
        <f>IF(OR('Ch6 EOT Results'!K27="",'Ch6 EOT Results'!L27=""),"",'Ch6 EOT Results'!L27)</f>
        <v/>
      </c>
    </row>
    <row r="131">
      <c r="A131">
        <f>IF('Ch6 EOT Results'!K26="","","Comments:")</f>
        <v/>
      </c>
      <c r="K131">
        <f>IF('Ch6 EOT Results'!K27="","","Comments:")</f>
        <v/>
      </c>
    </row>
    <row r="133">
      <c r="A133">
        <f>IF('Ch6 EOT Results'!K28="","","Chapter 6 End of Topic Test — Probabilities &amp; Estimation")</f>
        <v/>
      </c>
      <c r="K133">
        <f>IF('Ch6 EOT Results'!K29="","","Chapter 6 End of Topic Test — Probabilities &amp; Estimation")</f>
        <v/>
      </c>
    </row>
    <row r="134">
      <c r="A134">
        <f>IF('Ch6 EOT Results'!K28="","","Name: "&amp;'Ch6 EOT Results'!B28&amp;"   Class: "&amp;'Ch6 EOT Results'!$B$3&amp;"   Date: "&amp;TEXT('Ch6 EOT Results'!$B$5,"DD/MM/YY"))</f>
        <v/>
      </c>
      <c r="K134">
        <f>IF('Ch6 EOT Results'!K29="","","Name: "&amp;'Ch6 EOT Results'!B29&amp;"   Class: "&amp;'Ch6 EOT Results'!$B$3&amp;"   Date: "&amp;TEXT('Ch6 EOT Results'!$B$5,"DD/MM/YY"))</f>
        <v/>
      </c>
    </row>
    <row r="135">
      <c r="A135">
        <f>IF('Ch6 EOT Results'!K28="","","Total: "&amp;'Ch6 EOT Results'!I28&amp;"/48 ("&amp;TEXT('Ch6 EOT Results'!J28,"0%")&amp;")   Overall: "&amp;'Ch6 EOT Results'!K28)</f>
        <v/>
      </c>
      <c r="K135">
        <f>IF('Ch6 EOT Results'!K29="","","Total: "&amp;'Ch6 EOT Results'!I29&amp;"/48 ("&amp;TEXT('Ch6 EOT Results'!J29,"0%")&amp;")   Overall: "&amp;'Ch6 EOT Results'!K29)</f>
        <v/>
      </c>
    </row>
    <row r="136">
      <c r="A136">
        <f>IF('Ch6 EOT Results'!K28="","",IF('Ch6 EOT Results'!K28="Green",Parameters!$C$385,IF('Ch6 EOT Results'!K28="Yellow",Parameters!$C$384,Parameters!$C$383)))</f>
        <v/>
      </c>
      <c r="K136">
        <f>IF('Ch6 EOT Results'!K29="","",IF('Ch6 EOT Results'!K29="Green",Parameters!$C$385,IF('Ch6 EOT Results'!K29="Yellow",Parameters!$C$384,Parameters!$C$383)))</f>
        <v/>
      </c>
    </row>
    <row r="138">
      <c r="A138">
        <f>IF('Ch6 EOT Results'!K28="","","Breakdown:")</f>
        <v/>
      </c>
      <c r="K138">
        <f>IF('Ch6 EOT Results'!K29="","","Breakdown:")</f>
        <v/>
      </c>
    </row>
    <row r="139">
      <c r="A139">
        <f>IF('Ch6 EOT Results'!K28="","","Q1 CI for a mean (t-distribution): "&amp;'Ch6 EOT Results'!C28&amp;"/10")</f>
        <v/>
      </c>
      <c r="K139">
        <f>IF('Ch6 EOT Results'!K29="","","Q1 CI for a mean (t-distribution): "&amp;'Ch6 EOT Results'!C29&amp;"/10")</f>
        <v/>
      </c>
    </row>
    <row r="140">
      <c r="A140">
        <f>IF('Ch6 EOT Results'!K28="","","Q2 CI for a proportion: "&amp;'Ch6 EOT Results'!D28&amp;"/9")</f>
        <v/>
      </c>
      <c r="K140">
        <f>IF('Ch6 EOT Results'!K29="","","Q2 CI for a proportion: "&amp;'Ch6 EOT Results'!D29&amp;"/9")</f>
        <v/>
      </c>
    </row>
    <row r="141">
      <c r="A141">
        <f>IF('Ch6 EOT Results'!K28="","","Q3 Sample size: "&amp;'Ch6 EOT Results'!E28&amp;"/6")</f>
        <v/>
      </c>
      <c r="K141">
        <f>IF('Ch6 EOT Results'!K29="","","Q3 Sample size: "&amp;'Ch6 EOT Results'!E29&amp;"/6")</f>
        <v/>
      </c>
    </row>
    <row r="142">
      <c r="A142">
        <f>IF('Ch6 EOT Results'!K28="","","Q4 Critical values &amp; confidence levels: "&amp;'Ch6 EOT Results'!F28&amp;"/5")</f>
        <v/>
      </c>
      <c r="K142">
        <f>IF('Ch6 EOT Results'!K29="","","Q4 Critical values &amp; confidence levels: "&amp;'Ch6 EOT Results'!F29&amp;"/5")</f>
        <v/>
      </c>
    </row>
    <row r="143">
      <c r="A143">
        <f>IF('Ch6 EOT Results'!K28="","","Q5 Interpretation and misconceptions: "&amp;'Ch6 EOT Results'!G28&amp;"/8")</f>
        <v/>
      </c>
      <c r="K143">
        <f>IF('Ch6 EOT Results'!K29="","","Q5 Interpretation and misconceptions: "&amp;'Ch6 EOT Results'!G29&amp;"/8")</f>
        <v/>
      </c>
    </row>
    <row r="144">
      <c r="A144">
        <f>IF('Ch6 EOT Results'!K28="","","Q6 Applying CIs to decision making: "&amp;'Ch6 EOT Results'!H28&amp;"/10")</f>
        <v/>
      </c>
      <c r="K144">
        <f>IF('Ch6 EOT Results'!K29="","","Q6 Applying CIs to decision making: "&amp;'Ch6 EOT Results'!H29&amp;"/10")</f>
        <v/>
      </c>
    </row>
    <row r="145">
      <c r="A145">
        <f>IF(OR('Ch6 EOT Results'!K28="",'Ch6 EOT Results'!L28=""),"",'Ch6 EOT Results'!L28)</f>
        <v/>
      </c>
      <c r="K145">
        <f>IF(OR('Ch6 EOT Results'!K29="",'Ch6 EOT Results'!L29=""),"",'Ch6 EOT Results'!L29)</f>
        <v/>
      </c>
    </row>
    <row r="147">
      <c r="A147">
        <f>IF('Ch6 EOT Results'!K28="","","Comments:")</f>
        <v/>
      </c>
      <c r="K147">
        <f>IF('Ch6 EOT Results'!K29="","","Comments:")</f>
        <v/>
      </c>
    </row>
    <row r="149">
      <c r="A149">
        <f>IF('Ch6 EOT Results'!K30="","","Chapter 6 End of Topic Test — Probabilities &amp; Estimation")</f>
        <v/>
      </c>
      <c r="K149">
        <f>IF('Ch6 EOT Results'!K31="","","Chapter 6 End of Topic Test — Probabilities &amp; Estimation")</f>
        <v/>
      </c>
    </row>
    <row r="150">
      <c r="A150">
        <f>IF('Ch6 EOT Results'!K30="","","Name: "&amp;'Ch6 EOT Results'!B30&amp;"   Class: "&amp;'Ch6 EOT Results'!$B$3&amp;"   Date: "&amp;TEXT('Ch6 EOT Results'!$B$5,"DD/MM/YY"))</f>
        <v/>
      </c>
      <c r="K150">
        <f>IF('Ch6 EOT Results'!K31="","","Name: "&amp;'Ch6 EOT Results'!B31&amp;"   Class: "&amp;'Ch6 EOT Results'!$B$3&amp;"   Date: "&amp;TEXT('Ch6 EOT Results'!$B$5,"DD/MM/YY"))</f>
        <v/>
      </c>
    </row>
    <row r="151">
      <c r="A151">
        <f>IF('Ch6 EOT Results'!K30="","","Total: "&amp;'Ch6 EOT Results'!I30&amp;"/48 ("&amp;TEXT('Ch6 EOT Results'!J30,"0%")&amp;")   Overall: "&amp;'Ch6 EOT Results'!K30)</f>
        <v/>
      </c>
      <c r="K151">
        <f>IF('Ch6 EOT Results'!K31="","","Total: "&amp;'Ch6 EOT Results'!I31&amp;"/48 ("&amp;TEXT('Ch6 EOT Results'!J31,"0%")&amp;")   Overall: "&amp;'Ch6 EOT Results'!K31)</f>
        <v/>
      </c>
    </row>
    <row r="152">
      <c r="A152">
        <f>IF('Ch6 EOT Results'!K30="","",IF('Ch6 EOT Results'!K30="Green",Parameters!$C$385,IF('Ch6 EOT Results'!K30="Yellow",Parameters!$C$384,Parameters!$C$383)))</f>
        <v/>
      </c>
      <c r="K152">
        <f>IF('Ch6 EOT Results'!K31="","",IF('Ch6 EOT Results'!K31="Green",Parameters!$C$385,IF('Ch6 EOT Results'!K31="Yellow",Parameters!$C$384,Parameters!$C$383)))</f>
        <v/>
      </c>
    </row>
    <row r="154">
      <c r="A154">
        <f>IF('Ch6 EOT Results'!K30="","","Breakdown:")</f>
        <v/>
      </c>
      <c r="K154">
        <f>IF('Ch6 EOT Results'!K31="","","Breakdown:")</f>
        <v/>
      </c>
    </row>
    <row r="155">
      <c r="A155">
        <f>IF('Ch6 EOT Results'!K30="","","Q1 CI for a mean (t-distribution): "&amp;'Ch6 EOT Results'!C30&amp;"/10")</f>
        <v/>
      </c>
      <c r="K155">
        <f>IF('Ch6 EOT Results'!K31="","","Q1 CI for a mean (t-distribution): "&amp;'Ch6 EOT Results'!C31&amp;"/10")</f>
        <v/>
      </c>
    </row>
    <row r="156">
      <c r="A156">
        <f>IF('Ch6 EOT Results'!K30="","","Q2 CI for a proportion: "&amp;'Ch6 EOT Results'!D30&amp;"/9")</f>
        <v/>
      </c>
      <c r="K156">
        <f>IF('Ch6 EOT Results'!K31="","","Q2 CI for a proportion: "&amp;'Ch6 EOT Results'!D31&amp;"/9")</f>
        <v/>
      </c>
    </row>
    <row r="157">
      <c r="A157">
        <f>IF('Ch6 EOT Results'!K30="","","Q3 Sample size: "&amp;'Ch6 EOT Results'!E30&amp;"/6")</f>
        <v/>
      </c>
      <c r="K157">
        <f>IF('Ch6 EOT Results'!K31="","","Q3 Sample size: "&amp;'Ch6 EOT Results'!E31&amp;"/6")</f>
        <v/>
      </c>
    </row>
    <row r="158">
      <c r="A158">
        <f>IF('Ch6 EOT Results'!K30="","","Q4 Critical values &amp; confidence levels: "&amp;'Ch6 EOT Results'!F30&amp;"/5")</f>
        <v/>
      </c>
      <c r="K158">
        <f>IF('Ch6 EOT Results'!K31="","","Q4 Critical values &amp; confidence levels: "&amp;'Ch6 EOT Results'!F31&amp;"/5")</f>
        <v/>
      </c>
    </row>
    <row r="159">
      <c r="A159">
        <f>IF('Ch6 EOT Results'!K30="","","Q5 Interpretation and misconceptions: "&amp;'Ch6 EOT Results'!G30&amp;"/8")</f>
        <v/>
      </c>
      <c r="K159">
        <f>IF('Ch6 EOT Results'!K31="","","Q5 Interpretation and misconceptions: "&amp;'Ch6 EOT Results'!G31&amp;"/8")</f>
        <v/>
      </c>
    </row>
    <row r="160">
      <c r="A160">
        <f>IF('Ch6 EOT Results'!K30="","","Q6 Applying CIs to decision making: "&amp;'Ch6 EOT Results'!H30&amp;"/10")</f>
        <v/>
      </c>
      <c r="K160">
        <f>IF('Ch6 EOT Results'!K31="","","Q6 Applying CIs to decision making: "&amp;'Ch6 EOT Results'!H31&amp;"/10")</f>
        <v/>
      </c>
    </row>
    <row r="161">
      <c r="A161">
        <f>IF(OR('Ch6 EOT Results'!K30="",'Ch6 EOT Results'!L30=""),"",'Ch6 EOT Results'!L30)</f>
        <v/>
      </c>
      <c r="K161">
        <f>IF(OR('Ch6 EOT Results'!K31="",'Ch6 EOT Results'!L31=""),"",'Ch6 EOT Results'!L31)</f>
        <v/>
      </c>
    </row>
    <row r="163">
      <c r="A163">
        <f>IF('Ch6 EOT Results'!K30="","","Comments:")</f>
        <v/>
      </c>
      <c r="K163">
        <f>IF('Ch6 EOT Results'!K31="","","Comments:")</f>
        <v/>
      </c>
    </row>
    <row r="165">
      <c r="A165">
        <f>IF('Ch6 EOT Results'!K32="","","Chapter 6 End of Topic Test — Probabilities &amp; Estimation")</f>
        <v/>
      </c>
      <c r="K165">
        <f>IF('Ch6 EOT Results'!K33="","","Chapter 6 End of Topic Test — Probabilities &amp; Estimation")</f>
        <v/>
      </c>
    </row>
    <row r="166">
      <c r="A166">
        <f>IF('Ch6 EOT Results'!K32="","","Name: "&amp;'Ch6 EOT Results'!B32&amp;"   Class: "&amp;'Ch6 EOT Results'!$B$3&amp;"   Date: "&amp;TEXT('Ch6 EOT Results'!$B$5,"DD/MM/YY"))</f>
        <v/>
      </c>
      <c r="K166">
        <f>IF('Ch6 EOT Results'!K33="","","Name: "&amp;'Ch6 EOT Results'!B33&amp;"   Class: "&amp;'Ch6 EOT Results'!$B$3&amp;"   Date: "&amp;TEXT('Ch6 EOT Results'!$B$5,"DD/MM/YY"))</f>
        <v/>
      </c>
    </row>
    <row r="167">
      <c r="A167">
        <f>IF('Ch6 EOT Results'!K32="","","Total: "&amp;'Ch6 EOT Results'!I32&amp;"/48 ("&amp;TEXT('Ch6 EOT Results'!J32,"0%")&amp;")   Overall: "&amp;'Ch6 EOT Results'!K32)</f>
        <v/>
      </c>
      <c r="K167">
        <f>IF('Ch6 EOT Results'!K33="","","Total: "&amp;'Ch6 EOT Results'!I33&amp;"/48 ("&amp;TEXT('Ch6 EOT Results'!J33,"0%")&amp;")   Overall: "&amp;'Ch6 EOT Results'!K33)</f>
        <v/>
      </c>
    </row>
    <row r="168">
      <c r="A168">
        <f>IF('Ch6 EOT Results'!K32="","",IF('Ch6 EOT Results'!K32="Green",Parameters!$C$385,IF('Ch6 EOT Results'!K32="Yellow",Parameters!$C$384,Parameters!$C$383)))</f>
        <v/>
      </c>
      <c r="K168">
        <f>IF('Ch6 EOT Results'!K33="","",IF('Ch6 EOT Results'!K33="Green",Parameters!$C$385,IF('Ch6 EOT Results'!K33="Yellow",Parameters!$C$384,Parameters!$C$383)))</f>
        <v/>
      </c>
    </row>
    <row r="170">
      <c r="A170">
        <f>IF('Ch6 EOT Results'!K32="","","Breakdown:")</f>
        <v/>
      </c>
      <c r="K170">
        <f>IF('Ch6 EOT Results'!K33="","","Breakdown:")</f>
        <v/>
      </c>
    </row>
    <row r="171">
      <c r="A171">
        <f>IF('Ch6 EOT Results'!K32="","","Q1 CI for a mean (t-distribution): "&amp;'Ch6 EOT Results'!C32&amp;"/10")</f>
        <v/>
      </c>
      <c r="K171">
        <f>IF('Ch6 EOT Results'!K33="","","Q1 CI for a mean (t-distribution): "&amp;'Ch6 EOT Results'!C33&amp;"/10")</f>
        <v/>
      </c>
    </row>
    <row r="172">
      <c r="A172">
        <f>IF('Ch6 EOT Results'!K32="","","Q2 CI for a proportion: "&amp;'Ch6 EOT Results'!D32&amp;"/9")</f>
        <v/>
      </c>
      <c r="K172">
        <f>IF('Ch6 EOT Results'!K33="","","Q2 CI for a proportion: "&amp;'Ch6 EOT Results'!D33&amp;"/9")</f>
        <v/>
      </c>
    </row>
    <row r="173">
      <c r="A173">
        <f>IF('Ch6 EOT Results'!K32="","","Q3 Sample size: "&amp;'Ch6 EOT Results'!E32&amp;"/6")</f>
        <v/>
      </c>
      <c r="K173">
        <f>IF('Ch6 EOT Results'!K33="","","Q3 Sample size: "&amp;'Ch6 EOT Results'!E33&amp;"/6")</f>
        <v/>
      </c>
    </row>
    <row r="174">
      <c r="A174">
        <f>IF('Ch6 EOT Results'!K32="","","Q4 Critical values &amp; confidence levels: "&amp;'Ch6 EOT Results'!F32&amp;"/5")</f>
        <v/>
      </c>
      <c r="K174">
        <f>IF('Ch6 EOT Results'!K33="","","Q4 Critical values &amp; confidence levels: "&amp;'Ch6 EOT Results'!F33&amp;"/5")</f>
        <v/>
      </c>
    </row>
    <row r="175">
      <c r="A175">
        <f>IF('Ch6 EOT Results'!K32="","","Q5 Interpretation and misconceptions: "&amp;'Ch6 EOT Results'!G32&amp;"/8")</f>
        <v/>
      </c>
      <c r="K175">
        <f>IF('Ch6 EOT Results'!K33="","","Q5 Interpretation and misconceptions: "&amp;'Ch6 EOT Results'!G33&amp;"/8")</f>
        <v/>
      </c>
    </row>
    <row r="176">
      <c r="A176">
        <f>IF('Ch6 EOT Results'!K32="","","Q6 Applying CIs to decision making: "&amp;'Ch6 EOT Results'!H32&amp;"/10")</f>
        <v/>
      </c>
      <c r="K176">
        <f>IF('Ch6 EOT Results'!K33="","","Q6 Applying CIs to decision making: "&amp;'Ch6 EOT Results'!H33&amp;"/10")</f>
        <v/>
      </c>
    </row>
    <row r="177">
      <c r="A177">
        <f>IF(OR('Ch6 EOT Results'!K32="",'Ch6 EOT Results'!L32=""),"",'Ch6 EOT Results'!L32)</f>
        <v/>
      </c>
      <c r="K177">
        <f>IF(OR('Ch6 EOT Results'!K33="",'Ch6 EOT Results'!L33=""),"",'Ch6 EOT Results'!L33)</f>
        <v/>
      </c>
    </row>
    <row r="179">
      <c r="A179">
        <f>IF('Ch6 EOT Results'!K32="","","Comments:")</f>
        <v/>
      </c>
      <c r="K179">
        <f>IF('Ch6 EOT Results'!K33="","","Comments:")</f>
        <v/>
      </c>
    </row>
    <row r="181">
      <c r="A181">
        <f>IF('Ch6 EOT Results'!K34="","","Chapter 6 End of Topic Test — Probabilities &amp; Estimation")</f>
        <v/>
      </c>
      <c r="K181">
        <f>IF('Ch6 EOT Results'!K35="","","Chapter 6 End of Topic Test — Probabilities &amp; Estimation")</f>
        <v/>
      </c>
    </row>
    <row r="182">
      <c r="A182">
        <f>IF('Ch6 EOT Results'!K34="","","Name: "&amp;'Ch6 EOT Results'!B34&amp;"   Class: "&amp;'Ch6 EOT Results'!$B$3&amp;"   Date: "&amp;TEXT('Ch6 EOT Results'!$B$5,"DD/MM/YY"))</f>
        <v/>
      </c>
      <c r="K182">
        <f>IF('Ch6 EOT Results'!K35="","","Name: "&amp;'Ch6 EOT Results'!B35&amp;"   Class: "&amp;'Ch6 EOT Results'!$B$3&amp;"   Date: "&amp;TEXT('Ch6 EOT Results'!$B$5,"DD/MM/YY"))</f>
        <v/>
      </c>
    </row>
    <row r="183">
      <c r="A183">
        <f>IF('Ch6 EOT Results'!K34="","","Total: "&amp;'Ch6 EOT Results'!I34&amp;"/48 ("&amp;TEXT('Ch6 EOT Results'!J34,"0%")&amp;")   Overall: "&amp;'Ch6 EOT Results'!K34)</f>
        <v/>
      </c>
      <c r="K183">
        <f>IF('Ch6 EOT Results'!K35="","","Total: "&amp;'Ch6 EOT Results'!I35&amp;"/48 ("&amp;TEXT('Ch6 EOT Results'!J35,"0%")&amp;")   Overall: "&amp;'Ch6 EOT Results'!K35)</f>
        <v/>
      </c>
    </row>
    <row r="184">
      <c r="A184">
        <f>IF('Ch6 EOT Results'!K34="","",IF('Ch6 EOT Results'!K34="Green",Parameters!$C$385,IF('Ch6 EOT Results'!K34="Yellow",Parameters!$C$384,Parameters!$C$383)))</f>
        <v/>
      </c>
      <c r="K184">
        <f>IF('Ch6 EOT Results'!K35="","",IF('Ch6 EOT Results'!K35="Green",Parameters!$C$385,IF('Ch6 EOT Results'!K35="Yellow",Parameters!$C$384,Parameters!$C$383)))</f>
        <v/>
      </c>
    </row>
    <row r="186">
      <c r="A186">
        <f>IF('Ch6 EOT Results'!K34="","","Breakdown:")</f>
        <v/>
      </c>
      <c r="K186">
        <f>IF('Ch6 EOT Results'!K35="","","Breakdown:")</f>
        <v/>
      </c>
    </row>
    <row r="187">
      <c r="A187">
        <f>IF('Ch6 EOT Results'!K34="","","Q1 CI for a mean (t-distribution): "&amp;'Ch6 EOT Results'!C34&amp;"/10")</f>
        <v/>
      </c>
      <c r="K187">
        <f>IF('Ch6 EOT Results'!K35="","","Q1 CI for a mean (t-distribution): "&amp;'Ch6 EOT Results'!C35&amp;"/10")</f>
        <v/>
      </c>
    </row>
    <row r="188">
      <c r="A188">
        <f>IF('Ch6 EOT Results'!K34="","","Q2 CI for a proportion: "&amp;'Ch6 EOT Results'!D34&amp;"/9")</f>
        <v/>
      </c>
      <c r="K188">
        <f>IF('Ch6 EOT Results'!K35="","","Q2 CI for a proportion: "&amp;'Ch6 EOT Results'!D35&amp;"/9")</f>
        <v/>
      </c>
    </row>
    <row r="189">
      <c r="A189">
        <f>IF('Ch6 EOT Results'!K34="","","Q3 Sample size: "&amp;'Ch6 EOT Results'!E34&amp;"/6")</f>
        <v/>
      </c>
      <c r="K189">
        <f>IF('Ch6 EOT Results'!K35="","","Q3 Sample size: "&amp;'Ch6 EOT Results'!E35&amp;"/6")</f>
        <v/>
      </c>
    </row>
    <row r="190">
      <c r="A190">
        <f>IF('Ch6 EOT Results'!K34="","","Q4 Critical values &amp; confidence levels: "&amp;'Ch6 EOT Results'!F34&amp;"/5")</f>
        <v/>
      </c>
      <c r="K190">
        <f>IF('Ch6 EOT Results'!K35="","","Q4 Critical values &amp; confidence levels: "&amp;'Ch6 EOT Results'!F35&amp;"/5")</f>
        <v/>
      </c>
    </row>
    <row r="191">
      <c r="A191">
        <f>IF('Ch6 EOT Results'!K34="","","Q5 Interpretation and misconceptions: "&amp;'Ch6 EOT Results'!G34&amp;"/8")</f>
        <v/>
      </c>
      <c r="K191">
        <f>IF('Ch6 EOT Results'!K35="","","Q5 Interpretation and misconceptions: "&amp;'Ch6 EOT Results'!G35&amp;"/8")</f>
        <v/>
      </c>
    </row>
    <row r="192">
      <c r="A192">
        <f>IF('Ch6 EOT Results'!K34="","","Q6 Applying CIs to decision making: "&amp;'Ch6 EOT Results'!H34&amp;"/10")</f>
        <v/>
      </c>
      <c r="K192">
        <f>IF('Ch6 EOT Results'!K35="","","Q6 Applying CIs to decision making: "&amp;'Ch6 EOT Results'!H35&amp;"/10")</f>
        <v/>
      </c>
    </row>
    <row r="193">
      <c r="A193">
        <f>IF(OR('Ch6 EOT Results'!K34="",'Ch6 EOT Results'!L34=""),"",'Ch6 EOT Results'!L34)</f>
        <v/>
      </c>
      <c r="K193">
        <f>IF(OR('Ch6 EOT Results'!K35="",'Ch6 EOT Results'!L35=""),"",'Ch6 EOT Results'!L35)</f>
        <v/>
      </c>
    </row>
    <row r="195">
      <c r="A195">
        <f>IF('Ch6 EOT Results'!K34="","","Comments:")</f>
        <v/>
      </c>
      <c r="K195">
        <f>IF('Ch6 EOT Results'!K35="","","Comments:")</f>
        <v/>
      </c>
    </row>
    <row r="197">
      <c r="A197">
        <f>IF('Ch6 EOT Results'!K36="","","Chapter 6 End of Topic Test — Probabilities &amp; Estimation")</f>
        <v/>
      </c>
      <c r="K197">
        <f>IF('Ch6 EOT Results'!K37="","","Chapter 6 End of Topic Test — Probabilities &amp; Estimation")</f>
        <v/>
      </c>
    </row>
    <row r="198">
      <c r="A198">
        <f>IF('Ch6 EOT Results'!K36="","","Name: "&amp;'Ch6 EOT Results'!B36&amp;"   Class: "&amp;'Ch6 EOT Results'!$B$3&amp;"   Date: "&amp;TEXT('Ch6 EOT Results'!$B$5,"DD/MM/YY"))</f>
        <v/>
      </c>
      <c r="K198">
        <f>IF('Ch6 EOT Results'!K37="","","Name: "&amp;'Ch6 EOT Results'!B37&amp;"   Class: "&amp;'Ch6 EOT Results'!$B$3&amp;"   Date: "&amp;TEXT('Ch6 EOT Results'!$B$5,"DD/MM/YY"))</f>
        <v/>
      </c>
    </row>
    <row r="199">
      <c r="A199">
        <f>IF('Ch6 EOT Results'!K36="","","Total: "&amp;'Ch6 EOT Results'!I36&amp;"/48 ("&amp;TEXT('Ch6 EOT Results'!J36,"0%")&amp;")   Overall: "&amp;'Ch6 EOT Results'!K36)</f>
        <v/>
      </c>
      <c r="K199">
        <f>IF('Ch6 EOT Results'!K37="","","Total: "&amp;'Ch6 EOT Results'!I37&amp;"/48 ("&amp;TEXT('Ch6 EOT Results'!J37,"0%")&amp;")   Overall: "&amp;'Ch6 EOT Results'!K37)</f>
        <v/>
      </c>
    </row>
    <row r="200">
      <c r="A200">
        <f>IF('Ch6 EOT Results'!K36="","",IF('Ch6 EOT Results'!K36="Green",Parameters!$C$385,IF('Ch6 EOT Results'!K36="Yellow",Parameters!$C$384,Parameters!$C$383)))</f>
        <v/>
      </c>
      <c r="K200">
        <f>IF('Ch6 EOT Results'!K37="","",IF('Ch6 EOT Results'!K37="Green",Parameters!$C$385,IF('Ch6 EOT Results'!K37="Yellow",Parameters!$C$384,Parameters!$C$383)))</f>
        <v/>
      </c>
    </row>
    <row r="202">
      <c r="A202">
        <f>IF('Ch6 EOT Results'!K36="","","Breakdown:")</f>
        <v/>
      </c>
      <c r="K202">
        <f>IF('Ch6 EOT Results'!K37="","","Breakdown:")</f>
        <v/>
      </c>
    </row>
    <row r="203">
      <c r="A203">
        <f>IF('Ch6 EOT Results'!K36="","","Q1 CI for a mean (t-distribution): "&amp;'Ch6 EOT Results'!C36&amp;"/10")</f>
        <v/>
      </c>
      <c r="K203">
        <f>IF('Ch6 EOT Results'!K37="","","Q1 CI for a mean (t-distribution): "&amp;'Ch6 EOT Results'!C37&amp;"/10")</f>
        <v/>
      </c>
    </row>
    <row r="204">
      <c r="A204">
        <f>IF('Ch6 EOT Results'!K36="","","Q2 CI for a proportion: "&amp;'Ch6 EOT Results'!D36&amp;"/9")</f>
        <v/>
      </c>
      <c r="K204">
        <f>IF('Ch6 EOT Results'!K37="","","Q2 CI for a proportion: "&amp;'Ch6 EOT Results'!D37&amp;"/9")</f>
        <v/>
      </c>
    </row>
    <row r="205">
      <c r="A205">
        <f>IF('Ch6 EOT Results'!K36="","","Q3 Sample size: "&amp;'Ch6 EOT Results'!E36&amp;"/6")</f>
        <v/>
      </c>
      <c r="K205">
        <f>IF('Ch6 EOT Results'!K37="","","Q3 Sample size: "&amp;'Ch6 EOT Results'!E37&amp;"/6")</f>
        <v/>
      </c>
    </row>
    <row r="206">
      <c r="A206">
        <f>IF('Ch6 EOT Results'!K36="","","Q4 Critical values &amp; confidence levels: "&amp;'Ch6 EOT Results'!F36&amp;"/5")</f>
        <v/>
      </c>
      <c r="K206">
        <f>IF('Ch6 EOT Results'!K37="","","Q4 Critical values &amp; confidence levels: "&amp;'Ch6 EOT Results'!F37&amp;"/5")</f>
        <v/>
      </c>
    </row>
    <row r="207">
      <c r="A207">
        <f>IF('Ch6 EOT Results'!K36="","","Q5 Interpretation and misconceptions: "&amp;'Ch6 EOT Results'!G36&amp;"/8")</f>
        <v/>
      </c>
      <c r="K207">
        <f>IF('Ch6 EOT Results'!K37="","","Q5 Interpretation and misconceptions: "&amp;'Ch6 EOT Results'!G37&amp;"/8")</f>
        <v/>
      </c>
    </row>
    <row r="208">
      <c r="A208">
        <f>IF('Ch6 EOT Results'!K36="","","Q6 Applying CIs to decision making: "&amp;'Ch6 EOT Results'!H36&amp;"/10")</f>
        <v/>
      </c>
      <c r="K208">
        <f>IF('Ch6 EOT Results'!K37="","","Q6 Applying CIs to decision making: "&amp;'Ch6 EOT Results'!H37&amp;"/10")</f>
        <v/>
      </c>
    </row>
    <row r="209">
      <c r="A209">
        <f>IF(OR('Ch6 EOT Results'!K36="",'Ch6 EOT Results'!L36=""),"",'Ch6 EOT Results'!L36)</f>
        <v/>
      </c>
      <c r="K209">
        <f>IF(OR('Ch6 EOT Results'!K37="",'Ch6 EOT Results'!L37=""),"",'Ch6 EOT Results'!L37)</f>
        <v/>
      </c>
    </row>
    <row r="211">
      <c r="A211">
        <f>IF('Ch6 EOT Results'!K36="","","Comments:")</f>
        <v/>
      </c>
      <c r="K211">
        <f>IF('Ch6 EOT Results'!K37="","","Comments:")</f>
        <v/>
      </c>
    </row>
    <row r="213">
      <c r="A213">
        <f>IF('Ch6 EOT Results'!K38="","","Chapter 6 End of Topic Test — Probabilities &amp; Estimation")</f>
        <v/>
      </c>
      <c r="K213">
        <f>IF('Ch6 EOT Results'!K39="","","Chapter 6 End of Topic Test — Probabilities &amp; Estimation")</f>
        <v/>
      </c>
    </row>
    <row r="214">
      <c r="A214">
        <f>IF('Ch6 EOT Results'!K38="","","Name: "&amp;'Ch6 EOT Results'!B38&amp;"   Class: "&amp;'Ch6 EOT Results'!$B$3&amp;"   Date: "&amp;TEXT('Ch6 EOT Results'!$B$5,"DD/MM/YY"))</f>
        <v/>
      </c>
      <c r="K214">
        <f>IF('Ch6 EOT Results'!K39="","","Name: "&amp;'Ch6 EOT Results'!B39&amp;"   Class: "&amp;'Ch6 EOT Results'!$B$3&amp;"   Date: "&amp;TEXT('Ch6 EOT Results'!$B$5,"DD/MM/YY"))</f>
        <v/>
      </c>
    </row>
    <row r="215">
      <c r="A215">
        <f>IF('Ch6 EOT Results'!K38="","","Total: "&amp;'Ch6 EOT Results'!I38&amp;"/48 ("&amp;TEXT('Ch6 EOT Results'!J38,"0%")&amp;")   Overall: "&amp;'Ch6 EOT Results'!K38)</f>
        <v/>
      </c>
      <c r="K215">
        <f>IF('Ch6 EOT Results'!K39="","","Total: "&amp;'Ch6 EOT Results'!I39&amp;"/48 ("&amp;TEXT('Ch6 EOT Results'!J39,"0%")&amp;")   Overall: "&amp;'Ch6 EOT Results'!K39)</f>
        <v/>
      </c>
    </row>
    <row r="216">
      <c r="A216">
        <f>IF('Ch6 EOT Results'!K38="","",IF('Ch6 EOT Results'!K38="Green",Parameters!$C$385,IF('Ch6 EOT Results'!K38="Yellow",Parameters!$C$384,Parameters!$C$383)))</f>
        <v/>
      </c>
      <c r="K216">
        <f>IF('Ch6 EOT Results'!K39="","",IF('Ch6 EOT Results'!K39="Green",Parameters!$C$385,IF('Ch6 EOT Results'!K39="Yellow",Parameters!$C$384,Parameters!$C$383)))</f>
        <v/>
      </c>
    </row>
    <row r="218">
      <c r="A218">
        <f>IF('Ch6 EOT Results'!K38="","","Breakdown:")</f>
        <v/>
      </c>
      <c r="K218">
        <f>IF('Ch6 EOT Results'!K39="","","Breakdown:")</f>
        <v/>
      </c>
    </row>
    <row r="219">
      <c r="A219">
        <f>IF('Ch6 EOT Results'!K38="","","Q1 CI for a mean (t-distribution): "&amp;'Ch6 EOT Results'!C38&amp;"/10")</f>
        <v/>
      </c>
      <c r="K219">
        <f>IF('Ch6 EOT Results'!K39="","","Q1 CI for a mean (t-distribution): "&amp;'Ch6 EOT Results'!C39&amp;"/10")</f>
        <v/>
      </c>
    </row>
    <row r="220">
      <c r="A220">
        <f>IF('Ch6 EOT Results'!K38="","","Q2 CI for a proportion: "&amp;'Ch6 EOT Results'!D38&amp;"/9")</f>
        <v/>
      </c>
      <c r="K220">
        <f>IF('Ch6 EOT Results'!K39="","","Q2 CI for a proportion: "&amp;'Ch6 EOT Results'!D39&amp;"/9")</f>
        <v/>
      </c>
    </row>
    <row r="221">
      <c r="A221">
        <f>IF('Ch6 EOT Results'!K38="","","Q3 Sample size: "&amp;'Ch6 EOT Results'!E38&amp;"/6")</f>
        <v/>
      </c>
      <c r="K221">
        <f>IF('Ch6 EOT Results'!K39="","","Q3 Sample size: "&amp;'Ch6 EOT Results'!E39&amp;"/6")</f>
        <v/>
      </c>
    </row>
    <row r="222">
      <c r="A222">
        <f>IF('Ch6 EOT Results'!K38="","","Q4 Critical values &amp; confidence levels: "&amp;'Ch6 EOT Results'!F38&amp;"/5")</f>
        <v/>
      </c>
      <c r="K222">
        <f>IF('Ch6 EOT Results'!K39="","","Q4 Critical values &amp; confidence levels: "&amp;'Ch6 EOT Results'!F39&amp;"/5")</f>
        <v/>
      </c>
    </row>
    <row r="223">
      <c r="A223">
        <f>IF('Ch6 EOT Results'!K38="","","Q5 Interpretation and misconceptions: "&amp;'Ch6 EOT Results'!G38&amp;"/8")</f>
        <v/>
      </c>
      <c r="K223">
        <f>IF('Ch6 EOT Results'!K39="","","Q5 Interpretation and misconceptions: "&amp;'Ch6 EOT Results'!G39&amp;"/8")</f>
        <v/>
      </c>
    </row>
    <row r="224">
      <c r="A224">
        <f>IF('Ch6 EOT Results'!K38="","","Q6 Applying CIs to decision making: "&amp;'Ch6 EOT Results'!H38&amp;"/10")</f>
        <v/>
      </c>
      <c r="K224">
        <f>IF('Ch6 EOT Results'!K39="","","Q6 Applying CIs to decision making: "&amp;'Ch6 EOT Results'!H39&amp;"/10")</f>
        <v/>
      </c>
    </row>
    <row r="225">
      <c r="A225">
        <f>IF(OR('Ch6 EOT Results'!K38="",'Ch6 EOT Results'!L38=""),"",'Ch6 EOT Results'!L38)</f>
        <v/>
      </c>
      <c r="K225">
        <f>IF(OR('Ch6 EOT Results'!K39="",'Ch6 EOT Results'!L39=""),"",'Ch6 EOT Results'!L39)</f>
        <v/>
      </c>
    </row>
    <row r="227">
      <c r="A227">
        <f>IF('Ch6 EOT Results'!K38="","","Comments:")</f>
        <v/>
      </c>
      <c r="K227">
        <f>IF('Ch6 EOT Results'!K39="","","Comments:")</f>
        <v/>
      </c>
    </row>
    <row r="229">
      <c r="A229">
        <f>IF('Ch6 EOT Results'!K40="","","Chapter 6 End of Topic Test — Probabilities &amp; Estimation")</f>
        <v/>
      </c>
      <c r="K229">
        <f>IF('Ch6 EOT Results'!K41="","","Chapter 6 End of Topic Test — Probabilities &amp; Estimation")</f>
        <v/>
      </c>
    </row>
    <row r="230">
      <c r="A230">
        <f>IF('Ch6 EOT Results'!K40="","","Name: "&amp;'Ch6 EOT Results'!B40&amp;"   Class: "&amp;'Ch6 EOT Results'!$B$3&amp;"   Date: "&amp;TEXT('Ch6 EOT Results'!$B$5,"DD/MM/YY"))</f>
        <v/>
      </c>
      <c r="K230">
        <f>IF('Ch6 EOT Results'!K41="","","Name: "&amp;'Ch6 EOT Results'!B41&amp;"   Class: "&amp;'Ch6 EOT Results'!$B$3&amp;"   Date: "&amp;TEXT('Ch6 EOT Results'!$B$5,"DD/MM/YY"))</f>
        <v/>
      </c>
    </row>
    <row r="231">
      <c r="A231">
        <f>IF('Ch6 EOT Results'!K40="","","Total: "&amp;'Ch6 EOT Results'!I40&amp;"/48 ("&amp;TEXT('Ch6 EOT Results'!J40,"0%")&amp;")   Overall: "&amp;'Ch6 EOT Results'!K40)</f>
        <v/>
      </c>
      <c r="K231">
        <f>IF('Ch6 EOT Results'!K41="","","Total: "&amp;'Ch6 EOT Results'!I41&amp;"/48 ("&amp;TEXT('Ch6 EOT Results'!J41,"0%")&amp;")   Overall: "&amp;'Ch6 EOT Results'!K41)</f>
        <v/>
      </c>
    </row>
    <row r="232">
      <c r="A232">
        <f>IF('Ch6 EOT Results'!K40="","",IF('Ch6 EOT Results'!K40="Green",Parameters!$C$385,IF('Ch6 EOT Results'!K40="Yellow",Parameters!$C$384,Parameters!$C$383)))</f>
        <v/>
      </c>
      <c r="K232">
        <f>IF('Ch6 EOT Results'!K41="","",IF('Ch6 EOT Results'!K41="Green",Parameters!$C$385,IF('Ch6 EOT Results'!K41="Yellow",Parameters!$C$384,Parameters!$C$383)))</f>
        <v/>
      </c>
    </row>
    <row r="234">
      <c r="A234">
        <f>IF('Ch6 EOT Results'!K40="","","Breakdown:")</f>
        <v/>
      </c>
      <c r="K234">
        <f>IF('Ch6 EOT Results'!K41="","","Breakdown:")</f>
        <v/>
      </c>
    </row>
    <row r="235">
      <c r="A235">
        <f>IF('Ch6 EOT Results'!K40="","","Q1 CI for a mean (t-distribution): "&amp;'Ch6 EOT Results'!C40&amp;"/10")</f>
        <v/>
      </c>
      <c r="K235">
        <f>IF('Ch6 EOT Results'!K41="","","Q1 CI for a mean (t-distribution): "&amp;'Ch6 EOT Results'!C41&amp;"/10")</f>
        <v/>
      </c>
    </row>
    <row r="236">
      <c r="A236">
        <f>IF('Ch6 EOT Results'!K40="","","Q2 CI for a proportion: "&amp;'Ch6 EOT Results'!D40&amp;"/9")</f>
        <v/>
      </c>
      <c r="K236">
        <f>IF('Ch6 EOT Results'!K41="","","Q2 CI for a proportion: "&amp;'Ch6 EOT Results'!D41&amp;"/9")</f>
        <v/>
      </c>
    </row>
    <row r="237">
      <c r="A237">
        <f>IF('Ch6 EOT Results'!K40="","","Q3 Sample size: "&amp;'Ch6 EOT Results'!E40&amp;"/6")</f>
        <v/>
      </c>
      <c r="K237">
        <f>IF('Ch6 EOT Results'!K41="","","Q3 Sample size: "&amp;'Ch6 EOT Results'!E41&amp;"/6")</f>
        <v/>
      </c>
    </row>
    <row r="238">
      <c r="A238">
        <f>IF('Ch6 EOT Results'!K40="","","Q4 Critical values &amp; confidence levels: "&amp;'Ch6 EOT Results'!F40&amp;"/5")</f>
        <v/>
      </c>
      <c r="K238">
        <f>IF('Ch6 EOT Results'!K41="","","Q4 Critical values &amp; confidence levels: "&amp;'Ch6 EOT Results'!F41&amp;"/5")</f>
        <v/>
      </c>
    </row>
    <row r="239">
      <c r="A239">
        <f>IF('Ch6 EOT Results'!K40="","","Q5 Interpretation and misconceptions: "&amp;'Ch6 EOT Results'!G40&amp;"/8")</f>
        <v/>
      </c>
      <c r="K239">
        <f>IF('Ch6 EOT Results'!K41="","","Q5 Interpretation and misconceptions: "&amp;'Ch6 EOT Results'!G41&amp;"/8")</f>
        <v/>
      </c>
    </row>
    <row r="240">
      <c r="A240">
        <f>IF('Ch6 EOT Results'!K40="","","Q6 Applying CIs to decision making: "&amp;'Ch6 EOT Results'!H40&amp;"/10")</f>
        <v/>
      </c>
      <c r="K240">
        <f>IF('Ch6 EOT Results'!K41="","","Q6 Applying CIs to decision making: "&amp;'Ch6 EOT Results'!H41&amp;"/10")</f>
        <v/>
      </c>
    </row>
    <row r="241">
      <c r="A241">
        <f>IF(OR('Ch6 EOT Results'!K40="",'Ch6 EOT Results'!L40=""),"",'Ch6 EOT Results'!L40)</f>
        <v/>
      </c>
      <c r="K241">
        <f>IF(OR('Ch6 EOT Results'!K41="",'Ch6 EOT Results'!L41=""),"",'Ch6 EOT Results'!L41)</f>
        <v/>
      </c>
    </row>
    <row r="243">
      <c r="A243">
        <f>IF('Ch6 EOT Results'!K40="","","Comments:")</f>
        <v/>
      </c>
      <c r="K243">
        <f>IF('Ch6 EOT Results'!K41="","","Comments:")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8" customWidth="1" min="10" max="10"/>
    <col width="10" customWidth="1" min="11" max="11"/>
    <col width="45" customWidth="1" min="12" max="12"/>
  </cols>
  <sheetData>
    <row r="1">
      <c r="A1" s="11" t="inlineStr">
        <is>
          <t>Chapter 6 End of Topic Test 2 — Probabilities &amp; Estimation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CI for a mean
(/10)</t>
        </is>
      </c>
      <c r="D9" s="12" t="inlineStr">
        <is>
          <t>Q2
CI for a proportion
(/9)</t>
        </is>
      </c>
      <c r="E9" s="12" t="inlineStr">
        <is>
          <t>Q3
Sample size
(/6)</t>
        </is>
      </c>
      <c r="F9" s="12" t="inlineStr">
        <is>
          <t>Q4
Critical values
(/5)</t>
        </is>
      </c>
      <c r="G9" s="12" t="inlineStr">
        <is>
          <t>Q5
Interpretation
(/8)</t>
        </is>
      </c>
      <c r="H9" s="12" t="inlineStr">
        <is>
          <t>Q6
CIs in decisions
(/10)</t>
        </is>
      </c>
      <c r="I9" s="12" t="inlineStr">
        <is>
          <t>Total
(/48)</t>
        </is>
      </c>
      <c r="J9" s="12" t="inlineStr">
        <is>
          <t>%</t>
        </is>
      </c>
      <c r="K9" s="12" t="inlineStr">
        <is>
          <t>Overall</t>
        </is>
      </c>
      <c r="L9" s="12" t="inlineStr">
        <is>
          <t>Focus for next steps</t>
        </is>
      </c>
      <c r="M9" s="12" t="inlineStr">
        <is>
          <t>Q1%</t>
        </is>
      </c>
      <c r="N9" s="12" t="inlineStr">
        <is>
          <t>Q2%</t>
        </is>
      </c>
      <c r="O9" s="12" t="inlineStr">
        <is>
          <t>Q3%</t>
        </is>
      </c>
      <c r="P9" s="12" t="inlineStr">
        <is>
          <t>Q4%</t>
        </is>
      </c>
      <c r="Q9" s="12" t="inlineStr">
        <is>
          <t>Q5%</t>
        </is>
      </c>
      <c r="R9" s="12" t="inlineStr">
        <is>
          <t>Q6%</t>
        </is>
      </c>
    </row>
    <row r="10">
      <c r="A10" s="3" t="n"/>
      <c r="B10" s="3" t="inlineStr">
        <is>
          <t>Max marks</t>
        </is>
      </c>
      <c r="C10" s="3" t="n">
        <v>10</v>
      </c>
      <c r="D10" s="3" t="n">
        <v>9</v>
      </c>
      <c r="E10" s="3" t="n">
        <v>6</v>
      </c>
      <c r="F10" s="3" t="n">
        <v>5</v>
      </c>
      <c r="G10" s="3" t="n">
        <v>8</v>
      </c>
      <c r="H10" s="3" t="n">
        <v>10</v>
      </c>
      <c r="I10" s="3" t="n">
        <v>48</v>
      </c>
      <c r="J10" s="3" t="inlineStr">
        <is>
          <t>100%</t>
        </is>
      </c>
      <c r="K10" s="3" t="n"/>
      <c r="L10" s="3" t="n"/>
      <c r="M10" s="3" t="n"/>
      <c r="N10" s="3" t="n"/>
      <c r="O10" s="3" t="n"/>
      <c r="P10" s="3" t="n"/>
      <c r="Q10" s="3" t="n"/>
      <c r="R10" s="3" t="n"/>
    </row>
    <row r="11">
      <c r="A11" s="13" t="n">
        <v>1</v>
      </c>
      <c r="B11" s="13" t="inlineStr">
        <is>
          <t>Example pupil (edit me)</t>
        </is>
      </c>
      <c r="C11" s="13" t="n">
        <v>8</v>
      </c>
      <c r="D11" s="13" t="n">
        <v>7</v>
      </c>
      <c r="E11" s="13" t="n">
        <v>5</v>
      </c>
      <c r="F11" s="13" t="n">
        <v>4</v>
      </c>
      <c r="G11" s="13" t="n">
        <v>6</v>
      </c>
      <c r="H11" s="13" t="n">
        <v>8</v>
      </c>
      <c r="I11" s="13">
        <f>IF(COUNT(C11:H11)&lt;6,"",SUM(C11:H11))</f>
        <v/>
      </c>
      <c r="J11" s="13">
        <f>IF(COUNT(C11:H11)&lt;6,"",I11/48)</f>
        <v/>
      </c>
      <c r="K11" s="13">
        <f>IF(COUNT(C11:H11)&lt;6,"",IF(J11&gt;=0.8,"Green",IF(J11&gt;=0.5,"Yellow","Red")))</f>
        <v/>
      </c>
      <c r="L11" s="13">
        <f>IF(COUNT(C11:H11)&lt;6,"",IF(K11="Green","Well done! "&amp;Parameters!$C$402,"Revise: "&amp;_xlfn.TEXTJOIN(", ",TRUE(),IF(M11&lt;1,Parameters!$A$391,""),IF(N11&lt;1,Parameters!$A$392,""),IF(O11&lt;1,Parameters!$A$393,""),IF(P11&lt;1,Parameters!$A$394,""),IF(Q11&lt;1,Parameters!$A$395,""),IF(R11&lt;1,Parameters!$A$396,""))))</f>
        <v/>
      </c>
      <c r="M11" s="13">
        <f>IF(C11="","",C11/10)</f>
        <v/>
      </c>
      <c r="N11" s="13">
        <f>IF(D11="","",D11/9)</f>
        <v/>
      </c>
      <c r="O11" s="13">
        <f>IF(E11="","",E11/6)</f>
        <v/>
      </c>
      <c r="P11" s="13">
        <f>IF(F11="","",F11/5)</f>
        <v/>
      </c>
      <c r="Q11" s="13">
        <f>IF(G11="","",G11/8)</f>
        <v/>
      </c>
      <c r="R11" s="13">
        <f>IF(H11="","",H11/10)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4" t="n"/>
      <c r="H12" s="14" t="n"/>
      <c r="I12" s="13">
        <f>IF(COUNT(C12:H12)&lt;6,"",SUM(C12:H12))</f>
        <v/>
      </c>
      <c r="J12" s="13">
        <f>IF(COUNT(C12:H12)&lt;6,"",I12/48)</f>
        <v/>
      </c>
      <c r="K12" s="13">
        <f>IF(COUNT(C12:H12)&lt;6,"",IF(J12&gt;=0.8,"Green",IF(J12&gt;=0.5,"Yellow","Red")))</f>
        <v/>
      </c>
      <c r="L12" s="13">
        <f>IF(COUNT(C12:H12)&lt;6,"",IF(K12="Green","Well done! "&amp;Parameters!$C$402,"Revise: "&amp;_xlfn.TEXTJOIN(", ",TRUE(),IF(M12&lt;1,Parameters!$A$391,""),IF(N12&lt;1,Parameters!$A$392,""),IF(O12&lt;1,Parameters!$A$393,""),IF(P12&lt;1,Parameters!$A$394,""),IF(Q12&lt;1,Parameters!$A$395,""),IF(R12&lt;1,Parameters!$A$396,""))))</f>
        <v/>
      </c>
      <c r="M12" s="13">
        <f>IF(C12="","",C12/10)</f>
        <v/>
      </c>
      <c r="N12" s="13">
        <f>IF(D12="","",D12/9)</f>
        <v/>
      </c>
      <c r="O12" s="13">
        <f>IF(E12="","",E12/6)</f>
        <v/>
      </c>
      <c r="P12" s="13">
        <f>IF(F12="","",F12/5)</f>
        <v/>
      </c>
      <c r="Q12" s="13">
        <f>IF(G12="","",G12/8)</f>
        <v/>
      </c>
      <c r="R12" s="13">
        <f>IF(H12="","",H12/10)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4" t="n"/>
      <c r="H13" s="14" t="n"/>
      <c r="I13" s="13">
        <f>IF(COUNT(C13:H13)&lt;6,"",SUM(C13:H13))</f>
        <v/>
      </c>
      <c r="J13" s="13">
        <f>IF(COUNT(C13:H13)&lt;6,"",I13/48)</f>
        <v/>
      </c>
      <c r="K13" s="13">
        <f>IF(COUNT(C13:H13)&lt;6,"",IF(J13&gt;=0.8,"Green",IF(J13&gt;=0.5,"Yellow","Red")))</f>
        <v/>
      </c>
      <c r="L13" s="13">
        <f>IF(COUNT(C13:H13)&lt;6,"",IF(K13="Green","Well done! "&amp;Parameters!$C$402,"Revise: "&amp;_xlfn.TEXTJOIN(", ",TRUE(),IF(M13&lt;1,Parameters!$A$391,""),IF(N13&lt;1,Parameters!$A$392,""),IF(O13&lt;1,Parameters!$A$393,""),IF(P13&lt;1,Parameters!$A$394,""),IF(Q13&lt;1,Parameters!$A$395,""),IF(R13&lt;1,Parameters!$A$396,""))))</f>
        <v/>
      </c>
      <c r="M13" s="13">
        <f>IF(C13="","",C13/10)</f>
        <v/>
      </c>
      <c r="N13" s="13">
        <f>IF(D13="","",D13/9)</f>
        <v/>
      </c>
      <c r="O13" s="13">
        <f>IF(E13="","",E13/6)</f>
        <v/>
      </c>
      <c r="P13" s="13">
        <f>IF(F13="","",F13/5)</f>
        <v/>
      </c>
      <c r="Q13" s="13">
        <f>IF(G13="","",G13/8)</f>
        <v/>
      </c>
      <c r="R13" s="13">
        <f>IF(H13="","",H13/10)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4" t="n"/>
      <c r="H14" s="14" t="n"/>
      <c r="I14" s="13">
        <f>IF(COUNT(C14:H14)&lt;6,"",SUM(C14:H14))</f>
        <v/>
      </c>
      <c r="J14" s="13">
        <f>IF(COUNT(C14:H14)&lt;6,"",I14/48)</f>
        <v/>
      </c>
      <c r="K14" s="13">
        <f>IF(COUNT(C14:H14)&lt;6,"",IF(J14&gt;=0.8,"Green",IF(J14&gt;=0.5,"Yellow","Red")))</f>
        <v/>
      </c>
      <c r="L14" s="13">
        <f>IF(COUNT(C14:H14)&lt;6,"",IF(K14="Green","Well done! "&amp;Parameters!$C$402,"Revise: "&amp;_xlfn.TEXTJOIN(", ",TRUE(),IF(M14&lt;1,Parameters!$A$391,""),IF(N14&lt;1,Parameters!$A$392,""),IF(O14&lt;1,Parameters!$A$393,""),IF(P14&lt;1,Parameters!$A$394,""),IF(Q14&lt;1,Parameters!$A$395,""),IF(R14&lt;1,Parameters!$A$396,""))))</f>
        <v/>
      </c>
      <c r="M14" s="13">
        <f>IF(C14="","",C14/10)</f>
        <v/>
      </c>
      <c r="N14" s="13">
        <f>IF(D14="","",D14/9)</f>
        <v/>
      </c>
      <c r="O14" s="13">
        <f>IF(E14="","",E14/6)</f>
        <v/>
      </c>
      <c r="P14" s="13">
        <f>IF(F14="","",F14/5)</f>
        <v/>
      </c>
      <c r="Q14" s="13">
        <f>IF(G14="","",G14/8)</f>
        <v/>
      </c>
      <c r="R14" s="13">
        <f>IF(H14="","",H14/10)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4" t="n"/>
      <c r="H15" s="14" t="n"/>
      <c r="I15" s="13">
        <f>IF(COUNT(C15:H15)&lt;6,"",SUM(C15:H15))</f>
        <v/>
      </c>
      <c r="J15" s="13">
        <f>IF(COUNT(C15:H15)&lt;6,"",I15/48)</f>
        <v/>
      </c>
      <c r="K15" s="13">
        <f>IF(COUNT(C15:H15)&lt;6,"",IF(J15&gt;=0.8,"Green",IF(J15&gt;=0.5,"Yellow","Red")))</f>
        <v/>
      </c>
      <c r="L15" s="13">
        <f>IF(COUNT(C15:H15)&lt;6,"",IF(K15="Green","Well done! "&amp;Parameters!$C$402,"Revise: "&amp;_xlfn.TEXTJOIN(", ",TRUE(),IF(M15&lt;1,Parameters!$A$391,""),IF(N15&lt;1,Parameters!$A$392,""),IF(O15&lt;1,Parameters!$A$393,""),IF(P15&lt;1,Parameters!$A$394,""),IF(Q15&lt;1,Parameters!$A$395,""),IF(R15&lt;1,Parameters!$A$396,""))))</f>
        <v/>
      </c>
      <c r="M15" s="13">
        <f>IF(C15="","",C15/10)</f>
        <v/>
      </c>
      <c r="N15" s="13">
        <f>IF(D15="","",D15/9)</f>
        <v/>
      </c>
      <c r="O15" s="13">
        <f>IF(E15="","",E15/6)</f>
        <v/>
      </c>
      <c r="P15" s="13">
        <f>IF(F15="","",F15/5)</f>
        <v/>
      </c>
      <c r="Q15" s="13">
        <f>IF(G15="","",G15/8)</f>
        <v/>
      </c>
      <c r="R15" s="13">
        <f>IF(H15="","",H15/10)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4" t="n"/>
      <c r="H16" s="14" t="n"/>
      <c r="I16" s="13">
        <f>IF(COUNT(C16:H16)&lt;6,"",SUM(C16:H16))</f>
        <v/>
      </c>
      <c r="J16" s="13">
        <f>IF(COUNT(C16:H16)&lt;6,"",I16/48)</f>
        <v/>
      </c>
      <c r="K16" s="13">
        <f>IF(COUNT(C16:H16)&lt;6,"",IF(J16&gt;=0.8,"Green",IF(J16&gt;=0.5,"Yellow","Red")))</f>
        <v/>
      </c>
      <c r="L16" s="13">
        <f>IF(COUNT(C16:H16)&lt;6,"",IF(K16="Green","Well done! "&amp;Parameters!$C$402,"Revise: "&amp;_xlfn.TEXTJOIN(", ",TRUE(),IF(M16&lt;1,Parameters!$A$391,""),IF(N16&lt;1,Parameters!$A$392,""),IF(O16&lt;1,Parameters!$A$393,""),IF(P16&lt;1,Parameters!$A$394,""),IF(Q16&lt;1,Parameters!$A$395,""),IF(R16&lt;1,Parameters!$A$396,""))))</f>
        <v/>
      </c>
      <c r="M16" s="13">
        <f>IF(C16="","",C16/10)</f>
        <v/>
      </c>
      <c r="N16" s="13">
        <f>IF(D16="","",D16/9)</f>
        <v/>
      </c>
      <c r="O16" s="13">
        <f>IF(E16="","",E16/6)</f>
        <v/>
      </c>
      <c r="P16" s="13">
        <f>IF(F16="","",F16/5)</f>
        <v/>
      </c>
      <c r="Q16" s="13">
        <f>IF(G16="","",G16/8)</f>
        <v/>
      </c>
      <c r="R16" s="13">
        <f>IF(H16="","",H16/10)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4" t="n"/>
      <c r="H17" s="14" t="n"/>
      <c r="I17" s="13">
        <f>IF(COUNT(C17:H17)&lt;6,"",SUM(C17:H17))</f>
        <v/>
      </c>
      <c r="J17" s="13">
        <f>IF(COUNT(C17:H17)&lt;6,"",I17/48)</f>
        <v/>
      </c>
      <c r="K17" s="13">
        <f>IF(COUNT(C17:H17)&lt;6,"",IF(J17&gt;=0.8,"Green",IF(J17&gt;=0.5,"Yellow","Red")))</f>
        <v/>
      </c>
      <c r="L17" s="13">
        <f>IF(COUNT(C17:H17)&lt;6,"",IF(K17="Green","Well done! "&amp;Parameters!$C$402,"Revise: "&amp;_xlfn.TEXTJOIN(", ",TRUE(),IF(M17&lt;1,Parameters!$A$391,""),IF(N17&lt;1,Parameters!$A$392,""),IF(O17&lt;1,Parameters!$A$393,""),IF(P17&lt;1,Parameters!$A$394,""),IF(Q17&lt;1,Parameters!$A$395,""),IF(R17&lt;1,Parameters!$A$396,""))))</f>
        <v/>
      </c>
      <c r="M17" s="13">
        <f>IF(C17="","",C17/10)</f>
        <v/>
      </c>
      <c r="N17" s="13">
        <f>IF(D17="","",D17/9)</f>
        <v/>
      </c>
      <c r="O17" s="13">
        <f>IF(E17="","",E17/6)</f>
        <v/>
      </c>
      <c r="P17" s="13">
        <f>IF(F17="","",F17/5)</f>
        <v/>
      </c>
      <c r="Q17" s="13">
        <f>IF(G17="","",G17/8)</f>
        <v/>
      </c>
      <c r="R17" s="13">
        <f>IF(H17="","",H17/10)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4" t="n"/>
      <c r="H18" s="14" t="n"/>
      <c r="I18" s="13">
        <f>IF(COUNT(C18:H18)&lt;6,"",SUM(C18:H18))</f>
        <v/>
      </c>
      <c r="J18" s="13">
        <f>IF(COUNT(C18:H18)&lt;6,"",I18/48)</f>
        <v/>
      </c>
      <c r="K18" s="13">
        <f>IF(COUNT(C18:H18)&lt;6,"",IF(J18&gt;=0.8,"Green",IF(J18&gt;=0.5,"Yellow","Red")))</f>
        <v/>
      </c>
      <c r="L18" s="13">
        <f>IF(COUNT(C18:H18)&lt;6,"",IF(K18="Green","Well done! "&amp;Parameters!$C$402,"Revise: "&amp;_xlfn.TEXTJOIN(", ",TRUE(),IF(M18&lt;1,Parameters!$A$391,""),IF(N18&lt;1,Parameters!$A$392,""),IF(O18&lt;1,Parameters!$A$393,""),IF(P18&lt;1,Parameters!$A$394,""),IF(Q18&lt;1,Parameters!$A$395,""),IF(R18&lt;1,Parameters!$A$396,""))))</f>
        <v/>
      </c>
      <c r="M18" s="13">
        <f>IF(C18="","",C18/10)</f>
        <v/>
      </c>
      <c r="N18" s="13">
        <f>IF(D18="","",D18/9)</f>
        <v/>
      </c>
      <c r="O18" s="13">
        <f>IF(E18="","",E18/6)</f>
        <v/>
      </c>
      <c r="P18" s="13">
        <f>IF(F18="","",F18/5)</f>
        <v/>
      </c>
      <c r="Q18" s="13">
        <f>IF(G18="","",G18/8)</f>
        <v/>
      </c>
      <c r="R18" s="13">
        <f>IF(H18="","",H18/10)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4" t="n"/>
      <c r="H19" s="14" t="n"/>
      <c r="I19" s="13">
        <f>IF(COUNT(C19:H19)&lt;6,"",SUM(C19:H19))</f>
        <v/>
      </c>
      <c r="J19" s="13">
        <f>IF(COUNT(C19:H19)&lt;6,"",I19/48)</f>
        <v/>
      </c>
      <c r="K19" s="13">
        <f>IF(COUNT(C19:H19)&lt;6,"",IF(J19&gt;=0.8,"Green",IF(J19&gt;=0.5,"Yellow","Red")))</f>
        <v/>
      </c>
      <c r="L19" s="13">
        <f>IF(COUNT(C19:H19)&lt;6,"",IF(K19="Green","Well done! "&amp;Parameters!$C$402,"Revise: "&amp;_xlfn.TEXTJOIN(", ",TRUE(),IF(M19&lt;1,Parameters!$A$391,""),IF(N19&lt;1,Parameters!$A$392,""),IF(O19&lt;1,Parameters!$A$393,""),IF(P19&lt;1,Parameters!$A$394,""),IF(Q19&lt;1,Parameters!$A$395,""),IF(R19&lt;1,Parameters!$A$396,""))))</f>
        <v/>
      </c>
      <c r="M19" s="13">
        <f>IF(C19="","",C19/10)</f>
        <v/>
      </c>
      <c r="N19" s="13">
        <f>IF(D19="","",D19/9)</f>
        <v/>
      </c>
      <c r="O19" s="13">
        <f>IF(E19="","",E19/6)</f>
        <v/>
      </c>
      <c r="P19" s="13">
        <f>IF(F19="","",F19/5)</f>
        <v/>
      </c>
      <c r="Q19" s="13">
        <f>IF(G19="","",G19/8)</f>
        <v/>
      </c>
      <c r="R19" s="13">
        <f>IF(H19="","",H19/10)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4" t="n"/>
      <c r="H20" s="14" t="n"/>
      <c r="I20" s="13">
        <f>IF(COUNT(C20:H20)&lt;6,"",SUM(C20:H20))</f>
        <v/>
      </c>
      <c r="J20" s="13">
        <f>IF(COUNT(C20:H20)&lt;6,"",I20/48)</f>
        <v/>
      </c>
      <c r="K20" s="13">
        <f>IF(COUNT(C20:H20)&lt;6,"",IF(J20&gt;=0.8,"Green",IF(J20&gt;=0.5,"Yellow","Red")))</f>
        <v/>
      </c>
      <c r="L20" s="13">
        <f>IF(COUNT(C20:H20)&lt;6,"",IF(K20="Green","Well done! "&amp;Parameters!$C$402,"Revise: "&amp;_xlfn.TEXTJOIN(", ",TRUE(),IF(M20&lt;1,Parameters!$A$391,""),IF(N20&lt;1,Parameters!$A$392,""),IF(O20&lt;1,Parameters!$A$393,""),IF(P20&lt;1,Parameters!$A$394,""),IF(Q20&lt;1,Parameters!$A$395,""),IF(R20&lt;1,Parameters!$A$396,""))))</f>
        <v/>
      </c>
      <c r="M20" s="13">
        <f>IF(C20="","",C20/10)</f>
        <v/>
      </c>
      <c r="N20" s="13">
        <f>IF(D20="","",D20/9)</f>
        <v/>
      </c>
      <c r="O20" s="13">
        <f>IF(E20="","",E20/6)</f>
        <v/>
      </c>
      <c r="P20" s="13">
        <f>IF(F20="","",F20/5)</f>
        <v/>
      </c>
      <c r="Q20" s="13">
        <f>IF(G20="","",G20/8)</f>
        <v/>
      </c>
      <c r="R20" s="13">
        <f>IF(H20="","",H20/10)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4" t="n"/>
      <c r="H21" s="14" t="n"/>
      <c r="I21" s="13">
        <f>IF(COUNT(C21:H21)&lt;6,"",SUM(C21:H21))</f>
        <v/>
      </c>
      <c r="J21" s="13">
        <f>IF(COUNT(C21:H21)&lt;6,"",I21/48)</f>
        <v/>
      </c>
      <c r="K21" s="13">
        <f>IF(COUNT(C21:H21)&lt;6,"",IF(J21&gt;=0.8,"Green",IF(J21&gt;=0.5,"Yellow","Red")))</f>
        <v/>
      </c>
      <c r="L21" s="13">
        <f>IF(COUNT(C21:H21)&lt;6,"",IF(K21="Green","Well done! "&amp;Parameters!$C$402,"Revise: "&amp;_xlfn.TEXTJOIN(", ",TRUE(),IF(M21&lt;1,Parameters!$A$391,""),IF(N21&lt;1,Parameters!$A$392,""),IF(O21&lt;1,Parameters!$A$393,""),IF(P21&lt;1,Parameters!$A$394,""),IF(Q21&lt;1,Parameters!$A$395,""),IF(R21&lt;1,Parameters!$A$396,""))))</f>
        <v/>
      </c>
      <c r="M21" s="13">
        <f>IF(C21="","",C21/10)</f>
        <v/>
      </c>
      <c r="N21" s="13">
        <f>IF(D21="","",D21/9)</f>
        <v/>
      </c>
      <c r="O21" s="13">
        <f>IF(E21="","",E21/6)</f>
        <v/>
      </c>
      <c r="P21" s="13">
        <f>IF(F21="","",F21/5)</f>
        <v/>
      </c>
      <c r="Q21" s="13">
        <f>IF(G21="","",G21/8)</f>
        <v/>
      </c>
      <c r="R21" s="13">
        <f>IF(H21="","",H21/10)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4" t="n"/>
      <c r="H22" s="14" t="n"/>
      <c r="I22" s="13">
        <f>IF(COUNT(C22:H22)&lt;6,"",SUM(C22:H22))</f>
        <v/>
      </c>
      <c r="J22" s="13">
        <f>IF(COUNT(C22:H22)&lt;6,"",I22/48)</f>
        <v/>
      </c>
      <c r="K22" s="13">
        <f>IF(COUNT(C22:H22)&lt;6,"",IF(J22&gt;=0.8,"Green",IF(J22&gt;=0.5,"Yellow","Red")))</f>
        <v/>
      </c>
      <c r="L22" s="13">
        <f>IF(COUNT(C22:H22)&lt;6,"",IF(K22="Green","Well done! "&amp;Parameters!$C$402,"Revise: "&amp;_xlfn.TEXTJOIN(", ",TRUE(),IF(M22&lt;1,Parameters!$A$391,""),IF(N22&lt;1,Parameters!$A$392,""),IF(O22&lt;1,Parameters!$A$393,""),IF(P22&lt;1,Parameters!$A$394,""),IF(Q22&lt;1,Parameters!$A$395,""),IF(R22&lt;1,Parameters!$A$396,""))))</f>
        <v/>
      </c>
      <c r="M22" s="13">
        <f>IF(C22="","",C22/10)</f>
        <v/>
      </c>
      <c r="N22" s="13">
        <f>IF(D22="","",D22/9)</f>
        <v/>
      </c>
      <c r="O22" s="13">
        <f>IF(E22="","",E22/6)</f>
        <v/>
      </c>
      <c r="P22" s="13">
        <f>IF(F22="","",F22/5)</f>
        <v/>
      </c>
      <c r="Q22" s="13">
        <f>IF(G22="","",G22/8)</f>
        <v/>
      </c>
      <c r="R22" s="13">
        <f>IF(H22="","",H22/10)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4" t="n"/>
      <c r="H23" s="14" t="n"/>
      <c r="I23" s="13">
        <f>IF(COUNT(C23:H23)&lt;6,"",SUM(C23:H23))</f>
        <v/>
      </c>
      <c r="J23" s="13">
        <f>IF(COUNT(C23:H23)&lt;6,"",I23/48)</f>
        <v/>
      </c>
      <c r="K23" s="13">
        <f>IF(COUNT(C23:H23)&lt;6,"",IF(J23&gt;=0.8,"Green",IF(J23&gt;=0.5,"Yellow","Red")))</f>
        <v/>
      </c>
      <c r="L23" s="13">
        <f>IF(COUNT(C23:H23)&lt;6,"",IF(K23="Green","Well done! "&amp;Parameters!$C$402,"Revise: "&amp;_xlfn.TEXTJOIN(", ",TRUE(),IF(M23&lt;1,Parameters!$A$391,""),IF(N23&lt;1,Parameters!$A$392,""),IF(O23&lt;1,Parameters!$A$393,""),IF(P23&lt;1,Parameters!$A$394,""),IF(Q23&lt;1,Parameters!$A$395,""),IF(R23&lt;1,Parameters!$A$396,""))))</f>
        <v/>
      </c>
      <c r="M23" s="13">
        <f>IF(C23="","",C23/10)</f>
        <v/>
      </c>
      <c r="N23" s="13">
        <f>IF(D23="","",D23/9)</f>
        <v/>
      </c>
      <c r="O23" s="13">
        <f>IF(E23="","",E23/6)</f>
        <v/>
      </c>
      <c r="P23" s="13">
        <f>IF(F23="","",F23/5)</f>
        <v/>
      </c>
      <c r="Q23" s="13">
        <f>IF(G23="","",G23/8)</f>
        <v/>
      </c>
      <c r="R23" s="13">
        <f>IF(H23="","",H23/10)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4" t="n"/>
      <c r="H24" s="14" t="n"/>
      <c r="I24" s="13">
        <f>IF(COUNT(C24:H24)&lt;6,"",SUM(C24:H24))</f>
        <v/>
      </c>
      <c r="J24" s="13">
        <f>IF(COUNT(C24:H24)&lt;6,"",I24/48)</f>
        <v/>
      </c>
      <c r="K24" s="13">
        <f>IF(COUNT(C24:H24)&lt;6,"",IF(J24&gt;=0.8,"Green",IF(J24&gt;=0.5,"Yellow","Red")))</f>
        <v/>
      </c>
      <c r="L24" s="13">
        <f>IF(COUNT(C24:H24)&lt;6,"",IF(K24="Green","Well done! "&amp;Parameters!$C$402,"Revise: "&amp;_xlfn.TEXTJOIN(", ",TRUE(),IF(M24&lt;1,Parameters!$A$391,""),IF(N24&lt;1,Parameters!$A$392,""),IF(O24&lt;1,Parameters!$A$393,""),IF(P24&lt;1,Parameters!$A$394,""),IF(Q24&lt;1,Parameters!$A$395,""),IF(R24&lt;1,Parameters!$A$396,""))))</f>
        <v/>
      </c>
      <c r="M24" s="13">
        <f>IF(C24="","",C24/10)</f>
        <v/>
      </c>
      <c r="N24" s="13">
        <f>IF(D24="","",D24/9)</f>
        <v/>
      </c>
      <c r="O24" s="13">
        <f>IF(E24="","",E24/6)</f>
        <v/>
      </c>
      <c r="P24" s="13">
        <f>IF(F24="","",F24/5)</f>
        <v/>
      </c>
      <c r="Q24" s="13">
        <f>IF(G24="","",G24/8)</f>
        <v/>
      </c>
      <c r="R24" s="13">
        <f>IF(H24="","",H24/10)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4" t="n"/>
      <c r="H25" s="14" t="n"/>
      <c r="I25" s="13">
        <f>IF(COUNT(C25:H25)&lt;6,"",SUM(C25:H25))</f>
        <v/>
      </c>
      <c r="J25" s="13">
        <f>IF(COUNT(C25:H25)&lt;6,"",I25/48)</f>
        <v/>
      </c>
      <c r="K25" s="13">
        <f>IF(COUNT(C25:H25)&lt;6,"",IF(J25&gt;=0.8,"Green",IF(J25&gt;=0.5,"Yellow","Red")))</f>
        <v/>
      </c>
      <c r="L25" s="13">
        <f>IF(COUNT(C25:H25)&lt;6,"",IF(K25="Green","Well done! "&amp;Parameters!$C$402,"Revise: "&amp;_xlfn.TEXTJOIN(", ",TRUE(),IF(M25&lt;1,Parameters!$A$391,""),IF(N25&lt;1,Parameters!$A$392,""),IF(O25&lt;1,Parameters!$A$393,""),IF(P25&lt;1,Parameters!$A$394,""),IF(Q25&lt;1,Parameters!$A$395,""),IF(R25&lt;1,Parameters!$A$396,""))))</f>
        <v/>
      </c>
      <c r="M25" s="13">
        <f>IF(C25="","",C25/10)</f>
        <v/>
      </c>
      <c r="N25" s="13">
        <f>IF(D25="","",D25/9)</f>
        <v/>
      </c>
      <c r="O25" s="13">
        <f>IF(E25="","",E25/6)</f>
        <v/>
      </c>
      <c r="P25" s="13">
        <f>IF(F25="","",F25/5)</f>
        <v/>
      </c>
      <c r="Q25" s="13">
        <f>IF(G25="","",G25/8)</f>
        <v/>
      </c>
      <c r="R25" s="13">
        <f>IF(H25="","",H25/10)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4" t="n"/>
      <c r="H26" s="14" t="n"/>
      <c r="I26" s="13">
        <f>IF(COUNT(C26:H26)&lt;6,"",SUM(C26:H26))</f>
        <v/>
      </c>
      <c r="J26" s="13">
        <f>IF(COUNT(C26:H26)&lt;6,"",I26/48)</f>
        <v/>
      </c>
      <c r="K26" s="13">
        <f>IF(COUNT(C26:H26)&lt;6,"",IF(J26&gt;=0.8,"Green",IF(J26&gt;=0.5,"Yellow","Red")))</f>
        <v/>
      </c>
      <c r="L26" s="13">
        <f>IF(COUNT(C26:H26)&lt;6,"",IF(K26="Green","Well done! "&amp;Parameters!$C$402,"Revise: "&amp;_xlfn.TEXTJOIN(", ",TRUE(),IF(M26&lt;1,Parameters!$A$391,""),IF(N26&lt;1,Parameters!$A$392,""),IF(O26&lt;1,Parameters!$A$393,""),IF(P26&lt;1,Parameters!$A$394,""),IF(Q26&lt;1,Parameters!$A$395,""),IF(R26&lt;1,Parameters!$A$396,""))))</f>
        <v/>
      </c>
      <c r="M26" s="13">
        <f>IF(C26="","",C26/10)</f>
        <v/>
      </c>
      <c r="N26" s="13">
        <f>IF(D26="","",D26/9)</f>
        <v/>
      </c>
      <c r="O26" s="13">
        <f>IF(E26="","",E26/6)</f>
        <v/>
      </c>
      <c r="P26" s="13">
        <f>IF(F26="","",F26/5)</f>
        <v/>
      </c>
      <c r="Q26" s="13">
        <f>IF(G26="","",G26/8)</f>
        <v/>
      </c>
      <c r="R26" s="13">
        <f>IF(H26="","",H26/10)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4" t="n"/>
      <c r="H27" s="14" t="n"/>
      <c r="I27" s="13">
        <f>IF(COUNT(C27:H27)&lt;6,"",SUM(C27:H27))</f>
        <v/>
      </c>
      <c r="J27" s="13">
        <f>IF(COUNT(C27:H27)&lt;6,"",I27/48)</f>
        <v/>
      </c>
      <c r="K27" s="13">
        <f>IF(COUNT(C27:H27)&lt;6,"",IF(J27&gt;=0.8,"Green",IF(J27&gt;=0.5,"Yellow","Red")))</f>
        <v/>
      </c>
      <c r="L27" s="13">
        <f>IF(COUNT(C27:H27)&lt;6,"",IF(K27="Green","Well done! "&amp;Parameters!$C$402,"Revise: "&amp;_xlfn.TEXTJOIN(", ",TRUE(),IF(M27&lt;1,Parameters!$A$391,""),IF(N27&lt;1,Parameters!$A$392,""),IF(O27&lt;1,Parameters!$A$393,""),IF(P27&lt;1,Parameters!$A$394,""),IF(Q27&lt;1,Parameters!$A$395,""),IF(R27&lt;1,Parameters!$A$396,""))))</f>
        <v/>
      </c>
      <c r="M27" s="13">
        <f>IF(C27="","",C27/10)</f>
        <v/>
      </c>
      <c r="N27" s="13">
        <f>IF(D27="","",D27/9)</f>
        <v/>
      </c>
      <c r="O27" s="13">
        <f>IF(E27="","",E27/6)</f>
        <v/>
      </c>
      <c r="P27" s="13">
        <f>IF(F27="","",F27/5)</f>
        <v/>
      </c>
      <c r="Q27" s="13">
        <f>IF(G27="","",G27/8)</f>
        <v/>
      </c>
      <c r="R27" s="13">
        <f>IF(H27="","",H27/10)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4" t="n"/>
      <c r="H28" s="14" t="n"/>
      <c r="I28" s="13">
        <f>IF(COUNT(C28:H28)&lt;6,"",SUM(C28:H28))</f>
        <v/>
      </c>
      <c r="J28" s="13">
        <f>IF(COUNT(C28:H28)&lt;6,"",I28/48)</f>
        <v/>
      </c>
      <c r="K28" s="13">
        <f>IF(COUNT(C28:H28)&lt;6,"",IF(J28&gt;=0.8,"Green",IF(J28&gt;=0.5,"Yellow","Red")))</f>
        <v/>
      </c>
      <c r="L28" s="13">
        <f>IF(COUNT(C28:H28)&lt;6,"",IF(K28="Green","Well done! "&amp;Parameters!$C$402,"Revise: "&amp;_xlfn.TEXTJOIN(", ",TRUE(),IF(M28&lt;1,Parameters!$A$391,""),IF(N28&lt;1,Parameters!$A$392,""),IF(O28&lt;1,Parameters!$A$393,""),IF(P28&lt;1,Parameters!$A$394,""),IF(Q28&lt;1,Parameters!$A$395,""),IF(R28&lt;1,Parameters!$A$396,""))))</f>
        <v/>
      </c>
      <c r="M28" s="13">
        <f>IF(C28="","",C28/10)</f>
        <v/>
      </c>
      <c r="N28" s="13">
        <f>IF(D28="","",D28/9)</f>
        <v/>
      </c>
      <c r="O28" s="13">
        <f>IF(E28="","",E28/6)</f>
        <v/>
      </c>
      <c r="P28" s="13">
        <f>IF(F28="","",F28/5)</f>
        <v/>
      </c>
      <c r="Q28" s="13">
        <f>IF(G28="","",G28/8)</f>
        <v/>
      </c>
      <c r="R28" s="13">
        <f>IF(H28="","",H28/10)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4" t="n"/>
      <c r="H29" s="14" t="n"/>
      <c r="I29" s="13">
        <f>IF(COUNT(C29:H29)&lt;6,"",SUM(C29:H29))</f>
        <v/>
      </c>
      <c r="J29" s="13">
        <f>IF(COUNT(C29:H29)&lt;6,"",I29/48)</f>
        <v/>
      </c>
      <c r="K29" s="13">
        <f>IF(COUNT(C29:H29)&lt;6,"",IF(J29&gt;=0.8,"Green",IF(J29&gt;=0.5,"Yellow","Red")))</f>
        <v/>
      </c>
      <c r="L29" s="13">
        <f>IF(COUNT(C29:H29)&lt;6,"",IF(K29="Green","Well done! "&amp;Parameters!$C$402,"Revise: "&amp;_xlfn.TEXTJOIN(", ",TRUE(),IF(M29&lt;1,Parameters!$A$391,""),IF(N29&lt;1,Parameters!$A$392,""),IF(O29&lt;1,Parameters!$A$393,""),IF(P29&lt;1,Parameters!$A$394,""),IF(Q29&lt;1,Parameters!$A$395,""),IF(R29&lt;1,Parameters!$A$396,""))))</f>
        <v/>
      </c>
      <c r="M29" s="13">
        <f>IF(C29="","",C29/10)</f>
        <v/>
      </c>
      <c r="N29" s="13">
        <f>IF(D29="","",D29/9)</f>
        <v/>
      </c>
      <c r="O29" s="13">
        <f>IF(E29="","",E29/6)</f>
        <v/>
      </c>
      <c r="P29" s="13">
        <f>IF(F29="","",F29/5)</f>
        <v/>
      </c>
      <c r="Q29" s="13">
        <f>IF(G29="","",G29/8)</f>
        <v/>
      </c>
      <c r="R29" s="13">
        <f>IF(H29="","",H29/10)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4" t="n"/>
      <c r="H30" s="14" t="n"/>
      <c r="I30" s="13">
        <f>IF(COUNT(C30:H30)&lt;6,"",SUM(C30:H30))</f>
        <v/>
      </c>
      <c r="J30" s="13">
        <f>IF(COUNT(C30:H30)&lt;6,"",I30/48)</f>
        <v/>
      </c>
      <c r="K30" s="13">
        <f>IF(COUNT(C30:H30)&lt;6,"",IF(J30&gt;=0.8,"Green",IF(J30&gt;=0.5,"Yellow","Red")))</f>
        <v/>
      </c>
      <c r="L30" s="13">
        <f>IF(COUNT(C30:H30)&lt;6,"",IF(K30="Green","Well done! "&amp;Parameters!$C$402,"Revise: "&amp;_xlfn.TEXTJOIN(", ",TRUE(),IF(M30&lt;1,Parameters!$A$391,""),IF(N30&lt;1,Parameters!$A$392,""),IF(O30&lt;1,Parameters!$A$393,""),IF(P30&lt;1,Parameters!$A$394,""),IF(Q30&lt;1,Parameters!$A$395,""),IF(R30&lt;1,Parameters!$A$396,""))))</f>
        <v/>
      </c>
      <c r="M30" s="13">
        <f>IF(C30="","",C30/10)</f>
        <v/>
      </c>
      <c r="N30" s="13">
        <f>IF(D30="","",D30/9)</f>
        <v/>
      </c>
      <c r="O30" s="13">
        <f>IF(E30="","",E30/6)</f>
        <v/>
      </c>
      <c r="P30" s="13">
        <f>IF(F30="","",F30/5)</f>
        <v/>
      </c>
      <c r="Q30" s="13">
        <f>IF(G30="","",G30/8)</f>
        <v/>
      </c>
      <c r="R30" s="13">
        <f>IF(H30="","",H30/10)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4" t="n"/>
      <c r="H31" s="14" t="n"/>
      <c r="I31" s="13">
        <f>IF(COUNT(C31:H31)&lt;6,"",SUM(C31:H31))</f>
        <v/>
      </c>
      <c r="J31" s="13">
        <f>IF(COUNT(C31:H31)&lt;6,"",I31/48)</f>
        <v/>
      </c>
      <c r="K31" s="13">
        <f>IF(COUNT(C31:H31)&lt;6,"",IF(J31&gt;=0.8,"Green",IF(J31&gt;=0.5,"Yellow","Red")))</f>
        <v/>
      </c>
      <c r="L31" s="13">
        <f>IF(COUNT(C31:H31)&lt;6,"",IF(K31="Green","Well done! "&amp;Parameters!$C$402,"Revise: "&amp;_xlfn.TEXTJOIN(", ",TRUE(),IF(M31&lt;1,Parameters!$A$391,""),IF(N31&lt;1,Parameters!$A$392,""),IF(O31&lt;1,Parameters!$A$393,""),IF(P31&lt;1,Parameters!$A$394,""),IF(Q31&lt;1,Parameters!$A$395,""),IF(R31&lt;1,Parameters!$A$396,""))))</f>
        <v/>
      </c>
      <c r="M31" s="13">
        <f>IF(C31="","",C31/10)</f>
        <v/>
      </c>
      <c r="N31" s="13">
        <f>IF(D31="","",D31/9)</f>
        <v/>
      </c>
      <c r="O31" s="13">
        <f>IF(E31="","",E31/6)</f>
        <v/>
      </c>
      <c r="P31" s="13">
        <f>IF(F31="","",F31/5)</f>
        <v/>
      </c>
      <c r="Q31" s="13">
        <f>IF(G31="","",G31/8)</f>
        <v/>
      </c>
      <c r="R31" s="13">
        <f>IF(H31="","",H31/10)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4" t="n"/>
      <c r="H32" s="14" t="n"/>
      <c r="I32" s="13">
        <f>IF(COUNT(C32:H32)&lt;6,"",SUM(C32:H32))</f>
        <v/>
      </c>
      <c r="J32" s="13">
        <f>IF(COUNT(C32:H32)&lt;6,"",I32/48)</f>
        <v/>
      </c>
      <c r="K32" s="13">
        <f>IF(COUNT(C32:H32)&lt;6,"",IF(J32&gt;=0.8,"Green",IF(J32&gt;=0.5,"Yellow","Red")))</f>
        <v/>
      </c>
      <c r="L32" s="13">
        <f>IF(COUNT(C32:H32)&lt;6,"",IF(K32="Green","Well done! "&amp;Parameters!$C$402,"Revise: "&amp;_xlfn.TEXTJOIN(", ",TRUE(),IF(M32&lt;1,Parameters!$A$391,""),IF(N32&lt;1,Parameters!$A$392,""),IF(O32&lt;1,Parameters!$A$393,""),IF(P32&lt;1,Parameters!$A$394,""),IF(Q32&lt;1,Parameters!$A$395,""),IF(R32&lt;1,Parameters!$A$396,""))))</f>
        <v/>
      </c>
      <c r="M32" s="13">
        <f>IF(C32="","",C32/10)</f>
        <v/>
      </c>
      <c r="N32" s="13">
        <f>IF(D32="","",D32/9)</f>
        <v/>
      </c>
      <c r="O32" s="13">
        <f>IF(E32="","",E32/6)</f>
        <v/>
      </c>
      <c r="P32" s="13">
        <f>IF(F32="","",F32/5)</f>
        <v/>
      </c>
      <c r="Q32" s="13">
        <f>IF(G32="","",G32/8)</f>
        <v/>
      </c>
      <c r="R32" s="13">
        <f>IF(H32="","",H32/10)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4" t="n"/>
      <c r="H33" s="14" t="n"/>
      <c r="I33" s="13">
        <f>IF(COUNT(C33:H33)&lt;6,"",SUM(C33:H33))</f>
        <v/>
      </c>
      <c r="J33" s="13">
        <f>IF(COUNT(C33:H33)&lt;6,"",I33/48)</f>
        <v/>
      </c>
      <c r="K33" s="13">
        <f>IF(COUNT(C33:H33)&lt;6,"",IF(J33&gt;=0.8,"Green",IF(J33&gt;=0.5,"Yellow","Red")))</f>
        <v/>
      </c>
      <c r="L33" s="13">
        <f>IF(COUNT(C33:H33)&lt;6,"",IF(K33="Green","Well done! "&amp;Parameters!$C$402,"Revise: "&amp;_xlfn.TEXTJOIN(", ",TRUE(),IF(M33&lt;1,Parameters!$A$391,""),IF(N33&lt;1,Parameters!$A$392,""),IF(O33&lt;1,Parameters!$A$393,""),IF(P33&lt;1,Parameters!$A$394,""),IF(Q33&lt;1,Parameters!$A$395,""),IF(R33&lt;1,Parameters!$A$396,""))))</f>
        <v/>
      </c>
      <c r="M33" s="13">
        <f>IF(C33="","",C33/10)</f>
        <v/>
      </c>
      <c r="N33" s="13">
        <f>IF(D33="","",D33/9)</f>
        <v/>
      </c>
      <c r="O33" s="13">
        <f>IF(E33="","",E33/6)</f>
        <v/>
      </c>
      <c r="P33" s="13">
        <f>IF(F33="","",F33/5)</f>
        <v/>
      </c>
      <c r="Q33" s="13">
        <f>IF(G33="","",G33/8)</f>
        <v/>
      </c>
      <c r="R33" s="13">
        <f>IF(H33="","",H33/10)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4" t="n"/>
      <c r="H34" s="14" t="n"/>
      <c r="I34" s="13">
        <f>IF(COUNT(C34:H34)&lt;6,"",SUM(C34:H34))</f>
        <v/>
      </c>
      <c r="J34" s="13">
        <f>IF(COUNT(C34:H34)&lt;6,"",I34/48)</f>
        <v/>
      </c>
      <c r="K34" s="13">
        <f>IF(COUNT(C34:H34)&lt;6,"",IF(J34&gt;=0.8,"Green",IF(J34&gt;=0.5,"Yellow","Red")))</f>
        <v/>
      </c>
      <c r="L34" s="13">
        <f>IF(COUNT(C34:H34)&lt;6,"",IF(K34="Green","Well done! "&amp;Parameters!$C$402,"Revise: "&amp;_xlfn.TEXTJOIN(", ",TRUE(),IF(M34&lt;1,Parameters!$A$391,""),IF(N34&lt;1,Parameters!$A$392,""),IF(O34&lt;1,Parameters!$A$393,""),IF(P34&lt;1,Parameters!$A$394,""),IF(Q34&lt;1,Parameters!$A$395,""),IF(R34&lt;1,Parameters!$A$396,""))))</f>
        <v/>
      </c>
      <c r="M34" s="13">
        <f>IF(C34="","",C34/10)</f>
        <v/>
      </c>
      <c r="N34" s="13">
        <f>IF(D34="","",D34/9)</f>
        <v/>
      </c>
      <c r="O34" s="13">
        <f>IF(E34="","",E34/6)</f>
        <v/>
      </c>
      <c r="P34" s="13">
        <f>IF(F34="","",F34/5)</f>
        <v/>
      </c>
      <c r="Q34" s="13">
        <f>IF(G34="","",G34/8)</f>
        <v/>
      </c>
      <c r="R34" s="13">
        <f>IF(H34="","",H34/10)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4" t="n"/>
      <c r="H35" s="14" t="n"/>
      <c r="I35" s="13">
        <f>IF(COUNT(C35:H35)&lt;6,"",SUM(C35:H35))</f>
        <v/>
      </c>
      <c r="J35" s="13">
        <f>IF(COUNT(C35:H35)&lt;6,"",I35/48)</f>
        <v/>
      </c>
      <c r="K35" s="13">
        <f>IF(COUNT(C35:H35)&lt;6,"",IF(J35&gt;=0.8,"Green",IF(J35&gt;=0.5,"Yellow","Red")))</f>
        <v/>
      </c>
      <c r="L35" s="13">
        <f>IF(COUNT(C35:H35)&lt;6,"",IF(K35="Green","Well done! "&amp;Parameters!$C$402,"Revise: "&amp;_xlfn.TEXTJOIN(", ",TRUE(),IF(M35&lt;1,Parameters!$A$391,""),IF(N35&lt;1,Parameters!$A$392,""),IF(O35&lt;1,Parameters!$A$393,""),IF(P35&lt;1,Parameters!$A$394,""),IF(Q35&lt;1,Parameters!$A$395,""),IF(R35&lt;1,Parameters!$A$396,""))))</f>
        <v/>
      </c>
      <c r="M35" s="13">
        <f>IF(C35="","",C35/10)</f>
        <v/>
      </c>
      <c r="N35" s="13">
        <f>IF(D35="","",D35/9)</f>
        <v/>
      </c>
      <c r="O35" s="13">
        <f>IF(E35="","",E35/6)</f>
        <v/>
      </c>
      <c r="P35" s="13">
        <f>IF(F35="","",F35/5)</f>
        <v/>
      </c>
      <c r="Q35" s="13">
        <f>IF(G35="","",G35/8)</f>
        <v/>
      </c>
      <c r="R35" s="13">
        <f>IF(H35="","",H35/10)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4" t="n"/>
      <c r="H36" s="14" t="n"/>
      <c r="I36" s="13">
        <f>IF(COUNT(C36:H36)&lt;6,"",SUM(C36:H36))</f>
        <v/>
      </c>
      <c r="J36" s="13">
        <f>IF(COUNT(C36:H36)&lt;6,"",I36/48)</f>
        <v/>
      </c>
      <c r="K36" s="13">
        <f>IF(COUNT(C36:H36)&lt;6,"",IF(J36&gt;=0.8,"Green",IF(J36&gt;=0.5,"Yellow","Red")))</f>
        <v/>
      </c>
      <c r="L36" s="13">
        <f>IF(COUNT(C36:H36)&lt;6,"",IF(K36="Green","Well done! "&amp;Parameters!$C$402,"Revise: "&amp;_xlfn.TEXTJOIN(", ",TRUE(),IF(M36&lt;1,Parameters!$A$391,""),IF(N36&lt;1,Parameters!$A$392,""),IF(O36&lt;1,Parameters!$A$393,""),IF(P36&lt;1,Parameters!$A$394,""),IF(Q36&lt;1,Parameters!$A$395,""),IF(R36&lt;1,Parameters!$A$396,""))))</f>
        <v/>
      </c>
      <c r="M36" s="13">
        <f>IF(C36="","",C36/10)</f>
        <v/>
      </c>
      <c r="N36" s="13">
        <f>IF(D36="","",D36/9)</f>
        <v/>
      </c>
      <c r="O36" s="13">
        <f>IF(E36="","",E36/6)</f>
        <v/>
      </c>
      <c r="P36" s="13">
        <f>IF(F36="","",F36/5)</f>
        <v/>
      </c>
      <c r="Q36" s="13">
        <f>IF(G36="","",G36/8)</f>
        <v/>
      </c>
      <c r="R36" s="13">
        <f>IF(H36="","",H36/10)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4" t="n"/>
      <c r="H37" s="14" t="n"/>
      <c r="I37" s="13">
        <f>IF(COUNT(C37:H37)&lt;6,"",SUM(C37:H37))</f>
        <v/>
      </c>
      <c r="J37" s="13">
        <f>IF(COUNT(C37:H37)&lt;6,"",I37/48)</f>
        <v/>
      </c>
      <c r="K37" s="13">
        <f>IF(COUNT(C37:H37)&lt;6,"",IF(J37&gt;=0.8,"Green",IF(J37&gt;=0.5,"Yellow","Red")))</f>
        <v/>
      </c>
      <c r="L37" s="13">
        <f>IF(COUNT(C37:H37)&lt;6,"",IF(K37="Green","Well done! "&amp;Parameters!$C$402,"Revise: "&amp;_xlfn.TEXTJOIN(", ",TRUE(),IF(M37&lt;1,Parameters!$A$391,""),IF(N37&lt;1,Parameters!$A$392,""),IF(O37&lt;1,Parameters!$A$393,""),IF(P37&lt;1,Parameters!$A$394,""),IF(Q37&lt;1,Parameters!$A$395,""),IF(R37&lt;1,Parameters!$A$396,""))))</f>
        <v/>
      </c>
      <c r="M37" s="13">
        <f>IF(C37="","",C37/10)</f>
        <v/>
      </c>
      <c r="N37" s="13">
        <f>IF(D37="","",D37/9)</f>
        <v/>
      </c>
      <c r="O37" s="13">
        <f>IF(E37="","",E37/6)</f>
        <v/>
      </c>
      <c r="P37" s="13">
        <f>IF(F37="","",F37/5)</f>
        <v/>
      </c>
      <c r="Q37" s="13">
        <f>IF(G37="","",G37/8)</f>
        <v/>
      </c>
      <c r="R37" s="13">
        <f>IF(H37="","",H37/10)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4" t="n"/>
      <c r="H38" s="14" t="n"/>
      <c r="I38" s="13">
        <f>IF(COUNT(C38:H38)&lt;6,"",SUM(C38:H38))</f>
        <v/>
      </c>
      <c r="J38" s="13">
        <f>IF(COUNT(C38:H38)&lt;6,"",I38/48)</f>
        <v/>
      </c>
      <c r="K38" s="13">
        <f>IF(COUNT(C38:H38)&lt;6,"",IF(J38&gt;=0.8,"Green",IF(J38&gt;=0.5,"Yellow","Red")))</f>
        <v/>
      </c>
      <c r="L38" s="13">
        <f>IF(COUNT(C38:H38)&lt;6,"",IF(K38="Green","Well done! "&amp;Parameters!$C$402,"Revise: "&amp;_xlfn.TEXTJOIN(", ",TRUE(),IF(M38&lt;1,Parameters!$A$391,""),IF(N38&lt;1,Parameters!$A$392,""),IF(O38&lt;1,Parameters!$A$393,""),IF(P38&lt;1,Parameters!$A$394,""),IF(Q38&lt;1,Parameters!$A$395,""),IF(R38&lt;1,Parameters!$A$396,""))))</f>
        <v/>
      </c>
      <c r="M38" s="13">
        <f>IF(C38="","",C38/10)</f>
        <v/>
      </c>
      <c r="N38" s="13">
        <f>IF(D38="","",D38/9)</f>
        <v/>
      </c>
      <c r="O38" s="13">
        <f>IF(E38="","",E38/6)</f>
        <v/>
      </c>
      <c r="P38" s="13">
        <f>IF(F38="","",F38/5)</f>
        <v/>
      </c>
      <c r="Q38" s="13">
        <f>IF(G38="","",G38/8)</f>
        <v/>
      </c>
      <c r="R38" s="13">
        <f>IF(H38="","",H38/10)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4" t="n"/>
      <c r="H39" s="14" t="n"/>
      <c r="I39" s="13">
        <f>IF(COUNT(C39:H39)&lt;6,"",SUM(C39:H39))</f>
        <v/>
      </c>
      <c r="J39" s="13">
        <f>IF(COUNT(C39:H39)&lt;6,"",I39/48)</f>
        <v/>
      </c>
      <c r="K39" s="13">
        <f>IF(COUNT(C39:H39)&lt;6,"",IF(J39&gt;=0.8,"Green",IF(J39&gt;=0.5,"Yellow","Red")))</f>
        <v/>
      </c>
      <c r="L39" s="13">
        <f>IF(COUNT(C39:H39)&lt;6,"",IF(K39="Green","Well done! "&amp;Parameters!$C$402,"Revise: "&amp;_xlfn.TEXTJOIN(", ",TRUE(),IF(M39&lt;1,Parameters!$A$391,""),IF(N39&lt;1,Parameters!$A$392,""),IF(O39&lt;1,Parameters!$A$393,""),IF(P39&lt;1,Parameters!$A$394,""),IF(Q39&lt;1,Parameters!$A$395,""),IF(R39&lt;1,Parameters!$A$396,""))))</f>
        <v/>
      </c>
      <c r="M39" s="13">
        <f>IF(C39="","",C39/10)</f>
        <v/>
      </c>
      <c r="N39" s="13">
        <f>IF(D39="","",D39/9)</f>
        <v/>
      </c>
      <c r="O39" s="13">
        <f>IF(E39="","",E39/6)</f>
        <v/>
      </c>
      <c r="P39" s="13">
        <f>IF(F39="","",F39/5)</f>
        <v/>
      </c>
      <c r="Q39" s="13">
        <f>IF(G39="","",G39/8)</f>
        <v/>
      </c>
      <c r="R39" s="13">
        <f>IF(H39="","",H39/10)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4" t="n"/>
      <c r="H40" s="14" t="n"/>
      <c r="I40" s="13">
        <f>IF(COUNT(C40:H40)&lt;6,"",SUM(C40:H40))</f>
        <v/>
      </c>
      <c r="J40" s="13">
        <f>IF(COUNT(C40:H40)&lt;6,"",I40/48)</f>
        <v/>
      </c>
      <c r="K40" s="13">
        <f>IF(COUNT(C40:H40)&lt;6,"",IF(J40&gt;=0.8,"Green",IF(J40&gt;=0.5,"Yellow","Red")))</f>
        <v/>
      </c>
      <c r="L40" s="13">
        <f>IF(COUNT(C40:H40)&lt;6,"",IF(K40="Green","Well done! "&amp;Parameters!$C$402,"Revise: "&amp;_xlfn.TEXTJOIN(", ",TRUE(),IF(M40&lt;1,Parameters!$A$391,""),IF(N40&lt;1,Parameters!$A$392,""),IF(O40&lt;1,Parameters!$A$393,""),IF(P40&lt;1,Parameters!$A$394,""),IF(Q40&lt;1,Parameters!$A$395,""),IF(R40&lt;1,Parameters!$A$396,""))))</f>
        <v/>
      </c>
      <c r="M40" s="13">
        <f>IF(C40="","",C40/10)</f>
        <v/>
      </c>
      <c r="N40" s="13">
        <f>IF(D40="","",D40/9)</f>
        <v/>
      </c>
      <c r="O40" s="13">
        <f>IF(E40="","",E40/6)</f>
        <v/>
      </c>
      <c r="P40" s="13">
        <f>IF(F40="","",F40/5)</f>
        <v/>
      </c>
      <c r="Q40" s="13">
        <f>IF(G40="","",G40/8)</f>
        <v/>
      </c>
      <c r="R40" s="13">
        <f>IF(H40="","",H40/10)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4" t="n"/>
      <c r="H41" s="14" t="n"/>
      <c r="I41" s="13">
        <f>IF(COUNT(C41:H41)&lt;6,"",SUM(C41:H41))</f>
        <v/>
      </c>
      <c r="J41" s="13">
        <f>IF(COUNT(C41:H41)&lt;6,"",I41/48)</f>
        <v/>
      </c>
      <c r="K41" s="13">
        <f>IF(COUNT(C41:H41)&lt;6,"",IF(J41&gt;=0.8,"Green",IF(J41&gt;=0.5,"Yellow","Red")))</f>
        <v/>
      </c>
      <c r="L41" s="13">
        <f>IF(COUNT(C41:H41)&lt;6,"",IF(K41="Green","Well done! "&amp;Parameters!$C$402,"Revise: "&amp;_xlfn.TEXTJOIN(", ",TRUE(),IF(M41&lt;1,Parameters!$A$391,""),IF(N41&lt;1,Parameters!$A$392,""),IF(O41&lt;1,Parameters!$A$393,""),IF(P41&lt;1,Parameters!$A$394,""),IF(Q41&lt;1,Parameters!$A$395,""),IF(R41&lt;1,Parameters!$A$396,""))))</f>
        <v/>
      </c>
      <c r="M41" s="13">
        <f>IF(C41="","",C41/10)</f>
        <v/>
      </c>
      <c r="N41" s="13">
        <f>IF(D41="","",D41/9)</f>
        <v/>
      </c>
      <c r="O41" s="13">
        <f>IF(E41="","",E41/6)</f>
        <v/>
      </c>
      <c r="P41" s="13">
        <f>IF(F41="","",F41/5)</f>
        <v/>
      </c>
      <c r="Q41" s="13">
        <f>IF(G41="","",G41/8)</f>
        <v/>
      </c>
      <c r="R41" s="13">
        <f>IF(H41="","",H41/10)</f>
        <v/>
      </c>
    </row>
  </sheetData>
  <conditionalFormatting sqref="C11">
    <cfRule type="expression" priority="1" dxfId="0">
      <formula>AND(COUNT(C11:H11)=6,C11=10)</formula>
    </cfRule>
    <cfRule type="expression" priority="2" dxfId="1">
      <formula>AND(COUNT(C11:H11)=6,C11&lt;10*0.4)</formula>
    </cfRule>
    <cfRule type="expression" priority="3" dxfId="2">
      <formula>AND(COUNT(C11:H11)=6,C11&gt;=10*0.4,C11&lt;10)</formula>
    </cfRule>
  </conditionalFormatting>
  <conditionalFormatting sqref="C12">
    <cfRule type="expression" priority="4" dxfId="0">
      <formula>AND(COUNT(C12:H12)=6,C12=10)</formula>
    </cfRule>
    <cfRule type="expression" priority="5" dxfId="1">
      <formula>AND(COUNT(C12:H12)=6,C12&lt;10*0.4)</formula>
    </cfRule>
    <cfRule type="expression" priority="6" dxfId="2">
      <formula>AND(COUNT(C12:H12)=6,C12&gt;=10*0.4,C12&lt;10)</formula>
    </cfRule>
  </conditionalFormatting>
  <conditionalFormatting sqref="C13">
    <cfRule type="expression" priority="7" dxfId="0">
      <formula>AND(COUNT(C13:H13)=6,C13=10)</formula>
    </cfRule>
    <cfRule type="expression" priority="8" dxfId="1">
      <formula>AND(COUNT(C13:H13)=6,C13&lt;10*0.4)</formula>
    </cfRule>
    <cfRule type="expression" priority="9" dxfId="2">
      <formula>AND(COUNT(C13:H13)=6,C13&gt;=10*0.4,C13&lt;10)</formula>
    </cfRule>
  </conditionalFormatting>
  <conditionalFormatting sqref="C14">
    <cfRule type="expression" priority="10" dxfId="0">
      <formula>AND(COUNT(C14:H14)=6,C14=10)</formula>
    </cfRule>
    <cfRule type="expression" priority="11" dxfId="1">
      <formula>AND(COUNT(C14:H14)=6,C14&lt;10*0.4)</formula>
    </cfRule>
    <cfRule type="expression" priority="12" dxfId="2">
      <formula>AND(COUNT(C14:H14)=6,C14&gt;=10*0.4,C14&lt;10)</formula>
    </cfRule>
  </conditionalFormatting>
  <conditionalFormatting sqref="C15">
    <cfRule type="expression" priority="13" dxfId="0">
      <formula>AND(COUNT(C15:H15)=6,C15=10)</formula>
    </cfRule>
    <cfRule type="expression" priority="14" dxfId="1">
      <formula>AND(COUNT(C15:H15)=6,C15&lt;10*0.4)</formula>
    </cfRule>
    <cfRule type="expression" priority="15" dxfId="2">
      <formula>AND(COUNT(C15:H15)=6,C15&gt;=10*0.4,C15&lt;10)</formula>
    </cfRule>
  </conditionalFormatting>
  <conditionalFormatting sqref="C16">
    <cfRule type="expression" priority="16" dxfId="0">
      <formula>AND(COUNT(C16:H16)=6,C16=10)</formula>
    </cfRule>
    <cfRule type="expression" priority="17" dxfId="1">
      <formula>AND(COUNT(C16:H16)=6,C16&lt;10*0.4)</formula>
    </cfRule>
    <cfRule type="expression" priority="18" dxfId="2">
      <formula>AND(COUNT(C16:H16)=6,C16&gt;=10*0.4,C16&lt;10)</formula>
    </cfRule>
  </conditionalFormatting>
  <conditionalFormatting sqref="C17">
    <cfRule type="expression" priority="19" dxfId="0">
      <formula>AND(COUNT(C17:H17)=6,C17=10)</formula>
    </cfRule>
    <cfRule type="expression" priority="20" dxfId="1">
      <formula>AND(COUNT(C17:H17)=6,C17&lt;10*0.4)</formula>
    </cfRule>
    <cfRule type="expression" priority="21" dxfId="2">
      <formula>AND(COUNT(C17:H17)=6,C17&gt;=10*0.4,C17&lt;10)</formula>
    </cfRule>
  </conditionalFormatting>
  <conditionalFormatting sqref="C18">
    <cfRule type="expression" priority="22" dxfId="0">
      <formula>AND(COUNT(C18:H18)=6,C18=10)</formula>
    </cfRule>
    <cfRule type="expression" priority="23" dxfId="1">
      <formula>AND(COUNT(C18:H18)=6,C18&lt;10*0.4)</formula>
    </cfRule>
    <cfRule type="expression" priority="24" dxfId="2">
      <formula>AND(COUNT(C18:H18)=6,C18&gt;=10*0.4,C18&lt;10)</formula>
    </cfRule>
  </conditionalFormatting>
  <conditionalFormatting sqref="C19">
    <cfRule type="expression" priority="25" dxfId="0">
      <formula>AND(COUNT(C19:H19)=6,C19=10)</formula>
    </cfRule>
    <cfRule type="expression" priority="26" dxfId="1">
      <formula>AND(COUNT(C19:H19)=6,C19&lt;10*0.4)</formula>
    </cfRule>
    <cfRule type="expression" priority="27" dxfId="2">
      <formula>AND(COUNT(C19:H19)=6,C19&gt;=10*0.4,C19&lt;10)</formula>
    </cfRule>
  </conditionalFormatting>
  <conditionalFormatting sqref="C20">
    <cfRule type="expression" priority="28" dxfId="0">
      <formula>AND(COUNT(C20:H20)=6,C20=10)</formula>
    </cfRule>
    <cfRule type="expression" priority="29" dxfId="1">
      <formula>AND(COUNT(C20:H20)=6,C20&lt;10*0.4)</formula>
    </cfRule>
    <cfRule type="expression" priority="30" dxfId="2">
      <formula>AND(COUNT(C20:H20)=6,C20&gt;=10*0.4,C20&lt;10)</formula>
    </cfRule>
  </conditionalFormatting>
  <conditionalFormatting sqref="C21">
    <cfRule type="expression" priority="31" dxfId="0">
      <formula>AND(COUNT(C21:H21)=6,C21=10)</formula>
    </cfRule>
    <cfRule type="expression" priority="32" dxfId="1">
      <formula>AND(COUNT(C21:H21)=6,C21&lt;10*0.4)</formula>
    </cfRule>
    <cfRule type="expression" priority="33" dxfId="2">
      <formula>AND(COUNT(C21:H21)=6,C21&gt;=10*0.4,C21&lt;10)</formula>
    </cfRule>
  </conditionalFormatting>
  <conditionalFormatting sqref="C22">
    <cfRule type="expression" priority="34" dxfId="0">
      <formula>AND(COUNT(C22:H22)=6,C22=10)</formula>
    </cfRule>
    <cfRule type="expression" priority="35" dxfId="1">
      <formula>AND(COUNT(C22:H22)=6,C22&lt;10*0.4)</formula>
    </cfRule>
    <cfRule type="expression" priority="36" dxfId="2">
      <formula>AND(COUNT(C22:H22)=6,C22&gt;=10*0.4,C22&lt;10)</formula>
    </cfRule>
  </conditionalFormatting>
  <conditionalFormatting sqref="C23">
    <cfRule type="expression" priority="37" dxfId="0">
      <formula>AND(COUNT(C23:H23)=6,C23=10)</formula>
    </cfRule>
    <cfRule type="expression" priority="38" dxfId="1">
      <formula>AND(COUNT(C23:H23)=6,C23&lt;10*0.4)</formula>
    </cfRule>
    <cfRule type="expression" priority="39" dxfId="2">
      <formula>AND(COUNT(C23:H23)=6,C23&gt;=10*0.4,C23&lt;10)</formula>
    </cfRule>
  </conditionalFormatting>
  <conditionalFormatting sqref="C24">
    <cfRule type="expression" priority="40" dxfId="0">
      <formula>AND(COUNT(C24:H24)=6,C24=10)</formula>
    </cfRule>
    <cfRule type="expression" priority="41" dxfId="1">
      <formula>AND(COUNT(C24:H24)=6,C24&lt;10*0.4)</formula>
    </cfRule>
    <cfRule type="expression" priority="42" dxfId="2">
      <formula>AND(COUNT(C24:H24)=6,C24&gt;=10*0.4,C24&lt;10)</formula>
    </cfRule>
  </conditionalFormatting>
  <conditionalFormatting sqref="C25">
    <cfRule type="expression" priority="43" dxfId="0">
      <formula>AND(COUNT(C25:H25)=6,C25=10)</formula>
    </cfRule>
    <cfRule type="expression" priority="44" dxfId="1">
      <formula>AND(COUNT(C25:H25)=6,C25&lt;10*0.4)</formula>
    </cfRule>
    <cfRule type="expression" priority="45" dxfId="2">
      <formula>AND(COUNT(C25:H25)=6,C25&gt;=10*0.4,C25&lt;10)</formula>
    </cfRule>
  </conditionalFormatting>
  <conditionalFormatting sqref="C26">
    <cfRule type="expression" priority="46" dxfId="0">
      <formula>AND(COUNT(C26:H26)=6,C26=10)</formula>
    </cfRule>
    <cfRule type="expression" priority="47" dxfId="1">
      <formula>AND(COUNT(C26:H26)=6,C26&lt;10*0.4)</formula>
    </cfRule>
    <cfRule type="expression" priority="48" dxfId="2">
      <formula>AND(COUNT(C26:H26)=6,C26&gt;=10*0.4,C26&lt;10)</formula>
    </cfRule>
  </conditionalFormatting>
  <conditionalFormatting sqref="C27">
    <cfRule type="expression" priority="49" dxfId="0">
      <formula>AND(COUNT(C27:H27)=6,C27=10)</formula>
    </cfRule>
    <cfRule type="expression" priority="50" dxfId="1">
      <formula>AND(COUNT(C27:H27)=6,C27&lt;10*0.4)</formula>
    </cfRule>
    <cfRule type="expression" priority="51" dxfId="2">
      <formula>AND(COUNT(C27:H27)=6,C27&gt;=10*0.4,C27&lt;10)</formula>
    </cfRule>
  </conditionalFormatting>
  <conditionalFormatting sqref="C28">
    <cfRule type="expression" priority="52" dxfId="0">
      <formula>AND(COUNT(C28:H28)=6,C28=10)</formula>
    </cfRule>
    <cfRule type="expression" priority="53" dxfId="1">
      <formula>AND(COUNT(C28:H28)=6,C28&lt;10*0.4)</formula>
    </cfRule>
    <cfRule type="expression" priority="54" dxfId="2">
      <formula>AND(COUNT(C28:H28)=6,C28&gt;=10*0.4,C28&lt;10)</formula>
    </cfRule>
  </conditionalFormatting>
  <conditionalFormatting sqref="C29">
    <cfRule type="expression" priority="55" dxfId="0">
      <formula>AND(COUNT(C29:H29)=6,C29=10)</formula>
    </cfRule>
    <cfRule type="expression" priority="56" dxfId="1">
      <formula>AND(COUNT(C29:H29)=6,C29&lt;10*0.4)</formula>
    </cfRule>
    <cfRule type="expression" priority="57" dxfId="2">
      <formula>AND(COUNT(C29:H29)=6,C29&gt;=10*0.4,C29&lt;10)</formula>
    </cfRule>
  </conditionalFormatting>
  <conditionalFormatting sqref="C30">
    <cfRule type="expression" priority="58" dxfId="0">
      <formula>AND(COUNT(C30:H30)=6,C30=10)</formula>
    </cfRule>
    <cfRule type="expression" priority="59" dxfId="1">
      <formula>AND(COUNT(C30:H30)=6,C30&lt;10*0.4)</formula>
    </cfRule>
    <cfRule type="expression" priority="60" dxfId="2">
      <formula>AND(COUNT(C30:H30)=6,C30&gt;=10*0.4,C30&lt;10)</formula>
    </cfRule>
  </conditionalFormatting>
  <conditionalFormatting sqref="C31">
    <cfRule type="expression" priority="61" dxfId="0">
      <formula>AND(COUNT(C31:H31)=6,C31=10)</formula>
    </cfRule>
    <cfRule type="expression" priority="62" dxfId="1">
      <formula>AND(COUNT(C31:H31)=6,C31&lt;10*0.4)</formula>
    </cfRule>
    <cfRule type="expression" priority="63" dxfId="2">
      <formula>AND(COUNT(C31:H31)=6,C31&gt;=10*0.4,C31&lt;10)</formula>
    </cfRule>
  </conditionalFormatting>
  <conditionalFormatting sqref="C32">
    <cfRule type="expression" priority="64" dxfId="0">
      <formula>AND(COUNT(C32:H32)=6,C32=10)</formula>
    </cfRule>
    <cfRule type="expression" priority="65" dxfId="1">
      <formula>AND(COUNT(C32:H32)=6,C32&lt;10*0.4)</formula>
    </cfRule>
    <cfRule type="expression" priority="66" dxfId="2">
      <formula>AND(COUNT(C32:H32)=6,C32&gt;=10*0.4,C32&lt;10)</formula>
    </cfRule>
  </conditionalFormatting>
  <conditionalFormatting sqref="C33">
    <cfRule type="expression" priority="67" dxfId="0">
      <formula>AND(COUNT(C33:H33)=6,C33=10)</formula>
    </cfRule>
    <cfRule type="expression" priority="68" dxfId="1">
      <formula>AND(COUNT(C33:H33)=6,C33&lt;10*0.4)</formula>
    </cfRule>
    <cfRule type="expression" priority="69" dxfId="2">
      <formula>AND(COUNT(C33:H33)=6,C33&gt;=10*0.4,C33&lt;10)</formula>
    </cfRule>
  </conditionalFormatting>
  <conditionalFormatting sqref="C34">
    <cfRule type="expression" priority="70" dxfId="0">
      <formula>AND(COUNT(C34:H34)=6,C34=10)</formula>
    </cfRule>
    <cfRule type="expression" priority="71" dxfId="1">
      <formula>AND(COUNT(C34:H34)=6,C34&lt;10*0.4)</formula>
    </cfRule>
    <cfRule type="expression" priority="72" dxfId="2">
      <formula>AND(COUNT(C34:H34)=6,C34&gt;=10*0.4,C34&lt;10)</formula>
    </cfRule>
  </conditionalFormatting>
  <conditionalFormatting sqref="C35">
    <cfRule type="expression" priority="73" dxfId="0">
      <formula>AND(COUNT(C35:H35)=6,C35=10)</formula>
    </cfRule>
    <cfRule type="expression" priority="74" dxfId="1">
      <formula>AND(COUNT(C35:H35)=6,C35&lt;10*0.4)</formula>
    </cfRule>
    <cfRule type="expression" priority="75" dxfId="2">
      <formula>AND(COUNT(C35:H35)=6,C35&gt;=10*0.4,C35&lt;10)</formula>
    </cfRule>
  </conditionalFormatting>
  <conditionalFormatting sqref="C36">
    <cfRule type="expression" priority="76" dxfId="0">
      <formula>AND(COUNT(C36:H36)=6,C36=10)</formula>
    </cfRule>
    <cfRule type="expression" priority="77" dxfId="1">
      <formula>AND(COUNT(C36:H36)=6,C36&lt;10*0.4)</formula>
    </cfRule>
    <cfRule type="expression" priority="78" dxfId="2">
      <formula>AND(COUNT(C36:H36)=6,C36&gt;=10*0.4,C36&lt;10)</formula>
    </cfRule>
  </conditionalFormatting>
  <conditionalFormatting sqref="C37">
    <cfRule type="expression" priority="79" dxfId="0">
      <formula>AND(COUNT(C37:H37)=6,C37=10)</formula>
    </cfRule>
    <cfRule type="expression" priority="80" dxfId="1">
      <formula>AND(COUNT(C37:H37)=6,C37&lt;10*0.4)</formula>
    </cfRule>
    <cfRule type="expression" priority="81" dxfId="2">
      <formula>AND(COUNT(C37:H37)=6,C37&gt;=10*0.4,C37&lt;10)</formula>
    </cfRule>
  </conditionalFormatting>
  <conditionalFormatting sqref="C38">
    <cfRule type="expression" priority="82" dxfId="0">
      <formula>AND(COUNT(C38:H38)=6,C38=10)</formula>
    </cfRule>
    <cfRule type="expression" priority="83" dxfId="1">
      <formula>AND(COUNT(C38:H38)=6,C38&lt;10*0.4)</formula>
    </cfRule>
    <cfRule type="expression" priority="84" dxfId="2">
      <formula>AND(COUNT(C38:H38)=6,C38&gt;=10*0.4,C38&lt;10)</formula>
    </cfRule>
  </conditionalFormatting>
  <conditionalFormatting sqref="C39">
    <cfRule type="expression" priority="85" dxfId="0">
      <formula>AND(COUNT(C39:H39)=6,C39=10)</formula>
    </cfRule>
    <cfRule type="expression" priority="86" dxfId="1">
      <formula>AND(COUNT(C39:H39)=6,C39&lt;10*0.4)</formula>
    </cfRule>
    <cfRule type="expression" priority="87" dxfId="2">
      <formula>AND(COUNT(C39:H39)=6,C39&gt;=10*0.4,C39&lt;10)</formula>
    </cfRule>
  </conditionalFormatting>
  <conditionalFormatting sqref="C40">
    <cfRule type="expression" priority="88" dxfId="0">
      <formula>AND(COUNT(C40:H40)=6,C40=10)</formula>
    </cfRule>
    <cfRule type="expression" priority="89" dxfId="1">
      <formula>AND(COUNT(C40:H40)=6,C40&lt;10*0.4)</formula>
    </cfRule>
    <cfRule type="expression" priority="90" dxfId="2">
      <formula>AND(COUNT(C40:H40)=6,C40&gt;=10*0.4,C40&lt;10)</formula>
    </cfRule>
  </conditionalFormatting>
  <conditionalFormatting sqref="C41">
    <cfRule type="expression" priority="91" dxfId="0">
      <formula>AND(COUNT(C41:H41)=6,C41=10)</formula>
    </cfRule>
    <cfRule type="expression" priority="92" dxfId="1">
      <formula>AND(COUNT(C41:H41)=6,C41&lt;10*0.4)</formula>
    </cfRule>
    <cfRule type="expression" priority="93" dxfId="2">
      <formula>AND(COUNT(C41:H41)=6,C41&gt;=10*0.4,C41&lt;10)</formula>
    </cfRule>
  </conditionalFormatting>
  <conditionalFormatting sqref="D11">
    <cfRule type="expression" priority="94" dxfId="0">
      <formula>AND(COUNT(C11:H11)=6,D11=9)</formula>
    </cfRule>
    <cfRule type="expression" priority="95" dxfId="1">
      <formula>AND(COUNT(C11:H11)=6,D11&lt;9*0.4)</formula>
    </cfRule>
    <cfRule type="expression" priority="96" dxfId="2">
      <formula>AND(COUNT(C11:H11)=6,D11&gt;=9*0.4,D11&lt;9)</formula>
    </cfRule>
  </conditionalFormatting>
  <conditionalFormatting sqref="D12">
    <cfRule type="expression" priority="97" dxfId="0">
      <formula>AND(COUNT(C12:H12)=6,D12=9)</formula>
    </cfRule>
    <cfRule type="expression" priority="98" dxfId="1">
      <formula>AND(COUNT(C12:H12)=6,D12&lt;9*0.4)</formula>
    </cfRule>
    <cfRule type="expression" priority="99" dxfId="2">
      <formula>AND(COUNT(C12:H12)=6,D12&gt;=9*0.4,D12&lt;9)</formula>
    </cfRule>
  </conditionalFormatting>
  <conditionalFormatting sqref="D13">
    <cfRule type="expression" priority="100" dxfId="0">
      <formula>AND(COUNT(C13:H13)=6,D13=9)</formula>
    </cfRule>
    <cfRule type="expression" priority="101" dxfId="1">
      <formula>AND(COUNT(C13:H13)=6,D13&lt;9*0.4)</formula>
    </cfRule>
    <cfRule type="expression" priority="102" dxfId="2">
      <formula>AND(COUNT(C13:H13)=6,D13&gt;=9*0.4,D13&lt;9)</formula>
    </cfRule>
  </conditionalFormatting>
  <conditionalFormatting sqref="D14">
    <cfRule type="expression" priority="103" dxfId="0">
      <formula>AND(COUNT(C14:H14)=6,D14=9)</formula>
    </cfRule>
    <cfRule type="expression" priority="104" dxfId="1">
      <formula>AND(COUNT(C14:H14)=6,D14&lt;9*0.4)</formula>
    </cfRule>
    <cfRule type="expression" priority="105" dxfId="2">
      <formula>AND(COUNT(C14:H14)=6,D14&gt;=9*0.4,D14&lt;9)</formula>
    </cfRule>
  </conditionalFormatting>
  <conditionalFormatting sqref="D15">
    <cfRule type="expression" priority="106" dxfId="0">
      <formula>AND(COUNT(C15:H15)=6,D15=9)</formula>
    </cfRule>
    <cfRule type="expression" priority="107" dxfId="1">
      <formula>AND(COUNT(C15:H15)=6,D15&lt;9*0.4)</formula>
    </cfRule>
    <cfRule type="expression" priority="108" dxfId="2">
      <formula>AND(COUNT(C15:H15)=6,D15&gt;=9*0.4,D15&lt;9)</formula>
    </cfRule>
  </conditionalFormatting>
  <conditionalFormatting sqref="D16">
    <cfRule type="expression" priority="109" dxfId="0">
      <formula>AND(COUNT(C16:H16)=6,D16=9)</formula>
    </cfRule>
    <cfRule type="expression" priority="110" dxfId="1">
      <formula>AND(COUNT(C16:H16)=6,D16&lt;9*0.4)</formula>
    </cfRule>
    <cfRule type="expression" priority="111" dxfId="2">
      <formula>AND(COUNT(C16:H16)=6,D16&gt;=9*0.4,D16&lt;9)</formula>
    </cfRule>
  </conditionalFormatting>
  <conditionalFormatting sqref="D17">
    <cfRule type="expression" priority="112" dxfId="0">
      <formula>AND(COUNT(C17:H17)=6,D17=9)</formula>
    </cfRule>
    <cfRule type="expression" priority="113" dxfId="1">
      <formula>AND(COUNT(C17:H17)=6,D17&lt;9*0.4)</formula>
    </cfRule>
    <cfRule type="expression" priority="114" dxfId="2">
      <formula>AND(COUNT(C17:H17)=6,D17&gt;=9*0.4,D17&lt;9)</formula>
    </cfRule>
  </conditionalFormatting>
  <conditionalFormatting sqref="D18">
    <cfRule type="expression" priority="115" dxfId="0">
      <formula>AND(COUNT(C18:H18)=6,D18=9)</formula>
    </cfRule>
    <cfRule type="expression" priority="116" dxfId="1">
      <formula>AND(COUNT(C18:H18)=6,D18&lt;9*0.4)</formula>
    </cfRule>
    <cfRule type="expression" priority="117" dxfId="2">
      <formula>AND(COUNT(C18:H18)=6,D18&gt;=9*0.4,D18&lt;9)</formula>
    </cfRule>
  </conditionalFormatting>
  <conditionalFormatting sqref="D19">
    <cfRule type="expression" priority="118" dxfId="0">
      <formula>AND(COUNT(C19:H19)=6,D19=9)</formula>
    </cfRule>
    <cfRule type="expression" priority="119" dxfId="1">
      <formula>AND(COUNT(C19:H19)=6,D19&lt;9*0.4)</formula>
    </cfRule>
    <cfRule type="expression" priority="120" dxfId="2">
      <formula>AND(COUNT(C19:H19)=6,D19&gt;=9*0.4,D19&lt;9)</formula>
    </cfRule>
  </conditionalFormatting>
  <conditionalFormatting sqref="D20">
    <cfRule type="expression" priority="121" dxfId="0">
      <formula>AND(COUNT(C20:H20)=6,D20=9)</formula>
    </cfRule>
    <cfRule type="expression" priority="122" dxfId="1">
      <formula>AND(COUNT(C20:H20)=6,D20&lt;9*0.4)</formula>
    </cfRule>
    <cfRule type="expression" priority="123" dxfId="2">
      <formula>AND(COUNT(C20:H20)=6,D20&gt;=9*0.4,D20&lt;9)</formula>
    </cfRule>
  </conditionalFormatting>
  <conditionalFormatting sqref="D21">
    <cfRule type="expression" priority="124" dxfId="0">
      <formula>AND(COUNT(C21:H21)=6,D21=9)</formula>
    </cfRule>
    <cfRule type="expression" priority="125" dxfId="1">
      <formula>AND(COUNT(C21:H21)=6,D21&lt;9*0.4)</formula>
    </cfRule>
    <cfRule type="expression" priority="126" dxfId="2">
      <formula>AND(COUNT(C21:H21)=6,D21&gt;=9*0.4,D21&lt;9)</formula>
    </cfRule>
  </conditionalFormatting>
  <conditionalFormatting sqref="D22">
    <cfRule type="expression" priority="127" dxfId="0">
      <formula>AND(COUNT(C22:H22)=6,D22=9)</formula>
    </cfRule>
    <cfRule type="expression" priority="128" dxfId="1">
      <formula>AND(COUNT(C22:H22)=6,D22&lt;9*0.4)</formula>
    </cfRule>
    <cfRule type="expression" priority="129" dxfId="2">
      <formula>AND(COUNT(C22:H22)=6,D22&gt;=9*0.4,D22&lt;9)</formula>
    </cfRule>
  </conditionalFormatting>
  <conditionalFormatting sqref="D23">
    <cfRule type="expression" priority="130" dxfId="0">
      <formula>AND(COUNT(C23:H23)=6,D23=9)</formula>
    </cfRule>
    <cfRule type="expression" priority="131" dxfId="1">
      <formula>AND(COUNT(C23:H23)=6,D23&lt;9*0.4)</formula>
    </cfRule>
    <cfRule type="expression" priority="132" dxfId="2">
      <formula>AND(COUNT(C23:H23)=6,D23&gt;=9*0.4,D23&lt;9)</formula>
    </cfRule>
  </conditionalFormatting>
  <conditionalFormatting sqref="D24">
    <cfRule type="expression" priority="133" dxfId="0">
      <formula>AND(COUNT(C24:H24)=6,D24=9)</formula>
    </cfRule>
    <cfRule type="expression" priority="134" dxfId="1">
      <formula>AND(COUNT(C24:H24)=6,D24&lt;9*0.4)</formula>
    </cfRule>
    <cfRule type="expression" priority="135" dxfId="2">
      <formula>AND(COUNT(C24:H24)=6,D24&gt;=9*0.4,D24&lt;9)</formula>
    </cfRule>
  </conditionalFormatting>
  <conditionalFormatting sqref="D25">
    <cfRule type="expression" priority="136" dxfId="0">
      <formula>AND(COUNT(C25:H25)=6,D25=9)</formula>
    </cfRule>
    <cfRule type="expression" priority="137" dxfId="1">
      <formula>AND(COUNT(C25:H25)=6,D25&lt;9*0.4)</formula>
    </cfRule>
    <cfRule type="expression" priority="138" dxfId="2">
      <formula>AND(COUNT(C25:H25)=6,D25&gt;=9*0.4,D25&lt;9)</formula>
    </cfRule>
  </conditionalFormatting>
  <conditionalFormatting sqref="D26">
    <cfRule type="expression" priority="139" dxfId="0">
      <formula>AND(COUNT(C26:H26)=6,D26=9)</formula>
    </cfRule>
    <cfRule type="expression" priority="140" dxfId="1">
      <formula>AND(COUNT(C26:H26)=6,D26&lt;9*0.4)</formula>
    </cfRule>
    <cfRule type="expression" priority="141" dxfId="2">
      <formula>AND(COUNT(C26:H26)=6,D26&gt;=9*0.4,D26&lt;9)</formula>
    </cfRule>
  </conditionalFormatting>
  <conditionalFormatting sqref="D27">
    <cfRule type="expression" priority="142" dxfId="0">
      <formula>AND(COUNT(C27:H27)=6,D27=9)</formula>
    </cfRule>
    <cfRule type="expression" priority="143" dxfId="1">
      <formula>AND(COUNT(C27:H27)=6,D27&lt;9*0.4)</formula>
    </cfRule>
    <cfRule type="expression" priority="144" dxfId="2">
      <formula>AND(COUNT(C27:H27)=6,D27&gt;=9*0.4,D27&lt;9)</formula>
    </cfRule>
  </conditionalFormatting>
  <conditionalFormatting sqref="D28">
    <cfRule type="expression" priority="145" dxfId="0">
      <formula>AND(COUNT(C28:H28)=6,D28=9)</formula>
    </cfRule>
    <cfRule type="expression" priority="146" dxfId="1">
      <formula>AND(COUNT(C28:H28)=6,D28&lt;9*0.4)</formula>
    </cfRule>
    <cfRule type="expression" priority="147" dxfId="2">
      <formula>AND(COUNT(C28:H28)=6,D28&gt;=9*0.4,D28&lt;9)</formula>
    </cfRule>
  </conditionalFormatting>
  <conditionalFormatting sqref="D29">
    <cfRule type="expression" priority="148" dxfId="0">
      <formula>AND(COUNT(C29:H29)=6,D29=9)</formula>
    </cfRule>
    <cfRule type="expression" priority="149" dxfId="1">
      <formula>AND(COUNT(C29:H29)=6,D29&lt;9*0.4)</formula>
    </cfRule>
    <cfRule type="expression" priority="150" dxfId="2">
      <formula>AND(COUNT(C29:H29)=6,D29&gt;=9*0.4,D29&lt;9)</formula>
    </cfRule>
  </conditionalFormatting>
  <conditionalFormatting sqref="D30">
    <cfRule type="expression" priority="151" dxfId="0">
      <formula>AND(COUNT(C30:H30)=6,D30=9)</formula>
    </cfRule>
    <cfRule type="expression" priority="152" dxfId="1">
      <formula>AND(COUNT(C30:H30)=6,D30&lt;9*0.4)</formula>
    </cfRule>
    <cfRule type="expression" priority="153" dxfId="2">
      <formula>AND(COUNT(C30:H30)=6,D30&gt;=9*0.4,D30&lt;9)</formula>
    </cfRule>
  </conditionalFormatting>
  <conditionalFormatting sqref="D31">
    <cfRule type="expression" priority="154" dxfId="0">
      <formula>AND(COUNT(C31:H31)=6,D31=9)</formula>
    </cfRule>
    <cfRule type="expression" priority="155" dxfId="1">
      <formula>AND(COUNT(C31:H31)=6,D31&lt;9*0.4)</formula>
    </cfRule>
    <cfRule type="expression" priority="156" dxfId="2">
      <formula>AND(COUNT(C31:H31)=6,D31&gt;=9*0.4,D31&lt;9)</formula>
    </cfRule>
  </conditionalFormatting>
  <conditionalFormatting sqref="D32">
    <cfRule type="expression" priority="157" dxfId="0">
      <formula>AND(COUNT(C32:H32)=6,D32=9)</formula>
    </cfRule>
    <cfRule type="expression" priority="158" dxfId="1">
      <formula>AND(COUNT(C32:H32)=6,D32&lt;9*0.4)</formula>
    </cfRule>
    <cfRule type="expression" priority="159" dxfId="2">
      <formula>AND(COUNT(C32:H32)=6,D32&gt;=9*0.4,D32&lt;9)</formula>
    </cfRule>
  </conditionalFormatting>
  <conditionalFormatting sqref="D33">
    <cfRule type="expression" priority="160" dxfId="0">
      <formula>AND(COUNT(C33:H33)=6,D33=9)</formula>
    </cfRule>
    <cfRule type="expression" priority="161" dxfId="1">
      <formula>AND(COUNT(C33:H33)=6,D33&lt;9*0.4)</formula>
    </cfRule>
    <cfRule type="expression" priority="162" dxfId="2">
      <formula>AND(COUNT(C33:H33)=6,D33&gt;=9*0.4,D33&lt;9)</formula>
    </cfRule>
  </conditionalFormatting>
  <conditionalFormatting sqref="D34">
    <cfRule type="expression" priority="163" dxfId="0">
      <formula>AND(COUNT(C34:H34)=6,D34=9)</formula>
    </cfRule>
    <cfRule type="expression" priority="164" dxfId="1">
      <formula>AND(COUNT(C34:H34)=6,D34&lt;9*0.4)</formula>
    </cfRule>
    <cfRule type="expression" priority="165" dxfId="2">
      <formula>AND(COUNT(C34:H34)=6,D34&gt;=9*0.4,D34&lt;9)</formula>
    </cfRule>
  </conditionalFormatting>
  <conditionalFormatting sqref="D35">
    <cfRule type="expression" priority="166" dxfId="0">
      <formula>AND(COUNT(C35:H35)=6,D35=9)</formula>
    </cfRule>
    <cfRule type="expression" priority="167" dxfId="1">
      <formula>AND(COUNT(C35:H35)=6,D35&lt;9*0.4)</formula>
    </cfRule>
    <cfRule type="expression" priority="168" dxfId="2">
      <formula>AND(COUNT(C35:H35)=6,D35&gt;=9*0.4,D35&lt;9)</formula>
    </cfRule>
  </conditionalFormatting>
  <conditionalFormatting sqref="D36">
    <cfRule type="expression" priority="169" dxfId="0">
      <formula>AND(COUNT(C36:H36)=6,D36=9)</formula>
    </cfRule>
    <cfRule type="expression" priority="170" dxfId="1">
      <formula>AND(COUNT(C36:H36)=6,D36&lt;9*0.4)</formula>
    </cfRule>
    <cfRule type="expression" priority="171" dxfId="2">
      <formula>AND(COUNT(C36:H36)=6,D36&gt;=9*0.4,D36&lt;9)</formula>
    </cfRule>
  </conditionalFormatting>
  <conditionalFormatting sqref="D37">
    <cfRule type="expression" priority="172" dxfId="0">
      <formula>AND(COUNT(C37:H37)=6,D37=9)</formula>
    </cfRule>
    <cfRule type="expression" priority="173" dxfId="1">
      <formula>AND(COUNT(C37:H37)=6,D37&lt;9*0.4)</formula>
    </cfRule>
    <cfRule type="expression" priority="174" dxfId="2">
      <formula>AND(COUNT(C37:H37)=6,D37&gt;=9*0.4,D37&lt;9)</formula>
    </cfRule>
  </conditionalFormatting>
  <conditionalFormatting sqref="D38">
    <cfRule type="expression" priority="175" dxfId="0">
      <formula>AND(COUNT(C38:H38)=6,D38=9)</formula>
    </cfRule>
    <cfRule type="expression" priority="176" dxfId="1">
      <formula>AND(COUNT(C38:H38)=6,D38&lt;9*0.4)</formula>
    </cfRule>
    <cfRule type="expression" priority="177" dxfId="2">
      <formula>AND(COUNT(C38:H38)=6,D38&gt;=9*0.4,D38&lt;9)</formula>
    </cfRule>
  </conditionalFormatting>
  <conditionalFormatting sqref="D39">
    <cfRule type="expression" priority="178" dxfId="0">
      <formula>AND(COUNT(C39:H39)=6,D39=9)</formula>
    </cfRule>
    <cfRule type="expression" priority="179" dxfId="1">
      <formula>AND(COUNT(C39:H39)=6,D39&lt;9*0.4)</formula>
    </cfRule>
    <cfRule type="expression" priority="180" dxfId="2">
      <formula>AND(COUNT(C39:H39)=6,D39&gt;=9*0.4,D39&lt;9)</formula>
    </cfRule>
  </conditionalFormatting>
  <conditionalFormatting sqref="D40">
    <cfRule type="expression" priority="181" dxfId="0">
      <formula>AND(COUNT(C40:H40)=6,D40=9)</formula>
    </cfRule>
    <cfRule type="expression" priority="182" dxfId="1">
      <formula>AND(COUNT(C40:H40)=6,D40&lt;9*0.4)</formula>
    </cfRule>
    <cfRule type="expression" priority="183" dxfId="2">
      <formula>AND(COUNT(C40:H40)=6,D40&gt;=9*0.4,D40&lt;9)</formula>
    </cfRule>
  </conditionalFormatting>
  <conditionalFormatting sqref="D41">
    <cfRule type="expression" priority="184" dxfId="0">
      <formula>AND(COUNT(C41:H41)=6,D41=9)</formula>
    </cfRule>
    <cfRule type="expression" priority="185" dxfId="1">
      <formula>AND(COUNT(C41:H41)=6,D41&lt;9*0.4)</formula>
    </cfRule>
    <cfRule type="expression" priority="186" dxfId="2">
      <formula>AND(COUNT(C41:H41)=6,D41&gt;=9*0.4,D41&lt;9)</formula>
    </cfRule>
  </conditionalFormatting>
  <conditionalFormatting sqref="E11">
    <cfRule type="expression" priority="187" dxfId="0">
      <formula>AND(COUNT(C11:H11)=6,E11=6)</formula>
    </cfRule>
    <cfRule type="expression" priority="188" dxfId="1">
      <formula>AND(COUNT(C11:H11)=6,E11&lt;6*0.4)</formula>
    </cfRule>
    <cfRule type="expression" priority="189" dxfId="2">
      <formula>AND(COUNT(C11:H11)=6,E11&gt;=6*0.4,E11&lt;6)</formula>
    </cfRule>
  </conditionalFormatting>
  <conditionalFormatting sqref="E12">
    <cfRule type="expression" priority="190" dxfId="0">
      <formula>AND(COUNT(C12:H12)=6,E12=6)</formula>
    </cfRule>
    <cfRule type="expression" priority="191" dxfId="1">
      <formula>AND(COUNT(C12:H12)=6,E12&lt;6*0.4)</formula>
    </cfRule>
    <cfRule type="expression" priority="192" dxfId="2">
      <formula>AND(COUNT(C12:H12)=6,E12&gt;=6*0.4,E12&lt;6)</formula>
    </cfRule>
  </conditionalFormatting>
  <conditionalFormatting sqref="E13">
    <cfRule type="expression" priority="193" dxfId="0">
      <formula>AND(COUNT(C13:H13)=6,E13=6)</formula>
    </cfRule>
    <cfRule type="expression" priority="194" dxfId="1">
      <formula>AND(COUNT(C13:H13)=6,E13&lt;6*0.4)</formula>
    </cfRule>
    <cfRule type="expression" priority="195" dxfId="2">
      <formula>AND(COUNT(C13:H13)=6,E13&gt;=6*0.4,E13&lt;6)</formula>
    </cfRule>
  </conditionalFormatting>
  <conditionalFormatting sqref="E14">
    <cfRule type="expression" priority="196" dxfId="0">
      <formula>AND(COUNT(C14:H14)=6,E14=6)</formula>
    </cfRule>
    <cfRule type="expression" priority="197" dxfId="1">
      <formula>AND(COUNT(C14:H14)=6,E14&lt;6*0.4)</formula>
    </cfRule>
    <cfRule type="expression" priority="198" dxfId="2">
      <formula>AND(COUNT(C14:H14)=6,E14&gt;=6*0.4,E14&lt;6)</formula>
    </cfRule>
  </conditionalFormatting>
  <conditionalFormatting sqref="E15">
    <cfRule type="expression" priority="199" dxfId="0">
      <formula>AND(COUNT(C15:H15)=6,E15=6)</formula>
    </cfRule>
    <cfRule type="expression" priority="200" dxfId="1">
      <formula>AND(COUNT(C15:H15)=6,E15&lt;6*0.4)</formula>
    </cfRule>
    <cfRule type="expression" priority="201" dxfId="2">
      <formula>AND(COUNT(C15:H15)=6,E15&gt;=6*0.4,E15&lt;6)</formula>
    </cfRule>
  </conditionalFormatting>
  <conditionalFormatting sqref="E16">
    <cfRule type="expression" priority="202" dxfId="0">
      <formula>AND(COUNT(C16:H16)=6,E16=6)</formula>
    </cfRule>
    <cfRule type="expression" priority="203" dxfId="1">
      <formula>AND(COUNT(C16:H16)=6,E16&lt;6*0.4)</formula>
    </cfRule>
    <cfRule type="expression" priority="204" dxfId="2">
      <formula>AND(COUNT(C16:H16)=6,E16&gt;=6*0.4,E16&lt;6)</formula>
    </cfRule>
  </conditionalFormatting>
  <conditionalFormatting sqref="E17">
    <cfRule type="expression" priority="205" dxfId="0">
      <formula>AND(COUNT(C17:H17)=6,E17=6)</formula>
    </cfRule>
    <cfRule type="expression" priority="206" dxfId="1">
      <formula>AND(COUNT(C17:H17)=6,E17&lt;6*0.4)</formula>
    </cfRule>
    <cfRule type="expression" priority="207" dxfId="2">
      <formula>AND(COUNT(C17:H17)=6,E17&gt;=6*0.4,E17&lt;6)</formula>
    </cfRule>
  </conditionalFormatting>
  <conditionalFormatting sqref="E18">
    <cfRule type="expression" priority="208" dxfId="0">
      <formula>AND(COUNT(C18:H18)=6,E18=6)</formula>
    </cfRule>
    <cfRule type="expression" priority="209" dxfId="1">
      <formula>AND(COUNT(C18:H18)=6,E18&lt;6*0.4)</formula>
    </cfRule>
    <cfRule type="expression" priority="210" dxfId="2">
      <formula>AND(COUNT(C18:H18)=6,E18&gt;=6*0.4,E18&lt;6)</formula>
    </cfRule>
  </conditionalFormatting>
  <conditionalFormatting sqref="E19">
    <cfRule type="expression" priority="211" dxfId="0">
      <formula>AND(COUNT(C19:H19)=6,E19=6)</formula>
    </cfRule>
    <cfRule type="expression" priority="212" dxfId="1">
      <formula>AND(COUNT(C19:H19)=6,E19&lt;6*0.4)</formula>
    </cfRule>
    <cfRule type="expression" priority="213" dxfId="2">
      <formula>AND(COUNT(C19:H19)=6,E19&gt;=6*0.4,E19&lt;6)</formula>
    </cfRule>
  </conditionalFormatting>
  <conditionalFormatting sqref="E20">
    <cfRule type="expression" priority="214" dxfId="0">
      <formula>AND(COUNT(C20:H20)=6,E20=6)</formula>
    </cfRule>
    <cfRule type="expression" priority="215" dxfId="1">
      <formula>AND(COUNT(C20:H20)=6,E20&lt;6*0.4)</formula>
    </cfRule>
    <cfRule type="expression" priority="216" dxfId="2">
      <formula>AND(COUNT(C20:H20)=6,E20&gt;=6*0.4,E20&lt;6)</formula>
    </cfRule>
  </conditionalFormatting>
  <conditionalFormatting sqref="E21">
    <cfRule type="expression" priority="217" dxfId="0">
      <formula>AND(COUNT(C21:H21)=6,E21=6)</formula>
    </cfRule>
    <cfRule type="expression" priority="218" dxfId="1">
      <formula>AND(COUNT(C21:H21)=6,E21&lt;6*0.4)</formula>
    </cfRule>
    <cfRule type="expression" priority="219" dxfId="2">
      <formula>AND(COUNT(C21:H21)=6,E21&gt;=6*0.4,E21&lt;6)</formula>
    </cfRule>
  </conditionalFormatting>
  <conditionalFormatting sqref="E22">
    <cfRule type="expression" priority="220" dxfId="0">
      <formula>AND(COUNT(C22:H22)=6,E22=6)</formula>
    </cfRule>
    <cfRule type="expression" priority="221" dxfId="1">
      <formula>AND(COUNT(C22:H22)=6,E22&lt;6*0.4)</formula>
    </cfRule>
    <cfRule type="expression" priority="222" dxfId="2">
      <formula>AND(COUNT(C22:H22)=6,E22&gt;=6*0.4,E22&lt;6)</formula>
    </cfRule>
  </conditionalFormatting>
  <conditionalFormatting sqref="E23">
    <cfRule type="expression" priority="223" dxfId="0">
      <formula>AND(COUNT(C23:H23)=6,E23=6)</formula>
    </cfRule>
    <cfRule type="expression" priority="224" dxfId="1">
      <formula>AND(COUNT(C23:H23)=6,E23&lt;6*0.4)</formula>
    </cfRule>
    <cfRule type="expression" priority="225" dxfId="2">
      <formula>AND(COUNT(C23:H23)=6,E23&gt;=6*0.4,E23&lt;6)</formula>
    </cfRule>
  </conditionalFormatting>
  <conditionalFormatting sqref="E24">
    <cfRule type="expression" priority="226" dxfId="0">
      <formula>AND(COUNT(C24:H24)=6,E24=6)</formula>
    </cfRule>
    <cfRule type="expression" priority="227" dxfId="1">
      <formula>AND(COUNT(C24:H24)=6,E24&lt;6*0.4)</formula>
    </cfRule>
    <cfRule type="expression" priority="228" dxfId="2">
      <formula>AND(COUNT(C24:H24)=6,E24&gt;=6*0.4,E24&lt;6)</formula>
    </cfRule>
  </conditionalFormatting>
  <conditionalFormatting sqref="E25">
    <cfRule type="expression" priority="229" dxfId="0">
      <formula>AND(COUNT(C25:H25)=6,E25=6)</formula>
    </cfRule>
    <cfRule type="expression" priority="230" dxfId="1">
      <formula>AND(COUNT(C25:H25)=6,E25&lt;6*0.4)</formula>
    </cfRule>
    <cfRule type="expression" priority="231" dxfId="2">
      <formula>AND(COUNT(C25:H25)=6,E25&gt;=6*0.4,E25&lt;6)</formula>
    </cfRule>
  </conditionalFormatting>
  <conditionalFormatting sqref="E26">
    <cfRule type="expression" priority="232" dxfId="0">
      <formula>AND(COUNT(C26:H26)=6,E26=6)</formula>
    </cfRule>
    <cfRule type="expression" priority="233" dxfId="1">
      <formula>AND(COUNT(C26:H26)=6,E26&lt;6*0.4)</formula>
    </cfRule>
    <cfRule type="expression" priority="234" dxfId="2">
      <formula>AND(COUNT(C26:H26)=6,E26&gt;=6*0.4,E26&lt;6)</formula>
    </cfRule>
  </conditionalFormatting>
  <conditionalFormatting sqref="E27">
    <cfRule type="expression" priority="235" dxfId="0">
      <formula>AND(COUNT(C27:H27)=6,E27=6)</formula>
    </cfRule>
    <cfRule type="expression" priority="236" dxfId="1">
      <formula>AND(COUNT(C27:H27)=6,E27&lt;6*0.4)</formula>
    </cfRule>
    <cfRule type="expression" priority="237" dxfId="2">
      <formula>AND(COUNT(C27:H27)=6,E27&gt;=6*0.4,E27&lt;6)</formula>
    </cfRule>
  </conditionalFormatting>
  <conditionalFormatting sqref="E28">
    <cfRule type="expression" priority="238" dxfId="0">
      <formula>AND(COUNT(C28:H28)=6,E28=6)</formula>
    </cfRule>
    <cfRule type="expression" priority="239" dxfId="1">
      <formula>AND(COUNT(C28:H28)=6,E28&lt;6*0.4)</formula>
    </cfRule>
    <cfRule type="expression" priority="240" dxfId="2">
      <formula>AND(COUNT(C28:H28)=6,E28&gt;=6*0.4,E28&lt;6)</formula>
    </cfRule>
  </conditionalFormatting>
  <conditionalFormatting sqref="E29">
    <cfRule type="expression" priority="241" dxfId="0">
      <formula>AND(COUNT(C29:H29)=6,E29=6)</formula>
    </cfRule>
    <cfRule type="expression" priority="242" dxfId="1">
      <formula>AND(COUNT(C29:H29)=6,E29&lt;6*0.4)</formula>
    </cfRule>
    <cfRule type="expression" priority="243" dxfId="2">
      <formula>AND(COUNT(C29:H29)=6,E29&gt;=6*0.4,E29&lt;6)</formula>
    </cfRule>
  </conditionalFormatting>
  <conditionalFormatting sqref="E30">
    <cfRule type="expression" priority="244" dxfId="0">
      <formula>AND(COUNT(C30:H30)=6,E30=6)</formula>
    </cfRule>
    <cfRule type="expression" priority="245" dxfId="1">
      <formula>AND(COUNT(C30:H30)=6,E30&lt;6*0.4)</formula>
    </cfRule>
    <cfRule type="expression" priority="246" dxfId="2">
      <formula>AND(COUNT(C30:H30)=6,E30&gt;=6*0.4,E30&lt;6)</formula>
    </cfRule>
  </conditionalFormatting>
  <conditionalFormatting sqref="E31">
    <cfRule type="expression" priority="247" dxfId="0">
      <formula>AND(COUNT(C31:H31)=6,E31=6)</formula>
    </cfRule>
    <cfRule type="expression" priority="248" dxfId="1">
      <formula>AND(COUNT(C31:H31)=6,E31&lt;6*0.4)</formula>
    </cfRule>
    <cfRule type="expression" priority="249" dxfId="2">
      <formula>AND(COUNT(C31:H31)=6,E31&gt;=6*0.4,E31&lt;6)</formula>
    </cfRule>
  </conditionalFormatting>
  <conditionalFormatting sqref="E32">
    <cfRule type="expression" priority="250" dxfId="0">
      <formula>AND(COUNT(C32:H32)=6,E32=6)</formula>
    </cfRule>
    <cfRule type="expression" priority="251" dxfId="1">
      <formula>AND(COUNT(C32:H32)=6,E32&lt;6*0.4)</formula>
    </cfRule>
    <cfRule type="expression" priority="252" dxfId="2">
      <formula>AND(COUNT(C32:H32)=6,E32&gt;=6*0.4,E32&lt;6)</formula>
    </cfRule>
  </conditionalFormatting>
  <conditionalFormatting sqref="E33">
    <cfRule type="expression" priority="253" dxfId="0">
      <formula>AND(COUNT(C33:H33)=6,E33=6)</formula>
    </cfRule>
    <cfRule type="expression" priority="254" dxfId="1">
      <formula>AND(COUNT(C33:H33)=6,E33&lt;6*0.4)</formula>
    </cfRule>
    <cfRule type="expression" priority="255" dxfId="2">
      <formula>AND(COUNT(C33:H33)=6,E33&gt;=6*0.4,E33&lt;6)</formula>
    </cfRule>
  </conditionalFormatting>
  <conditionalFormatting sqref="E34">
    <cfRule type="expression" priority="256" dxfId="0">
      <formula>AND(COUNT(C34:H34)=6,E34=6)</formula>
    </cfRule>
    <cfRule type="expression" priority="257" dxfId="1">
      <formula>AND(COUNT(C34:H34)=6,E34&lt;6*0.4)</formula>
    </cfRule>
    <cfRule type="expression" priority="258" dxfId="2">
      <formula>AND(COUNT(C34:H34)=6,E34&gt;=6*0.4,E34&lt;6)</formula>
    </cfRule>
  </conditionalFormatting>
  <conditionalFormatting sqref="E35">
    <cfRule type="expression" priority="259" dxfId="0">
      <formula>AND(COUNT(C35:H35)=6,E35=6)</formula>
    </cfRule>
    <cfRule type="expression" priority="260" dxfId="1">
      <formula>AND(COUNT(C35:H35)=6,E35&lt;6*0.4)</formula>
    </cfRule>
    <cfRule type="expression" priority="261" dxfId="2">
      <formula>AND(COUNT(C35:H35)=6,E35&gt;=6*0.4,E35&lt;6)</formula>
    </cfRule>
  </conditionalFormatting>
  <conditionalFormatting sqref="E36">
    <cfRule type="expression" priority="262" dxfId="0">
      <formula>AND(COUNT(C36:H36)=6,E36=6)</formula>
    </cfRule>
    <cfRule type="expression" priority="263" dxfId="1">
      <formula>AND(COUNT(C36:H36)=6,E36&lt;6*0.4)</formula>
    </cfRule>
    <cfRule type="expression" priority="264" dxfId="2">
      <formula>AND(COUNT(C36:H36)=6,E36&gt;=6*0.4,E36&lt;6)</formula>
    </cfRule>
  </conditionalFormatting>
  <conditionalFormatting sqref="E37">
    <cfRule type="expression" priority="265" dxfId="0">
      <formula>AND(COUNT(C37:H37)=6,E37=6)</formula>
    </cfRule>
    <cfRule type="expression" priority="266" dxfId="1">
      <formula>AND(COUNT(C37:H37)=6,E37&lt;6*0.4)</formula>
    </cfRule>
    <cfRule type="expression" priority="267" dxfId="2">
      <formula>AND(COUNT(C37:H37)=6,E37&gt;=6*0.4,E37&lt;6)</formula>
    </cfRule>
  </conditionalFormatting>
  <conditionalFormatting sqref="E38">
    <cfRule type="expression" priority="268" dxfId="0">
      <formula>AND(COUNT(C38:H38)=6,E38=6)</formula>
    </cfRule>
    <cfRule type="expression" priority="269" dxfId="1">
      <formula>AND(COUNT(C38:H38)=6,E38&lt;6*0.4)</formula>
    </cfRule>
    <cfRule type="expression" priority="270" dxfId="2">
      <formula>AND(COUNT(C38:H38)=6,E38&gt;=6*0.4,E38&lt;6)</formula>
    </cfRule>
  </conditionalFormatting>
  <conditionalFormatting sqref="E39">
    <cfRule type="expression" priority="271" dxfId="0">
      <formula>AND(COUNT(C39:H39)=6,E39=6)</formula>
    </cfRule>
    <cfRule type="expression" priority="272" dxfId="1">
      <formula>AND(COUNT(C39:H39)=6,E39&lt;6*0.4)</formula>
    </cfRule>
    <cfRule type="expression" priority="273" dxfId="2">
      <formula>AND(COUNT(C39:H39)=6,E39&gt;=6*0.4,E39&lt;6)</formula>
    </cfRule>
  </conditionalFormatting>
  <conditionalFormatting sqref="E40">
    <cfRule type="expression" priority="274" dxfId="0">
      <formula>AND(COUNT(C40:H40)=6,E40=6)</formula>
    </cfRule>
    <cfRule type="expression" priority="275" dxfId="1">
      <formula>AND(COUNT(C40:H40)=6,E40&lt;6*0.4)</formula>
    </cfRule>
    <cfRule type="expression" priority="276" dxfId="2">
      <formula>AND(COUNT(C40:H40)=6,E40&gt;=6*0.4,E40&lt;6)</formula>
    </cfRule>
  </conditionalFormatting>
  <conditionalFormatting sqref="E41">
    <cfRule type="expression" priority="277" dxfId="0">
      <formula>AND(COUNT(C41:H41)=6,E41=6)</formula>
    </cfRule>
    <cfRule type="expression" priority="278" dxfId="1">
      <formula>AND(COUNT(C41:H41)=6,E41&lt;6*0.4)</formula>
    </cfRule>
    <cfRule type="expression" priority="279" dxfId="2">
      <formula>AND(COUNT(C41:H41)=6,E41&gt;=6*0.4,E41&lt;6)</formula>
    </cfRule>
  </conditionalFormatting>
  <conditionalFormatting sqref="F11">
    <cfRule type="expression" priority="280" dxfId="0">
      <formula>AND(COUNT(C11:H11)=6,F11=5)</formula>
    </cfRule>
    <cfRule type="expression" priority="281" dxfId="1">
      <formula>AND(COUNT(C11:H11)=6,F11&lt;5*0.4)</formula>
    </cfRule>
    <cfRule type="expression" priority="282" dxfId="2">
      <formula>AND(COUNT(C11:H11)=6,F11&gt;=5*0.4,F11&lt;5)</formula>
    </cfRule>
  </conditionalFormatting>
  <conditionalFormatting sqref="F12">
    <cfRule type="expression" priority="283" dxfId="0">
      <formula>AND(COUNT(C12:H12)=6,F12=5)</formula>
    </cfRule>
    <cfRule type="expression" priority="284" dxfId="1">
      <formula>AND(COUNT(C12:H12)=6,F12&lt;5*0.4)</formula>
    </cfRule>
    <cfRule type="expression" priority="285" dxfId="2">
      <formula>AND(COUNT(C12:H12)=6,F12&gt;=5*0.4,F12&lt;5)</formula>
    </cfRule>
  </conditionalFormatting>
  <conditionalFormatting sqref="F13">
    <cfRule type="expression" priority="286" dxfId="0">
      <formula>AND(COUNT(C13:H13)=6,F13=5)</formula>
    </cfRule>
    <cfRule type="expression" priority="287" dxfId="1">
      <formula>AND(COUNT(C13:H13)=6,F13&lt;5*0.4)</formula>
    </cfRule>
    <cfRule type="expression" priority="288" dxfId="2">
      <formula>AND(COUNT(C13:H13)=6,F13&gt;=5*0.4,F13&lt;5)</formula>
    </cfRule>
  </conditionalFormatting>
  <conditionalFormatting sqref="F14">
    <cfRule type="expression" priority="289" dxfId="0">
      <formula>AND(COUNT(C14:H14)=6,F14=5)</formula>
    </cfRule>
    <cfRule type="expression" priority="290" dxfId="1">
      <formula>AND(COUNT(C14:H14)=6,F14&lt;5*0.4)</formula>
    </cfRule>
    <cfRule type="expression" priority="291" dxfId="2">
      <formula>AND(COUNT(C14:H14)=6,F14&gt;=5*0.4,F14&lt;5)</formula>
    </cfRule>
  </conditionalFormatting>
  <conditionalFormatting sqref="F15">
    <cfRule type="expression" priority="292" dxfId="0">
      <formula>AND(COUNT(C15:H15)=6,F15=5)</formula>
    </cfRule>
    <cfRule type="expression" priority="293" dxfId="1">
      <formula>AND(COUNT(C15:H15)=6,F15&lt;5*0.4)</formula>
    </cfRule>
    <cfRule type="expression" priority="294" dxfId="2">
      <formula>AND(COUNT(C15:H15)=6,F15&gt;=5*0.4,F15&lt;5)</formula>
    </cfRule>
  </conditionalFormatting>
  <conditionalFormatting sqref="F16">
    <cfRule type="expression" priority="295" dxfId="0">
      <formula>AND(COUNT(C16:H16)=6,F16=5)</formula>
    </cfRule>
    <cfRule type="expression" priority="296" dxfId="1">
      <formula>AND(COUNT(C16:H16)=6,F16&lt;5*0.4)</formula>
    </cfRule>
    <cfRule type="expression" priority="297" dxfId="2">
      <formula>AND(COUNT(C16:H16)=6,F16&gt;=5*0.4,F16&lt;5)</formula>
    </cfRule>
  </conditionalFormatting>
  <conditionalFormatting sqref="F17">
    <cfRule type="expression" priority="298" dxfId="0">
      <formula>AND(COUNT(C17:H17)=6,F17=5)</formula>
    </cfRule>
    <cfRule type="expression" priority="299" dxfId="1">
      <formula>AND(COUNT(C17:H17)=6,F17&lt;5*0.4)</formula>
    </cfRule>
    <cfRule type="expression" priority="300" dxfId="2">
      <formula>AND(COUNT(C17:H17)=6,F17&gt;=5*0.4,F17&lt;5)</formula>
    </cfRule>
  </conditionalFormatting>
  <conditionalFormatting sqref="F18">
    <cfRule type="expression" priority="301" dxfId="0">
      <formula>AND(COUNT(C18:H18)=6,F18=5)</formula>
    </cfRule>
    <cfRule type="expression" priority="302" dxfId="1">
      <formula>AND(COUNT(C18:H18)=6,F18&lt;5*0.4)</formula>
    </cfRule>
    <cfRule type="expression" priority="303" dxfId="2">
      <formula>AND(COUNT(C18:H18)=6,F18&gt;=5*0.4,F18&lt;5)</formula>
    </cfRule>
  </conditionalFormatting>
  <conditionalFormatting sqref="F19">
    <cfRule type="expression" priority="304" dxfId="0">
      <formula>AND(COUNT(C19:H19)=6,F19=5)</formula>
    </cfRule>
    <cfRule type="expression" priority="305" dxfId="1">
      <formula>AND(COUNT(C19:H19)=6,F19&lt;5*0.4)</formula>
    </cfRule>
    <cfRule type="expression" priority="306" dxfId="2">
      <formula>AND(COUNT(C19:H19)=6,F19&gt;=5*0.4,F19&lt;5)</formula>
    </cfRule>
  </conditionalFormatting>
  <conditionalFormatting sqref="F20">
    <cfRule type="expression" priority="307" dxfId="0">
      <formula>AND(COUNT(C20:H20)=6,F20=5)</formula>
    </cfRule>
    <cfRule type="expression" priority="308" dxfId="1">
      <formula>AND(COUNT(C20:H20)=6,F20&lt;5*0.4)</formula>
    </cfRule>
    <cfRule type="expression" priority="309" dxfId="2">
      <formula>AND(COUNT(C20:H20)=6,F20&gt;=5*0.4,F20&lt;5)</formula>
    </cfRule>
  </conditionalFormatting>
  <conditionalFormatting sqref="F21">
    <cfRule type="expression" priority="310" dxfId="0">
      <formula>AND(COUNT(C21:H21)=6,F21=5)</formula>
    </cfRule>
    <cfRule type="expression" priority="311" dxfId="1">
      <formula>AND(COUNT(C21:H21)=6,F21&lt;5*0.4)</formula>
    </cfRule>
    <cfRule type="expression" priority="312" dxfId="2">
      <formula>AND(COUNT(C21:H21)=6,F21&gt;=5*0.4,F21&lt;5)</formula>
    </cfRule>
  </conditionalFormatting>
  <conditionalFormatting sqref="F22">
    <cfRule type="expression" priority="313" dxfId="0">
      <formula>AND(COUNT(C22:H22)=6,F22=5)</formula>
    </cfRule>
    <cfRule type="expression" priority="314" dxfId="1">
      <formula>AND(COUNT(C22:H22)=6,F22&lt;5*0.4)</formula>
    </cfRule>
    <cfRule type="expression" priority="315" dxfId="2">
      <formula>AND(COUNT(C22:H22)=6,F22&gt;=5*0.4,F22&lt;5)</formula>
    </cfRule>
  </conditionalFormatting>
  <conditionalFormatting sqref="F23">
    <cfRule type="expression" priority="316" dxfId="0">
      <formula>AND(COUNT(C23:H23)=6,F23=5)</formula>
    </cfRule>
    <cfRule type="expression" priority="317" dxfId="1">
      <formula>AND(COUNT(C23:H23)=6,F23&lt;5*0.4)</formula>
    </cfRule>
    <cfRule type="expression" priority="318" dxfId="2">
      <formula>AND(COUNT(C23:H23)=6,F23&gt;=5*0.4,F23&lt;5)</formula>
    </cfRule>
  </conditionalFormatting>
  <conditionalFormatting sqref="F24">
    <cfRule type="expression" priority="319" dxfId="0">
      <formula>AND(COUNT(C24:H24)=6,F24=5)</formula>
    </cfRule>
    <cfRule type="expression" priority="320" dxfId="1">
      <formula>AND(COUNT(C24:H24)=6,F24&lt;5*0.4)</formula>
    </cfRule>
    <cfRule type="expression" priority="321" dxfId="2">
      <formula>AND(COUNT(C24:H24)=6,F24&gt;=5*0.4,F24&lt;5)</formula>
    </cfRule>
  </conditionalFormatting>
  <conditionalFormatting sqref="F25">
    <cfRule type="expression" priority="322" dxfId="0">
      <formula>AND(COUNT(C25:H25)=6,F25=5)</formula>
    </cfRule>
    <cfRule type="expression" priority="323" dxfId="1">
      <formula>AND(COUNT(C25:H25)=6,F25&lt;5*0.4)</formula>
    </cfRule>
    <cfRule type="expression" priority="324" dxfId="2">
      <formula>AND(COUNT(C25:H25)=6,F25&gt;=5*0.4,F25&lt;5)</formula>
    </cfRule>
  </conditionalFormatting>
  <conditionalFormatting sqref="F26">
    <cfRule type="expression" priority="325" dxfId="0">
      <formula>AND(COUNT(C26:H26)=6,F26=5)</formula>
    </cfRule>
    <cfRule type="expression" priority="326" dxfId="1">
      <formula>AND(COUNT(C26:H26)=6,F26&lt;5*0.4)</formula>
    </cfRule>
    <cfRule type="expression" priority="327" dxfId="2">
      <formula>AND(COUNT(C26:H26)=6,F26&gt;=5*0.4,F26&lt;5)</formula>
    </cfRule>
  </conditionalFormatting>
  <conditionalFormatting sqref="F27">
    <cfRule type="expression" priority="328" dxfId="0">
      <formula>AND(COUNT(C27:H27)=6,F27=5)</formula>
    </cfRule>
    <cfRule type="expression" priority="329" dxfId="1">
      <formula>AND(COUNT(C27:H27)=6,F27&lt;5*0.4)</formula>
    </cfRule>
    <cfRule type="expression" priority="330" dxfId="2">
      <formula>AND(COUNT(C27:H27)=6,F27&gt;=5*0.4,F27&lt;5)</formula>
    </cfRule>
  </conditionalFormatting>
  <conditionalFormatting sqref="F28">
    <cfRule type="expression" priority="331" dxfId="0">
      <formula>AND(COUNT(C28:H28)=6,F28=5)</formula>
    </cfRule>
    <cfRule type="expression" priority="332" dxfId="1">
      <formula>AND(COUNT(C28:H28)=6,F28&lt;5*0.4)</formula>
    </cfRule>
    <cfRule type="expression" priority="333" dxfId="2">
      <formula>AND(COUNT(C28:H28)=6,F28&gt;=5*0.4,F28&lt;5)</formula>
    </cfRule>
  </conditionalFormatting>
  <conditionalFormatting sqref="F29">
    <cfRule type="expression" priority="334" dxfId="0">
      <formula>AND(COUNT(C29:H29)=6,F29=5)</formula>
    </cfRule>
    <cfRule type="expression" priority="335" dxfId="1">
      <formula>AND(COUNT(C29:H29)=6,F29&lt;5*0.4)</formula>
    </cfRule>
    <cfRule type="expression" priority="336" dxfId="2">
      <formula>AND(COUNT(C29:H29)=6,F29&gt;=5*0.4,F29&lt;5)</formula>
    </cfRule>
  </conditionalFormatting>
  <conditionalFormatting sqref="F30">
    <cfRule type="expression" priority="337" dxfId="0">
      <formula>AND(COUNT(C30:H30)=6,F30=5)</formula>
    </cfRule>
    <cfRule type="expression" priority="338" dxfId="1">
      <formula>AND(COUNT(C30:H30)=6,F30&lt;5*0.4)</formula>
    </cfRule>
    <cfRule type="expression" priority="339" dxfId="2">
      <formula>AND(COUNT(C30:H30)=6,F30&gt;=5*0.4,F30&lt;5)</formula>
    </cfRule>
  </conditionalFormatting>
  <conditionalFormatting sqref="F31">
    <cfRule type="expression" priority="340" dxfId="0">
      <formula>AND(COUNT(C31:H31)=6,F31=5)</formula>
    </cfRule>
    <cfRule type="expression" priority="341" dxfId="1">
      <formula>AND(COUNT(C31:H31)=6,F31&lt;5*0.4)</formula>
    </cfRule>
    <cfRule type="expression" priority="342" dxfId="2">
      <formula>AND(COUNT(C31:H31)=6,F31&gt;=5*0.4,F31&lt;5)</formula>
    </cfRule>
  </conditionalFormatting>
  <conditionalFormatting sqref="F32">
    <cfRule type="expression" priority="343" dxfId="0">
      <formula>AND(COUNT(C32:H32)=6,F32=5)</formula>
    </cfRule>
    <cfRule type="expression" priority="344" dxfId="1">
      <formula>AND(COUNT(C32:H32)=6,F32&lt;5*0.4)</formula>
    </cfRule>
    <cfRule type="expression" priority="345" dxfId="2">
      <formula>AND(COUNT(C32:H32)=6,F32&gt;=5*0.4,F32&lt;5)</formula>
    </cfRule>
  </conditionalFormatting>
  <conditionalFormatting sqref="F33">
    <cfRule type="expression" priority="346" dxfId="0">
      <formula>AND(COUNT(C33:H33)=6,F33=5)</formula>
    </cfRule>
    <cfRule type="expression" priority="347" dxfId="1">
      <formula>AND(COUNT(C33:H33)=6,F33&lt;5*0.4)</formula>
    </cfRule>
    <cfRule type="expression" priority="348" dxfId="2">
      <formula>AND(COUNT(C33:H33)=6,F33&gt;=5*0.4,F33&lt;5)</formula>
    </cfRule>
  </conditionalFormatting>
  <conditionalFormatting sqref="F34">
    <cfRule type="expression" priority="349" dxfId="0">
      <formula>AND(COUNT(C34:H34)=6,F34=5)</formula>
    </cfRule>
    <cfRule type="expression" priority="350" dxfId="1">
      <formula>AND(COUNT(C34:H34)=6,F34&lt;5*0.4)</formula>
    </cfRule>
    <cfRule type="expression" priority="351" dxfId="2">
      <formula>AND(COUNT(C34:H34)=6,F34&gt;=5*0.4,F34&lt;5)</formula>
    </cfRule>
  </conditionalFormatting>
  <conditionalFormatting sqref="F35">
    <cfRule type="expression" priority="352" dxfId="0">
      <formula>AND(COUNT(C35:H35)=6,F35=5)</formula>
    </cfRule>
    <cfRule type="expression" priority="353" dxfId="1">
      <formula>AND(COUNT(C35:H35)=6,F35&lt;5*0.4)</formula>
    </cfRule>
    <cfRule type="expression" priority="354" dxfId="2">
      <formula>AND(COUNT(C35:H35)=6,F35&gt;=5*0.4,F35&lt;5)</formula>
    </cfRule>
  </conditionalFormatting>
  <conditionalFormatting sqref="F36">
    <cfRule type="expression" priority="355" dxfId="0">
      <formula>AND(COUNT(C36:H36)=6,F36=5)</formula>
    </cfRule>
    <cfRule type="expression" priority="356" dxfId="1">
      <formula>AND(COUNT(C36:H36)=6,F36&lt;5*0.4)</formula>
    </cfRule>
    <cfRule type="expression" priority="357" dxfId="2">
      <formula>AND(COUNT(C36:H36)=6,F36&gt;=5*0.4,F36&lt;5)</formula>
    </cfRule>
  </conditionalFormatting>
  <conditionalFormatting sqref="F37">
    <cfRule type="expression" priority="358" dxfId="0">
      <formula>AND(COUNT(C37:H37)=6,F37=5)</formula>
    </cfRule>
    <cfRule type="expression" priority="359" dxfId="1">
      <formula>AND(COUNT(C37:H37)=6,F37&lt;5*0.4)</formula>
    </cfRule>
    <cfRule type="expression" priority="360" dxfId="2">
      <formula>AND(COUNT(C37:H37)=6,F37&gt;=5*0.4,F37&lt;5)</formula>
    </cfRule>
  </conditionalFormatting>
  <conditionalFormatting sqref="F38">
    <cfRule type="expression" priority="361" dxfId="0">
      <formula>AND(COUNT(C38:H38)=6,F38=5)</formula>
    </cfRule>
    <cfRule type="expression" priority="362" dxfId="1">
      <formula>AND(COUNT(C38:H38)=6,F38&lt;5*0.4)</formula>
    </cfRule>
    <cfRule type="expression" priority="363" dxfId="2">
      <formula>AND(COUNT(C38:H38)=6,F38&gt;=5*0.4,F38&lt;5)</formula>
    </cfRule>
  </conditionalFormatting>
  <conditionalFormatting sqref="F39">
    <cfRule type="expression" priority="364" dxfId="0">
      <formula>AND(COUNT(C39:H39)=6,F39=5)</formula>
    </cfRule>
    <cfRule type="expression" priority="365" dxfId="1">
      <formula>AND(COUNT(C39:H39)=6,F39&lt;5*0.4)</formula>
    </cfRule>
    <cfRule type="expression" priority="366" dxfId="2">
      <formula>AND(COUNT(C39:H39)=6,F39&gt;=5*0.4,F39&lt;5)</formula>
    </cfRule>
  </conditionalFormatting>
  <conditionalFormatting sqref="F40">
    <cfRule type="expression" priority="367" dxfId="0">
      <formula>AND(COUNT(C40:H40)=6,F40=5)</formula>
    </cfRule>
    <cfRule type="expression" priority="368" dxfId="1">
      <formula>AND(COUNT(C40:H40)=6,F40&lt;5*0.4)</formula>
    </cfRule>
    <cfRule type="expression" priority="369" dxfId="2">
      <formula>AND(COUNT(C40:H40)=6,F40&gt;=5*0.4,F40&lt;5)</formula>
    </cfRule>
  </conditionalFormatting>
  <conditionalFormatting sqref="F41">
    <cfRule type="expression" priority="370" dxfId="0">
      <formula>AND(COUNT(C41:H41)=6,F41=5)</formula>
    </cfRule>
    <cfRule type="expression" priority="371" dxfId="1">
      <formula>AND(COUNT(C41:H41)=6,F41&lt;5*0.4)</formula>
    </cfRule>
    <cfRule type="expression" priority="372" dxfId="2">
      <formula>AND(COUNT(C41:H41)=6,F41&gt;=5*0.4,F41&lt;5)</formula>
    </cfRule>
  </conditionalFormatting>
  <conditionalFormatting sqref="G11">
    <cfRule type="expression" priority="373" dxfId="0">
      <formula>AND(COUNT(C11:H11)=6,G11=8)</formula>
    </cfRule>
    <cfRule type="expression" priority="374" dxfId="1">
      <formula>AND(COUNT(C11:H11)=6,G11&lt;8*0.4)</formula>
    </cfRule>
    <cfRule type="expression" priority="375" dxfId="2">
      <formula>AND(COUNT(C11:H11)=6,G11&gt;=8*0.4,G11&lt;8)</formula>
    </cfRule>
  </conditionalFormatting>
  <conditionalFormatting sqref="G12">
    <cfRule type="expression" priority="376" dxfId="0">
      <formula>AND(COUNT(C12:H12)=6,G12=8)</formula>
    </cfRule>
    <cfRule type="expression" priority="377" dxfId="1">
      <formula>AND(COUNT(C12:H12)=6,G12&lt;8*0.4)</formula>
    </cfRule>
    <cfRule type="expression" priority="378" dxfId="2">
      <formula>AND(COUNT(C12:H12)=6,G12&gt;=8*0.4,G12&lt;8)</formula>
    </cfRule>
  </conditionalFormatting>
  <conditionalFormatting sqref="G13">
    <cfRule type="expression" priority="379" dxfId="0">
      <formula>AND(COUNT(C13:H13)=6,G13=8)</formula>
    </cfRule>
    <cfRule type="expression" priority="380" dxfId="1">
      <formula>AND(COUNT(C13:H13)=6,G13&lt;8*0.4)</formula>
    </cfRule>
    <cfRule type="expression" priority="381" dxfId="2">
      <formula>AND(COUNT(C13:H13)=6,G13&gt;=8*0.4,G13&lt;8)</formula>
    </cfRule>
  </conditionalFormatting>
  <conditionalFormatting sqref="G14">
    <cfRule type="expression" priority="382" dxfId="0">
      <formula>AND(COUNT(C14:H14)=6,G14=8)</formula>
    </cfRule>
    <cfRule type="expression" priority="383" dxfId="1">
      <formula>AND(COUNT(C14:H14)=6,G14&lt;8*0.4)</formula>
    </cfRule>
    <cfRule type="expression" priority="384" dxfId="2">
      <formula>AND(COUNT(C14:H14)=6,G14&gt;=8*0.4,G14&lt;8)</formula>
    </cfRule>
  </conditionalFormatting>
  <conditionalFormatting sqref="G15">
    <cfRule type="expression" priority="385" dxfId="0">
      <formula>AND(COUNT(C15:H15)=6,G15=8)</formula>
    </cfRule>
    <cfRule type="expression" priority="386" dxfId="1">
      <formula>AND(COUNT(C15:H15)=6,G15&lt;8*0.4)</formula>
    </cfRule>
    <cfRule type="expression" priority="387" dxfId="2">
      <formula>AND(COUNT(C15:H15)=6,G15&gt;=8*0.4,G15&lt;8)</formula>
    </cfRule>
  </conditionalFormatting>
  <conditionalFormatting sqref="G16">
    <cfRule type="expression" priority="388" dxfId="0">
      <formula>AND(COUNT(C16:H16)=6,G16=8)</formula>
    </cfRule>
    <cfRule type="expression" priority="389" dxfId="1">
      <formula>AND(COUNT(C16:H16)=6,G16&lt;8*0.4)</formula>
    </cfRule>
    <cfRule type="expression" priority="390" dxfId="2">
      <formula>AND(COUNT(C16:H16)=6,G16&gt;=8*0.4,G16&lt;8)</formula>
    </cfRule>
  </conditionalFormatting>
  <conditionalFormatting sqref="G17">
    <cfRule type="expression" priority="391" dxfId="0">
      <formula>AND(COUNT(C17:H17)=6,G17=8)</formula>
    </cfRule>
    <cfRule type="expression" priority="392" dxfId="1">
      <formula>AND(COUNT(C17:H17)=6,G17&lt;8*0.4)</formula>
    </cfRule>
    <cfRule type="expression" priority="393" dxfId="2">
      <formula>AND(COUNT(C17:H17)=6,G17&gt;=8*0.4,G17&lt;8)</formula>
    </cfRule>
  </conditionalFormatting>
  <conditionalFormatting sqref="G18">
    <cfRule type="expression" priority="394" dxfId="0">
      <formula>AND(COUNT(C18:H18)=6,G18=8)</formula>
    </cfRule>
    <cfRule type="expression" priority="395" dxfId="1">
      <formula>AND(COUNT(C18:H18)=6,G18&lt;8*0.4)</formula>
    </cfRule>
    <cfRule type="expression" priority="396" dxfId="2">
      <formula>AND(COUNT(C18:H18)=6,G18&gt;=8*0.4,G18&lt;8)</formula>
    </cfRule>
  </conditionalFormatting>
  <conditionalFormatting sqref="G19">
    <cfRule type="expression" priority="397" dxfId="0">
      <formula>AND(COUNT(C19:H19)=6,G19=8)</formula>
    </cfRule>
    <cfRule type="expression" priority="398" dxfId="1">
      <formula>AND(COUNT(C19:H19)=6,G19&lt;8*0.4)</formula>
    </cfRule>
    <cfRule type="expression" priority="399" dxfId="2">
      <formula>AND(COUNT(C19:H19)=6,G19&gt;=8*0.4,G19&lt;8)</formula>
    </cfRule>
  </conditionalFormatting>
  <conditionalFormatting sqref="G20">
    <cfRule type="expression" priority="400" dxfId="0">
      <formula>AND(COUNT(C20:H20)=6,G20=8)</formula>
    </cfRule>
    <cfRule type="expression" priority="401" dxfId="1">
      <formula>AND(COUNT(C20:H20)=6,G20&lt;8*0.4)</formula>
    </cfRule>
    <cfRule type="expression" priority="402" dxfId="2">
      <formula>AND(COUNT(C20:H20)=6,G20&gt;=8*0.4,G20&lt;8)</formula>
    </cfRule>
  </conditionalFormatting>
  <conditionalFormatting sqref="G21">
    <cfRule type="expression" priority="403" dxfId="0">
      <formula>AND(COUNT(C21:H21)=6,G21=8)</formula>
    </cfRule>
    <cfRule type="expression" priority="404" dxfId="1">
      <formula>AND(COUNT(C21:H21)=6,G21&lt;8*0.4)</formula>
    </cfRule>
    <cfRule type="expression" priority="405" dxfId="2">
      <formula>AND(COUNT(C21:H21)=6,G21&gt;=8*0.4,G21&lt;8)</formula>
    </cfRule>
  </conditionalFormatting>
  <conditionalFormatting sqref="G22">
    <cfRule type="expression" priority="406" dxfId="0">
      <formula>AND(COUNT(C22:H22)=6,G22=8)</formula>
    </cfRule>
    <cfRule type="expression" priority="407" dxfId="1">
      <formula>AND(COUNT(C22:H22)=6,G22&lt;8*0.4)</formula>
    </cfRule>
    <cfRule type="expression" priority="408" dxfId="2">
      <formula>AND(COUNT(C22:H22)=6,G22&gt;=8*0.4,G22&lt;8)</formula>
    </cfRule>
  </conditionalFormatting>
  <conditionalFormatting sqref="G23">
    <cfRule type="expression" priority="409" dxfId="0">
      <formula>AND(COUNT(C23:H23)=6,G23=8)</formula>
    </cfRule>
    <cfRule type="expression" priority="410" dxfId="1">
      <formula>AND(COUNT(C23:H23)=6,G23&lt;8*0.4)</formula>
    </cfRule>
    <cfRule type="expression" priority="411" dxfId="2">
      <formula>AND(COUNT(C23:H23)=6,G23&gt;=8*0.4,G23&lt;8)</formula>
    </cfRule>
  </conditionalFormatting>
  <conditionalFormatting sqref="G24">
    <cfRule type="expression" priority="412" dxfId="0">
      <formula>AND(COUNT(C24:H24)=6,G24=8)</formula>
    </cfRule>
    <cfRule type="expression" priority="413" dxfId="1">
      <formula>AND(COUNT(C24:H24)=6,G24&lt;8*0.4)</formula>
    </cfRule>
    <cfRule type="expression" priority="414" dxfId="2">
      <formula>AND(COUNT(C24:H24)=6,G24&gt;=8*0.4,G24&lt;8)</formula>
    </cfRule>
  </conditionalFormatting>
  <conditionalFormatting sqref="G25">
    <cfRule type="expression" priority="415" dxfId="0">
      <formula>AND(COUNT(C25:H25)=6,G25=8)</formula>
    </cfRule>
    <cfRule type="expression" priority="416" dxfId="1">
      <formula>AND(COUNT(C25:H25)=6,G25&lt;8*0.4)</formula>
    </cfRule>
    <cfRule type="expression" priority="417" dxfId="2">
      <formula>AND(COUNT(C25:H25)=6,G25&gt;=8*0.4,G25&lt;8)</formula>
    </cfRule>
  </conditionalFormatting>
  <conditionalFormatting sqref="G26">
    <cfRule type="expression" priority="418" dxfId="0">
      <formula>AND(COUNT(C26:H26)=6,G26=8)</formula>
    </cfRule>
    <cfRule type="expression" priority="419" dxfId="1">
      <formula>AND(COUNT(C26:H26)=6,G26&lt;8*0.4)</formula>
    </cfRule>
    <cfRule type="expression" priority="420" dxfId="2">
      <formula>AND(COUNT(C26:H26)=6,G26&gt;=8*0.4,G26&lt;8)</formula>
    </cfRule>
  </conditionalFormatting>
  <conditionalFormatting sqref="G27">
    <cfRule type="expression" priority="421" dxfId="0">
      <formula>AND(COUNT(C27:H27)=6,G27=8)</formula>
    </cfRule>
    <cfRule type="expression" priority="422" dxfId="1">
      <formula>AND(COUNT(C27:H27)=6,G27&lt;8*0.4)</formula>
    </cfRule>
    <cfRule type="expression" priority="423" dxfId="2">
      <formula>AND(COUNT(C27:H27)=6,G27&gt;=8*0.4,G27&lt;8)</formula>
    </cfRule>
  </conditionalFormatting>
  <conditionalFormatting sqref="G28">
    <cfRule type="expression" priority="424" dxfId="0">
      <formula>AND(COUNT(C28:H28)=6,G28=8)</formula>
    </cfRule>
    <cfRule type="expression" priority="425" dxfId="1">
      <formula>AND(COUNT(C28:H28)=6,G28&lt;8*0.4)</formula>
    </cfRule>
    <cfRule type="expression" priority="426" dxfId="2">
      <formula>AND(COUNT(C28:H28)=6,G28&gt;=8*0.4,G28&lt;8)</formula>
    </cfRule>
  </conditionalFormatting>
  <conditionalFormatting sqref="G29">
    <cfRule type="expression" priority="427" dxfId="0">
      <formula>AND(COUNT(C29:H29)=6,G29=8)</formula>
    </cfRule>
    <cfRule type="expression" priority="428" dxfId="1">
      <formula>AND(COUNT(C29:H29)=6,G29&lt;8*0.4)</formula>
    </cfRule>
    <cfRule type="expression" priority="429" dxfId="2">
      <formula>AND(COUNT(C29:H29)=6,G29&gt;=8*0.4,G29&lt;8)</formula>
    </cfRule>
  </conditionalFormatting>
  <conditionalFormatting sqref="G30">
    <cfRule type="expression" priority="430" dxfId="0">
      <formula>AND(COUNT(C30:H30)=6,G30=8)</formula>
    </cfRule>
    <cfRule type="expression" priority="431" dxfId="1">
      <formula>AND(COUNT(C30:H30)=6,G30&lt;8*0.4)</formula>
    </cfRule>
    <cfRule type="expression" priority="432" dxfId="2">
      <formula>AND(COUNT(C30:H30)=6,G30&gt;=8*0.4,G30&lt;8)</formula>
    </cfRule>
  </conditionalFormatting>
  <conditionalFormatting sqref="G31">
    <cfRule type="expression" priority="433" dxfId="0">
      <formula>AND(COUNT(C31:H31)=6,G31=8)</formula>
    </cfRule>
    <cfRule type="expression" priority="434" dxfId="1">
      <formula>AND(COUNT(C31:H31)=6,G31&lt;8*0.4)</formula>
    </cfRule>
    <cfRule type="expression" priority="435" dxfId="2">
      <formula>AND(COUNT(C31:H31)=6,G31&gt;=8*0.4,G31&lt;8)</formula>
    </cfRule>
  </conditionalFormatting>
  <conditionalFormatting sqref="G32">
    <cfRule type="expression" priority="436" dxfId="0">
      <formula>AND(COUNT(C32:H32)=6,G32=8)</formula>
    </cfRule>
    <cfRule type="expression" priority="437" dxfId="1">
      <formula>AND(COUNT(C32:H32)=6,G32&lt;8*0.4)</formula>
    </cfRule>
    <cfRule type="expression" priority="438" dxfId="2">
      <formula>AND(COUNT(C32:H32)=6,G32&gt;=8*0.4,G32&lt;8)</formula>
    </cfRule>
  </conditionalFormatting>
  <conditionalFormatting sqref="G33">
    <cfRule type="expression" priority="439" dxfId="0">
      <formula>AND(COUNT(C33:H33)=6,G33=8)</formula>
    </cfRule>
    <cfRule type="expression" priority="440" dxfId="1">
      <formula>AND(COUNT(C33:H33)=6,G33&lt;8*0.4)</formula>
    </cfRule>
    <cfRule type="expression" priority="441" dxfId="2">
      <formula>AND(COUNT(C33:H33)=6,G33&gt;=8*0.4,G33&lt;8)</formula>
    </cfRule>
  </conditionalFormatting>
  <conditionalFormatting sqref="G34">
    <cfRule type="expression" priority="442" dxfId="0">
      <formula>AND(COUNT(C34:H34)=6,G34=8)</formula>
    </cfRule>
    <cfRule type="expression" priority="443" dxfId="1">
      <formula>AND(COUNT(C34:H34)=6,G34&lt;8*0.4)</formula>
    </cfRule>
    <cfRule type="expression" priority="444" dxfId="2">
      <formula>AND(COUNT(C34:H34)=6,G34&gt;=8*0.4,G34&lt;8)</formula>
    </cfRule>
  </conditionalFormatting>
  <conditionalFormatting sqref="G35">
    <cfRule type="expression" priority="445" dxfId="0">
      <formula>AND(COUNT(C35:H35)=6,G35=8)</formula>
    </cfRule>
    <cfRule type="expression" priority="446" dxfId="1">
      <formula>AND(COUNT(C35:H35)=6,G35&lt;8*0.4)</formula>
    </cfRule>
    <cfRule type="expression" priority="447" dxfId="2">
      <formula>AND(COUNT(C35:H35)=6,G35&gt;=8*0.4,G35&lt;8)</formula>
    </cfRule>
  </conditionalFormatting>
  <conditionalFormatting sqref="G36">
    <cfRule type="expression" priority="448" dxfId="0">
      <formula>AND(COUNT(C36:H36)=6,G36=8)</formula>
    </cfRule>
    <cfRule type="expression" priority="449" dxfId="1">
      <formula>AND(COUNT(C36:H36)=6,G36&lt;8*0.4)</formula>
    </cfRule>
    <cfRule type="expression" priority="450" dxfId="2">
      <formula>AND(COUNT(C36:H36)=6,G36&gt;=8*0.4,G36&lt;8)</formula>
    </cfRule>
  </conditionalFormatting>
  <conditionalFormatting sqref="G37">
    <cfRule type="expression" priority="451" dxfId="0">
      <formula>AND(COUNT(C37:H37)=6,G37=8)</formula>
    </cfRule>
    <cfRule type="expression" priority="452" dxfId="1">
      <formula>AND(COUNT(C37:H37)=6,G37&lt;8*0.4)</formula>
    </cfRule>
    <cfRule type="expression" priority="453" dxfId="2">
      <formula>AND(COUNT(C37:H37)=6,G37&gt;=8*0.4,G37&lt;8)</formula>
    </cfRule>
  </conditionalFormatting>
  <conditionalFormatting sqref="G38">
    <cfRule type="expression" priority="454" dxfId="0">
      <formula>AND(COUNT(C38:H38)=6,G38=8)</formula>
    </cfRule>
    <cfRule type="expression" priority="455" dxfId="1">
      <formula>AND(COUNT(C38:H38)=6,G38&lt;8*0.4)</formula>
    </cfRule>
    <cfRule type="expression" priority="456" dxfId="2">
      <formula>AND(COUNT(C38:H38)=6,G38&gt;=8*0.4,G38&lt;8)</formula>
    </cfRule>
  </conditionalFormatting>
  <conditionalFormatting sqref="G39">
    <cfRule type="expression" priority="457" dxfId="0">
      <formula>AND(COUNT(C39:H39)=6,G39=8)</formula>
    </cfRule>
    <cfRule type="expression" priority="458" dxfId="1">
      <formula>AND(COUNT(C39:H39)=6,G39&lt;8*0.4)</formula>
    </cfRule>
    <cfRule type="expression" priority="459" dxfId="2">
      <formula>AND(COUNT(C39:H39)=6,G39&gt;=8*0.4,G39&lt;8)</formula>
    </cfRule>
  </conditionalFormatting>
  <conditionalFormatting sqref="G40">
    <cfRule type="expression" priority="460" dxfId="0">
      <formula>AND(COUNT(C40:H40)=6,G40=8)</formula>
    </cfRule>
    <cfRule type="expression" priority="461" dxfId="1">
      <formula>AND(COUNT(C40:H40)=6,G40&lt;8*0.4)</formula>
    </cfRule>
    <cfRule type="expression" priority="462" dxfId="2">
      <formula>AND(COUNT(C40:H40)=6,G40&gt;=8*0.4,G40&lt;8)</formula>
    </cfRule>
  </conditionalFormatting>
  <conditionalFormatting sqref="G41">
    <cfRule type="expression" priority="463" dxfId="0">
      <formula>AND(COUNT(C41:H41)=6,G41=8)</formula>
    </cfRule>
    <cfRule type="expression" priority="464" dxfId="1">
      <formula>AND(COUNT(C41:H41)=6,G41&lt;8*0.4)</formula>
    </cfRule>
    <cfRule type="expression" priority="465" dxfId="2">
      <formula>AND(COUNT(C41:H41)=6,G41&gt;=8*0.4,G41&lt;8)</formula>
    </cfRule>
  </conditionalFormatting>
  <conditionalFormatting sqref="H11">
    <cfRule type="expression" priority="466" dxfId="0">
      <formula>AND(COUNT(C11:H11)=6,H11=10)</formula>
    </cfRule>
    <cfRule type="expression" priority="467" dxfId="1">
      <formula>AND(COUNT(C11:H11)=6,H11&lt;10*0.4)</formula>
    </cfRule>
    <cfRule type="expression" priority="468" dxfId="2">
      <formula>AND(COUNT(C11:H11)=6,H11&gt;=10*0.4,H11&lt;10)</formula>
    </cfRule>
  </conditionalFormatting>
  <conditionalFormatting sqref="H12">
    <cfRule type="expression" priority="469" dxfId="0">
      <formula>AND(COUNT(C12:H12)=6,H12=10)</formula>
    </cfRule>
    <cfRule type="expression" priority="470" dxfId="1">
      <formula>AND(COUNT(C12:H12)=6,H12&lt;10*0.4)</formula>
    </cfRule>
    <cfRule type="expression" priority="471" dxfId="2">
      <formula>AND(COUNT(C12:H12)=6,H12&gt;=10*0.4,H12&lt;10)</formula>
    </cfRule>
  </conditionalFormatting>
  <conditionalFormatting sqref="H13">
    <cfRule type="expression" priority="472" dxfId="0">
      <formula>AND(COUNT(C13:H13)=6,H13=10)</formula>
    </cfRule>
    <cfRule type="expression" priority="473" dxfId="1">
      <formula>AND(COUNT(C13:H13)=6,H13&lt;10*0.4)</formula>
    </cfRule>
    <cfRule type="expression" priority="474" dxfId="2">
      <formula>AND(COUNT(C13:H13)=6,H13&gt;=10*0.4,H13&lt;10)</formula>
    </cfRule>
  </conditionalFormatting>
  <conditionalFormatting sqref="H14">
    <cfRule type="expression" priority="475" dxfId="0">
      <formula>AND(COUNT(C14:H14)=6,H14=10)</formula>
    </cfRule>
    <cfRule type="expression" priority="476" dxfId="1">
      <formula>AND(COUNT(C14:H14)=6,H14&lt;10*0.4)</formula>
    </cfRule>
    <cfRule type="expression" priority="477" dxfId="2">
      <formula>AND(COUNT(C14:H14)=6,H14&gt;=10*0.4,H14&lt;10)</formula>
    </cfRule>
  </conditionalFormatting>
  <conditionalFormatting sqref="H15">
    <cfRule type="expression" priority="478" dxfId="0">
      <formula>AND(COUNT(C15:H15)=6,H15=10)</formula>
    </cfRule>
    <cfRule type="expression" priority="479" dxfId="1">
      <formula>AND(COUNT(C15:H15)=6,H15&lt;10*0.4)</formula>
    </cfRule>
    <cfRule type="expression" priority="480" dxfId="2">
      <formula>AND(COUNT(C15:H15)=6,H15&gt;=10*0.4,H15&lt;10)</formula>
    </cfRule>
  </conditionalFormatting>
  <conditionalFormatting sqref="H16">
    <cfRule type="expression" priority="481" dxfId="0">
      <formula>AND(COUNT(C16:H16)=6,H16=10)</formula>
    </cfRule>
    <cfRule type="expression" priority="482" dxfId="1">
      <formula>AND(COUNT(C16:H16)=6,H16&lt;10*0.4)</formula>
    </cfRule>
    <cfRule type="expression" priority="483" dxfId="2">
      <formula>AND(COUNT(C16:H16)=6,H16&gt;=10*0.4,H16&lt;10)</formula>
    </cfRule>
  </conditionalFormatting>
  <conditionalFormatting sqref="H17">
    <cfRule type="expression" priority="484" dxfId="0">
      <formula>AND(COUNT(C17:H17)=6,H17=10)</formula>
    </cfRule>
    <cfRule type="expression" priority="485" dxfId="1">
      <formula>AND(COUNT(C17:H17)=6,H17&lt;10*0.4)</formula>
    </cfRule>
    <cfRule type="expression" priority="486" dxfId="2">
      <formula>AND(COUNT(C17:H17)=6,H17&gt;=10*0.4,H17&lt;10)</formula>
    </cfRule>
  </conditionalFormatting>
  <conditionalFormatting sqref="H18">
    <cfRule type="expression" priority="487" dxfId="0">
      <formula>AND(COUNT(C18:H18)=6,H18=10)</formula>
    </cfRule>
    <cfRule type="expression" priority="488" dxfId="1">
      <formula>AND(COUNT(C18:H18)=6,H18&lt;10*0.4)</formula>
    </cfRule>
    <cfRule type="expression" priority="489" dxfId="2">
      <formula>AND(COUNT(C18:H18)=6,H18&gt;=10*0.4,H18&lt;10)</formula>
    </cfRule>
  </conditionalFormatting>
  <conditionalFormatting sqref="H19">
    <cfRule type="expression" priority="490" dxfId="0">
      <formula>AND(COUNT(C19:H19)=6,H19=10)</formula>
    </cfRule>
    <cfRule type="expression" priority="491" dxfId="1">
      <formula>AND(COUNT(C19:H19)=6,H19&lt;10*0.4)</formula>
    </cfRule>
    <cfRule type="expression" priority="492" dxfId="2">
      <formula>AND(COUNT(C19:H19)=6,H19&gt;=10*0.4,H19&lt;10)</formula>
    </cfRule>
  </conditionalFormatting>
  <conditionalFormatting sqref="H20">
    <cfRule type="expression" priority="493" dxfId="0">
      <formula>AND(COUNT(C20:H20)=6,H20=10)</formula>
    </cfRule>
    <cfRule type="expression" priority="494" dxfId="1">
      <formula>AND(COUNT(C20:H20)=6,H20&lt;10*0.4)</formula>
    </cfRule>
    <cfRule type="expression" priority="495" dxfId="2">
      <formula>AND(COUNT(C20:H20)=6,H20&gt;=10*0.4,H20&lt;10)</formula>
    </cfRule>
  </conditionalFormatting>
  <conditionalFormatting sqref="H21">
    <cfRule type="expression" priority="496" dxfId="0">
      <formula>AND(COUNT(C21:H21)=6,H21=10)</formula>
    </cfRule>
    <cfRule type="expression" priority="497" dxfId="1">
      <formula>AND(COUNT(C21:H21)=6,H21&lt;10*0.4)</formula>
    </cfRule>
    <cfRule type="expression" priority="498" dxfId="2">
      <formula>AND(COUNT(C21:H21)=6,H21&gt;=10*0.4,H21&lt;10)</formula>
    </cfRule>
  </conditionalFormatting>
  <conditionalFormatting sqref="H22">
    <cfRule type="expression" priority="499" dxfId="0">
      <formula>AND(COUNT(C22:H22)=6,H22=10)</formula>
    </cfRule>
    <cfRule type="expression" priority="500" dxfId="1">
      <formula>AND(COUNT(C22:H22)=6,H22&lt;10*0.4)</formula>
    </cfRule>
    <cfRule type="expression" priority="501" dxfId="2">
      <formula>AND(COUNT(C22:H22)=6,H22&gt;=10*0.4,H22&lt;10)</formula>
    </cfRule>
  </conditionalFormatting>
  <conditionalFormatting sqref="H23">
    <cfRule type="expression" priority="502" dxfId="0">
      <formula>AND(COUNT(C23:H23)=6,H23=10)</formula>
    </cfRule>
    <cfRule type="expression" priority="503" dxfId="1">
      <formula>AND(COUNT(C23:H23)=6,H23&lt;10*0.4)</formula>
    </cfRule>
    <cfRule type="expression" priority="504" dxfId="2">
      <formula>AND(COUNT(C23:H23)=6,H23&gt;=10*0.4,H23&lt;10)</formula>
    </cfRule>
  </conditionalFormatting>
  <conditionalFormatting sqref="H24">
    <cfRule type="expression" priority="505" dxfId="0">
      <formula>AND(COUNT(C24:H24)=6,H24=10)</formula>
    </cfRule>
    <cfRule type="expression" priority="506" dxfId="1">
      <formula>AND(COUNT(C24:H24)=6,H24&lt;10*0.4)</formula>
    </cfRule>
    <cfRule type="expression" priority="507" dxfId="2">
      <formula>AND(COUNT(C24:H24)=6,H24&gt;=10*0.4,H24&lt;10)</formula>
    </cfRule>
  </conditionalFormatting>
  <conditionalFormatting sqref="H25">
    <cfRule type="expression" priority="508" dxfId="0">
      <formula>AND(COUNT(C25:H25)=6,H25=10)</formula>
    </cfRule>
    <cfRule type="expression" priority="509" dxfId="1">
      <formula>AND(COUNT(C25:H25)=6,H25&lt;10*0.4)</formula>
    </cfRule>
    <cfRule type="expression" priority="510" dxfId="2">
      <formula>AND(COUNT(C25:H25)=6,H25&gt;=10*0.4,H25&lt;10)</formula>
    </cfRule>
  </conditionalFormatting>
  <conditionalFormatting sqref="H26">
    <cfRule type="expression" priority="511" dxfId="0">
      <formula>AND(COUNT(C26:H26)=6,H26=10)</formula>
    </cfRule>
    <cfRule type="expression" priority="512" dxfId="1">
      <formula>AND(COUNT(C26:H26)=6,H26&lt;10*0.4)</formula>
    </cfRule>
    <cfRule type="expression" priority="513" dxfId="2">
      <formula>AND(COUNT(C26:H26)=6,H26&gt;=10*0.4,H26&lt;10)</formula>
    </cfRule>
  </conditionalFormatting>
  <conditionalFormatting sqref="H27">
    <cfRule type="expression" priority="514" dxfId="0">
      <formula>AND(COUNT(C27:H27)=6,H27=10)</formula>
    </cfRule>
    <cfRule type="expression" priority="515" dxfId="1">
      <formula>AND(COUNT(C27:H27)=6,H27&lt;10*0.4)</formula>
    </cfRule>
    <cfRule type="expression" priority="516" dxfId="2">
      <formula>AND(COUNT(C27:H27)=6,H27&gt;=10*0.4,H27&lt;10)</formula>
    </cfRule>
  </conditionalFormatting>
  <conditionalFormatting sqref="H28">
    <cfRule type="expression" priority="517" dxfId="0">
      <formula>AND(COUNT(C28:H28)=6,H28=10)</formula>
    </cfRule>
    <cfRule type="expression" priority="518" dxfId="1">
      <formula>AND(COUNT(C28:H28)=6,H28&lt;10*0.4)</formula>
    </cfRule>
    <cfRule type="expression" priority="519" dxfId="2">
      <formula>AND(COUNT(C28:H28)=6,H28&gt;=10*0.4,H28&lt;10)</formula>
    </cfRule>
  </conditionalFormatting>
  <conditionalFormatting sqref="H29">
    <cfRule type="expression" priority="520" dxfId="0">
      <formula>AND(COUNT(C29:H29)=6,H29=10)</formula>
    </cfRule>
    <cfRule type="expression" priority="521" dxfId="1">
      <formula>AND(COUNT(C29:H29)=6,H29&lt;10*0.4)</formula>
    </cfRule>
    <cfRule type="expression" priority="522" dxfId="2">
      <formula>AND(COUNT(C29:H29)=6,H29&gt;=10*0.4,H29&lt;10)</formula>
    </cfRule>
  </conditionalFormatting>
  <conditionalFormatting sqref="H30">
    <cfRule type="expression" priority="523" dxfId="0">
      <formula>AND(COUNT(C30:H30)=6,H30=10)</formula>
    </cfRule>
    <cfRule type="expression" priority="524" dxfId="1">
      <formula>AND(COUNT(C30:H30)=6,H30&lt;10*0.4)</formula>
    </cfRule>
    <cfRule type="expression" priority="525" dxfId="2">
      <formula>AND(COUNT(C30:H30)=6,H30&gt;=10*0.4,H30&lt;10)</formula>
    </cfRule>
  </conditionalFormatting>
  <conditionalFormatting sqref="H31">
    <cfRule type="expression" priority="526" dxfId="0">
      <formula>AND(COUNT(C31:H31)=6,H31=10)</formula>
    </cfRule>
    <cfRule type="expression" priority="527" dxfId="1">
      <formula>AND(COUNT(C31:H31)=6,H31&lt;10*0.4)</formula>
    </cfRule>
    <cfRule type="expression" priority="528" dxfId="2">
      <formula>AND(COUNT(C31:H31)=6,H31&gt;=10*0.4,H31&lt;10)</formula>
    </cfRule>
  </conditionalFormatting>
  <conditionalFormatting sqref="H32">
    <cfRule type="expression" priority="529" dxfId="0">
      <formula>AND(COUNT(C32:H32)=6,H32=10)</formula>
    </cfRule>
    <cfRule type="expression" priority="530" dxfId="1">
      <formula>AND(COUNT(C32:H32)=6,H32&lt;10*0.4)</formula>
    </cfRule>
    <cfRule type="expression" priority="531" dxfId="2">
      <formula>AND(COUNT(C32:H32)=6,H32&gt;=10*0.4,H32&lt;10)</formula>
    </cfRule>
  </conditionalFormatting>
  <conditionalFormatting sqref="H33">
    <cfRule type="expression" priority="532" dxfId="0">
      <formula>AND(COUNT(C33:H33)=6,H33=10)</formula>
    </cfRule>
    <cfRule type="expression" priority="533" dxfId="1">
      <formula>AND(COUNT(C33:H33)=6,H33&lt;10*0.4)</formula>
    </cfRule>
    <cfRule type="expression" priority="534" dxfId="2">
      <formula>AND(COUNT(C33:H33)=6,H33&gt;=10*0.4,H33&lt;10)</formula>
    </cfRule>
  </conditionalFormatting>
  <conditionalFormatting sqref="H34">
    <cfRule type="expression" priority="535" dxfId="0">
      <formula>AND(COUNT(C34:H34)=6,H34=10)</formula>
    </cfRule>
    <cfRule type="expression" priority="536" dxfId="1">
      <formula>AND(COUNT(C34:H34)=6,H34&lt;10*0.4)</formula>
    </cfRule>
    <cfRule type="expression" priority="537" dxfId="2">
      <formula>AND(COUNT(C34:H34)=6,H34&gt;=10*0.4,H34&lt;10)</formula>
    </cfRule>
  </conditionalFormatting>
  <conditionalFormatting sqref="H35">
    <cfRule type="expression" priority="538" dxfId="0">
      <formula>AND(COUNT(C35:H35)=6,H35=10)</formula>
    </cfRule>
    <cfRule type="expression" priority="539" dxfId="1">
      <formula>AND(COUNT(C35:H35)=6,H35&lt;10*0.4)</formula>
    </cfRule>
    <cfRule type="expression" priority="540" dxfId="2">
      <formula>AND(COUNT(C35:H35)=6,H35&gt;=10*0.4,H35&lt;10)</formula>
    </cfRule>
  </conditionalFormatting>
  <conditionalFormatting sqref="H36">
    <cfRule type="expression" priority="541" dxfId="0">
      <formula>AND(COUNT(C36:H36)=6,H36=10)</formula>
    </cfRule>
    <cfRule type="expression" priority="542" dxfId="1">
      <formula>AND(COUNT(C36:H36)=6,H36&lt;10*0.4)</formula>
    </cfRule>
    <cfRule type="expression" priority="543" dxfId="2">
      <formula>AND(COUNT(C36:H36)=6,H36&gt;=10*0.4,H36&lt;10)</formula>
    </cfRule>
  </conditionalFormatting>
  <conditionalFormatting sqref="H37">
    <cfRule type="expression" priority="544" dxfId="0">
      <formula>AND(COUNT(C37:H37)=6,H37=10)</formula>
    </cfRule>
    <cfRule type="expression" priority="545" dxfId="1">
      <formula>AND(COUNT(C37:H37)=6,H37&lt;10*0.4)</formula>
    </cfRule>
    <cfRule type="expression" priority="546" dxfId="2">
      <formula>AND(COUNT(C37:H37)=6,H37&gt;=10*0.4,H37&lt;10)</formula>
    </cfRule>
  </conditionalFormatting>
  <conditionalFormatting sqref="H38">
    <cfRule type="expression" priority="547" dxfId="0">
      <formula>AND(COUNT(C38:H38)=6,H38=10)</formula>
    </cfRule>
    <cfRule type="expression" priority="548" dxfId="1">
      <formula>AND(COUNT(C38:H38)=6,H38&lt;10*0.4)</formula>
    </cfRule>
    <cfRule type="expression" priority="549" dxfId="2">
      <formula>AND(COUNT(C38:H38)=6,H38&gt;=10*0.4,H38&lt;10)</formula>
    </cfRule>
  </conditionalFormatting>
  <conditionalFormatting sqref="H39">
    <cfRule type="expression" priority="550" dxfId="0">
      <formula>AND(COUNT(C39:H39)=6,H39=10)</formula>
    </cfRule>
    <cfRule type="expression" priority="551" dxfId="1">
      <formula>AND(COUNT(C39:H39)=6,H39&lt;10*0.4)</formula>
    </cfRule>
    <cfRule type="expression" priority="552" dxfId="2">
      <formula>AND(COUNT(C39:H39)=6,H39&gt;=10*0.4,H39&lt;10)</formula>
    </cfRule>
  </conditionalFormatting>
  <conditionalFormatting sqref="H40">
    <cfRule type="expression" priority="553" dxfId="0">
      <formula>AND(COUNT(C40:H40)=6,H40=10)</formula>
    </cfRule>
    <cfRule type="expression" priority="554" dxfId="1">
      <formula>AND(COUNT(C40:H40)=6,H40&lt;10*0.4)</formula>
    </cfRule>
    <cfRule type="expression" priority="555" dxfId="2">
      <formula>AND(COUNT(C40:H40)=6,H40&gt;=10*0.4,H40&lt;10)</formula>
    </cfRule>
  </conditionalFormatting>
  <conditionalFormatting sqref="H41">
    <cfRule type="expression" priority="556" dxfId="0">
      <formula>AND(COUNT(C41:H41)=6,H41=10)</formula>
    </cfRule>
    <cfRule type="expression" priority="557" dxfId="1">
      <formula>AND(COUNT(C41:H41)=6,H41&lt;10*0.4)</formula>
    </cfRule>
    <cfRule type="expression" priority="558" dxfId="2">
      <formula>AND(COUNT(C41:H41)=6,H41&gt;=10*0.4,H41&lt;10)</formula>
    </cfRule>
  </conditionalFormatting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243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Chapter 6 End of Topic Test 2 — Probabilities &amp; Estimation</t>
        </is>
      </c>
    </row>
    <row r="2">
      <c r="A2" s="2" t="inlineStr">
        <is>
          <t>Every block below pulls live from 'Ch6 EOT2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SUMPRODUCT(--ISNUMBER('Ch6 EOT2 Results'!K12:K41))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IF('Ch6 EOT2 Results'!K12="","","Chapter 6 End of Topic Test 2 — Probabilities &amp; Estimation")</f>
        <v/>
      </c>
      <c r="K5">
        <f>IF('Ch6 EOT2 Results'!K13="","","Chapter 6 End of Topic Test 2 — Probabilities &amp; Estimation")</f>
        <v/>
      </c>
    </row>
    <row r="6">
      <c r="A6">
        <f>IF('Ch6 EOT2 Results'!K12="","","Name: "&amp;'Ch6 EOT2 Results'!B12&amp;"   Class: "&amp;'Ch6 EOT2 Results'!$B$3&amp;"   Date: "&amp;TEXT('Ch6 EOT2 Results'!$B$5,"DD/MM/YY"))</f>
        <v/>
      </c>
      <c r="K6">
        <f>IF('Ch6 EOT2 Results'!K13="","","Name: "&amp;'Ch6 EOT2 Results'!B13&amp;"   Class: "&amp;'Ch6 EOT2 Results'!$B$3&amp;"   Date: "&amp;TEXT('Ch6 EOT2 Results'!$B$5,"DD/MM/YY"))</f>
        <v/>
      </c>
    </row>
    <row r="7">
      <c r="A7">
        <f>IF('Ch6 EOT2 Results'!K12="","","Total: "&amp;'Ch6 EOT2 Results'!I12&amp;"/48 ("&amp;TEXT('Ch6 EOT2 Results'!J12,"0%")&amp;")   Overall: "&amp;'Ch6 EOT2 Results'!K12)</f>
        <v/>
      </c>
      <c r="K7">
        <f>IF('Ch6 EOT2 Results'!K13="","","Total: "&amp;'Ch6 EOT2 Results'!I13&amp;"/48 ("&amp;TEXT('Ch6 EOT2 Results'!J13,"0%")&amp;")   Overall: "&amp;'Ch6 EOT2 Results'!K13)</f>
        <v/>
      </c>
    </row>
    <row r="8">
      <c r="A8">
        <f>IF('Ch6 EOT2 Results'!K12="","",IF('Ch6 EOT2 Results'!K12="Green",Parameters!$C$402,IF('Ch6 EOT2 Results'!K12="Yellow",Parameters!$C$401,Parameters!$C$400)))</f>
        <v/>
      </c>
      <c r="K8">
        <f>IF('Ch6 EOT2 Results'!K13="","",IF('Ch6 EOT2 Results'!K13="Green",Parameters!$C$402,IF('Ch6 EOT2 Results'!K13="Yellow",Parameters!$C$401,Parameters!$C$400)))</f>
        <v/>
      </c>
    </row>
    <row r="10">
      <c r="A10">
        <f>IF('Ch6 EOT2 Results'!K12="","","Breakdown:")</f>
        <v/>
      </c>
      <c r="K10">
        <f>IF('Ch6 EOT2 Results'!K13="","","Breakdown:")</f>
        <v/>
      </c>
    </row>
    <row r="11">
      <c r="A11">
        <f>IF('Ch6 EOT2 Results'!K12="","","Q1 CI for a mean: "&amp;'Ch6 EOT2 Results'!C12&amp;"/10")</f>
        <v/>
      </c>
      <c r="K11">
        <f>IF('Ch6 EOT2 Results'!K13="","","Q1 CI for a mean: "&amp;'Ch6 EOT2 Results'!C13&amp;"/10")</f>
        <v/>
      </c>
    </row>
    <row r="12">
      <c r="A12">
        <f>IF('Ch6 EOT2 Results'!K12="","","Q2 CI for a proportion: "&amp;'Ch6 EOT2 Results'!D12&amp;"/9")</f>
        <v/>
      </c>
      <c r="K12">
        <f>IF('Ch6 EOT2 Results'!K13="","","Q2 CI for a proportion: "&amp;'Ch6 EOT2 Results'!D13&amp;"/9")</f>
        <v/>
      </c>
    </row>
    <row r="13">
      <c r="A13">
        <f>IF('Ch6 EOT2 Results'!K12="","","Q3 Sample size: "&amp;'Ch6 EOT2 Results'!E12&amp;"/6")</f>
        <v/>
      </c>
      <c r="K13">
        <f>IF('Ch6 EOT2 Results'!K13="","","Q3 Sample size: "&amp;'Ch6 EOT2 Results'!E13&amp;"/6")</f>
        <v/>
      </c>
    </row>
    <row r="14">
      <c r="A14">
        <f>IF('Ch6 EOT2 Results'!K12="","","Q4 Critical values: "&amp;'Ch6 EOT2 Results'!F12&amp;"/5")</f>
        <v/>
      </c>
      <c r="K14">
        <f>IF('Ch6 EOT2 Results'!K13="","","Q4 Critical values: "&amp;'Ch6 EOT2 Results'!F13&amp;"/5")</f>
        <v/>
      </c>
    </row>
    <row r="15">
      <c r="A15">
        <f>IF('Ch6 EOT2 Results'!K12="","","Q5 Interpretation &amp; misconceptions: "&amp;'Ch6 EOT2 Results'!G12&amp;"/8")</f>
        <v/>
      </c>
      <c r="K15">
        <f>IF('Ch6 EOT2 Results'!K13="","","Q5 Interpretation &amp; misconceptions: "&amp;'Ch6 EOT2 Results'!G13&amp;"/8")</f>
        <v/>
      </c>
    </row>
    <row r="16">
      <c r="A16">
        <f>IF('Ch6 EOT2 Results'!K12="","","Q6 Applying CIs to decisions: "&amp;'Ch6 EOT2 Results'!H12&amp;"/10")</f>
        <v/>
      </c>
      <c r="K16">
        <f>IF('Ch6 EOT2 Results'!K13="","","Q6 Applying CIs to decisions: "&amp;'Ch6 EOT2 Results'!H13&amp;"/10")</f>
        <v/>
      </c>
    </row>
    <row r="17">
      <c r="A17">
        <f>IF(OR('Ch6 EOT2 Results'!K12="",'Ch6 EOT2 Results'!L12=""),"",'Ch6 EOT2 Results'!L12)</f>
        <v/>
      </c>
      <c r="K17">
        <f>IF(OR('Ch6 EOT2 Results'!K13="",'Ch6 EOT2 Results'!L13=""),"",'Ch6 EOT2 Results'!L13)</f>
        <v/>
      </c>
    </row>
    <row r="19">
      <c r="A19">
        <f>IF('Ch6 EOT2 Results'!K12="","","Comments:")</f>
        <v/>
      </c>
      <c r="K19">
        <f>IF('Ch6 EOT2 Results'!K13="","","Comments:")</f>
        <v/>
      </c>
    </row>
    <row r="21">
      <c r="A21">
        <f>IF('Ch6 EOT2 Results'!K14="","","Chapter 6 End of Topic Test 2 — Probabilities &amp; Estimation")</f>
        <v/>
      </c>
      <c r="K21">
        <f>IF('Ch6 EOT2 Results'!K15="","","Chapter 6 End of Topic Test 2 — Probabilities &amp; Estimation")</f>
        <v/>
      </c>
    </row>
    <row r="22">
      <c r="A22">
        <f>IF('Ch6 EOT2 Results'!K14="","","Name: "&amp;'Ch6 EOT2 Results'!B14&amp;"   Class: "&amp;'Ch6 EOT2 Results'!$B$3&amp;"   Date: "&amp;TEXT('Ch6 EOT2 Results'!$B$5,"DD/MM/YY"))</f>
        <v/>
      </c>
      <c r="K22">
        <f>IF('Ch6 EOT2 Results'!K15="","","Name: "&amp;'Ch6 EOT2 Results'!B15&amp;"   Class: "&amp;'Ch6 EOT2 Results'!$B$3&amp;"   Date: "&amp;TEXT('Ch6 EOT2 Results'!$B$5,"DD/MM/YY"))</f>
        <v/>
      </c>
    </row>
    <row r="23">
      <c r="A23">
        <f>IF('Ch6 EOT2 Results'!K14="","","Total: "&amp;'Ch6 EOT2 Results'!I14&amp;"/48 ("&amp;TEXT('Ch6 EOT2 Results'!J14,"0%")&amp;")   Overall: "&amp;'Ch6 EOT2 Results'!K14)</f>
        <v/>
      </c>
      <c r="K23">
        <f>IF('Ch6 EOT2 Results'!K15="","","Total: "&amp;'Ch6 EOT2 Results'!I15&amp;"/48 ("&amp;TEXT('Ch6 EOT2 Results'!J15,"0%")&amp;")   Overall: "&amp;'Ch6 EOT2 Results'!K15)</f>
        <v/>
      </c>
    </row>
    <row r="24">
      <c r="A24">
        <f>IF('Ch6 EOT2 Results'!K14="","",IF('Ch6 EOT2 Results'!K14="Green",Parameters!$C$402,IF('Ch6 EOT2 Results'!K14="Yellow",Parameters!$C$401,Parameters!$C$400)))</f>
        <v/>
      </c>
      <c r="K24">
        <f>IF('Ch6 EOT2 Results'!K15="","",IF('Ch6 EOT2 Results'!K15="Green",Parameters!$C$402,IF('Ch6 EOT2 Results'!K15="Yellow",Parameters!$C$401,Parameters!$C$400)))</f>
        <v/>
      </c>
    </row>
    <row r="26">
      <c r="A26">
        <f>IF('Ch6 EOT2 Results'!K14="","","Breakdown:")</f>
        <v/>
      </c>
      <c r="K26">
        <f>IF('Ch6 EOT2 Results'!K15="","","Breakdown:")</f>
        <v/>
      </c>
    </row>
    <row r="27">
      <c r="A27">
        <f>IF('Ch6 EOT2 Results'!K14="","","Q1 CI for a mean: "&amp;'Ch6 EOT2 Results'!C14&amp;"/10")</f>
        <v/>
      </c>
      <c r="K27">
        <f>IF('Ch6 EOT2 Results'!K15="","","Q1 CI for a mean: "&amp;'Ch6 EOT2 Results'!C15&amp;"/10")</f>
        <v/>
      </c>
    </row>
    <row r="28">
      <c r="A28">
        <f>IF('Ch6 EOT2 Results'!K14="","","Q2 CI for a proportion: "&amp;'Ch6 EOT2 Results'!D14&amp;"/9")</f>
        <v/>
      </c>
      <c r="K28">
        <f>IF('Ch6 EOT2 Results'!K15="","","Q2 CI for a proportion: "&amp;'Ch6 EOT2 Results'!D15&amp;"/9")</f>
        <v/>
      </c>
    </row>
    <row r="29">
      <c r="A29">
        <f>IF('Ch6 EOT2 Results'!K14="","","Q3 Sample size: "&amp;'Ch6 EOT2 Results'!E14&amp;"/6")</f>
        <v/>
      </c>
      <c r="K29">
        <f>IF('Ch6 EOT2 Results'!K15="","","Q3 Sample size: "&amp;'Ch6 EOT2 Results'!E15&amp;"/6")</f>
        <v/>
      </c>
    </row>
    <row r="30">
      <c r="A30">
        <f>IF('Ch6 EOT2 Results'!K14="","","Q4 Critical values: "&amp;'Ch6 EOT2 Results'!F14&amp;"/5")</f>
        <v/>
      </c>
      <c r="K30">
        <f>IF('Ch6 EOT2 Results'!K15="","","Q4 Critical values: "&amp;'Ch6 EOT2 Results'!F15&amp;"/5")</f>
        <v/>
      </c>
    </row>
    <row r="31">
      <c r="A31">
        <f>IF('Ch6 EOT2 Results'!K14="","","Q5 Interpretation &amp; misconceptions: "&amp;'Ch6 EOT2 Results'!G14&amp;"/8")</f>
        <v/>
      </c>
      <c r="K31">
        <f>IF('Ch6 EOT2 Results'!K15="","","Q5 Interpretation &amp; misconceptions: "&amp;'Ch6 EOT2 Results'!G15&amp;"/8")</f>
        <v/>
      </c>
    </row>
    <row r="32">
      <c r="A32">
        <f>IF('Ch6 EOT2 Results'!K14="","","Q6 Applying CIs to decisions: "&amp;'Ch6 EOT2 Results'!H14&amp;"/10")</f>
        <v/>
      </c>
      <c r="K32">
        <f>IF('Ch6 EOT2 Results'!K15="","","Q6 Applying CIs to decisions: "&amp;'Ch6 EOT2 Results'!H15&amp;"/10")</f>
        <v/>
      </c>
    </row>
    <row r="33">
      <c r="A33">
        <f>IF(OR('Ch6 EOT2 Results'!K14="",'Ch6 EOT2 Results'!L14=""),"",'Ch6 EOT2 Results'!L14)</f>
        <v/>
      </c>
      <c r="K33">
        <f>IF(OR('Ch6 EOT2 Results'!K15="",'Ch6 EOT2 Results'!L15=""),"",'Ch6 EOT2 Results'!L15)</f>
        <v/>
      </c>
    </row>
    <row r="35">
      <c r="A35">
        <f>IF('Ch6 EOT2 Results'!K14="","","Comments:")</f>
        <v/>
      </c>
      <c r="K35">
        <f>IF('Ch6 EOT2 Results'!K15="","","Comments:")</f>
        <v/>
      </c>
    </row>
    <row r="37">
      <c r="A37">
        <f>IF('Ch6 EOT2 Results'!K16="","","Chapter 6 End of Topic Test 2 — Probabilities &amp; Estimation")</f>
        <v/>
      </c>
      <c r="K37">
        <f>IF('Ch6 EOT2 Results'!K17="","","Chapter 6 End of Topic Test 2 — Probabilities &amp; Estimation")</f>
        <v/>
      </c>
    </row>
    <row r="38">
      <c r="A38">
        <f>IF('Ch6 EOT2 Results'!K16="","","Name: "&amp;'Ch6 EOT2 Results'!B16&amp;"   Class: "&amp;'Ch6 EOT2 Results'!$B$3&amp;"   Date: "&amp;TEXT('Ch6 EOT2 Results'!$B$5,"DD/MM/YY"))</f>
        <v/>
      </c>
      <c r="K38">
        <f>IF('Ch6 EOT2 Results'!K17="","","Name: "&amp;'Ch6 EOT2 Results'!B17&amp;"   Class: "&amp;'Ch6 EOT2 Results'!$B$3&amp;"   Date: "&amp;TEXT('Ch6 EOT2 Results'!$B$5,"DD/MM/YY"))</f>
        <v/>
      </c>
    </row>
    <row r="39">
      <c r="A39">
        <f>IF('Ch6 EOT2 Results'!K16="","","Total: "&amp;'Ch6 EOT2 Results'!I16&amp;"/48 ("&amp;TEXT('Ch6 EOT2 Results'!J16,"0%")&amp;")   Overall: "&amp;'Ch6 EOT2 Results'!K16)</f>
        <v/>
      </c>
      <c r="K39">
        <f>IF('Ch6 EOT2 Results'!K17="","","Total: "&amp;'Ch6 EOT2 Results'!I17&amp;"/48 ("&amp;TEXT('Ch6 EOT2 Results'!J17,"0%")&amp;")   Overall: "&amp;'Ch6 EOT2 Results'!K17)</f>
        <v/>
      </c>
    </row>
    <row r="40">
      <c r="A40">
        <f>IF('Ch6 EOT2 Results'!K16="","",IF('Ch6 EOT2 Results'!K16="Green",Parameters!$C$402,IF('Ch6 EOT2 Results'!K16="Yellow",Parameters!$C$401,Parameters!$C$400)))</f>
        <v/>
      </c>
      <c r="K40">
        <f>IF('Ch6 EOT2 Results'!K17="","",IF('Ch6 EOT2 Results'!K17="Green",Parameters!$C$402,IF('Ch6 EOT2 Results'!K17="Yellow",Parameters!$C$401,Parameters!$C$400)))</f>
        <v/>
      </c>
    </row>
    <row r="42">
      <c r="A42">
        <f>IF('Ch6 EOT2 Results'!K16="","","Breakdown:")</f>
        <v/>
      </c>
      <c r="K42">
        <f>IF('Ch6 EOT2 Results'!K17="","","Breakdown:")</f>
        <v/>
      </c>
    </row>
    <row r="43">
      <c r="A43">
        <f>IF('Ch6 EOT2 Results'!K16="","","Q1 CI for a mean: "&amp;'Ch6 EOT2 Results'!C16&amp;"/10")</f>
        <v/>
      </c>
      <c r="K43">
        <f>IF('Ch6 EOT2 Results'!K17="","","Q1 CI for a mean: "&amp;'Ch6 EOT2 Results'!C17&amp;"/10")</f>
        <v/>
      </c>
    </row>
    <row r="44">
      <c r="A44">
        <f>IF('Ch6 EOT2 Results'!K16="","","Q2 CI for a proportion: "&amp;'Ch6 EOT2 Results'!D16&amp;"/9")</f>
        <v/>
      </c>
      <c r="K44">
        <f>IF('Ch6 EOT2 Results'!K17="","","Q2 CI for a proportion: "&amp;'Ch6 EOT2 Results'!D17&amp;"/9")</f>
        <v/>
      </c>
    </row>
    <row r="45">
      <c r="A45">
        <f>IF('Ch6 EOT2 Results'!K16="","","Q3 Sample size: "&amp;'Ch6 EOT2 Results'!E16&amp;"/6")</f>
        <v/>
      </c>
      <c r="K45">
        <f>IF('Ch6 EOT2 Results'!K17="","","Q3 Sample size: "&amp;'Ch6 EOT2 Results'!E17&amp;"/6")</f>
        <v/>
      </c>
    </row>
    <row r="46">
      <c r="A46">
        <f>IF('Ch6 EOT2 Results'!K16="","","Q4 Critical values: "&amp;'Ch6 EOT2 Results'!F16&amp;"/5")</f>
        <v/>
      </c>
      <c r="K46">
        <f>IF('Ch6 EOT2 Results'!K17="","","Q4 Critical values: "&amp;'Ch6 EOT2 Results'!F17&amp;"/5")</f>
        <v/>
      </c>
    </row>
    <row r="47">
      <c r="A47">
        <f>IF('Ch6 EOT2 Results'!K16="","","Q5 Interpretation &amp; misconceptions: "&amp;'Ch6 EOT2 Results'!G16&amp;"/8")</f>
        <v/>
      </c>
      <c r="K47">
        <f>IF('Ch6 EOT2 Results'!K17="","","Q5 Interpretation &amp; misconceptions: "&amp;'Ch6 EOT2 Results'!G17&amp;"/8")</f>
        <v/>
      </c>
    </row>
    <row r="48">
      <c r="A48">
        <f>IF('Ch6 EOT2 Results'!K16="","","Q6 Applying CIs to decisions: "&amp;'Ch6 EOT2 Results'!H16&amp;"/10")</f>
        <v/>
      </c>
      <c r="K48">
        <f>IF('Ch6 EOT2 Results'!K17="","","Q6 Applying CIs to decisions: "&amp;'Ch6 EOT2 Results'!H17&amp;"/10")</f>
        <v/>
      </c>
    </row>
    <row r="49">
      <c r="A49">
        <f>IF(OR('Ch6 EOT2 Results'!K16="",'Ch6 EOT2 Results'!L16=""),"",'Ch6 EOT2 Results'!L16)</f>
        <v/>
      </c>
      <c r="K49">
        <f>IF(OR('Ch6 EOT2 Results'!K17="",'Ch6 EOT2 Results'!L17=""),"",'Ch6 EOT2 Results'!L17)</f>
        <v/>
      </c>
    </row>
    <row r="51">
      <c r="A51">
        <f>IF('Ch6 EOT2 Results'!K16="","","Comments:")</f>
        <v/>
      </c>
      <c r="K51">
        <f>IF('Ch6 EOT2 Results'!K17="","","Comments:")</f>
        <v/>
      </c>
    </row>
    <row r="53">
      <c r="A53">
        <f>IF('Ch6 EOT2 Results'!K18="","","Chapter 6 End of Topic Test 2 — Probabilities &amp; Estimation")</f>
        <v/>
      </c>
      <c r="K53">
        <f>IF('Ch6 EOT2 Results'!K19="","","Chapter 6 End of Topic Test 2 — Probabilities &amp; Estimation")</f>
        <v/>
      </c>
    </row>
    <row r="54">
      <c r="A54">
        <f>IF('Ch6 EOT2 Results'!K18="","","Name: "&amp;'Ch6 EOT2 Results'!B18&amp;"   Class: "&amp;'Ch6 EOT2 Results'!$B$3&amp;"   Date: "&amp;TEXT('Ch6 EOT2 Results'!$B$5,"DD/MM/YY"))</f>
        <v/>
      </c>
      <c r="K54">
        <f>IF('Ch6 EOT2 Results'!K19="","","Name: "&amp;'Ch6 EOT2 Results'!B19&amp;"   Class: "&amp;'Ch6 EOT2 Results'!$B$3&amp;"   Date: "&amp;TEXT('Ch6 EOT2 Results'!$B$5,"DD/MM/YY"))</f>
        <v/>
      </c>
    </row>
    <row r="55">
      <c r="A55">
        <f>IF('Ch6 EOT2 Results'!K18="","","Total: "&amp;'Ch6 EOT2 Results'!I18&amp;"/48 ("&amp;TEXT('Ch6 EOT2 Results'!J18,"0%")&amp;")   Overall: "&amp;'Ch6 EOT2 Results'!K18)</f>
        <v/>
      </c>
      <c r="K55">
        <f>IF('Ch6 EOT2 Results'!K19="","","Total: "&amp;'Ch6 EOT2 Results'!I19&amp;"/48 ("&amp;TEXT('Ch6 EOT2 Results'!J19,"0%")&amp;")   Overall: "&amp;'Ch6 EOT2 Results'!K19)</f>
        <v/>
      </c>
    </row>
    <row r="56">
      <c r="A56">
        <f>IF('Ch6 EOT2 Results'!K18="","",IF('Ch6 EOT2 Results'!K18="Green",Parameters!$C$402,IF('Ch6 EOT2 Results'!K18="Yellow",Parameters!$C$401,Parameters!$C$400)))</f>
        <v/>
      </c>
      <c r="K56">
        <f>IF('Ch6 EOT2 Results'!K19="","",IF('Ch6 EOT2 Results'!K19="Green",Parameters!$C$402,IF('Ch6 EOT2 Results'!K19="Yellow",Parameters!$C$401,Parameters!$C$400)))</f>
        <v/>
      </c>
    </row>
    <row r="58">
      <c r="A58">
        <f>IF('Ch6 EOT2 Results'!K18="","","Breakdown:")</f>
        <v/>
      </c>
      <c r="K58">
        <f>IF('Ch6 EOT2 Results'!K19="","","Breakdown:")</f>
        <v/>
      </c>
    </row>
    <row r="59">
      <c r="A59">
        <f>IF('Ch6 EOT2 Results'!K18="","","Q1 CI for a mean: "&amp;'Ch6 EOT2 Results'!C18&amp;"/10")</f>
        <v/>
      </c>
      <c r="K59">
        <f>IF('Ch6 EOT2 Results'!K19="","","Q1 CI for a mean: "&amp;'Ch6 EOT2 Results'!C19&amp;"/10")</f>
        <v/>
      </c>
    </row>
    <row r="60">
      <c r="A60">
        <f>IF('Ch6 EOT2 Results'!K18="","","Q2 CI for a proportion: "&amp;'Ch6 EOT2 Results'!D18&amp;"/9")</f>
        <v/>
      </c>
      <c r="K60">
        <f>IF('Ch6 EOT2 Results'!K19="","","Q2 CI for a proportion: "&amp;'Ch6 EOT2 Results'!D19&amp;"/9")</f>
        <v/>
      </c>
    </row>
    <row r="61">
      <c r="A61">
        <f>IF('Ch6 EOT2 Results'!K18="","","Q3 Sample size: "&amp;'Ch6 EOT2 Results'!E18&amp;"/6")</f>
        <v/>
      </c>
      <c r="K61">
        <f>IF('Ch6 EOT2 Results'!K19="","","Q3 Sample size: "&amp;'Ch6 EOT2 Results'!E19&amp;"/6")</f>
        <v/>
      </c>
    </row>
    <row r="62">
      <c r="A62">
        <f>IF('Ch6 EOT2 Results'!K18="","","Q4 Critical values: "&amp;'Ch6 EOT2 Results'!F18&amp;"/5")</f>
        <v/>
      </c>
      <c r="K62">
        <f>IF('Ch6 EOT2 Results'!K19="","","Q4 Critical values: "&amp;'Ch6 EOT2 Results'!F19&amp;"/5")</f>
        <v/>
      </c>
    </row>
    <row r="63">
      <c r="A63">
        <f>IF('Ch6 EOT2 Results'!K18="","","Q5 Interpretation &amp; misconceptions: "&amp;'Ch6 EOT2 Results'!G18&amp;"/8")</f>
        <v/>
      </c>
      <c r="K63">
        <f>IF('Ch6 EOT2 Results'!K19="","","Q5 Interpretation &amp; misconceptions: "&amp;'Ch6 EOT2 Results'!G19&amp;"/8")</f>
        <v/>
      </c>
    </row>
    <row r="64">
      <c r="A64">
        <f>IF('Ch6 EOT2 Results'!K18="","","Q6 Applying CIs to decisions: "&amp;'Ch6 EOT2 Results'!H18&amp;"/10")</f>
        <v/>
      </c>
      <c r="K64">
        <f>IF('Ch6 EOT2 Results'!K19="","","Q6 Applying CIs to decisions: "&amp;'Ch6 EOT2 Results'!H19&amp;"/10")</f>
        <v/>
      </c>
    </row>
    <row r="65">
      <c r="A65">
        <f>IF(OR('Ch6 EOT2 Results'!K18="",'Ch6 EOT2 Results'!L18=""),"",'Ch6 EOT2 Results'!L18)</f>
        <v/>
      </c>
      <c r="K65">
        <f>IF(OR('Ch6 EOT2 Results'!K19="",'Ch6 EOT2 Results'!L19=""),"",'Ch6 EOT2 Results'!L19)</f>
        <v/>
      </c>
    </row>
    <row r="67">
      <c r="A67">
        <f>IF('Ch6 EOT2 Results'!K18="","","Comments:")</f>
        <v/>
      </c>
      <c r="K67">
        <f>IF('Ch6 EOT2 Results'!K19="","","Comments:")</f>
        <v/>
      </c>
    </row>
    <row r="69">
      <c r="A69">
        <f>IF('Ch6 EOT2 Results'!K20="","","Chapter 6 End of Topic Test 2 — Probabilities &amp; Estimation")</f>
        <v/>
      </c>
      <c r="K69">
        <f>IF('Ch6 EOT2 Results'!K21="","","Chapter 6 End of Topic Test 2 — Probabilities &amp; Estimation")</f>
        <v/>
      </c>
    </row>
    <row r="70">
      <c r="A70">
        <f>IF('Ch6 EOT2 Results'!K20="","","Name: "&amp;'Ch6 EOT2 Results'!B20&amp;"   Class: "&amp;'Ch6 EOT2 Results'!$B$3&amp;"   Date: "&amp;TEXT('Ch6 EOT2 Results'!$B$5,"DD/MM/YY"))</f>
        <v/>
      </c>
      <c r="K70">
        <f>IF('Ch6 EOT2 Results'!K21="","","Name: "&amp;'Ch6 EOT2 Results'!B21&amp;"   Class: "&amp;'Ch6 EOT2 Results'!$B$3&amp;"   Date: "&amp;TEXT('Ch6 EOT2 Results'!$B$5,"DD/MM/YY"))</f>
        <v/>
      </c>
    </row>
    <row r="71">
      <c r="A71">
        <f>IF('Ch6 EOT2 Results'!K20="","","Total: "&amp;'Ch6 EOT2 Results'!I20&amp;"/48 ("&amp;TEXT('Ch6 EOT2 Results'!J20,"0%")&amp;")   Overall: "&amp;'Ch6 EOT2 Results'!K20)</f>
        <v/>
      </c>
      <c r="K71">
        <f>IF('Ch6 EOT2 Results'!K21="","","Total: "&amp;'Ch6 EOT2 Results'!I21&amp;"/48 ("&amp;TEXT('Ch6 EOT2 Results'!J21,"0%")&amp;")   Overall: "&amp;'Ch6 EOT2 Results'!K21)</f>
        <v/>
      </c>
    </row>
    <row r="72">
      <c r="A72">
        <f>IF('Ch6 EOT2 Results'!K20="","",IF('Ch6 EOT2 Results'!K20="Green",Parameters!$C$402,IF('Ch6 EOT2 Results'!K20="Yellow",Parameters!$C$401,Parameters!$C$400)))</f>
        <v/>
      </c>
      <c r="K72">
        <f>IF('Ch6 EOT2 Results'!K21="","",IF('Ch6 EOT2 Results'!K21="Green",Parameters!$C$402,IF('Ch6 EOT2 Results'!K21="Yellow",Parameters!$C$401,Parameters!$C$400)))</f>
        <v/>
      </c>
    </row>
    <row r="74">
      <c r="A74">
        <f>IF('Ch6 EOT2 Results'!K20="","","Breakdown:")</f>
        <v/>
      </c>
      <c r="K74">
        <f>IF('Ch6 EOT2 Results'!K21="","","Breakdown:")</f>
        <v/>
      </c>
    </row>
    <row r="75">
      <c r="A75">
        <f>IF('Ch6 EOT2 Results'!K20="","","Q1 CI for a mean: "&amp;'Ch6 EOT2 Results'!C20&amp;"/10")</f>
        <v/>
      </c>
      <c r="K75">
        <f>IF('Ch6 EOT2 Results'!K21="","","Q1 CI for a mean: "&amp;'Ch6 EOT2 Results'!C21&amp;"/10")</f>
        <v/>
      </c>
    </row>
    <row r="76">
      <c r="A76">
        <f>IF('Ch6 EOT2 Results'!K20="","","Q2 CI for a proportion: "&amp;'Ch6 EOT2 Results'!D20&amp;"/9")</f>
        <v/>
      </c>
      <c r="K76">
        <f>IF('Ch6 EOT2 Results'!K21="","","Q2 CI for a proportion: "&amp;'Ch6 EOT2 Results'!D21&amp;"/9")</f>
        <v/>
      </c>
    </row>
    <row r="77">
      <c r="A77">
        <f>IF('Ch6 EOT2 Results'!K20="","","Q3 Sample size: "&amp;'Ch6 EOT2 Results'!E20&amp;"/6")</f>
        <v/>
      </c>
      <c r="K77">
        <f>IF('Ch6 EOT2 Results'!K21="","","Q3 Sample size: "&amp;'Ch6 EOT2 Results'!E21&amp;"/6")</f>
        <v/>
      </c>
    </row>
    <row r="78">
      <c r="A78">
        <f>IF('Ch6 EOT2 Results'!K20="","","Q4 Critical values: "&amp;'Ch6 EOT2 Results'!F20&amp;"/5")</f>
        <v/>
      </c>
      <c r="K78">
        <f>IF('Ch6 EOT2 Results'!K21="","","Q4 Critical values: "&amp;'Ch6 EOT2 Results'!F21&amp;"/5")</f>
        <v/>
      </c>
    </row>
    <row r="79">
      <c r="A79">
        <f>IF('Ch6 EOT2 Results'!K20="","","Q5 Interpretation &amp; misconceptions: "&amp;'Ch6 EOT2 Results'!G20&amp;"/8")</f>
        <v/>
      </c>
      <c r="K79">
        <f>IF('Ch6 EOT2 Results'!K21="","","Q5 Interpretation &amp; misconceptions: "&amp;'Ch6 EOT2 Results'!G21&amp;"/8")</f>
        <v/>
      </c>
    </row>
    <row r="80">
      <c r="A80">
        <f>IF('Ch6 EOT2 Results'!K20="","","Q6 Applying CIs to decisions: "&amp;'Ch6 EOT2 Results'!H20&amp;"/10")</f>
        <v/>
      </c>
      <c r="K80">
        <f>IF('Ch6 EOT2 Results'!K21="","","Q6 Applying CIs to decisions: "&amp;'Ch6 EOT2 Results'!H21&amp;"/10")</f>
        <v/>
      </c>
    </row>
    <row r="81">
      <c r="A81">
        <f>IF(OR('Ch6 EOT2 Results'!K20="",'Ch6 EOT2 Results'!L20=""),"",'Ch6 EOT2 Results'!L20)</f>
        <v/>
      </c>
      <c r="K81">
        <f>IF(OR('Ch6 EOT2 Results'!K21="",'Ch6 EOT2 Results'!L21=""),"",'Ch6 EOT2 Results'!L21)</f>
        <v/>
      </c>
    </row>
    <row r="83">
      <c r="A83">
        <f>IF('Ch6 EOT2 Results'!K20="","","Comments:")</f>
        <v/>
      </c>
      <c r="K83">
        <f>IF('Ch6 EOT2 Results'!K21="","","Comments:")</f>
        <v/>
      </c>
    </row>
    <row r="85">
      <c r="A85">
        <f>IF('Ch6 EOT2 Results'!K22="","","Chapter 6 End of Topic Test 2 — Probabilities &amp; Estimation")</f>
        <v/>
      </c>
      <c r="K85">
        <f>IF('Ch6 EOT2 Results'!K23="","","Chapter 6 End of Topic Test 2 — Probabilities &amp; Estimation")</f>
        <v/>
      </c>
    </row>
    <row r="86">
      <c r="A86">
        <f>IF('Ch6 EOT2 Results'!K22="","","Name: "&amp;'Ch6 EOT2 Results'!B22&amp;"   Class: "&amp;'Ch6 EOT2 Results'!$B$3&amp;"   Date: "&amp;TEXT('Ch6 EOT2 Results'!$B$5,"DD/MM/YY"))</f>
        <v/>
      </c>
      <c r="K86">
        <f>IF('Ch6 EOT2 Results'!K23="","","Name: "&amp;'Ch6 EOT2 Results'!B23&amp;"   Class: "&amp;'Ch6 EOT2 Results'!$B$3&amp;"   Date: "&amp;TEXT('Ch6 EOT2 Results'!$B$5,"DD/MM/YY"))</f>
        <v/>
      </c>
    </row>
    <row r="87">
      <c r="A87">
        <f>IF('Ch6 EOT2 Results'!K22="","","Total: "&amp;'Ch6 EOT2 Results'!I22&amp;"/48 ("&amp;TEXT('Ch6 EOT2 Results'!J22,"0%")&amp;")   Overall: "&amp;'Ch6 EOT2 Results'!K22)</f>
        <v/>
      </c>
      <c r="K87">
        <f>IF('Ch6 EOT2 Results'!K23="","","Total: "&amp;'Ch6 EOT2 Results'!I23&amp;"/48 ("&amp;TEXT('Ch6 EOT2 Results'!J23,"0%")&amp;")   Overall: "&amp;'Ch6 EOT2 Results'!K23)</f>
        <v/>
      </c>
    </row>
    <row r="88">
      <c r="A88">
        <f>IF('Ch6 EOT2 Results'!K22="","",IF('Ch6 EOT2 Results'!K22="Green",Parameters!$C$402,IF('Ch6 EOT2 Results'!K22="Yellow",Parameters!$C$401,Parameters!$C$400)))</f>
        <v/>
      </c>
      <c r="K88">
        <f>IF('Ch6 EOT2 Results'!K23="","",IF('Ch6 EOT2 Results'!K23="Green",Parameters!$C$402,IF('Ch6 EOT2 Results'!K23="Yellow",Parameters!$C$401,Parameters!$C$400)))</f>
        <v/>
      </c>
    </row>
    <row r="90">
      <c r="A90">
        <f>IF('Ch6 EOT2 Results'!K22="","","Breakdown:")</f>
        <v/>
      </c>
      <c r="K90">
        <f>IF('Ch6 EOT2 Results'!K23="","","Breakdown:")</f>
        <v/>
      </c>
    </row>
    <row r="91">
      <c r="A91">
        <f>IF('Ch6 EOT2 Results'!K22="","","Q1 CI for a mean: "&amp;'Ch6 EOT2 Results'!C22&amp;"/10")</f>
        <v/>
      </c>
      <c r="K91">
        <f>IF('Ch6 EOT2 Results'!K23="","","Q1 CI for a mean: "&amp;'Ch6 EOT2 Results'!C23&amp;"/10")</f>
        <v/>
      </c>
    </row>
    <row r="92">
      <c r="A92">
        <f>IF('Ch6 EOT2 Results'!K22="","","Q2 CI for a proportion: "&amp;'Ch6 EOT2 Results'!D22&amp;"/9")</f>
        <v/>
      </c>
      <c r="K92">
        <f>IF('Ch6 EOT2 Results'!K23="","","Q2 CI for a proportion: "&amp;'Ch6 EOT2 Results'!D23&amp;"/9")</f>
        <v/>
      </c>
    </row>
    <row r="93">
      <c r="A93">
        <f>IF('Ch6 EOT2 Results'!K22="","","Q3 Sample size: "&amp;'Ch6 EOT2 Results'!E22&amp;"/6")</f>
        <v/>
      </c>
      <c r="K93">
        <f>IF('Ch6 EOT2 Results'!K23="","","Q3 Sample size: "&amp;'Ch6 EOT2 Results'!E23&amp;"/6")</f>
        <v/>
      </c>
    </row>
    <row r="94">
      <c r="A94">
        <f>IF('Ch6 EOT2 Results'!K22="","","Q4 Critical values: "&amp;'Ch6 EOT2 Results'!F22&amp;"/5")</f>
        <v/>
      </c>
      <c r="K94">
        <f>IF('Ch6 EOT2 Results'!K23="","","Q4 Critical values: "&amp;'Ch6 EOT2 Results'!F23&amp;"/5")</f>
        <v/>
      </c>
    </row>
    <row r="95">
      <c r="A95">
        <f>IF('Ch6 EOT2 Results'!K22="","","Q5 Interpretation &amp; misconceptions: "&amp;'Ch6 EOT2 Results'!G22&amp;"/8")</f>
        <v/>
      </c>
      <c r="K95">
        <f>IF('Ch6 EOT2 Results'!K23="","","Q5 Interpretation &amp; misconceptions: "&amp;'Ch6 EOT2 Results'!G23&amp;"/8")</f>
        <v/>
      </c>
    </row>
    <row r="96">
      <c r="A96">
        <f>IF('Ch6 EOT2 Results'!K22="","","Q6 Applying CIs to decisions: "&amp;'Ch6 EOT2 Results'!H22&amp;"/10")</f>
        <v/>
      </c>
      <c r="K96">
        <f>IF('Ch6 EOT2 Results'!K23="","","Q6 Applying CIs to decisions: "&amp;'Ch6 EOT2 Results'!H23&amp;"/10")</f>
        <v/>
      </c>
    </row>
    <row r="97">
      <c r="A97">
        <f>IF(OR('Ch6 EOT2 Results'!K22="",'Ch6 EOT2 Results'!L22=""),"",'Ch6 EOT2 Results'!L22)</f>
        <v/>
      </c>
      <c r="K97">
        <f>IF(OR('Ch6 EOT2 Results'!K23="",'Ch6 EOT2 Results'!L23=""),"",'Ch6 EOT2 Results'!L23)</f>
        <v/>
      </c>
    </row>
    <row r="99">
      <c r="A99">
        <f>IF('Ch6 EOT2 Results'!K22="","","Comments:")</f>
        <v/>
      </c>
      <c r="K99">
        <f>IF('Ch6 EOT2 Results'!K23="","","Comments:")</f>
        <v/>
      </c>
    </row>
    <row r="101">
      <c r="A101">
        <f>IF('Ch6 EOT2 Results'!K24="","","Chapter 6 End of Topic Test 2 — Probabilities &amp; Estimation")</f>
        <v/>
      </c>
      <c r="K101">
        <f>IF('Ch6 EOT2 Results'!K25="","","Chapter 6 End of Topic Test 2 — Probabilities &amp; Estimation")</f>
        <v/>
      </c>
    </row>
    <row r="102">
      <c r="A102">
        <f>IF('Ch6 EOT2 Results'!K24="","","Name: "&amp;'Ch6 EOT2 Results'!B24&amp;"   Class: "&amp;'Ch6 EOT2 Results'!$B$3&amp;"   Date: "&amp;TEXT('Ch6 EOT2 Results'!$B$5,"DD/MM/YY"))</f>
        <v/>
      </c>
      <c r="K102">
        <f>IF('Ch6 EOT2 Results'!K25="","","Name: "&amp;'Ch6 EOT2 Results'!B25&amp;"   Class: "&amp;'Ch6 EOT2 Results'!$B$3&amp;"   Date: "&amp;TEXT('Ch6 EOT2 Results'!$B$5,"DD/MM/YY"))</f>
        <v/>
      </c>
    </row>
    <row r="103">
      <c r="A103">
        <f>IF('Ch6 EOT2 Results'!K24="","","Total: "&amp;'Ch6 EOT2 Results'!I24&amp;"/48 ("&amp;TEXT('Ch6 EOT2 Results'!J24,"0%")&amp;")   Overall: "&amp;'Ch6 EOT2 Results'!K24)</f>
        <v/>
      </c>
      <c r="K103">
        <f>IF('Ch6 EOT2 Results'!K25="","","Total: "&amp;'Ch6 EOT2 Results'!I25&amp;"/48 ("&amp;TEXT('Ch6 EOT2 Results'!J25,"0%")&amp;")   Overall: "&amp;'Ch6 EOT2 Results'!K25)</f>
        <v/>
      </c>
    </row>
    <row r="104">
      <c r="A104">
        <f>IF('Ch6 EOT2 Results'!K24="","",IF('Ch6 EOT2 Results'!K24="Green",Parameters!$C$402,IF('Ch6 EOT2 Results'!K24="Yellow",Parameters!$C$401,Parameters!$C$400)))</f>
        <v/>
      </c>
      <c r="K104">
        <f>IF('Ch6 EOT2 Results'!K25="","",IF('Ch6 EOT2 Results'!K25="Green",Parameters!$C$402,IF('Ch6 EOT2 Results'!K25="Yellow",Parameters!$C$401,Parameters!$C$400)))</f>
        <v/>
      </c>
    </row>
    <row r="106">
      <c r="A106">
        <f>IF('Ch6 EOT2 Results'!K24="","","Breakdown:")</f>
        <v/>
      </c>
      <c r="K106">
        <f>IF('Ch6 EOT2 Results'!K25="","","Breakdown:")</f>
        <v/>
      </c>
    </row>
    <row r="107">
      <c r="A107">
        <f>IF('Ch6 EOT2 Results'!K24="","","Q1 CI for a mean: "&amp;'Ch6 EOT2 Results'!C24&amp;"/10")</f>
        <v/>
      </c>
      <c r="K107">
        <f>IF('Ch6 EOT2 Results'!K25="","","Q1 CI for a mean: "&amp;'Ch6 EOT2 Results'!C25&amp;"/10")</f>
        <v/>
      </c>
    </row>
    <row r="108">
      <c r="A108">
        <f>IF('Ch6 EOT2 Results'!K24="","","Q2 CI for a proportion: "&amp;'Ch6 EOT2 Results'!D24&amp;"/9")</f>
        <v/>
      </c>
      <c r="K108">
        <f>IF('Ch6 EOT2 Results'!K25="","","Q2 CI for a proportion: "&amp;'Ch6 EOT2 Results'!D25&amp;"/9")</f>
        <v/>
      </c>
    </row>
    <row r="109">
      <c r="A109">
        <f>IF('Ch6 EOT2 Results'!K24="","","Q3 Sample size: "&amp;'Ch6 EOT2 Results'!E24&amp;"/6")</f>
        <v/>
      </c>
      <c r="K109">
        <f>IF('Ch6 EOT2 Results'!K25="","","Q3 Sample size: "&amp;'Ch6 EOT2 Results'!E25&amp;"/6")</f>
        <v/>
      </c>
    </row>
    <row r="110">
      <c r="A110">
        <f>IF('Ch6 EOT2 Results'!K24="","","Q4 Critical values: "&amp;'Ch6 EOT2 Results'!F24&amp;"/5")</f>
        <v/>
      </c>
      <c r="K110">
        <f>IF('Ch6 EOT2 Results'!K25="","","Q4 Critical values: "&amp;'Ch6 EOT2 Results'!F25&amp;"/5")</f>
        <v/>
      </c>
    </row>
    <row r="111">
      <c r="A111">
        <f>IF('Ch6 EOT2 Results'!K24="","","Q5 Interpretation &amp; misconceptions: "&amp;'Ch6 EOT2 Results'!G24&amp;"/8")</f>
        <v/>
      </c>
      <c r="K111">
        <f>IF('Ch6 EOT2 Results'!K25="","","Q5 Interpretation &amp; misconceptions: "&amp;'Ch6 EOT2 Results'!G25&amp;"/8")</f>
        <v/>
      </c>
    </row>
    <row r="112">
      <c r="A112">
        <f>IF('Ch6 EOT2 Results'!K24="","","Q6 Applying CIs to decisions: "&amp;'Ch6 EOT2 Results'!H24&amp;"/10")</f>
        <v/>
      </c>
      <c r="K112">
        <f>IF('Ch6 EOT2 Results'!K25="","","Q6 Applying CIs to decisions: "&amp;'Ch6 EOT2 Results'!H25&amp;"/10")</f>
        <v/>
      </c>
    </row>
    <row r="113">
      <c r="A113">
        <f>IF(OR('Ch6 EOT2 Results'!K24="",'Ch6 EOT2 Results'!L24=""),"",'Ch6 EOT2 Results'!L24)</f>
        <v/>
      </c>
      <c r="K113">
        <f>IF(OR('Ch6 EOT2 Results'!K25="",'Ch6 EOT2 Results'!L25=""),"",'Ch6 EOT2 Results'!L25)</f>
        <v/>
      </c>
    </row>
    <row r="115">
      <c r="A115">
        <f>IF('Ch6 EOT2 Results'!K24="","","Comments:")</f>
        <v/>
      </c>
      <c r="K115">
        <f>IF('Ch6 EOT2 Results'!K25="","","Comments:")</f>
        <v/>
      </c>
    </row>
    <row r="117">
      <c r="A117">
        <f>IF('Ch6 EOT2 Results'!K26="","","Chapter 6 End of Topic Test 2 — Probabilities &amp; Estimation")</f>
        <v/>
      </c>
      <c r="K117">
        <f>IF('Ch6 EOT2 Results'!K27="","","Chapter 6 End of Topic Test 2 — Probabilities &amp; Estimation")</f>
        <v/>
      </c>
    </row>
    <row r="118">
      <c r="A118">
        <f>IF('Ch6 EOT2 Results'!K26="","","Name: "&amp;'Ch6 EOT2 Results'!B26&amp;"   Class: "&amp;'Ch6 EOT2 Results'!$B$3&amp;"   Date: "&amp;TEXT('Ch6 EOT2 Results'!$B$5,"DD/MM/YY"))</f>
        <v/>
      </c>
      <c r="K118">
        <f>IF('Ch6 EOT2 Results'!K27="","","Name: "&amp;'Ch6 EOT2 Results'!B27&amp;"   Class: "&amp;'Ch6 EOT2 Results'!$B$3&amp;"   Date: "&amp;TEXT('Ch6 EOT2 Results'!$B$5,"DD/MM/YY"))</f>
        <v/>
      </c>
    </row>
    <row r="119">
      <c r="A119">
        <f>IF('Ch6 EOT2 Results'!K26="","","Total: "&amp;'Ch6 EOT2 Results'!I26&amp;"/48 ("&amp;TEXT('Ch6 EOT2 Results'!J26,"0%")&amp;")   Overall: "&amp;'Ch6 EOT2 Results'!K26)</f>
        <v/>
      </c>
      <c r="K119">
        <f>IF('Ch6 EOT2 Results'!K27="","","Total: "&amp;'Ch6 EOT2 Results'!I27&amp;"/48 ("&amp;TEXT('Ch6 EOT2 Results'!J27,"0%")&amp;")   Overall: "&amp;'Ch6 EOT2 Results'!K27)</f>
        <v/>
      </c>
    </row>
    <row r="120">
      <c r="A120">
        <f>IF('Ch6 EOT2 Results'!K26="","",IF('Ch6 EOT2 Results'!K26="Green",Parameters!$C$402,IF('Ch6 EOT2 Results'!K26="Yellow",Parameters!$C$401,Parameters!$C$400)))</f>
        <v/>
      </c>
      <c r="K120">
        <f>IF('Ch6 EOT2 Results'!K27="","",IF('Ch6 EOT2 Results'!K27="Green",Parameters!$C$402,IF('Ch6 EOT2 Results'!K27="Yellow",Parameters!$C$401,Parameters!$C$400)))</f>
        <v/>
      </c>
    </row>
    <row r="122">
      <c r="A122">
        <f>IF('Ch6 EOT2 Results'!K26="","","Breakdown:")</f>
        <v/>
      </c>
      <c r="K122">
        <f>IF('Ch6 EOT2 Results'!K27="","","Breakdown:")</f>
        <v/>
      </c>
    </row>
    <row r="123">
      <c r="A123">
        <f>IF('Ch6 EOT2 Results'!K26="","","Q1 CI for a mean: "&amp;'Ch6 EOT2 Results'!C26&amp;"/10")</f>
        <v/>
      </c>
      <c r="K123">
        <f>IF('Ch6 EOT2 Results'!K27="","","Q1 CI for a mean: "&amp;'Ch6 EOT2 Results'!C27&amp;"/10")</f>
        <v/>
      </c>
    </row>
    <row r="124">
      <c r="A124">
        <f>IF('Ch6 EOT2 Results'!K26="","","Q2 CI for a proportion: "&amp;'Ch6 EOT2 Results'!D26&amp;"/9")</f>
        <v/>
      </c>
      <c r="K124">
        <f>IF('Ch6 EOT2 Results'!K27="","","Q2 CI for a proportion: "&amp;'Ch6 EOT2 Results'!D27&amp;"/9")</f>
        <v/>
      </c>
    </row>
    <row r="125">
      <c r="A125">
        <f>IF('Ch6 EOT2 Results'!K26="","","Q3 Sample size: "&amp;'Ch6 EOT2 Results'!E26&amp;"/6")</f>
        <v/>
      </c>
      <c r="K125">
        <f>IF('Ch6 EOT2 Results'!K27="","","Q3 Sample size: "&amp;'Ch6 EOT2 Results'!E27&amp;"/6")</f>
        <v/>
      </c>
    </row>
    <row r="126">
      <c r="A126">
        <f>IF('Ch6 EOT2 Results'!K26="","","Q4 Critical values: "&amp;'Ch6 EOT2 Results'!F26&amp;"/5")</f>
        <v/>
      </c>
      <c r="K126">
        <f>IF('Ch6 EOT2 Results'!K27="","","Q4 Critical values: "&amp;'Ch6 EOT2 Results'!F27&amp;"/5")</f>
        <v/>
      </c>
    </row>
    <row r="127">
      <c r="A127">
        <f>IF('Ch6 EOT2 Results'!K26="","","Q5 Interpretation &amp; misconceptions: "&amp;'Ch6 EOT2 Results'!G26&amp;"/8")</f>
        <v/>
      </c>
      <c r="K127">
        <f>IF('Ch6 EOT2 Results'!K27="","","Q5 Interpretation &amp; misconceptions: "&amp;'Ch6 EOT2 Results'!G27&amp;"/8")</f>
        <v/>
      </c>
    </row>
    <row r="128">
      <c r="A128">
        <f>IF('Ch6 EOT2 Results'!K26="","","Q6 Applying CIs to decisions: "&amp;'Ch6 EOT2 Results'!H26&amp;"/10")</f>
        <v/>
      </c>
      <c r="K128">
        <f>IF('Ch6 EOT2 Results'!K27="","","Q6 Applying CIs to decisions: "&amp;'Ch6 EOT2 Results'!H27&amp;"/10")</f>
        <v/>
      </c>
    </row>
    <row r="129">
      <c r="A129">
        <f>IF(OR('Ch6 EOT2 Results'!K26="",'Ch6 EOT2 Results'!L26=""),"",'Ch6 EOT2 Results'!L26)</f>
        <v/>
      </c>
      <c r="K129">
        <f>IF(OR('Ch6 EOT2 Results'!K27="",'Ch6 EOT2 Results'!L27=""),"",'Ch6 EOT2 Results'!L27)</f>
        <v/>
      </c>
    </row>
    <row r="131">
      <c r="A131">
        <f>IF('Ch6 EOT2 Results'!K26="","","Comments:")</f>
        <v/>
      </c>
      <c r="K131">
        <f>IF('Ch6 EOT2 Results'!K27="","","Comments:")</f>
        <v/>
      </c>
    </row>
    <row r="133">
      <c r="A133">
        <f>IF('Ch6 EOT2 Results'!K28="","","Chapter 6 End of Topic Test 2 — Probabilities &amp; Estimation")</f>
        <v/>
      </c>
      <c r="K133">
        <f>IF('Ch6 EOT2 Results'!K29="","","Chapter 6 End of Topic Test 2 — Probabilities &amp; Estimation")</f>
        <v/>
      </c>
    </row>
    <row r="134">
      <c r="A134">
        <f>IF('Ch6 EOT2 Results'!K28="","","Name: "&amp;'Ch6 EOT2 Results'!B28&amp;"   Class: "&amp;'Ch6 EOT2 Results'!$B$3&amp;"   Date: "&amp;TEXT('Ch6 EOT2 Results'!$B$5,"DD/MM/YY"))</f>
        <v/>
      </c>
      <c r="K134">
        <f>IF('Ch6 EOT2 Results'!K29="","","Name: "&amp;'Ch6 EOT2 Results'!B29&amp;"   Class: "&amp;'Ch6 EOT2 Results'!$B$3&amp;"   Date: "&amp;TEXT('Ch6 EOT2 Results'!$B$5,"DD/MM/YY"))</f>
        <v/>
      </c>
    </row>
    <row r="135">
      <c r="A135">
        <f>IF('Ch6 EOT2 Results'!K28="","","Total: "&amp;'Ch6 EOT2 Results'!I28&amp;"/48 ("&amp;TEXT('Ch6 EOT2 Results'!J28,"0%")&amp;")   Overall: "&amp;'Ch6 EOT2 Results'!K28)</f>
        <v/>
      </c>
      <c r="K135">
        <f>IF('Ch6 EOT2 Results'!K29="","","Total: "&amp;'Ch6 EOT2 Results'!I29&amp;"/48 ("&amp;TEXT('Ch6 EOT2 Results'!J29,"0%")&amp;")   Overall: "&amp;'Ch6 EOT2 Results'!K29)</f>
        <v/>
      </c>
    </row>
    <row r="136">
      <c r="A136">
        <f>IF('Ch6 EOT2 Results'!K28="","",IF('Ch6 EOT2 Results'!K28="Green",Parameters!$C$402,IF('Ch6 EOT2 Results'!K28="Yellow",Parameters!$C$401,Parameters!$C$400)))</f>
        <v/>
      </c>
      <c r="K136">
        <f>IF('Ch6 EOT2 Results'!K29="","",IF('Ch6 EOT2 Results'!K29="Green",Parameters!$C$402,IF('Ch6 EOT2 Results'!K29="Yellow",Parameters!$C$401,Parameters!$C$400)))</f>
        <v/>
      </c>
    </row>
    <row r="138">
      <c r="A138">
        <f>IF('Ch6 EOT2 Results'!K28="","","Breakdown:")</f>
        <v/>
      </c>
      <c r="K138">
        <f>IF('Ch6 EOT2 Results'!K29="","","Breakdown:")</f>
        <v/>
      </c>
    </row>
    <row r="139">
      <c r="A139">
        <f>IF('Ch6 EOT2 Results'!K28="","","Q1 CI for a mean: "&amp;'Ch6 EOT2 Results'!C28&amp;"/10")</f>
        <v/>
      </c>
      <c r="K139">
        <f>IF('Ch6 EOT2 Results'!K29="","","Q1 CI for a mean: "&amp;'Ch6 EOT2 Results'!C29&amp;"/10")</f>
        <v/>
      </c>
    </row>
    <row r="140">
      <c r="A140">
        <f>IF('Ch6 EOT2 Results'!K28="","","Q2 CI for a proportion: "&amp;'Ch6 EOT2 Results'!D28&amp;"/9")</f>
        <v/>
      </c>
      <c r="K140">
        <f>IF('Ch6 EOT2 Results'!K29="","","Q2 CI for a proportion: "&amp;'Ch6 EOT2 Results'!D29&amp;"/9")</f>
        <v/>
      </c>
    </row>
    <row r="141">
      <c r="A141">
        <f>IF('Ch6 EOT2 Results'!K28="","","Q3 Sample size: "&amp;'Ch6 EOT2 Results'!E28&amp;"/6")</f>
        <v/>
      </c>
      <c r="K141">
        <f>IF('Ch6 EOT2 Results'!K29="","","Q3 Sample size: "&amp;'Ch6 EOT2 Results'!E29&amp;"/6")</f>
        <v/>
      </c>
    </row>
    <row r="142">
      <c r="A142">
        <f>IF('Ch6 EOT2 Results'!K28="","","Q4 Critical values: "&amp;'Ch6 EOT2 Results'!F28&amp;"/5")</f>
        <v/>
      </c>
      <c r="K142">
        <f>IF('Ch6 EOT2 Results'!K29="","","Q4 Critical values: "&amp;'Ch6 EOT2 Results'!F29&amp;"/5")</f>
        <v/>
      </c>
    </row>
    <row r="143">
      <c r="A143">
        <f>IF('Ch6 EOT2 Results'!K28="","","Q5 Interpretation &amp; misconceptions: "&amp;'Ch6 EOT2 Results'!G28&amp;"/8")</f>
        <v/>
      </c>
      <c r="K143">
        <f>IF('Ch6 EOT2 Results'!K29="","","Q5 Interpretation &amp; misconceptions: "&amp;'Ch6 EOT2 Results'!G29&amp;"/8")</f>
        <v/>
      </c>
    </row>
    <row r="144">
      <c r="A144">
        <f>IF('Ch6 EOT2 Results'!K28="","","Q6 Applying CIs to decisions: "&amp;'Ch6 EOT2 Results'!H28&amp;"/10")</f>
        <v/>
      </c>
      <c r="K144">
        <f>IF('Ch6 EOT2 Results'!K29="","","Q6 Applying CIs to decisions: "&amp;'Ch6 EOT2 Results'!H29&amp;"/10")</f>
        <v/>
      </c>
    </row>
    <row r="145">
      <c r="A145">
        <f>IF(OR('Ch6 EOT2 Results'!K28="",'Ch6 EOT2 Results'!L28=""),"",'Ch6 EOT2 Results'!L28)</f>
        <v/>
      </c>
      <c r="K145">
        <f>IF(OR('Ch6 EOT2 Results'!K29="",'Ch6 EOT2 Results'!L29=""),"",'Ch6 EOT2 Results'!L29)</f>
        <v/>
      </c>
    </row>
    <row r="147">
      <c r="A147">
        <f>IF('Ch6 EOT2 Results'!K28="","","Comments:")</f>
        <v/>
      </c>
      <c r="K147">
        <f>IF('Ch6 EOT2 Results'!K29="","","Comments:")</f>
        <v/>
      </c>
    </row>
    <row r="149">
      <c r="A149">
        <f>IF('Ch6 EOT2 Results'!K30="","","Chapter 6 End of Topic Test 2 — Probabilities &amp; Estimation")</f>
        <v/>
      </c>
      <c r="K149">
        <f>IF('Ch6 EOT2 Results'!K31="","","Chapter 6 End of Topic Test 2 — Probabilities &amp; Estimation")</f>
        <v/>
      </c>
    </row>
    <row r="150">
      <c r="A150">
        <f>IF('Ch6 EOT2 Results'!K30="","","Name: "&amp;'Ch6 EOT2 Results'!B30&amp;"   Class: "&amp;'Ch6 EOT2 Results'!$B$3&amp;"   Date: "&amp;TEXT('Ch6 EOT2 Results'!$B$5,"DD/MM/YY"))</f>
        <v/>
      </c>
      <c r="K150">
        <f>IF('Ch6 EOT2 Results'!K31="","","Name: "&amp;'Ch6 EOT2 Results'!B31&amp;"   Class: "&amp;'Ch6 EOT2 Results'!$B$3&amp;"   Date: "&amp;TEXT('Ch6 EOT2 Results'!$B$5,"DD/MM/YY"))</f>
        <v/>
      </c>
    </row>
    <row r="151">
      <c r="A151">
        <f>IF('Ch6 EOT2 Results'!K30="","","Total: "&amp;'Ch6 EOT2 Results'!I30&amp;"/48 ("&amp;TEXT('Ch6 EOT2 Results'!J30,"0%")&amp;")   Overall: "&amp;'Ch6 EOT2 Results'!K30)</f>
        <v/>
      </c>
      <c r="K151">
        <f>IF('Ch6 EOT2 Results'!K31="","","Total: "&amp;'Ch6 EOT2 Results'!I31&amp;"/48 ("&amp;TEXT('Ch6 EOT2 Results'!J31,"0%")&amp;")   Overall: "&amp;'Ch6 EOT2 Results'!K31)</f>
        <v/>
      </c>
    </row>
    <row r="152">
      <c r="A152">
        <f>IF('Ch6 EOT2 Results'!K30="","",IF('Ch6 EOT2 Results'!K30="Green",Parameters!$C$402,IF('Ch6 EOT2 Results'!K30="Yellow",Parameters!$C$401,Parameters!$C$400)))</f>
        <v/>
      </c>
      <c r="K152">
        <f>IF('Ch6 EOT2 Results'!K31="","",IF('Ch6 EOT2 Results'!K31="Green",Parameters!$C$402,IF('Ch6 EOT2 Results'!K31="Yellow",Parameters!$C$401,Parameters!$C$400)))</f>
        <v/>
      </c>
    </row>
    <row r="154">
      <c r="A154">
        <f>IF('Ch6 EOT2 Results'!K30="","","Breakdown:")</f>
        <v/>
      </c>
      <c r="K154">
        <f>IF('Ch6 EOT2 Results'!K31="","","Breakdown:")</f>
        <v/>
      </c>
    </row>
    <row r="155">
      <c r="A155">
        <f>IF('Ch6 EOT2 Results'!K30="","","Q1 CI for a mean: "&amp;'Ch6 EOT2 Results'!C30&amp;"/10")</f>
        <v/>
      </c>
      <c r="K155">
        <f>IF('Ch6 EOT2 Results'!K31="","","Q1 CI for a mean: "&amp;'Ch6 EOT2 Results'!C31&amp;"/10")</f>
        <v/>
      </c>
    </row>
    <row r="156">
      <c r="A156">
        <f>IF('Ch6 EOT2 Results'!K30="","","Q2 CI for a proportion: "&amp;'Ch6 EOT2 Results'!D30&amp;"/9")</f>
        <v/>
      </c>
      <c r="K156">
        <f>IF('Ch6 EOT2 Results'!K31="","","Q2 CI for a proportion: "&amp;'Ch6 EOT2 Results'!D31&amp;"/9")</f>
        <v/>
      </c>
    </row>
    <row r="157">
      <c r="A157">
        <f>IF('Ch6 EOT2 Results'!K30="","","Q3 Sample size: "&amp;'Ch6 EOT2 Results'!E30&amp;"/6")</f>
        <v/>
      </c>
      <c r="K157">
        <f>IF('Ch6 EOT2 Results'!K31="","","Q3 Sample size: "&amp;'Ch6 EOT2 Results'!E31&amp;"/6")</f>
        <v/>
      </c>
    </row>
    <row r="158">
      <c r="A158">
        <f>IF('Ch6 EOT2 Results'!K30="","","Q4 Critical values: "&amp;'Ch6 EOT2 Results'!F30&amp;"/5")</f>
        <v/>
      </c>
      <c r="K158">
        <f>IF('Ch6 EOT2 Results'!K31="","","Q4 Critical values: "&amp;'Ch6 EOT2 Results'!F31&amp;"/5")</f>
        <v/>
      </c>
    </row>
    <row r="159">
      <c r="A159">
        <f>IF('Ch6 EOT2 Results'!K30="","","Q5 Interpretation &amp; misconceptions: "&amp;'Ch6 EOT2 Results'!G30&amp;"/8")</f>
        <v/>
      </c>
      <c r="K159">
        <f>IF('Ch6 EOT2 Results'!K31="","","Q5 Interpretation &amp; misconceptions: "&amp;'Ch6 EOT2 Results'!G31&amp;"/8")</f>
        <v/>
      </c>
    </row>
    <row r="160">
      <c r="A160">
        <f>IF('Ch6 EOT2 Results'!K30="","","Q6 Applying CIs to decisions: "&amp;'Ch6 EOT2 Results'!H30&amp;"/10")</f>
        <v/>
      </c>
      <c r="K160">
        <f>IF('Ch6 EOT2 Results'!K31="","","Q6 Applying CIs to decisions: "&amp;'Ch6 EOT2 Results'!H31&amp;"/10")</f>
        <v/>
      </c>
    </row>
    <row r="161">
      <c r="A161">
        <f>IF(OR('Ch6 EOT2 Results'!K30="",'Ch6 EOT2 Results'!L30=""),"",'Ch6 EOT2 Results'!L30)</f>
        <v/>
      </c>
      <c r="K161">
        <f>IF(OR('Ch6 EOT2 Results'!K31="",'Ch6 EOT2 Results'!L31=""),"",'Ch6 EOT2 Results'!L31)</f>
        <v/>
      </c>
    </row>
    <row r="163">
      <c r="A163">
        <f>IF('Ch6 EOT2 Results'!K30="","","Comments:")</f>
        <v/>
      </c>
      <c r="K163">
        <f>IF('Ch6 EOT2 Results'!K31="","","Comments:")</f>
        <v/>
      </c>
    </row>
    <row r="165">
      <c r="A165">
        <f>IF('Ch6 EOT2 Results'!K32="","","Chapter 6 End of Topic Test 2 — Probabilities &amp; Estimation")</f>
        <v/>
      </c>
      <c r="K165">
        <f>IF('Ch6 EOT2 Results'!K33="","","Chapter 6 End of Topic Test 2 — Probabilities &amp; Estimation")</f>
        <v/>
      </c>
    </row>
    <row r="166">
      <c r="A166">
        <f>IF('Ch6 EOT2 Results'!K32="","","Name: "&amp;'Ch6 EOT2 Results'!B32&amp;"   Class: "&amp;'Ch6 EOT2 Results'!$B$3&amp;"   Date: "&amp;TEXT('Ch6 EOT2 Results'!$B$5,"DD/MM/YY"))</f>
        <v/>
      </c>
      <c r="K166">
        <f>IF('Ch6 EOT2 Results'!K33="","","Name: "&amp;'Ch6 EOT2 Results'!B33&amp;"   Class: "&amp;'Ch6 EOT2 Results'!$B$3&amp;"   Date: "&amp;TEXT('Ch6 EOT2 Results'!$B$5,"DD/MM/YY"))</f>
        <v/>
      </c>
    </row>
    <row r="167">
      <c r="A167">
        <f>IF('Ch6 EOT2 Results'!K32="","","Total: "&amp;'Ch6 EOT2 Results'!I32&amp;"/48 ("&amp;TEXT('Ch6 EOT2 Results'!J32,"0%")&amp;")   Overall: "&amp;'Ch6 EOT2 Results'!K32)</f>
        <v/>
      </c>
      <c r="K167">
        <f>IF('Ch6 EOT2 Results'!K33="","","Total: "&amp;'Ch6 EOT2 Results'!I33&amp;"/48 ("&amp;TEXT('Ch6 EOT2 Results'!J33,"0%")&amp;")   Overall: "&amp;'Ch6 EOT2 Results'!K33)</f>
        <v/>
      </c>
    </row>
    <row r="168">
      <c r="A168">
        <f>IF('Ch6 EOT2 Results'!K32="","",IF('Ch6 EOT2 Results'!K32="Green",Parameters!$C$402,IF('Ch6 EOT2 Results'!K32="Yellow",Parameters!$C$401,Parameters!$C$400)))</f>
        <v/>
      </c>
      <c r="K168">
        <f>IF('Ch6 EOT2 Results'!K33="","",IF('Ch6 EOT2 Results'!K33="Green",Parameters!$C$402,IF('Ch6 EOT2 Results'!K33="Yellow",Parameters!$C$401,Parameters!$C$400)))</f>
        <v/>
      </c>
    </row>
    <row r="170">
      <c r="A170">
        <f>IF('Ch6 EOT2 Results'!K32="","","Breakdown:")</f>
        <v/>
      </c>
      <c r="K170">
        <f>IF('Ch6 EOT2 Results'!K33="","","Breakdown:")</f>
        <v/>
      </c>
    </row>
    <row r="171">
      <c r="A171">
        <f>IF('Ch6 EOT2 Results'!K32="","","Q1 CI for a mean: "&amp;'Ch6 EOT2 Results'!C32&amp;"/10")</f>
        <v/>
      </c>
      <c r="K171">
        <f>IF('Ch6 EOT2 Results'!K33="","","Q1 CI for a mean: "&amp;'Ch6 EOT2 Results'!C33&amp;"/10")</f>
        <v/>
      </c>
    </row>
    <row r="172">
      <c r="A172">
        <f>IF('Ch6 EOT2 Results'!K32="","","Q2 CI for a proportion: "&amp;'Ch6 EOT2 Results'!D32&amp;"/9")</f>
        <v/>
      </c>
      <c r="K172">
        <f>IF('Ch6 EOT2 Results'!K33="","","Q2 CI for a proportion: "&amp;'Ch6 EOT2 Results'!D33&amp;"/9")</f>
        <v/>
      </c>
    </row>
    <row r="173">
      <c r="A173">
        <f>IF('Ch6 EOT2 Results'!K32="","","Q3 Sample size: "&amp;'Ch6 EOT2 Results'!E32&amp;"/6")</f>
        <v/>
      </c>
      <c r="K173">
        <f>IF('Ch6 EOT2 Results'!K33="","","Q3 Sample size: "&amp;'Ch6 EOT2 Results'!E33&amp;"/6")</f>
        <v/>
      </c>
    </row>
    <row r="174">
      <c r="A174">
        <f>IF('Ch6 EOT2 Results'!K32="","","Q4 Critical values: "&amp;'Ch6 EOT2 Results'!F32&amp;"/5")</f>
        <v/>
      </c>
      <c r="K174">
        <f>IF('Ch6 EOT2 Results'!K33="","","Q4 Critical values: "&amp;'Ch6 EOT2 Results'!F33&amp;"/5")</f>
        <v/>
      </c>
    </row>
    <row r="175">
      <c r="A175">
        <f>IF('Ch6 EOT2 Results'!K32="","","Q5 Interpretation &amp; misconceptions: "&amp;'Ch6 EOT2 Results'!G32&amp;"/8")</f>
        <v/>
      </c>
      <c r="K175">
        <f>IF('Ch6 EOT2 Results'!K33="","","Q5 Interpretation &amp; misconceptions: "&amp;'Ch6 EOT2 Results'!G33&amp;"/8")</f>
        <v/>
      </c>
    </row>
    <row r="176">
      <c r="A176">
        <f>IF('Ch6 EOT2 Results'!K32="","","Q6 Applying CIs to decisions: "&amp;'Ch6 EOT2 Results'!H32&amp;"/10")</f>
        <v/>
      </c>
      <c r="K176">
        <f>IF('Ch6 EOT2 Results'!K33="","","Q6 Applying CIs to decisions: "&amp;'Ch6 EOT2 Results'!H33&amp;"/10")</f>
        <v/>
      </c>
    </row>
    <row r="177">
      <c r="A177">
        <f>IF(OR('Ch6 EOT2 Results'!K32="",'Ch6 EOT2 Results'!L32=""),"",'Ch6 EOT2 Results'!L32)</f>
        <v/>
      </c>
      <c r="K177">
        <f>IF(OR('Ch6 EOT2 Results'!K33="",'Ch6 EOT2 Results'!L33=""),"",'Ch6 EOT2 Results'!L33)</f>
        <v/>
      </c>
    </row>
    <row r="179">
      <c r="A179">
        <f>IF('Ch6 EOT2 Results'!K32="","","Comments:")</f>
        <v/>
      </c>
      <c r="K179">
        <f>IF('Ch6 EOT2 Results'!K33="","","Comments:")</f>
        <v/>
      </c>
    </row>
    <row r="181">
      <c r="A181">
        <f>IF('Ch6 EOT2 Results'!K34="","","Chapter 6 End of Topic Test 2 — Probabilities &amp; Estimation")</f>
        <v/>
      </c>
      <c r="K181">
        <f>IF('Ch6 EOT2 Results'!K35="","","Chapter 6 End of Topic Test 2 — Probabilities &amp; Estimation")</f>
        <v/>
      </c>
    </row>
    <row r="182">
      <c r="A182">
        <f>IF('Ch6 EOT2 Results'!K34="","","Name: "&amp;'Ch6 EOT2 Results'!B34&amp;"   Class: "&amp;'Ch6 EOT2 Results'!$B$3&amp;"   Date: "&amp;TEXT('Ch6 EOT2 Results'!$B$5,"DD/MM/YY"))</f>
        <v/>
      </c>
      <c r="K182">
        <f>IF('Ch6 EOT2 Results'!K35="","","Name: "&amp;'Ch6 EOT2 Results'!B35&amp;"   Class: "&amp;'Ch6 EOT2 Results'!$B$3&amp;"   Date: "&amp;TEXT('Ch6 EOT2 Results'!$B$5,"DD/MM/YY"))</f>
        <v/>
      </c>
    </row>
    <row r="183">
      <c r="A183">
        <f>IF('Ch6 EOT2 Results'!K34="","","Total: "&amp;'Ch6 EOT2 Results'!I34&amp;"/48 ("&amp;TEXT('Ch6 EOT2 Results'!J34,"0%")&amp;")   Overall: "&amp;'Ch6 EOT2 Results'!K34)</f>
        <v/>
      </c>
      <c r="K183">
        <f>IF('Ch6 EOT2 Results'!K35="","","Total: "&amp;'Ch6 EOT2 Results'!I35&amp;"/48 ("&amp;TEXT('Ch6 EOT2 Results'!J35,"0%")&amp;")   Overall: "&amp;'Ch6 EOT2 Results'!K35)</f>
        <v/>
      </c>
    </row>
    <row r="184">
      <c r="A184">
        <f>IF('Ch6 EOT2 Results'!K34="","",IF('Ch6 EOT2 Results'!K34="Green",Parameters!$C$402,IF('Ch6 EOT2 Results'!K34="Yellow",Parameters!$C$401,Parameters!$C$400)))</f>
        <v/>
      </c>
      <c r="K184">
        <f>IF('Ch6 EOT2 Results'!K35="","",IF('Ch6 EOT2 Results'!K35="Green",Parameters!$C$402,IF('Ch6 EOT2 Results'!K35="Yellow",Parameters!$C$401,Parameters!$C$400)))</f>
        <v/>
      </c>
    </row>
    <row r="186">
      <c r="A186">
        <f>IF('Ch6 EOT2 Results'!K34="","","Breakdown:")</f>
        <v/>
      </c>
      <c r="K186">
        <f>IF('Ch6 EOT2 Results'!K35="","","Breakdown:")</f>
        <v/>
      </c>
    </row>
    <row r="187">
      <c r="A187">
        <f>IF('Ch6 EOT2 Results'!K34="","","Q1 CI for a mean: "&amp;'Ch6 EOT2 Results'!C34&amp;"/10")</f>
        <v/>
      </c>
      <c r="K187">
        <f>IF('Ch6 EOT2 Results'!K35="","","Q1 CI for a mean: "&amp;'Ch6 EOT2 Results'!C35&amp;"/10")</f>
        <v/>
      </c>
    </row>
    <row r="188">
      <c r="A188">
        <f>IF('Ch6 EOT2 Results'!K34="","","Q2 CI for a proportion: "&amp;'Ch6 EOT2 Results'!D34&amp;"/9")</f>
        <v/>
      </c>
      <c r="K188">
        <f>IF('Ch6 EOT2 Results'!K35="","","Q2 CI for a proportion: "&amp;'Ch6 EOT2 Results'!D35&amp;"/9")</f>
        <v/>
      </c>
    </row>
    <row r="189">
      <c r="A189">
        <f>IF('Ch6 EOT2 Results'!K34="","","Q3 Sample size: "&amp;'Ch6 EOT2 Results'!E34&amp;"/6")</f>
        <v/>
      </c>
      <c r="K189">
        <f>IF('Ch6 EOT2 Results'!K35="","","Q3 Sample size: "&amp;'Ch6 EOT2 Results'!E35&amp;"/6")</f>
        <v/>
      </c>
    </row>
    <row r="190">
      <c r="A190">
        <f>IF('Ch6 EOT2 Results'!K34="","","Q4 Critical values: "&amp;'Ch6 EOT2 Results'!F34&amp;"/5")</f>
        <v/>
      </c>
      <c r="K190">
        <f>IF('Ch6 EOT2 Results'!K35="","","Q4 Critical values: "&amp;'Ch6 EOT2 Results'!F35&amp;"/5")</f>
        <v/>
      </c>
    </row>
    <row r="191">
      <c r="A191">
        <f>IF('Ch6 EOT2 Results'!K34="","","Q5 Interpretation &amp; misconceptions: "&amp;'Ch6 EOT2 Results'!G34&amp;"/8")</f>
        <v/>
      </c>
      <c r="K191">
        <f>IF('Ch6 EOT2 Results'!K35="","","Q5 Interpretation &amp; misconceptions: "&amp;'Ch6 EOT2 Results'!G35&amp;"/8")</f>
        <v/>
      </c>
    </row>
    <row r="192">
      <c r="A192">
        <f>IF('Ch6 EOT2 Results'!K34="","","Q6 Applying CIs to decisions: "&amp;'Ch6 EOT2 Results'!H34&amp;"/10")</f>
        <v/>
      </c>
      <c r="K192">
        <f>IF('Ch6 EOT2 Results'!K35="","","Q6 Applying CIs to decisions: "&amp;'Ch6 EOT2 Results'!H35&amp;"/10")</f>
        <v/>
      </c>
    </row>
    <row r="193">
      <c r="A193">
        <f>IF(OR('Ch6 EOT2 Results'!K34="",'Ch6 EOT2 Results'!L34=""),"",'Ch6 EOT2 Results'!L34)</f>
        <v/>
      </c>
      <c r="K193">
        <f>IF(OR('Ch6 EOT2 Results'!K35="",'Ch6 EOT2 Results'!L35=""),"",'Ch6 EOT2 Results'!L35)</f>
        <v/>
      </c>
    </row>
    <row r="195">
      <c r="A195">
        <f>IF('Ch6 EOT2 Results'!K34="","","Comments:")</f>
        <v/>
      </c>
      <c r="K195">
        <f>IF('Ch6 EOT2 Results'!K35="","","Comments:")</f>
        <v/>
      </c>
    </row>
    <row r="197">
      <c r="A197">
        <f>IF('Ch6 EOT2 Results'!K36="","","Chapter 6 End of Topic Test 2 — Probabilities &amp; Estimation")</f>
        <v/>
      </c>
      <c r="K197">
        <f>IF('Ch6 EOT2 Results'!K37="","","Chapter 6 End of Topic Test 2 — Probabilities &amp; Estimation")</f>
        <v/>
      </c>
    </row>
    <row r="198">
      <c r="A198">
        <f>IF('Ch6 EOT2 Results'!K36="","","Name: "&amp;'Ch6 EOT2 Results'!B36&amp;"   Class: "&amp;'Ch6 EOT2 Results'!$B$3&amp;"   Date: "&amp;TEXT('Ch6 EOT2 Results'!$B$5,"DD/MM/YY"))</f>
        <v/>
      </c>
      <c r="K198">
        <f>IF('Ch6 EOT2 Results'!K37="","","Name: "&amp;'Ch6 EOT2 Results'!B37&amp;"   Class: "&amp;'Ch6 EOT2 Results'!$B$3&amp;"   Date: "&amp;TEXT('Ch6 EOT2 Results'!$B$5,"DD/MM/YY"))</f>
        <v/>
      </c>
    </row>
    <row r="199">
      <c r="A199">
        <f>IF('Ch6 EOT2 Results'!K36="","","Total: "&amp;'Ch6 EOT2 Results'!I36&amp;"/48 ("&amp;TEXT('Ch6 EOT2 Results'!J36,"0%")&amp;")   Overall: "&amp;'Ch6 EOT2 Results'!K36)</f>
        <v/>
      </c>
      <c r="K199">
        <f>IF('Ch6 EOT2 Results'!K37="","","Total: "&amp;'Ch6 EOT2 Results'!I37&amp;"/48 ("&amp;TEXT('Ch6 EOT2 Results'!J37,"0%")&amp;")   Overall: "&amp;'Ch6 EOT2 Results'!K37)</f>
        <v/>
      </c>
    </row>
    <row r="200">
      <c r="A200">
        <f>IF('Ch6 EOT2 Results'!K36="","",IF('Ch6 EOT2 Results'!K36="Green",Parameters!$C$402,IF('Ch6 EOT2 Results'!K36="Yellow",Parameters!$C$401,Parameters!$C$400)))</f>
        <v/>
      </c>
      <c r="K200">
        <f>IF('Ch6 EOT2 Results'!K37="","",IF('Ch6 EOT2 Results'!K37="Green",Parameters!$C$402,IF('Ch6 EOT2 Results'!K37="Yellow",Parameters!$C$401,Parameters!$C$400)))</f>
        <v/>
      </c>
    </row>
    <row r="202">
      <c r="A202">
        <f>IF('Ch6 EOT2 Results'!K36="","","Breakdown:")</f>
        <v/>
      </c>
      <c r="K202">
        <f>IF('Ch6 EOT2 Results'!K37="","","Breakdown:")</f>
        <v/>
      </c>
    </row>
    <row r="203">
      <c r="A203">
        <f>IF('Ch6 EOT2 Results'!K36="","","Q1 CI for a mean: "&amp;'Ch6 EOT2 Results'!C36&amp;"/10")</f>
        <v/>
      </c>
      <c r="K203">
        <f>IF('Ch6 EOT2 Results'!K37="","","Q1 CI for a mean: "&amp;'Ch6 EOT2 Results'!C37&amp;"/10")</f>
        <v/>
      </c>
    </row>
    <row r="204">
      <c r="A204">
        <f>IF('Ch6 EOT2 Results'!K36="","","Q2 CI for a proportion: "&amp;'Ch6 EOT2 Results'!D36&amp;"/9")</f>
        <v/>
      </c>
      <c r="K204">
        <f>IF('Ch6 EOT2 Results'!K37="","","Q2 CI for a proportion: "&amp;'Ch6 EOT2 Results'!D37&amp;"/9")</f>
        <v/>
      </c>
    </row>
    <row r="205">
      <c r="A205">
        <f>IF('Ch6 EOT2 Results'!K36="","","Q3 Sample size: "&amp;'Ch6 EOT2 Results'!E36&amp;"/6")</f>
        <v/>
      </c>
      <c r="K205">
        <f>IF('Ch6 EOT2 Results'!K37="","","Q3 Sample size: "&amp;'Ch6 EOT2 Results'!E37&amp;"/6")</f>
        <v/>
      </c>
    </row>
    <row r="206">
      <c r="A206">
        <f>IF('Ch6 EOT2 Results'!K36="","","Q4 Critical values: "&amp;'Ch6 EOT2 Results'!F36&amp;"/5")</f>
        <v/>
      </c>
      <c r="K206">
        <f>IF('Ch6 EOT2 Results'!K37="","","Q4 Critical values: "&amp;'Ch6 EOT2 Results'!F37&amp;"/5")</f>
        <v/>
      </c>
    </row>
    <row r="207">
      <c r="A207">
        <f>IF('Ch6 EOT2 Results'!K36="","","Q5 Interpretation &amp; misconceptions: "&amp;'Ch6 EOT2 Results'!G36&amp;"/8")</f>
        <v/>
      </c>
      <c r="K207">
        <f>IF('Ch6 EOT2 Results'!K37="","","Q5 Interpretation &amp; misconceptions: "&amp;'Ch6 EOT2 Results'!G37&amp;"/8")</f>
        <v/>
      </c>
    </row>
    <row r="208">
      <c r="A208">
        <f>IF('Ch6 EOT2 Results'!K36="","","Q6 Applying CIs to decisions: "&amp;'Ch6 EOT2 Results'!H36&amp;"/10")</f>
        <v/>
      </c>
      <c r="K208">
        <f>IF('Ch6 EOT2 Results'!K37="","","Q6 Applying CIs to decisions: "&amp;'Ch6 EOT2 Results'!H37&amp;"/10")</f>
        <v/>
      </c>
    </row>
    <row r="209">
      <c r="A209">
        <f>IF(OR('Ch6 EOT2 Results'!K36="",'Ch6 EOT2 Results'!L36=""),"",'Ch6 EOT2 Results'!L36)</f>
        <v/>
      </c>
      <c r="K209">
        <f>IF(OR('Ch6 EOT2 Results'!K37="",'Ch6 EOT2 Results'!L37=""),"",'Ch6 EOT2 Results'!L37)</f>
        <v/>
      </c>
    </row>
    <row r="211">
      <c r="A211">
        <f>IF('Ch6 EOT2 Results'!K36="","","Comments:")</f>
        <v/>
      </c>
      <c r="K211">
        <f>IF('Ch6 EOT2 Results'!K37="","","Comments:")</f>
        <v/>
      </c>
    </row>
    <row r="213">
      <c r="A213">
        <f>IF('Ch6 EOT2 Results'!K38="","","Chapter 6 End of Topic Test 2 — Probabilities &amp; Estimation")</f>
        <v/>
      </c>
      <c r="K213">
        <f>IF('Ch6 EOT2 Results'!K39="","","Chapter 6 End of Topic Test 2 — Probabilities &amp; Estimation")</f>
        <v/>
      </c>
    </row>
    <row r="214">
      <c r="A214">
        <f>IF('Ch6 EOT2 Results'!K38="","","Name: "&amp;'Ch6 EOT2 Results'!B38&amp;"   Class: "&amp;'Ch6 EOT2 Results'!$B$3&amp;"   Date: "&amp;TEXT('Ch6 EOT2 Results'!$B$5,"DD/MM/YY"))</f>
        <v/>
      </c>
      <c r="K214">
        <f>IF('Ch6 EOT2 Results'!K39="","","Name: "&amp;'Ch6 EOT2 Results'!B39&amp;"   Class: "&amp;'Ch6 EOT2 Results'!$B$3&amp;"   Date: "&amp;TEXT('Ch6 EOT2 Results'!$B$5,"DD/MM/YY"))</f>
        <v/>
      </c>
    </row>
    <row r="215">
      <c r="A215">
        <f>IF('Ch6 EOT2 Results'!K38="","","Total: "&amp;'Ch6 EOT2 Results'!I38&amp;"/48 ("&amp;TEXT('Ch6 EOT2 Results'!J38,"0%")&amp;")   Overall: "&amp;'Ch6 EOT2 Results'!K38)</f>
        <v/>
      </c>
      <c r="K215">
        <f>IF('Ch6 EOT2 Results'!K39="","","Total: "&amp;'Ch6 EOT2 Results'!I39&amp;"/48 ("&amp;TEXT('Ch6 EOT2 Results'!J39,"0%")&amp;")   Overall: "&amp;'Ch6 EOT2 Results'!K39)</f>
        <v/>
      </c>
    </row>
    <row r="216">
      <c r="A216">
        <f>IF('Ch6 EOT2 Results'!K38="","",IF('Ch6 EOT2 Results'!K38="Green",Parameters!$C$402,IF('Ch6 EOT2 Results'!K38="Yellow",Parameters!$C$401,Parameters!$C$400)))</f>
        <v/>
      </c>
      <c r="K216">
        <f>IF('Ch6 EOT2 Results'!K39="","",IF('Ch6 EOT2 Results'!K39="Green",Parameters!$C$402,IF('Ch6 EOT2 Results'!K39="Yellow",Parameters!$C$401,Parameters!$C$400)))</f>
        <v/>
      </c>
    </row>
    <row r="218">
      <c r="A218">
        <f>IF('Ch6 EOT2 Results'!K38="","","Breakdown:")</f>
        <v/>
      </c>
      <c r="K218">
        <f>IF('Ch6 EOT2 Results'!K39="","","Breakdown:")</f>
        <v/>
      </c>
    </row>
    <row r="219">
      <c r="A219">
        <f>IF('Ch6 EOT2 Results'!K38="","","Q1 CI for a mean: "&amp;'Ch6 EOT2 Results'!C38&amp;"/10")</f>
        <v/>
      </c>
      <c r="K219">
        <f>IF('Ch6 EOT2 Results'!K39="","","Q1 CI for a mean: "&amp;'Ch6 EOT2 Results'!C39&amp;"/10")</f>
        <v/>
      </c>
    </row>
    <row r="220">
      <c r="A220">
        <f>IF('Ch6 EOT2 Results'!K38="","","Q2 CI for a proportion: "&amp;'Ch6 EOT2 Results'!D38&amp;"/9")</f>
        <v/>
      </c>
      <c r="K220">
        <f>IF('Ch6 EOT2 Results'!K39="","","Q2 CI for a proportion: "&amp;'Ch6 EOT2 Results'!D39&amp;"/9")</f>
        <v/>
      </c>
    </row>
    <row r="221">
      <c r="A221">
        <f>IF('Ch6 EOT2 Results'!K38="","","Q3 Sample size: "&amp;'Ch6 EOT2 Results'!E38&amp;"/6")</f>
        <v/>
      </c>
      <c r="K221">
        <f>IF('Ch6 EOT2 Results'!K39="","","Q3 Sample size: "&amp;'Ch6 EOT2 Results'!E39&amp;"/6")</f>
        <v/>
      </c>
    </row>
    <row r="222">
      <c r="A222">
        <f>IF('Ch6 EOT2 Results'!K38="","","Q4 Critical values: "&amp;'Ch6 EOT2 Results'!F38&amp;"/5")</f>
        <v/>
      </c>
      <c r="K222">
        <f>IF('Ch6 EOT2 Results'!K39="","","Q4 Critical values: "&amp;'Ch6 EOT2 Results'!F39&amp;"/5")</f>
        <v/>
      </c>
    </row>
    <row r="223">
      <c r="A223">
        <f>IF('Ch6 EOT2 Results'!K38="","","Q5 Interpretation &amp; misconceptions: "&amp;'Ch6 EOT2 Results'!G38&amp;"/8")</f>
        <v/>
      </c>
      <c r="K223">
        <f>IF('Ch6 EOT2 Results'!K39="","","Q5 Interpretation &amp; misconceptions: "&amp;'Ch6 EOT2 Results'!G39&amp;"/8")</f>
        <v/>
      </c>
    </row>
    <row r="224">
      <c r="A224">
        <f>IF('Ch6 EOT2 Results'!K38="","","Q6 Applying CIs to decisions: "&amp;'Ch6 EOT2 Results'!H38&amp;"/10")</f>
        <v/>
      </c>
      <c r="K224">
        <f>IF('Ch6 EOT2 Results'!K39="","","Q6 Applying CIs to decisions: "&amp;'Ch6 EOT2 Results'!H39&amp;"/10")</f>
        <v/>
      </c>
    </row>
    <row r="225">
      <c r="A225">
        <f>IF(OR('Ch6 EOT2 Results'!K38="",'Ch6 EOT2 Results'!L38=""),"",'Ch6 EOT2 Results'!L38)</f>
        <v/>
      </c>
      <c r="K225">
        <f>IF(OR('Ch6 EOT2 Results'!K39="",'Ch6 EOT2 Results'!L39=""),"",'Ch6 EOT2 Results'!L39)</f>
        <v/>
      </c>
    </row>
    <row r="227">
      <c r="A227">
        <f>IF('Ch6 EOT2 Results'!K38="","","Comments:")</f>
        <v/>
      </c>
      <c r="K227">
        <f>IF('Ch6 EOT2 Results'!K39="","","Comments:")</f>
        <v/>
      </c>
    </row>
    <row r="229">
      <c r="A229">
        <f>IF('Ch6 EOT2 Results'!K40="","","Chapter 6 End of Topic Test 2 — Probabilities &amp; Estimation")</f>
        <v/>
      </c>
      <c r="K229">
        <f>IF('Ch6 EOT2 Results'!K41="","","Chapter 6 End of Topic Test 2 — Probabilities &amp; Estimation")</f>
        <v/>
      </c>
    </row>
    <row r="230">
      <c r="A230">
        <f>IF('Ch6 EOT2 Results'!K40="","","Name: "&amp;'Ch6 EOT2 Results'!B40&amp;"   Class: "&amp;'Ch6 EOT2 Results'!$B$3&amp;"   Date: "&amp;TEXT('Ch6 EOT2 Results'!$B$5,"DD/MM/YY"))</f>
        <v/>
      </c>
      <c r="K230">
        <f>IF('Ch6 EOT2 Results'!K41="","","Name: "&amp;'Ch6 EOT2 Results'!B41&amp;"   Class: "&amp;'Ch6 EOT2 Results'!$B$3&amp;"   Date: "&amp;TEXT('Ch6 EOT2 Results'!$B$5,"DD/MM/YY"))</f>
        <v/>
      </c>
    </row>
    <row r="231">
      <c r="A231">
        <f>IF('Ch6 EOT2 Results'!K40="","","Total: "&amp;'Ch6 EOT2 Results'!I40&amp;"/48 ("&amp;TEXT('Ch6 EOT2 Results'!J40,"0%")&amp;")   Overall: "&amp;'Ch6 EOT2 Results'!K40)</f>
        <v/>
      </c>
      <c r="K231">
        <f>IF('Ch6 EOT2 Results'!K41="","","Total: "&amp;'Ch6 EOT2 Results'!I41&amp;"/48 ("&amp;TEXT('Ch6 EOT2 Results'!J41,"0%")&amp;")   Overall: "&amp;'Ch6 EOT2 Results'!K41)</f>
        <v/>
      </c>
    </row>
    <row r="232">
      <c r="A232">
        <f>IF('Ch6 EOT2 Results'!K40="","",IF('Ch6 EOT2 Results'!K40="Green",Parameters!$C$402,IF('Ch6 EOT2 Results'!K40="Yellow",Parameters!$C$401,Parameters!$C$400)))</f>
        <v/>
      </c>
      <c r="K232">
        <f>IF('Ch6 EOT2 Results'!K41="","",IF('Ch6 EOT2 Results'!K41="Green",Parameters!$C$402,IF('Ch6 EOT2 Results'!K41="Yellow",Parameters!$C$401,Parameters!$C$400)))</f>
        <v/>
      </c>
    </row>
    <row r="234">
      <c r="A234">
        <f>IF('Ch6 EOT2 Results'!K40="","","Breakdown:")</f>
        <v/>
      </c>
      <c r="K234">
        <f>IF('Ch6 EOT2 Results'!K41="","","Breakdown:")</f>
        <v/>
      </c>
    </row>
    <row r="235">
      <c r="A235">
        <f>IF('Ch6 EOT2 Results'!K40="","","Q1 CI for a mean: "&amp;'Ch6 EOT2 Results'!C40&amp;"/10")</f>
        <v/>
      </c>
      <c r="K235">
        <f>IF('Ch6 EOT2 Results'!K41="","","Q1 CI for a mean: "&amp;'Ch6 EOT2 Results'!C41&amp;"/10")</f>
        <v/>
      </c>
    </row>
    <row r="236">
      <c r="A236">
        <f>IF('Ch6 EOT2 Results'!K40="","","Q2 CI for a proportion: "&amp;'Ch6 EOT2 Results'!D40&amp;"/9")</f>
        <v/>
      </c>
      <c r="K236">
        <f>IF('Ch6 EOT2 Results'!K41="","","Q2 CI for a proportion: "&amp;'Ch6 EOT2 Results'!D41&amp;"/9")</f>
        <v/>
      </c>
    </row>
    <row r="237">
      <c r="A237">
        <f>IF('Ch6 EOT2 Results'!K40="","","Q3 Sample size: "&amp;'Ch6 EOT2 Results'!E40&amp;"/6")</f>
        <v/>
      </c>
      <c r="K237">
        <f>IF('Ch6 EOT2 Results'!K41="","","Q3 Sample size: "&amp;'Ch6 EOT2 Results'!E41&amp;"/6")</f>
        <v/>
      </c>
    </row>
    <row r="238">
      <c r="A238">
        <f>IF('Ch6 EOT2 Results'!K40="","","Q4 Critical values: "&amp;'Ch6 EOT2 Results'!F40&amp;"/5")</f>
        <v/>
      </c>
      <c r="K238">
        <f>IF('Ch6 EOT2 Results'!K41="","","Q4 Critical values: "&amp;'Ch6 EOT2 Results'!F41&amp;"/5")</f>
        <v/>
      </c>
    </row>
    <row r="239">
      <c r="A239">
        <f>IF('Ch6 EOT2 Results'!K40="","","Q5 Interpretation &amp; misconceptions: "&amp;'Ch6 EOT2 Results'!G40&amp;"/8")</f>
        <v/>
      </c>
      <c r="K239">
        <f>IF('Ch6 EOT2 Results'!K41="","","Q5 Interpretation &amp; misconceptions: "&amp;'Ch6 EOT2 Results'!G41&amp;"/8")</f>
        <v/>
      </c>
    </row>
    <row r="240">
      <c r="A240">
        <f>IF('Ch6 EOT2 Results'!K40="","","Q6 Applying CIs to decisions: "&amp;'Ch6 EOT2 Results'!H40&amp;"/10")</f>
        <v/>
      </c>
      <c r="K240">
        <f>IF('Ch6 EOT2 Results'!K41="","","Q6 Applying CIs to decisions: "&amp;'Ch6 EOT2 Results'!H41&amp;"/10")</f>
        <v/>
      </c>
    </row>
    <row r="241">
      <c r="A241">
        <f>IF(OR('Ch6 EOT2 Results'!K40="",'Ch6 EOT2 Results'!L40=""),"",'Ch6 EOT2 Results'!L40)</f>
        <v/>
      </c>
      <c r="K241">
        <f>IF(OR('Ch6 EOT2 Results'!K41="",'Ch6 EOT2 Results'!L41=""),"",'Ch6 EOT2 Results'!L41)</f>
        <v/>
      </c>
    </row>
    <row r="243">
      <c r="A243">
        <f>IF('Ch6 EOT2 Results'!K40="","","Comments:")</f>
        <v/>
      </c>
      <c r="K243">
        <f>IF('Ch6 EOT2 Results'!K41="","","Comments:")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0" customWidth="1" min="7" max="7"/>
    <col width="8" customWidth="1" min="8" max="8"/>
    <col width="10" customWidth="1" min="9" max="9"/>
    <col width="45" customWidth="1" min="10" max="10"/>
  </cols>
  <sheetData>
    <row r="1">
      <c r="A1" s="11" t="inlineStr">
        <is>
          <t>Mini Test 7.1 — Correlation and Regression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Scatter &amp; correlation
(/7)</t>
        </is>
      </c>
      <c r="D9" s="12" t="inlineStr">
        <is>
          <t>Q2
Calculating PMCC
(/6)</t>
        </is>
      </c>
      <c r="E9" s="12" t="inlineStr">
        <is>
          <t>Q3
Correlation vs causation
(/5)</t>
        </is>
      </c>
      <c r="F9" s="12" t="inlineStr">
        <is>
          <t>Q4
Comparing r values
(/4)</t>
        </is>
      </c>
      <c r="G9" s="12" t="inlineStr">
        <is>
          <t>Total
(/22)</t>
        </is>
      </c>
      <c r="H9" s="12" t="inlineStr">
        <is>
          <t>%</t>
        </is>
      </c>
      <c r="I9" s="12" t="inlineStr">
        <is>
          <t>Overall</t>
        </is>
      </c>
      <c r="J9" s="12" t="inlineStr">
        <is>
          <t>Focus for next steps</t>
        </is>
      </c>
      <c r="K9" s="12" t="inlineStr">
        <is>
          <t>Q1%</t>
        </is>
      </c>
      <c r="L9" s="12" t="inlineStr">
        <is>
          <t>Q2%</t>
        </is>
      </c>
      <c r="M9" s="12" t="inlineStr">
        <is>
          <t>Q3%</t>
        </is>
      </c>
      <c r="N9" s="12" t="inlineStr">
        <is>
          <t>Q4%</t>
        </is>
      </c>
    </row>
    <row r="10">
      <c r="A10" s="3" t="n"/>
      <c r="B10" s="3" t="inlineStr">
        <is>
          <t>Max marks</t>
        </is>
      </c>
      <c r="C10" s="3" t="n">
        <v>7</v>
      </c>
      <c r="D10" s="3" t="n">
        <v>6</v>
      </c>
      <c r="E10" s="3" t="n">
        <v>5</v>
      </c>
      <c r="F10" s="3" t="n">
        <v>4</v>
      </c>
      <c r="G10" s="3" t="n">
        <v>22</v>
      </c>
      <c r="H10" s="3" t="inlineStr">
        <is>
          <t>100%</t>
        </is>
      </c>
      <c r="I10" s="3" t="n"/>
      <c r="J10" s="3" t="n"/>
      <c r="K10" s="3" t="n"/>
      <c r="L10" s="3" t="n"/>
      <c r="M10" s="3" t="n"/>
      <c r="N10" s="3" t="n"/>
    </row>
    <row r="11">
      <c r="A11" s="13" t="n">
        <v>1</v>
      </c>
      <c r="B11" s="13" t="inlineStr">
        <is>
          <t>Example pupil (edit me)</t>
        </is>
      </c>
      <c r="C11" s="13" t="n">
        <v>6</v>
      </c>
      <c r="D11" s="13" t="n">
        <v>5</v>
      </c>
      <c r="E11" s="13" t="n">
        <v>4</v>
      </c>
      <c r="F11" s="13" t="n">
        <v>3</v>
      </c>
      <c r="G11" s="13">
        <f>IF(COUNT(C11:F11)&lt;4,"",SUM(C11:F11))</f>
        <v/>
      </c>
      <c r="H11" s="13">
        <f>IF(COUNT(C11:F11)&lt;4,"",G11/22)</f>
        <v/>
      </c>
      <c r="I11" s="13">
        <f>IF(COUNT(C11:F11)&lt;4,"",IF(H11&gt;=0.8,"Green",IF(H11&gt;=0.5,"Yellow","Red")))</f>
        <v/>
      </c>
      <c r="J11" s="13">
        <f>IF(COUNT(C11:F11)&lt;4,"",IF(I11="Green","Well done! "&amp;Parameters!$C$417,"Revise: "&amp;_xlfn.TEXTJOIN(", ",TRUE(),IF(K11&lt;1,Parameters!$A$408,""),IF(L11&lt;1,Parameters!$A$409,""),IF(M11&lt;1,Parameters!$A$410,""),IF(N11&lt;1,Parameters!$A$411,""))))</f>
        <v/>
      </c>
      <c r="K11" s="13">
        <f>IF(C11="","",C11/7)</f>
        <v/>
      </c>
      <c r="L11" s="13">
        <f>IF(D11="","",D11/6)</f>
        <v/>
      </c>
      <c r="M11" s="13">
        <f>IF(E11="","",E11/5)</f>
        <v/>
      </c>
      <c r="N11" s="13">
        <f>IF(F11="","",F11/4)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3">
        <f>IF(COUNT(C12:F12)&lt;4,"",SUM(C12:F12))</f>
        <v/>
      </c>
      <c r="H12" s="13">
        <f>IF(COUNT(C12:F12)&lt;4,"",G12/22)</f>
        <v/>
      </c>
      <c r="I12" s="13">
        <f>IF(COUNT(C12:F12)&lt;4,"",IF(H12&gt;=0.8,"Green",IF(H12&gt;=0.5,"Yellow","Red")))</f>
        <v/>
      </c>
      <c r="J12" s="13">
        <f>IF(COUNT(C12:F12)&lt;4,"",IF(I12="Green","Well done! "&amp;Parameters!$C$417,"Revise: "&amp;_xlfn.TEXTJOIN(", ",TRUE(),IF(K12&lt;1,Parameters!$A$408,""),IF(L12&lt;1,Parameters!$A$409,""),IF(M12&lt;1,Parameters!$A$410,""),IF(N12&lt;1,Parameters!$A$411,""))))</f>
        <v/>
      </c>
      <c r="K12" s="13">
        <f>IF(C12="","",C12/7)</f>
        <v/>
      </c>
      <c r="L12" s="13">
        <f>IF(D12="","",D12/6)</f>
        <v/>
      </c>
      <c r="M12" s="13">
        <f>IF(E12="","",E12/5)</f>
        <v/>
      </c>
      <c r="N12" s="13">
        <f>IF(F12="","",F12/4)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3">
        <f>IF(COUNT(C13:F13)&lt;4,"",SUM(C13:F13))</f>
        <v/>
      </c>
      <c r="H13" s="13">
        <f>IF(COUNT(C13:F13)&lt;4,"",G13/22)</f>
        <v/>
      </c>
      <c r="I13" s="13">
        <f>IF(COUNT(C13:F13)&lt;4,"",IF(H13&gt;=0.8,"Green",IF(H13&gt;=0.5,"Yellow","Red")))</f>
        <v/>
      </c>
      <c r="J13" s="13">
        <f>IF(COUNT(C13:F13)&lt;4,"",IF(I13="Green","Well done! "&amp;Parameters!$C$417,"Revise: "&amp;_xlfn.TEXTJOIN(", ",TRUE(),IF(K13&lt;1,Parameters!$A$408,""),IF(L13&lt;1,Parameters!$A$409,""),IF(M13&lt;1,Parameters!$A$410,""),IF(N13&lt;1,Parameters!$A$411,""))))</f>
        <v/>
      </c>
      <c r="K13" s="13">
        <f>IF(C13="","",C13/7)</f>
        <v/>
      </c>
      <c r="L13" s="13">
        <f>IF(D13="","",D13/6)</f>
        <v/>
      </c>
      <c r="M13" s="13">
        <f>IF(E13="","",E13/5)</f>
        <v/>
      </c>
      <c r="N13" s="13">
        <f>IF(F13="","",F13/4)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3">
        <f>IF(COUNT(C14:F14)&lt;4,"",SUM(C14:F14))</f>
        <v/>
      </c>
      <c r="H14" s="13">
        <f>IF(COUNT(C14:F14)&lt;4,"",G14/22)</f>
        <v/>
      </c>
      <c r="I14" s="13">
        <f>IF(COUNT(C14:F14)&lt;4,"",IF(H14&gt;=0.8,"Green",IF(H14&gt;=0.5,"Yellow","Red")))</f>
        <v/>
      </c>
      <c r="J14" s="13">
        <f>IF(COUNT(C14:F14)&lt;4,"",IF(I14="Green","Well done! "&amp;Parameters!$C$417,"Revise: "&amp;_xlfn.TEXTJOIN(", ",TRUE(),IF(K14&lt;1,Parameters!$A$408,""),IF(L14&lt;1,Parameters!$A$409,""),IF(M14&lt;1,Parameters!$A$410,""),IF(N14&lt;1,Parameters!$A$411,""))))</f>
        <v/>
      </c>
      <c r="K14" s="13">
        <f>IF(C14="","",C14/7)</f>
        <v/>
      </c>
      <c r="L14" s="13">
        <f>IF(D14="","",D14/6)</f>
        <v/>
      </c>
      <c r="M14" s="13">
        <f>IF(E14="","",E14/5)</f>
        <v/>
      </c>
      <c r="N14" s="13">
        <f>IF(F14="","",F14/4)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3">
        <f>IF(COUNT(C15:F15)&lt;4,"",SUM(C15:F15))</f>
        <v/>
      </c>
      <c r="H15" s="13">
        <f>IF(COUNT(C15:F15)&lt;4,"",G15/22)</f>
        <v/>
      </c>
      <c r="I15" s="13">
        <f>IF(COUNT(C15:F15)&lt;4,"",IF(H15&gt;=0.8,"Green",IF(H15&gt;=0.5,"Yellow","Red")))</f>
        <v/>
      </c>
      <c r="J15" s="13">
        <f>IF(COUNT(C15:F15)&lt;4,"",IF(I15="Green","Well done! "&amp;Parameters!$C$417,"Revise: "&amp;_xlfn.TEXTJOIN(", ",TRUE(),IF(K15&lt;1,Parameters!$A$408,""),IF(L15&lt;1,Parameters!$A$409,""),IF(M15&lt;1,Parameters!$A$410,""),IF(N15&lt;1,Parameters!$A$411,""))))</f>
        <v/>
      </c>
      <c r="K15" s="13">
        <f>IF(C15="","",C15/7)</f>
        <v/>
      </c>
      <c r="L15" s="13">
        <f>IF(D15="","",D15/6)</f>
        <v/>
      </c>
      <c r="M15" s="13">
        <f>IF(E15="","",E15/5)</f>
        <v/>
      </c>
      <c r="N15" s="13">
        <f>IF(F15="","",F15/4)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3">
        <f>IF(COUNT(C16:F16)&lt;4,"",SUM(C16:F16))</f>
        <v/>
      </c>
      <c r="H16" s="13">
        <f>IF(COUNT(C16:F16)&lt;4,"",G16/22)</f>
        <v/>
      </c>
      <c r="I16" s="13">
        <f>IF(COUNT(C16:F16)&lt;4,"",IF(H16&gt;=0.8,"Green",IF(H16&gt;=0.5,"Yellow","Red")))</f>
        <v/>
      </c>
      <c r="J16" s="13">
        <f>IF(COUNT(C16:F16)&lt;4,"",IF(I16="Green","Well done! "&amp;Parameters!$C$417,"Revise: "&amp;_xlfn.TEXTJOIN(", ",TRUE(),IF(K16&lt;1,Parameters!$A$408,""),IF(L16&lt;1,Parameters!$A$409,""),IF(M16&lt;1,Parameters!$A$410,""),IF(N16&lt;1,Parameters!$A$411,""))))</f>
        <v/>
      </c>
      <c r="K16" s="13">
        <f>IF(C16="","",C16/7)</f>
        <v/>
      </c>
      <c r="L16" s="13">
        <f>IF(D16="","",D16/6)</f>
        <v/>
      </c>
      <c r="M16" s="13">
        <f>IF(E16="","",E16/5)</f>
        <v/>
      </c>
      <c r="N16" s="13">
        <f>IF(F16="","",F16/4)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3">
        <f>IF(COUNT(C17:F17)&lt;4,"",SUM(C17:F17))</f>
        <v/>
      </c>
      <c r="H17" s="13">
        <f>IF(COUNT(C17:F17)&lt;4,"",G17/22)</f>
        <v/>
      </c>
      <c r="I17" s="13">
        <f>IF(COUNT(C17:F17)&lt;4,"",IF(H17&gt;=0.8,"Green",IF(H17&gt;=0.5,"Yellow","Red")))</f>
        <v/>
      </c>
      <c r="J17" s="13">
        <f>IF(COUNT(C17:F17)&lt;4,"",IF(I17="Green","Well done! "&amp;Parameters!$C$417,"Revise: "&amp;_xlfn.TEXTJOIN(", ",TRUE(),IF(K17&lt;1,Parameters!$A$408,""),IF(L17&lt;1,Parameters!$A$409,""),IF(M17&lt;1,Parameters!$A$410,""),IF(N17&lt;1,Parameters!$A$411,""))))</f>
        <v/>
      </c>
      <c r="K17" s="13">
        <f>IF(C17="","",C17/7)</f>
        <v/>
      </c>
      <c r="L17" s="13">
        <f>IF(D17="","",D17/6)</f>
        <v/>
      </c>
      <c r="M17" s="13">
        <f>IF(E17="","",E17/5)</f>
        <v/>
      </c>
      <c r="N17" s="13">
        <f>IF(F17="","",F17/4)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3">
        <f>IF(COUNT(C18:F18)&lt;4,"",SUM(C18:F18))</f>
        <v/>
      </c>
      <c r="H18" s="13">
        <f>IF(COUNT(C18:F18)&lt;4,"",G18/22)</f>
        <v/>
      </c>
      <c r="I18" s="13">
        <f>IF(COUNT(C18:F18)&lt;4,"",IF(H18&gt;=0.8,"Green",IF(H18&gt;=0.5,"Yellow","Red")))</f>
        <v/>
      </c>
      <c r="J18" s="13">
        <f>IF(COUNT(C18:F18)&lt;4,"",IF(I18="Green","Well done! "&amp;Parameters!$C$417,"Revise: "&amp;_xlfn.TEXTJOIN(", ",TRUE(),IF(K18&lt;1,Parameters!$A$408,""),IF(L18&lt;1,Parameters!$A$409,""),IF(M18&lt;1,Parameters!$A$410,""),IF(N18&lt;1,Parameters!$A$411,""))))</f>
        <v/>
      </c>
      <c r="K18" s="13">
        <f>IF(C18="","",C18/7)</f>
        <v/>
      </c>
      <c r="L18" s="13">
        <f>IF(D18="","",D18/6)</f>
        <v/>
      </c>
      <c r="M18" s="13">
        <f>IF(E18="","",E18/5)</f>
        <v/>
      </c>
      <c r="N18" s="13">
        <f>IF(F18="","",F18/4)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3">
        <f>IF(COUNT(C19:F19)&lt;4,"",SUM(C19:F19))</f>
        <v/>
      </c>
      <c r="H19" s="13">
        <f>IF(COUNT(C19:F19)&lt;4,"",G19/22)</f>
        <v/>
      </c>
      <c r="I19" s="13">
        <f>IF(COUNT(C19:F19)&lt;4,"",IF(H19&gt;=0.8,"Green",IF(H19&gt;=0.5,"Yellow","Red")))</f>
        <v/>
      </c>
      <c r="J19" s="13">
        <f>IF(COUNT(C19:F19)&lt;4,"",IF(I19="Green","Well done! "&amp;Parameters!$C$417,"Revise: "&amp;_xlfn.TEXTJOIN(", ",TRUE(),IF(K19&lt;1,Parameters!$A$408,""),IF(L19&lt;1,Parameters!$A$409,""),IF(M19&lt;1,Parameters!$A$410,""),IF(N19&lt;1,Parameters!$A$411,""))))</f>
        <v/>
      </c>
      <c r="K19" s="13">
        <f>IF(C19="","",C19/7)</f>
        <v/>
      </c>
      <c r="L19" s="13">
        <f>IF(D19="","",D19/6)</f>
        <v/>
      </c>
      <c r="M19" s="13">
        <f>IF(E19="","",E19/5)</f>
        <v/>
      </c>
      <c r="N19" s="13">
        <f>IF(F19="","",F19/4)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3">
        <f>IF(COUNT(C20:F20)&lt;4,"",SUM(C20:F20))</f>
        <v/>
      </c>
      <c r="H20" s="13">
        <f>IF(COUNT(C20:F20)&lt;4,"",G20/22)</f>
        <v/>
      </c>
      <c r="I20" s="13">
        <f>IF(COUNT(C20:F20)&lt;4,"",IF(H20&gt;=0.8,"Green",IF(H20&gt;=0.5,"Yellow","Red")))</f>
        <v/>
      </c>
      <c r="J20" s="13">
        <f>IF(COUNT(C20:F20)&lt;4,"",IF(I20="Green","Well done! "&amp;Parameters!$C$417,"Revise: "&amp;_xlfn.TEXTJOIN(", ",TRUE(),IF(K20&lt;1,Parameters!$A$408,""),IF(L20&lt;1,Parameters!$A$409,""),IF(M20&lt;1,Parameters!$A$410,""),IF(N20&lt;1,Parameters!$A$411,""))))</f>
        <v/>
      </c>
      <c r="K20" s="13">
        <f>IF(C20="","",C20/7)</f>
        <v/>
      </c>
      <c r="L20" s="13">
        <f>IF(D20="","",D20/6)</f>
        <v/>
      </c>
      <c r="M20" s="13">
        <f>IF(E20="","",E20/5)</f>
        <v/>
      </c>
      <c r="N20" s="13">
        <f>IF(F20="","",F20/4)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3">
        <f>IF(COUNT(C21:F21)&lt;4,"",SUM(C21:F21))</f>
        <v/>
      </c>
      <c r="H21" s="13">
        <f>IF(COUNT(C21:F21)&lt;4,"",G21/22)</f>
        <v/>
      </c>
      <c r="I21" s="13">
        <f>IF(COUNT(C21:F21)&lt;4,"",IF(H21&gt;=0.8,"Green",IF(H21&gt;=0.5,"Yellow","Red")))</f>
        <v/>
      </c>
      <c r="J21" s="13">
        <f>IF(COUNT(C21:F21)&lt;4,"",IF(I21="Green","Well done! "&amp;Parameters!$C$417,"Revise: "&amp;_xlfn.TEXTJOIN(", ",TRUE(),IF(K21&lt;1,Parameters!$A$408,""),IF(L21&lt;1,Parameters!$A$409,""),IF(M21&lt;1,Parameters!$A$410,""),IF(N21&lt;1,Parameters!$A$411,""))))</f>
        <v/>
      </c>
      <c r="K21" s="13">
        <f>IF(C21="","",C21/7)</f>
        <v/>
      </c>
      <c r="L21" s="13">
        <f>IF(D21="","",D21/6)</f>
        <v/>
      </c>
      <c r="M21" s="13">
        <f>IF(E21="","",E21/5)</f>
        <v/>
      </c>
      <c r="N21" s="13">
        <f>IF(F21="","",F21/4)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3">
        <f>IF(COUNT(C22:F22)&lt;4,"",SUM(C22:F22))</f>
        <v/>
      </c>
      <c r="H22" s="13">
        <f>IF(COUNT(C22:F22)&lt;4,"",G22/22)</f>
        <v/>
      </c>
      <c r="I22" s="13">
        <f>IF(COUNT(C22:F22)&lt;4,"",IF(H22&gt;=0.8,"Green",IF(H22&gt;=0.5,"Yellow","Red")))</f>
        <v/>
      </c>
      <c r="J22" s="13">
        <f>IF(COUNT(C22:F22)&lt;4,"",IF(I22="Green","Well done! "&amp;Parameters!$C$417,"Revise: "&amp;_xlfn.TEXTJOIN(", ",TRUE(),IF(K22&lt;1,Parameters!$A$408,""),IF(L22&lt;1,Parameters!$A$409,""),IF(M22&lt;1,Parameters!$A$410,""),IF(N22&lt;1,Parameters!$A$411,""))))</f>
        <v/>
      </c>
      <c r="K22" s="13">
        <f>IF(C22="","",C22/7)</f>
        <v/>
      </c>
      <c r="L22" s="13">
        <f>IF(D22="","",D22/6)</f>
        <v/>
      </c>
      <c r="M22" s="13">
        <f>IF(E22="","",E22/5)</f>
        <v/>
      </c>
      <c r="N22" s="13">
        <f>IF(F22="","",F22/4)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3">
        <f>IF(COUNT(C23:F23)&lt;4,"",SUM(C23:F23))</f>
        <v/>
      </c>
      <c r="H23" s="13">
        <f>IF(COUNT(C23:F23)&lt;4,"",G23/22)</f>
        <v/>
      </c>
      <c r="I23" s="13">
        <f>IF(COUNT(C23:F23)&lt;4,"",IF(H23&gt;=0.8,"Green",IF(H23&gt;=0.5,"Yellow","Red")))</f>
        <v/>
      </c>
      <c r="J23" s="13">
        <f>IF(COUNT(C23:F23)&lt;4,"",IF(I23="Green","Well done! "&amp;Parameters!$C$417,"Revise: "&amp;_xlfn.TEXTJOIN(", ",TRUE(),IF(K23&lt;1,Parameters!$A$408,""),IF(L23&lt;1,Parameters!$A$409,""),IF(M23&lt;1,Parameters!$A$410,""),IF(N23&lt;1,Parameters!$A$411,""))))</f>
        <v/>
      </c>
      <c r="K23" s="13">
        <f>IF(C23="","",C23/7)</f>
        <v/>
      </c>
      <c r="L23" s="13">
        <f>IF(D23="","",D23/6)</f>
        <v/>
      </c>
      <c r="M23" s="13">
        <f>IF(E23="","",E23/5)</f>
        <v/>
      </c>
      <c r="N23" s="13">
        <f>IF(F23="","",F23/4)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3">
        <f>IF(COUNT(C24:F24)&lt;4,"",SUM(C24:F24))</f>
        <v/>
      </c>
      <c r="H24" s="13">
        <f>IF(COUNT(C24:F24)&lt;4,"",G24/22)</f>
        <v/>
      </c>
      <c r="I24" s="13">
        <f>IF(COUNT(C24:F24)&lt;4,"",IF(H24&gt;=0.8,"Green",IF(H24&gt;=0.5,"Yellow","Red")))</f>
        <v/>
      </c>
      <c r="J24" s="13">
        <f>IF(COUNT(C24:F24)&lt;4,"",IF(I24="Green","Well done! "&amp;Parameters!$C$417,"Revise: "&amp;_xlfn.TEXTJOIN(", ",TRUE(),IF(K24&lt;1,Parameters!$A$408,""),IF(L24&lt;1,Parameters!$A$409,""),IF(M24&lt;1,Parameters!$A$410,""),IF(N24&lt;1,Parameters!$A$411,""))))</f>
        <v/>
      </c>
      <c r="K24" s="13">
        <f>IF(C24="","",C24/7)</f>
        <v/>
      </c>
      <c r="L24" s="13">
        <f>IF(D24="","",D24/6)</f>
        <v/>
      </c>
      <c r="M24" s="13">
        <f>IF(E24="","",E24/5)</f>
        <v/>
      </c>
      <c r="N24" s="13">
        <f>IF(F24="","",F24/4)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3">
        <f>IF(COUNT(C25:F25)&lt;4,"",SUM(C25:F25))</f>
        <v/>
      </c>
      <c r="H25" s="13">
        <f>IF(COUNT(C25:F25)&lt;4,"",G25/22)</f>
        <v/>
      </c>
      <c r="I25" s="13">
        <f>IF(COUNT(C25:F25)&lt;4,"",IF(H25&gt;=0.8,"Green",IF(H25&gt;=0.5,"Yellow","Red")))</f>
        <v/>
      </c>
      <c r="J25" s="13">
        <f>IF(COUNT(C25:F25)&lt;4,"",IF(I25="Green","Well done! "&amp;Parameters!$C$417,"Revise: "&amp;_xlfn.TEXTJOIN(", ",TRUE(),IF(K25&lt;1,Parameters!$A$408,""),IF(L25&lt;1,Parameters!$A$409,""),IF(M25&lt;1,Parameters!$A$410,""),IF(N25&lt;1,Parameters!$A$411,""))))</f>
        <v/>
      </c>
      <c r="K25" s="13">
        <f>IF(C25="","",C25/7)</f>
        <v/>
      </c>
      <c r="L25" s="13">
        <f>IF(D25="","",D25/6)</f>
        <v/>
      </c>
      <c r="M25" s="13">
        <f>IF(E25="","",E25/5)</f>
        <v/>
      </c>
      <c r="N25" s="13">
        <f>IF(F25="","",F25/4)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3">
        <f>IF(COUNT(C26:F26)&lt;4,"",SUM(C26:F26))</f>
        <v/>
      </c>
      <c r="H26" s="13">
        <f>IF(COUNT(C26:F26)&lt;4,"",G26/22)</f>
        <v/>
      </c>
      <c r="I26" s="13">
        <f>IF(COUNT(C26:F26)&lt;4,"",IF(H26&gt;=0.8,"Green",IF(H26&gt;=0.5,"Yellow","Red")))</f>
        <v/>
      </c>
      <c r="J26" s="13">
        <f>IF(COUNT(C26:F26)&lt;4,"",IF(I26="Green","Well done! "&amp;Parameters!$C$417,"Revise: "&amp;_xlfn.TEXTJOIN(", ",TRUE(),IF(K26&lt;1,Parameters!$A$408,""),IF(L26&lt;1,Parameters!$A$409,""),IF(M26&lt;1,Parameters!$A$410,""),IF(N26&lt;1,Parameters!$A$411,""))))</f>
        <v/>
      </c>
      <c r="K26" s="13">
        <f>IF(C26="","",C26/7)</f>
        <v/>
      </c>
      <c r="L26" s="13">
        <f>IF(D26="","",D26/6)</f>
        <v/>
      </c>
      <c r="M26" s="13">
        <f>IF(E26="","",E26/5)</f>
        <v/>
      </c>
      <c r="N26" s="13">
        <f>IF(F26="","",F26/4)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3">
        <f>IF(COUNT(C27:F27)&lt;4,"",SUM(C27:F27))</f>
        <v/>
      </c>
      <c r="H27" s="13">
        <f>IF(COUNT(C27:F27)&lt;4,"",G27/22)</f>
        <v/>
      </c>
      <c r="I27" s="13">
        <f>IF(COUNT(C27:F27)&lt;4,"",IF(H27&gt;=0.8,"Green",IF(H27&gt;=0.5,"Yellow","Red")))</f>
        <v/>
      </c>
      <c r="J27" s="13">
        <f>IF(COUNT(C27:F27)&lt;4,"",IF(I27="Green","Well done! "&amp;Parameters!$C$417,"Revise: "&amp;_xlfn.TEXTJOIN(", ",TRUE(),IF(K27&lt;1,Parameters!$A$408,""),IF(L27&lt;1,Parameters!$A$409,""),IF(M27&lt;1,Parameters!$A$410,""),IF(N27&lt;1,Parameters!$A$411,""))))</f>
        <v/>
      </c>
      <c r="K27" s="13">
        <f>IF(C27="","",C27/7)</f>
        <v/>
      </c>
      <c r="L27" s="13">
        <f>IF(D27="","",D27/6)</f>
        <v/>
      </c>
      <c r="M27" s="13">
        <f>IF(E27="","",E27/5)</f>
        <v/>
      </c>
      <c r="N27" s="13">
        <f>IF(F27="","",F27/4)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3">
        <f>IF(COUNT(C28:F28)&lt;4,"",SUM(C28:F28))</f>
        <v/>
      </c>
      <c r="H28" s="13">
        <f>IF(COUNT(C28:F28)&lt;4,"",G28/22)</f>
        <v/>
      </c>
      <c r="I28" s="13">
        <f>IF(COUNT(C28:F28)&lt;4,"",IF(H28&gt;=0.8,"Green",IF(H28&gt;=0.5,"Yellow","Red")))</f>
        <v/>
      </c>
      <c r="J28" s="13">
        <f>IF(COUNT(C28:F28)&lt;4,"",IF(I28="Green","Well done! "&amp;Parameters!$C$417,"Revise: "&amp;_xlfn.TEXTJOIN(", ",TRUE(),IF(K28&lt;1,Parameters!$A$408,""),IF(L28&lt;1,Parameters!$A$409,""),IF(M28&lt;1,Parameters!$A$410,""),IF(N28&lt;1,Parameters!$A$411,""))))</f>
        <v/>
      </c>
      <c r="K28" s="13">
        <f>IF(C28="","",C28/7)</f>
        <v/>
      </c>
      <c r="L28" s="13">
        <f>IF(D28="","",D28/6)</f>
        <v/>
      </c>
      <c r="M28" s="13">
        <f>IF(E28="","",E28/5)</f>
        <v/>
      </c>
      <c r="N28" s="13">
        <f>IF(F28="","",F28/4)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3">
        <f>IF(COUNT(C29:F29)&lt;4,"",SUM(C29:F29))</f>
        <v/>
      </c>
      <c r="H29" s="13">
        <f>IF(COUNT(C29:F29)&lt;4,"",G29/22)</f>
        <v/>
      </c>
      <c r="I29" s="13">
        <f>IF(COUNT(C29:F29)&lt;4,"",IF(H29&gt;=0.8,"Green",IF(H29&gt;=0.5,"Yellow","Red")))</f>
        <v/>
      </c>
      <c r="J29" s="13">
        <f>IF(COUNT(C29:F29)&lt;4,"",IF(I29="Green","Well done! "&amp;Parameters!$C$417,"Revise: "&amp;_xlfn.TEXTJOIN(", ",TRUE(),IF(K29&lt;1,Parameters!$A$408,""),IF(L29&lt;1,Parameters!$A$409,""),IF(M29&lt;1,Parameters!$A$410,""),IF(N29&lt;1,Parameters!$A$411,""))))</f>
        <v/>
      </c>
      <c r="K29" s="13">
        <f>IF(C29="","",C29/7)</f>
        <v/>
      </c>
      <c r="L29" s="13">
        <f>IF(D29="","",D29/6)</f>
        <v/>
      </c>
      <c r="M29" s="13">
        <f>IF(E29="","",E29/5)</f>
        <v/>
      </c>
      <c r="N29" s="13">
        <f>IF(F29="","",F29/4)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3">
        <f>IF(COUNT(C30:F30)&lt;4,"",SUM(C30:F30))</f>
        <v/>
      </c>
      <c r="H30" s="13">
        <f>IF(COUNT(C30:F30)&lt;4,"",G30/22)</f>
        <v/>
      </c>
      <c r="I30" s="13">
        <f>IF(COUNT(C30:F30)&lt;4,"",IF(H30&gt;=0.8,"Green",IF(H30&gt;=0.5,"Yellow","Red")))</f>
        <v/>
      </c>
      <c r="J30" s="13">
        <f>IF(COUNT(C30:F30)&lt;4,"",IF(I30="Green","Well done! "&amp;Parameters!$C$417,"Revise: "&amp;_xlfn.TEXTJOIN(", ",TRUE(),IF(K30&lt;1,Parameters!$A$408,""),IF(L30&lt;1,Parameters!$A$409,""),IF(M30&lt;1,Parameters!$A$410,""),IF(N30&lt;1,Parameters!$A$411,""))))</f>
        <v/>
      </c>
      <c r="K30" s="13">
        <f>IF(C30="","",C30/7)</f>
        <v/>
      </c>
      <c r="L30" s="13">
        <f>IF(D30="","",D30/6)</f>
        <v/>
      </c>
      <c r="M30" s="13">
        <f>IF(E30="","",E30/5)</f>
        <v/>
      </c>
      <c r="N30" s="13">
        <f>IF(F30="","",F30/4)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3">
        <f>IF(COUNT(C31:F31)&lt;4,"",SUM(C31:F31))</f>
        <v/>
      </c>
      <c r="H31" s="13">
        <f>IF(COUNT(C31:F31)&lt;4,"",G31/22)</f>
        <v/>
      </c>
      <c r="I31" s="13">
        <f>IF(COUNT(C31:F31)&lt;4,"",IF(H31&gt;=0.8,"Green",IF(H31&gt;=0.5,"Yellow","Red")))</f>
        <v/>
      </c>
      <c r="J31" s="13">
        <f>IF(COUNT(C31:F31)&lt;4,"",IF(I31="Green","Well done! "&amp;Parameters!$C$417,"Revise: "&amp;_xlfn.TEXTJOIN(", ",TRUE(),IF(K31&lt;1,Parameters!$A$408,""),IF(L31&lt;1,Parameters!$A$409,""),IF(M31&lt;1,Parameters!$A$410,""),IF(N31&lt;1,Parameters!$A$411,""))))</f>
        <v/>
      </c>
      <c r="K31" s="13">
        <f>IF(C31="","",C31/7)</f>
        <v/>
      </c>
      <c r="L31" s="13">
        <f>IF(D31="","",D31/6)</f>
        <v/>
      </c>
      <c r="M31" s="13">
        <f>IF(E31="","",E31/5)</f>
        <v/>
      </c>
      <c r="N31" s="13">
        <f>IF(F31="","",F31/4)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3">
        <f>IF(COUNT(C32:F32)&lt;4,"",SUM(C32:F32))</f>
        <v/>
      </c>
      <c r="H32" s="13">
        <f>IF(COUNT(C32:F32)&lt;4,"",G32/22)</f>
        <v/>
      </c>
      <c r="I32" s="13">
        <f>IF(COUNT(C32:F32)&lt;4,"",IF(H32&gt;=0.8,"Green",IF(H32&gt;=0.5,"Yellow","Red")))</f>
        <v/>
      </c>
      <c r="J32" s="13">
        <f>IF(COUNT(C32:F32)&lt;4,"",IF(I32="Green","Well done! "&amp;Parameters!$C$417,"Revise: "&amp;_xlfn.TEXTJOIN(", ",TRUE(),IF(K32&lt;1,Parameters!$A$408,""),IF(L32&lt;1,Parameters!$A$409,""),IF(M32&lt;1,Parameters!$A$410,""),IF(N32&lt;1,Parameters!$A$411,""))))</f>
        <v/>
      </c>
      <c r="K32" s="13">
        <f>IF(C32="","",C32/7)</f>
        <v/>
      </c>
      <c r="L32" s="13">
        <f>IF(D32="","",D32/6)</f>
        <v/>
      </c>
      <c r="M32" s="13">
        <f>IF(E32="","",E32/5)</f>
        <v/>
      </c>
      <c r="N32" s="13">
        <f>IF(F32="","",F32/4)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3">
        <f>IF(COUNT(C33:F33)&lt;4,"",SUM(C33:F33))</f>
        <v/>
      </c>
      <c r="H33" s="13">
        <f>IF(COUNT(C33:F33)&lt;4,"",G33/22)</f>
        <v/>
      </c>
      <c r="I33" s="13">
        <f>IF(COUNT(C33:F33)&lt;4,"",IF(H33&gt;=0.8,"Green",IF(H33&gt;=0.5,"Yellow","Red")))</f>
        <v/>
      </c>
      <c r="J33" s="13">
        <f>IF(COUNT(C33:F33)&lt;4,"",IF(I33="Green","Well done! "&amp;Parameters!$C$417,"Revise: "&amp;_xlfn.TEXTJOIN(", ",TRUE(),IF(K33&lt;1,Parameters!$A$408,""),IF(L33&lt;1,Parameters!$A$409,""),IF(M33&lt;1,Parameters!$A$410,""),IF(N33&lt;1,Parameters!$A$411,""))))</f>
        <v/>
      </c>
      <c r="K33" s="13">
        <f>IF(C33="","",C33/7)</f>
        <v/>
      </c>
      <c r="L33" s="13">
        <f>IF(D33="","",D33/6)</f>
        <v/>
      </c>
      <c r="M33" s="13">
        <f>IF(E33="","",E33/5)</f>
        <v/>
      </c>
      <c r="N33" s="13">
        <f>IF(F33="","",F33/4)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3">
        <f>IF(COUNT(C34:F34)&lt;4,"",SUM(C34:F34))</f>
        <v/>
      </c>
      <c r="H34" s="13">
        <f>IF(COUNT(C34:F34)&lt;4,"",G34/22)</f>
        <v/>
      </c>
      <c r="I34" s="13">
        <f>IF(COUNT(C34:F34)&lt;4,"",IF(H34&gt;=0.8,"Green",IF(H34&gt;=0.5,"Yellow","Red")))</f>
        <v/>
      </c>
      <c r="J34" s="13">
        <f>IF(COUNT(C34:F34)&lt;4,"",IF(I34="Green","Well done! "&amp;Parameters!$C$417,"Revise: "&amp;_xlfn.TEXTJOIN(", ",TRUE(),IF(K34&lt;1,Parameters!$A$408,""),IF(L34&lt;1,Parameters!$A$409,""),IF(M34&lt;1,Parameters!$A$410,""),IF(N34&lt;1,Parameters!$A$411,""))))</f>
        <v/>
      </c>
      <c r="K34" s="13">
        <f>IF(C34="","",C34/7)</f>
        <v/>
      </c>
      <c r="L34" s="13">
        <f>IF(D34="","",D34/6)</f>
        <v/>
      </c>
      <c r="M34" s="13">
        <f>IF(E34="","",E34/5)</f>
        <v/>
      </c>
      <c r="N34" s="13">
        <f>IF(F34="","",F34/4)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3">
        <f>IF(COUNT(C35:F35)&lt;4,"",SUM(C35:F35))</f>
        <v/>
      </c>
      <c r="H35" s="13">
        <f>IF(COUNT(C35:F35)&lt;4,"",G35/22)</f>
        <v/>
      </c>
      <c r="I35" s="13">
        <f>IF(COUNT(C35:F35)&lt;4,"",IF(H35&gt;=0.8,"Green",IF(H35&gt;=0.5,"Yellow","Red")))</f>
        <v/>
      </c>
      <c r="J35" s="13">
        <f>IF(COUNT(C35:F35)&lt;4,"",IF(I35="Green","Well done! "&amp;Parameters!$C$417,"Revise: "&amp;_xlfn.TEXTJOIN(", ",TRUE(),IF(K35&lt;1,Parameters!$A$408,""),IF(L35&lt;1,Parameters!$A$409,""),IF(M35&lt;1,Parameters!$A$410,""),IF(N35&lt;1,Parameters!$A$411,""))))</f>
        <v/>
      </c>
      <c r="K35" s="13">
        <f>IF(C35="","",C35/7)</f>
        <v/>
      </c>
      <c r="L35" s="13">
        <f>IF(D35="","",D35/6)</f>
        <v/>
      </c>
      <c r="M35" s="13">
        <f>IF(E35="","",E35/5)</f>
        <v/>
      </c>
      <c r="N35" s="13">
        <f>IF(F35="","",F35/4)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3">
        <f>IF(COUNT(C36:F36)&lt;4,"",SUM(C36:F36))</f>
        <v/>
      </c>
      <c r="H36" s="13">
        <f>IF(COUNT(C36:F36)&lt;4,"",G36/22)</f>
        <v/>
      </c>
      <c r="I36" s="13">
        <f>IF(COUNT(C36:F36)&lt;4,"",IF(H36&gt;=0.8,"Green",IF(H36&gt;=0.5,"Yellow","Red")))</f>
        <v/>
      </c>
      <c r="J36" s="13">
        <f>IF(COUNT(C36:F36)&lt;4,"",IF(I36="Green","Well done! "&amp;Parameters!$C$417,"Revise: "&amp;_xlfn.TEXTJOIN(", ",TRUE(),IF(K36&lt;1,Parameters!$A$408,""),IF(L36&lt;1,Parameters!$A$409,""),IF(M36&lt;1,Parameters!$A$410,""),IF(N36&lt;1,Parameters!$A$411,""))))</f>
        <v/>
      </c>
      <c r="K36" s="13">
        <f>IF(C36="","",C36/7)</f>
        <v/>
      </c>
      <c r="L36" s="13">
        <f>IF(D36="","",D36/6)</f>
        <v/>
      </c>
      <c r="M36" s="13">
        <f>IF(E36="","",E36/5)</f>
        <v/>
      </c>
      <c r="N36" s="13">
        <f>IF(F36="","",F36/4)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3">
        <f>IF(COUNT(C37:F37)&lt;4,"",SUM(C37:F37))</f>
        <v/>
      </c>
      <c r="H37" s="13">
        <f>IF(COUNT(C37:F37)&lt;4,"",G37/22)</f>
        <v/>
      </c>
      <c r="I37" s="13">
        <f>IF(COUNT(C37:F37)&lt;4,"",IF(H37&gt;=0.8,"Green",IF(H37&gt;=0.5,"Yellow","Red")))</f>
        <v/>
      </c>
      <c r="J37" s="13">
        <f>IF(COUNT(C37:F37)&lt;4,"",IF(I37="Green","Well done! "&amp;Parameters!$C$417,"Revise: "&amp;_xlfn.TEXTJOIN(", ",TRUE(),IF(K37&lt;1,Parameters!$A$408,""),IF(L37&lt;1,Parameters!$A$409,""),IF(M37&lt;1,Parameters!$A$410,""),IF(N37&lt;1,Parameters!$A$411,""))))</f>
        <v/>
      </c>
      <c r="K37" s="13">
        <f>IF(C37="","",C37/7)</f>
        <v/>
      </c>
      <c r="L37" s="13">
        <f>IF(D37="","",D37/6)</f>
        <v/>
      </c>
      <c r="M37" s="13">
        <f>IF(E37="","",E37/5)</f>
        <v/>
      </c>
      <c r="N37" s="13">
        <f>IF(F37="","",F37/4)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3">
        <f>IF(COUNT(C38:F38)&lt;4,"",SUM(C38:F38))</f>
        <v/>
      </c>
      <c r="H38" s="13">
        <f>IF(COUNT(C38:F38)&lt;4,"",G38/22)</f>
        <v/>
      </c>
      <c r="I38" s="13">
        <f>IF(COUNT(C38:F38)&lt;4,"",IF(H38&gt;=0.8,"Green",IF(H38&gt;=0.5,"Yellow","Red")))</f>
        <v/>
      </c>
      <c r="J38" s="13">
        <f>IF(COUNT(C38:F38)&lt;4,"",IF(I38="Green","Well done! "&amp;Parameters!$C$417,"Revise: "&amp;_xlfn.TEXTJOIN(", ",TRUE(),IF(K38&lt;1,Parameters!$A$408,""),IF(L38&lt;1,Parameters!$A$409,""),IF(M38&lt;1,Parameters!$A$410,""),IF(N38&lt;1,Parameters!$A$411,""))))</f>
        <v/>
      </c>
      <c r="K38" s="13">
        <f>IF(C38="","",C38/7)</f>
        <v/>
      </c>
      <c r="L38" s="13">
        <f>IF(D38="","",D38/6)</f>
        <v/>
      </c>
      <c r="M38" s="13">
        <f>IF(E38="","",E38/5)</f>
        <v/>
      </c>
      <c r="N38" s="13">
        <f>IF(F38="","",F38/4)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3">
        <f>IF(COUNT(C39:F39)&lt;4,"",SUM(C39:F39))</f>
        <v/>
      </c>
      <c r="H39" s="13">
        <f>IF(COUNT(C39:F39)&lt;4,"",G39/22)</f>
        <v/>
      </c>
      <c r="I39" s="13">
        <f>IF(COUNT(C39:F39)&lt;4,"",IF(H39&gt;=0.8,"Green",IF(H39&gt;=0.5,"Yellow","Red")))</f>
        <v/>
      </c>
      <c r="J39" s="13">
        <f>IF(COUNT(C39:F39)&lt;4,"",IF(I39="Green","Well done! "&amp;Parameters!$C$417,"Revise: "&amp;_xlfn.TEXTJOIN(", ",TRUE(),IF(K39&lt;1,Parameters!$A$408,""),IF(L39&lt;1,Parameters!$A$409,""),IF(M39&lt;1,Parameters!$A$410,""),IF(N39&lt;1,Parameters!$A$411,""))))</f>
        <v/>
      </c>
      <c r="K39" s="13">
        <f>IF(C39="","",C39/7)</f>
        <v/>
      </c>
      <c r="L39" s="13">
        <f>IF(D39="","",D39/6)</f>
        <v/>
      </c>
      <c r="M39" s="13">
        <f>IF(E39="","",E39/5)</f>
        <v/>
      </c>
      <c r="N39" s="13">
        <f>IF(F39="","",F39/4)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3">
        <f>IF(COUNT(C40:F40)&lt;4,"",SUM(C40:F40))</f>
        <v/>
      </c>
      <c r="H40" s="13">
        <f>IF(COUNT(C40:F40)&lt;4,"",G40/22)</f>
        <v/>
      </c>
      <c r="I40" s="13">
        <f>IF(COUNT(C40:F40)&lt;4,"",IF(H40&gt;=0.8,"Green",IF(H40&gt;=0.5,"Yellow","Red")))</f>
        <v/>
      </c>
      <c r="J40" s="13">
        <f>IF(COUNT(C40:F40)&lt;4,"",IF(I40="Green","Well done! "&amp;Parameters!$C$417,"Revise: "&amp;_xlfn.TEXTJOIN(", ",TRUE(),IF(K40&lt;1,Parameters!$A$408,""),IF(L40&lt;1,Parameters!$A$409,""),IF(M40&lt;1,Parameters!$A$410,""),IF(N40&lt;1,Parameters!$A$411,""))))</f>
        <v/>
      </c>
      <c r="K40" s="13">
        <f>IF(C40="","",C40/7)</f>
        <v/>
      </c>
      <c r="L40" s="13">
        <f>IF(D40="","",D40/6)</f>
        <v/>
      </c>
      <c r="M40" s="13">
        <f>IF(E40="","",E40/5)</f>
        <v/>
      </c>
      <c r="N40" s="13">
        <f>IF(F40="","",F40/4)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3">
        <f>IF(COUNT(C41:F41)&lt;4,"",SUM(C41:F41))</f>
        <v/>
      </c>
      <c r="H41" s="13">
        <f>IF(COUNT(C41:F41)&lt;4,"",G41/22)</f>
        <v/>
      </c>
      <c r="I41" s="13">
        <f>IF(COUNT(C41:F41)&lt;4,"",IF(H41&gt;=0.8,"Green",IF(H41&gt;=0.5,"Yellow","Red")))</f>
        <v/>
      </c>
      <c r="J41" s="13">
        <f>IF(COUNT(C41:F41)&lt;4,"",IF(I41="Green","Well done! "&amp;Parameters!$C$417,"Revise: "&amp;_xlfn.TEXTJOIN(", ",TRUE(),IF(K41&lt;1,Parameters!$A$408,""),IF(L41&lt;1,Parameters!$A$409,""),IF(M41&lt;1,Parameters!$A$410,""),IF(N41&lt;1,Parameters!$A$411,""))))</f>
        <v/>
      </c>
      <c r="K41" s="13">
        <f>IF(C41="","",C41/7)</f>
        <v/>
      </c>
      <c r="L41" s="13">
        <f>IF(D41="","",D41/6)</f>
        <v/>
      </c>
      <c r="M41" s="13">
        <f>IF(E41="","",E41/5)</f>
        <v/>
      </c>
      <c r="N41" s="13">
        <f>IF(F41="","",F41/4)</f>
        <v/>
      </c>
    </row>
  </sheetData>
  <conditionalFormatting sqref="C11">
    <cfRule type="expression" priority="1" dxfId="0">
      <formula>AND(COUNT(C11:F11)=4,C11=7)</formula>
    </cfRule>
    <cfRule type="expression" priority="2" dxfId="1">
      <formula>AND(COUNT(C11:F11)=4,C11&lt;7*0.4)</formula>
    </cfRule>
    <cfRule type="expression" priority="3" dxfId="2">
      <formula>AND(COUNT(C11:F11)=4,C11&gt;=7*0.4,C11&lt;7)</formula>
    </cfRule>
  </conditionalFormatting>
  <conditionalFormatting sqref="C12">
    <cfRule type="expression" priority="4" dxfId="0">
      <formula>AND(COUNT(C12:F12)=4,C12=7)</formula>
    </cfRule>
    <cfRule type="expression" priority="5" dxfId="1">
      <formula>AND(COUNT(C12:F12)=4,C12&lt;7*0.4)</formula>
    </cfRule>
    <cfRule type="expression" priority="6" dxfId="2">
      <formula>AND(COUNT(C12:F12)=4,C12&gt;=7*0.4,C12&lt;7)</formula>
    </cfRule>
  </conditionalFormatting>
  <conditionalFormatting sqref="C13">
    <cfRule type="expression" priority="7" dxfId="0">
      <formula>AND(COUNT(C13:F13)=4,C13=7)</formula>
    </cfRule>
    <cfRule type="expression" priority="8" dxfId="1">
      <formula>AND(COUNT(C13:F13)=4,C13&lt;7*0.4)</formula>
    </cfRule>
    <cfRule type="expression" priority="9" dxfId="2">
      <formula>AND(COUNT(C13:F13)=4,C13&gt;=7*0.4,C13&lt;7)</formula>
    </cfRule>
  </conditionalFormatting>
  <conditionalFormatting sqref="C14">
    <cfRule type="expression" priority="10" dxfId="0">
      <formula>AND(COUNT(C14:F14)=4,C14=7)</formula>
    </cfRule>
    <cfRule type="expression" priority="11" dxfId="1">
      <formula>AND(COUNT(C14:F14)=4,C14&lt;7*0.4)</formula>
    </cfRule>
    <cfRule type="expression" priority="12" dxfId="2">
      <formula>AND(COUNT(C14:F14)=4,C14&gt;=7*0.4,C14&lt;7)</formula>
    </cfRule>
  </conditionalFormatting>
  <conditionalFormatting sqref="C15">
    <cfRule type="expression" priority="13" dxfId="0">
      <formula>AND(COUNT(C15:F15)=4,C15=7)</formula>
    </cfRule>
    <cfRule type="expression" priority="14" dxfId="1">
      <formula>AND(COUNT(C15:F15)=4,C15&lt;7*0.4)</formula>
    </cfRule>
    <cfRule type="expression" priority="15" dxfId="2">
      <formula>AND(COUNT(C15:F15)=4,C15&gt;=7*0.4,C15&lt;7)</formula>
    </cfRule>
  </conditionalFormatting>
  <conditionalFormatting sqref="C16">
    <cfRule type="expression" priority="16" dxfId="0">
      <formula>AND(COUNT(C16:F16)=4,C16=7)</formula>
    </cfRule>
    <cfRule type="expression" priority="17" dxfId="1">
      <formula>AND(COUNT(C16:F16)=4,C16&lt;7*0.4)</formula>
    </cfRule>
    <cfRule type="expression" priority="18" dxfId="2">
      <formula>AND(COUNT(C16:F16)=4,C16&gt;=7*0.4,C16&lt;7)</formula>
    </cfRule>
  </conditionalFormatting>
  <conditionalFormatting sqref="C17">
    <cfRule type="expression" priority="19" dxfId="0">
      <formula>AND(COUNT(C17:F17)=4,C17=7)</formula>
    </cfRule>
    <cfRule type="expression" priority="20" dxfId="1">
      <formula>AND(COUNT(C17:F17)=4,C17&lt;7*0.4)</formula>
    </cfRule>
    <cfRule type="expression" priority="21" dxfId="2">
      <formula>AND(COUNT(C17:F17)=4,C17&gt;=7*0.4,C17&lt;7)</formula>
    </cfRule>
  </conditionalFormatting>
  <conditionalFormatting sqref="C18">
    <cfRule type="expression" priority="22" dxfId="0">
      <formula>AND(COUNT(C18:F18)=4,C18=7)</formula>
    </cfRule>
    <cfRule type="expression" priority="23" dxfId="1">
      <formula>AND(COUNT(C18:F18)=4,C18&lt;7*0.4)</formula>
    </cfRule>
    <cfRule type="expression" priority="24" dxfId="2">
      <formula>AND(COUNT(C18:F18)=4,C18&gt;=7*0.4,C18&lt;7)</formula>
    </cfRule>
  </conditionalFormatting>
  <conditionalFormatting sqref="C19">
    <cfRule type="expression" priority="25" dxfId="0">
      <formula>AND(COUNT(C19:F19)=4,C19=7)</formula>
    </cfRule>
    <cfRule type="expression" priority="26" dxfId="1">
      <formula>AND(COUNT(C19:F19)=4,C19&lt;7*0.4)</formula>
    </cfRule>
    <cfRule type="expression" priority="27" dxfId="2">
      <formula>AND(COUNT(C19:F19)=4,C19&gt;=7*0.4,C19&lt;7)</formula>
    </cfRule>
  </conditionalFormatting>
  <conditionalFormatting sqref="C20">
    <cfRule type="expression" priority="28" dxfId="0">
      <formula>AND(COUNT(C20:F20)=4,C20=7)</formula>
    </cfRule>
    <cfRule type="expression" priority="29" dxfId="1">
      <formula>AND(COUNT(C20:F20)=4,C20&lt;7*0.4)</formula>
    </cfRule>
    <cfRule type="expression" priority="30" dxfId="2">
      <formula>AND(COUNT(C20:F20)=4,C20&gt;=7*0.4,C20&lt;7)</formula>
    </cfRule>
  </conditionalFormatting>
  <conditionalFormatting sqref="C21">
    <cfRule type="expression" priority="31" dxfId="0">
      <formula>AND(COUNT(C21:F21)=4,C21=7)</formula>
    </cfRule>
    <cfRule type="expression" priority="32" dxfId="1">
      <formula>AND(COUNT(C21:F21)=4,C21&lt;7*0.4)</formula>
    </cfRule>
    <cfRule type="expression" priority="33" dxfId="2">
      <formula>AND(COUNT(C21:F21)=4,C21&gt;=7*0.4,C21&lt;7)</formula>
    </cfRule>
  </conditionalFormatting>
  <conditionalFormatting sqref="C22">
    <cfRule type="expression" priority="34" dxfId="0">
      <formula>AND(COUNT(C22:F22)=4,C22=7)</formula>
    </cfRule>
    <cfRule type="expression" priority="35" dxfId="1">
      <formula>AND(COUNT(C22:F22)=4,C22&lt;7*0.4)</formula>
    </cfRule>
    <cfRule type="expression" priority="36" dxfId="2">
      <formula>AND(COUNT(C22:F22)=4,C22&gt;=7*0.4,C22&lt;7)</formula>
    </cfRule>
  </conditionalFormatting>
  <conditionalFormatting sqref="C23">
    <cfRule type="expression" priority="37" dxfId="0">
      <formula>AND(COUNT(C23:F23)=4,C23=7)</formula>
    </cfRule>
    <cfRule type="expression" priority="38" dxfId="1">
      <formula>AND(COUNT(C23:F23)=4,C23&lt;7*0.4)</formula>
    </cfRule>
    <cfRule type="expression" priority="39" dxfId="2">
      <formula>AND(COUNT(C23:F23)=4,C23&gt;=7*0.4,C23&lt;7)</formula>
    </cfRule>
  </conditionalFormatting>
  <conditionalFormatting sqref="C24">
    <cfRule type="expression" priority="40" dxfId="0">
      <formula>AND(COUNT(C24:F24)=4,C24=7)</formula>
    </cfRule>
    <cfRule type="expression" priority="41" dxfId="1">
      <formula>AND(COUNT(C24:F24)=4,C24&lt;7*0.4)</formula>
    </cfRule>
    <cfRule type="expression" priority="42" dxfId="2">
      <formula>AND(COUNT(C24:F24)=4,C24&gt;=7*0.4,C24&lt;7)</formula>
    </cfRule>
  </conditionalFormatting>
  <conditionalFormatting sqref="C25">
    <cfRule type="expression" priority="43" dxfId="0">
      <formula>AND(COUNT(C25:F25)=4,C25=7)</formula>
    </cfRule>
    <cfRule type="expression" priority="44" dxfId="1">
      <formula>AND(COUNT(C25:F25)=4,C25&lt;7*0.4)</formula>
    </cfRule>
    <cfRule type="expression" priority="45" dxfId="2">
      <formula>AND(COUNT(C25:F25)=4,C25&gt;=7*0.4,C25&lt;7)</formula>
    </cfRule>
  </conditionalFormatting>
  <conditionalFormatting sqref="C26">
    <cfRule type="expression" priority="46" dxfId="0">
      <formula>AND(COUNT(C26:F26)=4,C26=7)</formula>
    </cfRule>
    <cfRule type="expression" priority="47" dxfId="1">
      <formula>AND(COUNT(C26:F26)=4,C26&lt;7*0.4)</formula>
    </cfRule>
    <cfRule type="expression" priority="48" dxfId="2">
      <formula>AND(COUNT(C26:F26)=4,C26&gt;=7*0.4,C26&lt;7)</formula>
    </cfRule>
  </conditionalFormatting>
  <conditionalFormatting sqref="C27">
    <cfRule type="expression" priority="49" dxfId="0">
      <formula>AND(COUNT(C27:F27)=4,C27=7)</formula>
    </cfRule>
    <cfRule type="expression" priority="50" dxfId="1">
      <formula>AND(COUNT(C27:F27)=4,C27&lt;7*0.4)</formula>
    </cfRule>
    <cfRule type="expression" priority="51" dxfId="2">
      <formula>AND(COUNT(C27:F27)=4,C27&gt;=7*0.4,C27&lt;7)</formula>
    </cfRule>
  </conditionalFormatting>
  <conditionalFormatting sqref="C28">
    <cfRule type="expression" priority="52" dxfId="0">
      <formula>AND(COUNT(C28:F28)=4,C28=7)</formula>
    </cfRule>
    <cfRule type="expression" priority="53" dxfId="1">
      <formula>AND(COUNT(C28:F28)=4,C28&lt;7*0.4)</formula>
    </cfRule>
    <cfRule type="expression" priority="54" dxfId="2">
      <formula>AND(COUNT(C28:F28)=4,C28&gt;=7*0.4,C28&lt;7)</formula>
    </cfRule>
  </conditionalFormatting>
  <conditionalFormatting sqref="C29">
    <cfRule type="expression" priority="55" dxfId="0">
      <formula>AND(COUNT(C29:F29)=4,C29=7)</formula>
    </cfRule>
    <cfRule type="expression" priority="56" dxfId="1">
      <formula>AND(COUNT(C29:F29)=4,C29&lt;7*0.4)</formula>
    </cfRule>
    <cfRule type="expression" priority="57" dxfId="2">
      <formula>AND(COUNT(C29:F29)=4,C29&gt;=7*0.4,C29&lt;7)</formula>
    </cfRule>
  </conditionalFormatting>
  <conditionalFormatting sqref="C30">
    <cfRule type="expression" priority="58" dxfId="0">
      <formula>AND(COUNT(C30:F30)=4,C30=7)</formula>
    </cfRule>
    <cfRule type="expression" priority="59" dxfId="1">
      <formula>AND(COUNT(C30:F30)=4,C30&lt;7*0.4)</formula>
    </cfRule>
    <cfRule type="expression" priority="60" dxfId="2">
      <formula>AND(COUNT(C30:F30)=4,C30&gt;=7*0.4,C30&lt;7)</formula>
    </cfRule>
  </conditionalFormatting>
  <conditionalFormatting sqref="C31">
    <cfRule type="expression" priority="61" dxfId="0">
      <formula>AND(COUNT(C31:F31)=4,C31=7)</formula>
    </cfRule>
    <cfRule type="expression" priority="62" dxfId="1">
      <formula>AND(COUNT(C31:F31)=4,C31&lt;7*0.4)</formula>
    </cfRule>
    <cfRule type="expression" priority="63" dxfId="2">
      <formula>AND(COUNT(C31:F31)=4,C31&gt;=7*0.4,C31&lt;7)</formula>
    </cfRule>
  </conditionalFormatting>
  <conditionalFormatting sqref="C32">
    <cfRule type="expression" priority="64" dxfId="0">
      <formula>AND(COUNT(C32:F32)=4,C32=7)</formula>
    </cfRule>
    <cfRule type="expression" priority="65" dxfId="1">
      <formula>AND(COUNT(C32:F32)=4,C32&lt;7*0.4)</formula>
    </cfRule>
    <cfRule type="expression" priority="66" dxfId="2">
      <formula>AND(COUNT(C32:F32)=4,C32&gt;=7*0.4,C32&lt;7)</formula>
    </cfRule>
  </conditionalFormatting>
  <conditionalFormatting sqref="C33">
    <cfRule type="expression" priority="67" dxfId="0">
      <formula>AND(COUNT(C33:F33)=4,C33=7)</formula>
    </cfRule>
    <cfRule type="expression" priority="68" dxfId="1">
      <formula>AND(COUNT(C33:F33)=4,C33&lt;7*0.4)</formula>
    </cfRule>
    <cfRule type="expression" priority="69" dxfId="2">
      <formula>AND(COUNT(C33:F33)=4,C33&gt;=7*0.4,C33&lt;7)</formula>
    </cfRule>
  </conditionalFormatting>
  <conditionalFormatting sqref="C34">
    <cfRule type="expression" priority="70" dxfId="0">
      <formula>AND(COUNT(C34:F34)=4,C34=7)</formula>
    </cfRule>
    <cfRule type="expression" priority="71" dxfId="1">
      <formula>AND(COUNT(C34:F34)=4,C34&lt;7*0.4)</formula>
    </cfRule>
    <cfRule type="expression" priority="72" dxfId="2">
      <formula>AND(COUNT(C34:F34)=4,C34&gt;=7*0.4,C34&lt;7)</formula>
    </cfRule>
  </conditionalFormatting>
  <conditionalFormatting sqref="C35">
    <cfRule type="expression" priority="73" dxfId="0">
      <formula>AND(COUNT(C35:F35)=4,C35=7)</formula>
    </cfRule>
    <cfRule type="expression" priority="74" dxfId="1">
      <formula>AND(COUNT(C35:F35)=4,C35&lt;7*0.4)</formula>
    </cfRule>
    <cfRule type="expression" priority="75" dxfId="2">
      <formula>AND(COUNT(C35:F35)=4,C35&gt;=7*0.4,C35&lt;7)</formula>
    </cfRule>
  </conditionalFormatting>
  <conditionalFormatting sqref="C36">
    <cfRule type="expression" priority="76" dxfId="0">
      <formula>AND(COUNT(C36:F36)=4,C36=7)</formula>
    </cfRule>
    <cfRule type="expression" priority="77" dxfId="1">
      <formula>AND(COUNT(C36:F36)=4,C36&lt;7*0.4)</formula>
    </cfRule>
    <cfRule type="expression" priority="78" dxfId="2">
      <formula>AND(COUNT(C36:F36)=4,C36&gt;=7*0.4,C36&lt;7)</formula>
    </cfRule>
  </conditionalFormatting>
  <conditionalFormatting sqref="C37">
    <cfRule type="expression" priority="79" dxfId="0">
      <formula>AND(COUNT(C37:F37)=4,C37=7)</formula>
    </cfRule>
    <cfRule type="expression" priority="80" dxfId="1">
      <formula>AND(COUNT(C37:F37)=4,C37&lt;7*0.4)</formula>
    </cfRule>
    <cfRule type="expression" priority="81" dxfId="2">
      <formula>AND(COUNT(C37:F37)=4,C37&gt;=7*0.4,C37&lt;7)</formula>
    </cfRule>
  </conditionalFormatting>
  <conditionalFormatting sqref="C38">
    <cfRule type="expression" priority="82" dxfId="0">
      <formula>AND(COUNT(C38:F38)=4,C38=7)</formula>
    </cfRule>
    <cfRule type="expression" priority="83" dxfId="1">
      <formula>AND(COUNT(C38:F38)=4,C38&lt;7*0.4)</formula>
    </cfRule>
    <cfRule type="expression" priority="84" dxfId="2">
      <formula>AND(COUNT(C38:F38)=4,C38&gt;=7*0.4,C38&lt;7)</formula>
    </cfRule>
  </conditionalFormatting>
  <conditionalFormatting sqref="C39">
    <cfRule type="expression" priority="85" dxfId="0">
      <formula>AND(COUNT(C39:F39)=4,C39=7)</formula>
    </cfRule>
    <cfRule type="expression" priority="86" dxfId="1">
      <formula>AND(COUNT(C39:F39)=4,C39&lt;7*0.4)</formula>
    </cfRule>
    <cfRule type="expression" priority="87" dxfId="2">
      <formula>AND(COUNT(C39:F39)=4,C39&gt;=7*0.4,C39&lt;7)</formula>
    </cfRule>
  </conditionalFormatting>
  <conditionalFormatting sqref="C40">
    <cfRule type="expression" priority="88" dxfId="0">
      <formula>AND(COUNT(C40:F40)=4,C40=7)</formula>
    </cfRule>
    <cfRule type="expression" priority="89" dxfId="1">
      <formula>AND(COUNT(C40:F40)=4,C40&lt;7*0.4)</formula>
    </cfRule>
    <cfRule type="expression" priority="90" dxfId="2">
      <formula>AND(COUNT(C40:F40)=4,C40&gt;=7*0.4,C40&lt;7)</formula>
    </cfRule>
  </conditionalFormatting>
  <conditionalFormatting sqref="C41">
    <cfRule type="expression" priority="91" dxfId="0">
      <formula>AND(COUNT(C41:F41)=4,C41=7)</formula>
    </cfRule>
    <cfRule type="expression" priority="92" dxfId="1">
      <formula>AND(COUNT(C41:F41)=4,C41&lt;7*0.4)</formula>
    </cfRule>
    <cfRule type="expression" priority="93" dxfId="2">
      <formula>AND(COUNT(C41:F41)=4,C41&gt;=7*0.4,C41&lt;7)</formula>
    </cfRule>
  </conditionalFormatting>
  <conditionalFormatting sqref="D11">
    <cfRule type="expression" priority="94" dxfId="0">
      <formula>AND(COUNT(C11:F11)=4,D11=6)</formula>
    </cfRule>
    <cfRule type="expression" priority="95" dxfId="1">
      <formula>AND(COUNT(C11:F11)=4,D11&lt;6*0.4)</formula>
    </cfRule>
    <cfRule type="expression" priority="96" dxfId="2">
      <formula>AND(COUNT(C11:F11)=4,D11&gt;=6*0.4,D11&lt;6)</formula>
    </cfRule>
  </conditionalFormatting>
  <conditionalFormatting sqref="D12">
    <cfRule type="expression" priority="97" dxfId="0">
      <formula>AND(COUNT(C12:F12)=4,D12=6)</formula>
    </cfRule>
    <cfRule type="expression" priority="98" dxfId="1">
      <formula>AND(COUNT(C12:F12)=4,D12&lt;6*0.4)</formula>
    </cfRule>
    <cfRule type="expression" priority="99" dxfId="2">
      <formula>AND(COUNT(C12:F12)=4,D12&gt;=6*0.4,D12&lt;6)</formula>
    </cfRule>
  </conditionalFormatting>
  <conditionalFormatting sqref="D13">
    <cfRule type="expression" priority="100" dxfId="0">
      <formula>AND(COUNT(C13:F13)=4,D13=6)</formula>
    </cfRule>
    <cfRule type="expression" priority="101" dxfId="1">
      <formula>AND(COUNT(C13:F13)=4,D13&lt;6*0.4)</formula>
    </cfRule>
    <cfRule type="expression" priority="102" dxfId="2">
      <formula>AND(COUNT(C13:F13)=4,D13&gt;=6*0.4,D13&lt;6)</formula>
    </cfRule>
  </conditionalFormatting>
  <conditionalFormatting sqref="D14">
    <cfRule type="expression" priority="103" dxfId="0">
      <formula>AND(COUNT(C14:F14)=4,D14=6)</formula>
    </cfRule>
    <cfRule type="expression" priority="104" dxfId="1">
      <formula>AND(COUNT(C14:F14)=4,D14&lt;6*0.4)</formula>
    </cfRule>
    <cfRule type="expression" priority="105" dxfId="2">
      <formula>AND(COUNT(C14:F14)=4,D14&gt;=6*0.4,D14&lt;6)</formula>
    </cfRule>
  </conditionalFormatting>
  <conditionalFormatting sqref="D15">
    <cfRule type="expression" priority="106" dxfId="0">
      <formula>AND(COUNT(C15:F15)=4,D15=6)</formula>
    </cfRule>
    <cfRule type="expression" priority="107" dxfId="1">
      <formula>AND(COUNT(C15:F15)=4,D15&lt;6*0.4)</formula>
    </cfRule>
    <cfRule type="expression" priority="108" dxfId="2">
      <formula>AND(COUNT(C15:F15)=4,D15&gt;=6*0.4,D15&lt;6)</formula>
    </cfRule>
  </conditionalFormatting>
  <conditionalFormatting sqref="D16">
    <cfRule type="expression" priority="109" dxfId="0">
      <formula>AND(COUNT(C16:F16)=4,D16=6)</formula>
    </cfRule>
    <cfRule type="expression" priority="110" dxfId="1">
      <formula>AND(COUNT(C16:F16)=4,D16&lt;6*0.4)</formula>
    </cfRule>
    <cfRule type="expression" priority="111" dxfId="2">
      <formula>AND(COUNT(C16:F16)=4,D16&gt;=6*0.4,D16&lt;6)</formula>
    </cfRule>
  </conditionalFormatting>
  <conditionalFormatting sqref="D17">
    <cfRule type="expression" priority="112" dxfId="0">
      <formula>AND(COUNT(C17:F17)=4,D17=6)</formula>
    </cfRule>
    <cfRule type="expression" priority="113" dxfId="1">
      <formula>AND(COUNT(C17:F17)=4,D17&lt;6*0.4)</formula>
    </cfRule>
    <cfRule type="expression" priority="114" dxfId="2">
      <formula>AND(COUNT(C17:F17)=4,D17&gt;=6*0.4,D17&lt;6)</formula>
    </cfRule>
  </conditionalFormatting>
  <conditionalFormatting sqref="D18">
    <cfRule type="expression" priority="115" dxfId="0">
      <formula>AND(COUNT(C18:F18)=4,D18=6)</formula>
    </cfRule>
    <cfRule type="expression" priority="116" dxfId="1">
      <formula>AND(COUNT(C18:F18)=4,D18&lt;6*0.4)</formula>
    </cfRule>
    <cfRule type="expression" priority="117" dxfId="2">
      <formula>AND(COUNT(C18:F18)=4,D18&gt;=6*0.4,D18&lt;6)</formula>
    </cfRule>
  </conditionalFormatting>
  <conditionalFormatting sqref="D19">
    <cfRule type="expression" priority="118" dxfId="0">
      <formula>AND(COUNT(C19:F19)=4,D19=6)</formula>
    </cfRule>
    <cfRule type="expression" priority="119" dxfId="1">
      <formula>AND(COUNT(C19:F19)=4,D19&lt;6*0.4)</formula>
    </cfRule>
    <cfRule type="expression" priority="120" dxfId="2">
      <formula>AND(COUNT(C19:F19)=4,D19&gt;=6*0.4,D19&lt;6)</formula>
    </cfRule>
  </conditionalFormatting>
  <conditionalFormatting sqref="D20">
    <cfRule type="expression" priority="121" dxfId="0">
      <formula>AND(COUNT(C20:F20)=4,D20=6)</formula>
    </cfRule>
    <cfRule type="expression" priority="122" dxfId="1">
      <formula>AND(COUNT(C20:F20)=4,D20&lt;6*0.4)</formula>
    </cfRule>
    <cfRule type="expression" priority="123" dxfId="2">
      <formula>AND(COUNT(C20:F20)=4,D20&gt;=6*0.4,D20&lt;6)</formula>
    </cfRule>
  </conditionalFormatting>
  <conditionalFormatting sqref="D21">
    <cfRule type="expression" priority="124" dxfId="0">
      <formula>AND(COUNT(C21:F21)=4,D21=6)</formula>
    </cfRule>
    <cfRule type="expression" priority="125" dxfId="1">
      <formula>AND(COUNT(C21:F21)=4,D21&lt;6*0.4)</formula>
    </cfRule>
    <cfRule type="expression" priority="126" dxfId="2">
      <formula>AND(COUNT(C21:F21)=4,D21&gt;=6*0.4,D21&lt;6)</formula>
    </cfRule>
  </conditionalFormatting>
  <conditionalFormatting sqref="D22">
    <cfRule type="expression" priority="127" dxfId="0">
      <formula>AND(COUNT(C22:F22)=4,D22=6)</formula>
    </cfRule>
    <cfRule type="expression" priority="128" dxfId="1">
      <formula>AND(COUNT(C22:F22)=4,D22&lt;6*0.4)</formula>
    </cfRule>
    <cfRule type="expression" priority="129" dxfId="2">
      <formula>AND(COUNT(C22:F22)=4,D22&gt;=6*0.4,D22&lt;6)</formula>
    </cfRule>
  </conditionalFormatting>
  <conditionalFormatting sqref="D23">
    <cfRule type="expression" priority="130" dxfId="0">
      <formula>AND(COUNT(C23:F23)=4,D23=6)</formula>
    </cfRule>
    <cfRule type="expression" priority="131" dxfId="1">
      <formula>AND(COUNT(C23:F23)=4,D23&lt;6*0.4)</formula>
    </cfRule>
    <cfRule type="expression" priority="132" dxfId="2">
      <formula>AND(COUNT(C23:F23)=4,D23&gt;=6*0.4,D23&lt;6)</formula>
    </cfRule>
  </conditionalFormatting>
  <conditionalFormatting sqref="D24">
    <cfRule type="expression" priority="133" dxfId="0">
      <formula>AND(COUNT(C24:F24)=4,D24=6)</formula>
    </cfRule>
    <cfRule type="expression" priority="134" dxfId="1">
      <formula>AND(COUNT(C24:F24)=4,D24&lt;6*0.4)</formula>
    </cfRule>
    <cfRule type="expression" priority="135" dxfId="2">
      <formula>AND(COUNT(C24:F24)=4,D24&gt;=6*0.4,D24&lt;6)</formula>
    </cfRule>
  </conditionalFormatting>
  <conditionalFormatting sqref="D25">
    <cfRule type="expression" priority="136" dxfId="0">
      <formula>AND(COUNT(C25:F25)=4,D25=6)</formula>
    </cfRule>
    <cfRule type="expression" priority="137" dxfId="1">
      <formula>AND(COUNT(C25:F25)=4,D25&lt;6*0.4)</formula>
    </cfRule>
    <cfRule type="expression" priority="138" dxfId="2">
      <formula>AND(COUNT(C25:F25)=4,D25&gt;=6*0.4,D25&lt;6)</formula>
    </cfRule>
  </conditionalFormatting>
  <conditionalFormatting sqref="D26">
    <cfRule type="expression" priority="139" dxfId="0">
      <formula>AND(COUNT(C26:F26)=4,D26=6)</formula>
    </cfRule>
    <cfRule type="expression" priority="140" dxfId="1">
      <formula>AND(COUNT(C26:F26)=4,D26&lt;6*0.4)</formula>
    </cfRule>
    <cfRule type="expression" priority="141" dxfId="2">
      <formula>AND(COUNT(C26:F26)=4,D26&gt;=6*0.4,D26&lt;6)</formula>
    </cfRule>
  </conditionalFormatting>
  <conditionalFormatting sqref="D27">
    <cfRule type="expression" priority="142" dxfId="0">
      <formula>AND(COUNT(C27:F27)=4,D27=6)</formula>
    </cfRule>
    <cfRule type="expression" priority="143" dxfId="1">
      <formula>AND(COUNT(C27:F27)=4,D27&lt;6*0.4)</formula>
    </cfRule>
    <cfRule type="expression" priority="144" dxfId="2">
      <formula>AND(COUNT(C27:F27)=4,D27&gt;=6*0.4,D27&lt;6)</formula>
    </cfRule>
  </conditionalFormatting>
  <conditionalFormatting sqref="D28">
    <cfRule type="expression" priority="145" dxfId="0">
      <formula>AND(COUNT(C28:F28)=4,D28=6)</formula>
    </cfRule>
    <cfRule type="expression" priority="146" dxfId="1">
      <formula>AND(COUNT(C28:F28)=4,D28&lt;6*0.4)</formula>
    </cfRule>
    <cfRule type="expression" priority="147" dxfId="2">
      <formula>AND(COUNT(C28:F28)=4,D28&gt;=6*0.4,D28&lt;6)</formula>
    </cfRule>
  </conditionalFormatting>
  <conditionalFormatting sqref="D29">
    <cfRule type="expression" priority="148" dxfId="0">
      <formula>AND(COUNT(C29:F29)=4,D29=6)</formula>
    </cfRule>
    <cfRule type="expression" priority="149" dxfId="1">
      <formula>AND(COUNT(C29:F29)=4,D29&lt;6*0.4)</formula>
    </cfRule>
    <cfRule type="expression" priority="150" dxfId="2">
      <formula>AND(COUNT(C29:F29)=4,D29&gt;=6*0.4,D29&lt;6)</formula>
    </cfRule>
  </conditionalFormatting>
  <conditionalFormatting sqref="D30">
    <cfRule type="expression" priority="151" dxfId="0">
      <formula>AND(COUNT(C30:F30)=4,D30=6)</formula>
    </cfRule>
    <cfRule type="expression" priority="152" dxfId="1">
      <formula>AND(COUNT(C30:F30)=4,D30&lt;6*0.4)</formula>
    </cfRule>
    <cfRule type="expression" priority="153" dxfId="2">
      <formula>AND(COUNT(C30:F30)=4,D30&gt;=6*0.4,D30&lt;6)</formula>
    </cfRule>
  </conditionalFormatting>
  <conditionalFormatting sqref="D31">
    <cfRule type="expression" priority="154" dxfId="0">
      <formula>AND(COUNT(C31:F31)=4,D31=6)</formula>
    </cfRule>
    <cfRule type="expression" priority="155" dxfId="1">
      <formula>AND(COUNT(C31:F31)=4,D31&lt;6*0.4)</formula>
    </cfRule>
    <cfRule type="expression" priority="156" dxfId="2">
      <formula>AND(COUNT(C31:F31)=4,D31&gt;=6*0.4,D31&lt;6)</formula>
    </cfRule>
  </conditionalFormatting>
  <conditionalFormatting sqref="D32">
    <cfRule type="expression" priority="157" dxfId="0">
      <formula>AND(COUNT(C32:F32)=4,D32=6)</formula>
    </cfRule>
    <cfRule type="expression" priority="158" dxfId="1">
      <formula>AND(COUNT(C32:F32)=4,D32&lt;6*0.4)</formula>
    </cfRule>
    <cfRule type="expression" priority="159" dxfId="2">
      <formula>AND(COUNT(C32:F32)=4,D32&gt;=6*0.4,D32&lt;6)</formula>
    </cfRule>
  </conditionalFormatting>
  <conditionalFormatting sqref="D33">
    <cfRule type="expression" priority="160" dxfId="0">
      <formula>AND(COUNT(C33:F33)=4,D33=6)</formula>
    </cfRule>
    <cfRule type="expression" priority="161" dxfId="1">
      <formula>AND(COUNT(C33:F33)=4,D33&lt;6*0.4)</formula>
    </cfRule>
    <cfRule type="expression" priority="162" dxfId="2">
      <formula>AND(COUNT(C33:F33)=4,D33&gt;=6*0.4,D33&lt;6)</formula>
    </cfRule>
  </conditionalFormatting>
  <conditionalFormatting sqref="D34">
    <cfRule type="expression" priority="163" dxfId="0">
      <formula>AND(COUNT(C34:F34)=4,D34=6)</formula>
    </cfRule>
    <cfRule type="expression" priority="164" dxfId="1">
      <formula>AND(COUNT(C34:F34)=4,D34&lt;6*0.4)</formula>
    </cfRule>
    <cfRule type="expression" priority="165" dxfId="2">
      <formula>AND(COUNT(C34:F34)=4,D34&gt;=6*0.4,D34&lt;6)</formula>
    </cfRule>
  </conditionalFormatting>
  <conditionalFormatting sqref="D35">
    <cfRule type="expression" priority="166" dxfId="0">
      <formula>AND(COUNT(C35:F35)=4,D35=6)</formula>
    </cfRule>
    <cfRule type="expression" priority="167" dxfId="1">
      <formula>AND(COUNT(C35:F35)=4,D35&lt;6*0.4)</formula>
    </cfRule>
    <cfRule type="expression" priority="168" dxfId="2">
      <formula>AND(COUNT(C35:F35)=4,D35&gt;=6*0.4,D35&lt;6)</formula>
    </cfRule>
  </conditionalFormatting>
  <conditionalFormatting sqref="D36">
    <cfRule type="expression" priority="169" dxfId="0">
      <formula>AND(COUNT(C36:F36)=4,D36=6)</formula>
    </cfRule>
    <cfRule type="expression" priority="170" dxfId="1">
      <formula>AND(COUNT(C36:F36)=4,D36&lt;6*0.4)</formula>
    </cfRule>
    <cfRule type="expression" priority="171" dxfId="2">
      <formula>AND(COUNT(C36:F36)=4,D36&gt;=6*0.4,D36&lt;6)</formula>
    </cfRule>
  </conditionalFormatting>
  <conditionalFormatting sqref="D37">
    <cfRule type="expression" priority="172" dxfId="0">
      <formula>AND(COUNT(C37:F37)=4,D37=6)</formula>
    </cfRule>
    <cfRule type="expression" priority="173" dxfId="1">
      <formula>AND(COUNT(C37:F37)=4,D37&lt;6*0.4)</formula>
    </cfRule>
    <cfRule type="expression" priority="174" dxfId="2">
      <formula>AND(COUNT(C37:F37)=4,D37&gt;=6*0.4,D37&lt;6)</formula>
    </cfRule>
  </conditionalFormatting>
  <conditionalFormatting sqref="D38">
    <cfRule type="expression" priority="175" dxfId="0">
      <formula>AND(COUNT(C38:F38)=4,D38=6)</formula>
    </cfRule>
    <cfRule type="expression" priority="176" dxfId="1">
      <formula>AND(COUNT(C38:F38)=4,D38&lt;6*0.4)</formula>
    </cfRule>
    <cfRule type="expression" priority="177" dxfId="2">
      <formula>AND(COUNT(C38:F38)=4,D38&gt;=6*0.4,D38&lt;6)</formula>
    </cfRule>
  </conditionalFormatting>
  <conditionalFormatting sqref="D39">
    <cfRule type="expression" priority="178" dxfId="0">
      <formula>AND(COUNT(C39:F39)=4,D39=6)</formula>
    </cfRule>
    <cfRule type="expression" priority="179" dxfId="1">
      <formula>AND(COUNT(C39:F39)=4,D39&lt;6*0.4)</formula>
    </cfRule>
    <cfRule type="expression" priority="180" dxfId="2">
      <formula>AND(COUNT(C39:F39)=4,D39&gt;=6*0.4,D39&lt;6)</formula>
    </cfRule>
  </conditionalFormatting>
  <conditionalFormatting sqref="D40">
    <cfRule type="expression" priority="181" dxfId="0">
      <formula>AND(COUNT(C40:F40)=4,D40=6)</formula>
    </cfRule>
    <cfRule type="expression" priority="182" dxfId="1">
      <formula>AND(COUNT(C40:F40)=4,D40&lt;6*0.4)</formula>
    </cfRule>
    <cfRule type="expression" priority="183" dxfId="2">
      <formula>AND(COUNT(C40:F40)=4,D40&gt;=6*0.4,D40&lt;6)</formula>
    </cfRule>
  </conditionalFormatting>
  <conditionalFormatting sqref="D41">
    <cfRule type="expression" priority="184" dxfId="0">
      <formula>AND(COUNT(C41:F41)=4,D41=6)</formula>
    </cfRule>
    <cfRule type="expression" priority="185" dxfId="1">
      <formula>AND(COUNT(C41:F41)=4,D41&lt;6*0.4)</formula>
    </cfRule>
    <cfRule type="expression" priority="186" dxfId="2">
      <formula>AND(COUNT(C41:F41)=4,D41&gt;=6*0.4,D41&lt;6)</formula>
    </cfRule>
  </conditionalFormatting>
  <conditionalFormatting sqref="E11">
    <cfRule type="expression" priority="187" dxfId="0">
      <formula>AND(COUNT(C11:F11)=4,E11=5)</formula>
    </cfRule>
    <cfRule type="expression" priority="188" dxfId="1">
      <formula>AND(COUNT(C11:F11)=4,E11&lt;5*0.4)</formula>
    </cfRule>
    <cfRule type="expression" priority="189" dxfId="2">
      <formula>AND(COUNT(C11:F11)=4,E11&gt;=5*0.4,E11&lt;5)</formula>
    </cfRule>
  </conditionalFormatting>
  <conditionalFormatting sqref="E12">
    <cfRule type="expression" priority="190" dxfId="0">
      <formula>AND(COUNT(C12:F12)=4,E12=5)</formula>
    </cfRule>
    <cfRule type="expression" priority="191" dxfId="1">
      <formula>AND(COUNT(C12:F12)=4,E12&lt;5*0.4)</formula>
    </cfRule>
    <cfRule type="expression" priority="192" dxfId="2">
      <formula>AND(COUNT(C12:F12)=4,E12&gt;=5*0.4,E12&lt;5)</formula>
    </cfRule>
  </conditionalFormatting>
  <conditionalFormatting sqref="E13">
    <cfRule type="expression" priority="193" dxfId="0">
      <formula>AND(COUNT(C13:F13)=4,E13=5)</formula>
    </cfRule>
    <cfRule type="expression" priority="194" dxfId="1">
      <formula>AND(COUNT(C13:F13)=4,E13&lt;5*0.4)</formula>
    </cfRule>
    <cfRule type="expression" priority="195" dxfId="2">
      <formula>AND(COUNT(C13:F13)=4,E13&gt;=5*0.4,E13&lt;5)</formula>
    </cfRule>
  </conditionalFormatting>
  <conditionalFormatting sqref="E14">
    <cfRule type="expression" priority="196" dxfId="0">
      <formula>AND(COUNT(C14:F14)=4,E14=5)</formula>
    </cfRule>
    <cfRule type="expression" priority="197" dxfId="1">
      <formula>AND(COUNT(C14:F14)=4,E14&lt;5*0.4)</formula>
    </cfRule>
    <cfRule type="expression" priority="198" dxfId="2">
      <formula>AND(COUNT(C14:F14)=4,E14&gt;=5*0.4,E14&lt;5)</formula>
    </cfRule>
  </conditionalFormatting>
  <conditionalFormatting sqref="E15">
    <cfRule type="expression" priority="199" dxfId="0">
      <formula>AND(COUNT(C15:F15)=4,E15=5)</formula>
    </cfRule>
    <cfRule type="expression" priority="200" dxfId="1">
      <formula>AND(COUNT(C15:F15)=4,E15&lt;5*0.4)</formula>
    </cfRule>
    <cfRule type="expression" priority="201" dxfId="2">
      <formula>AND(COUNT(C15:F15)=4,E15&gt;=5*0.4,E15&lt;5)</formula>
    </cfRule>
  </conditionalFormatting>
  <conditionalFormatting sqref="E16">
    <cfRule type="expression" priority="202" dxfId="0">
      <formula>AND(COUNT(C16:F16)=4,E16=5)</formula>
    </cfRule>
    <cfRule type="expression" priority="203" dxfId="1">
      <formula>AND(COUNT(C16:F16)=4,E16&lt;5*0.4)</formula>
    </cfRule>
    <cfRule type="expression" priority="204" dxfId="2">
      <formula>AND(COUNT(C16:F16)=4,E16&gt;=5*0.4,E16&lt;5)</formula>
    </cfRule>
  </conditionalFormatting>
  <conditionalFormatting sqref="E17">
    <cfRule type="expression" priority="205" dxfId="0">
      <formula>AND(COUNT(C17:F17)=4,E17=5)</formula>
    </cfRule>
    <cfRule type="expression" priority="206" dxfId="1">
      <formula>AND(COUNT(C17:F17)=4,E17&lt;5*0.4)</formula>
    </cfRule>
    <cfRule type="expression" priority="207" dxfId="2">
      <formula>AND(COUNT(C17:F17)=4,E17&gt;=5*0.4,E17&lt;5)</formula>
    </cfRule>
  </conditionalFormatting>
  <conditionalFormatting sqref="E18">
    <cfRule type="expression" priority="208" dxfId="0">
      <formula>AND(COUNT(C18:F18)=4,E18=5)</formula>
    </cfRule>
    <cfRule type="expression" priority="209" dxfId="1">
      <formula>AND(COUNT(C18:F18)=4,E18&lt;5*0.4)</formula>
    </cfRule>
    <cfRule type="expression" priority="210" dxfId="2">
      <formula>AND(COUNT(C18:F18)=4,E18&gt;=5*0.4,E18&lt;5)</formula>
    </cfRule>
  </conditionalFormatting>
  <conditionalFormatting sqref="E19">
    <cfRule type="expression" priority="211" dxfId="0">
      <formula>AND(COUNT(C19:F19)=4,E19=5)</formula>
    </cfRule>
    <cfRule type="expression" priority="212" dxfId="1">
      <formula>AND(COUNT(C19:F19)=4,E19&lt;5*0.4)</formula>
    </cfRule>
    <cfRule type="expression" priority="213" dxfId="2">
      <formula>AND(COUNT(C19:F19)=4,E19&gt;=5*0.4,E19&lt;5)</formula>
    </cfRule>
  </conditionalFormatting>
  <conditionalFormatting sqref="E20">
    <cfRule type="expression" priority="214" dxfId="0">
      <formula>AND(COUNT(C20:F20)=4,E20=5)</formula>
    </cfRule>
    <cfRule type="expression" priority="215" dxfId="1">
      <formula>AND(COUNT(C20:F20)=4,E20&lt;5*0.4)</formula>
    </cfRule>
    <cfRule type="expression" priority="216" dxfId="2">
      <formula>AND(COUNT(C20:F20)=4,E20&gt;=5*0.4,E20&lt;5)</formula>
    </cfRule>
  </conditionalFormatting>
  <conditionalFormatting sqref="E21">
    <cfRule type="expression" priority="217" dxfId="0">
      <formula>AND(COUNT(C21:F21)=4,E21=5)</formula>
    </cfRule>
    <cfRule type="expression" priority="218" dxfId="1">
      <formula>AND(COUNT(C21:F21)=4,E21&lt;5*0.4)</formula>
    </cfRule>
    <cfRule type="expression" priority="219" dxfId="2">
      <formula>AND(COUNT(C21:F21)=4,E21&gt;=5*0.4,E21&lt;5)</formula>
    </cfRule>
  </conditionalFormatting>
  <conditionalFormatting sqref="E22">
    <cfRule type="expression" priority="220" dxfId="0">
      <formula>AND(COUNT(C22:F22)=4,E22=5)</formula>
    </cfRule>
    <cfRule type="expression" priority="221" dxfId="1">
      <formula>AND(COUNT(C22:F22)=4,E22&lt;5*0.4)</formula>
    </cfRule>
    <cfRule type="expression" priority="222" dxfId="2">
      <formula>AND(COUNT(C22:F22)=4,E22&gt;=5*0.4,E22&lt;5)</formula>
    </cfRule>
  </conditionalFormatting>
  <conditionalFormatting sqref="E23">
    <cfRule type="expression" priority="223" dxfId="0">
      <formula>AND(COUNT(C23:F23)=4,E23=5)</formula>
    </cfRule>
    <cfRule type="expression" priority="224" dxfId="1">
      <formula>AND(COUNT(C23:F23)=4,E23&lt;5*0.4)</formula>
    </cfRule>
    <cfRule type="expression" priority="225" dxfId="2">
      <formula>AND(COUNT(C23:F23)=4,E23&gt;=5*0.4,E23&lt;5)</formula>
    </cfRule>
  </conditionalFormatting>
  <conditionalFormatting sqref="E24">
    <cfRule type="expression" priority="226" dxfId="0">
      <formula>AND(COUNT(C24:F24)=4,E24=5)</formula>
    </cfRule>
    <cfRule type="expression" priority="227" dxfId="1">
      <formula>AND(COUNT(C24:F24)=4,E24&lt;5*0.4)</formula>
    </cfRule>
    <cfRule type="expression" priority="228" dxfId="2">
      <formula>AND(COUNT(C24:F24)=4,E24&gt;=5*0.4,E24&lt;5)</formula>
    </cfRule>
  </conditionalFormatting>
  <conditionalFormatting sqref="E25">
    <cfRule type="expression" priority="229" dxfId="0">
      <formula>AND(COUNT(C25:F25)=4,E25=5)</formula>
    </cfRule>
    <cfRule type="expression" priority="230" dxfId="1">
      <formula>AND(COUNT(C25:F25)=4,E25&lt;5*0.4)</formula>
    </cfRule>
    <cfRule type="expression" priority="231" dxfId="2">
      <formula>AND(COUNT(C25:F25)=4,E25&gt;=5*0.4,E25&lt;5)</formula>
    </cfRule>
  </conditionalFormatting>
  <conditionalFormatting sqref="E26">
    <cfRule type="expression" priority="232" dxfId="0">
      <formula>AND(COUNT(C26:F26)=4,E26=5)</formula>
    </cfRule>
    <cfRule type="expression" priority="233" dxfId="1">
      <formula>AND(COUNT(C26:F26)=4,E26&lt;5*0.4)</formula>
    </cfRule>
    <cfRule type="expression" priority="234" dxfId="2">
      <formula>AND(COUNT(C26:F26)=4,E26&gt;=5*0.4,E26&lt;5)</formula>
    </cfRule>
  </conditionalFormatting>
  <conditionalFormatting sqref="E27">
    <cfRule type="expression" priority="235" dxfId="0">
      <formula>AND(COUNT(C27:F27)=4,E27=5)</formula>
    </cfRule>
    <cfRule type="expression" priority="236" dxfId="1">
      <formula>AND(COUNT(C27:F27)=4,E27&lt;5*0.4)</formula>
    </cfRule>
    <cfRule type="expression" priority="237" dxfId="2">
      <formula>AND(COUNT(C27:F27)=4,E27&gt;=5*0.4,E27&lt;5)</formula>
    </cfRule>
  </conditionalFormatting>
  <conditionalFormatting sqref="E28">
    <cfRule type="expression" priority="238" dxfId="0">
      <formula>AND(COUNT(C28:F28)=4,E28=5)</formula>
    </cfRule>
    <cfRule type="expression" priority="239" dxfId="1">
      <formula>AND(COUNT(C28:F28)=4,E28&lt;5*0.4)</formula>
    </cfRule>
    <cfRule type="expression" priority="240" dxfId="2">
      <formula>AND(COUNT(C28:F28)=4,E28&gt;=5*0.4,E28&lt;5)</formula>
    </cfRule>
  </conditionalFormatting>
  <conditionalFormatting sqref="E29">
    <cfRule type="expression" priority="241" dxfId="0">
      <formula>AND(COUNT(C29:F29)=4,E29=5)</formula>
    </cfRule>
    <cfRule type="expression" priority="242" dxfId="1">
      <formula>AND(COUNT(C29:F29)=4,E29&lt;5*0.4)</formula>
    </cfRule>
    <cfRule type="expression" priority="243" dxfId="2">
      <formula>AND(COUNT(C29:F29)=4,E29&gt;=5*0.4,E29&lt;5)</formula>
    </cfRule>
  </conditionalFormatting>
  <conditionalFormatting sqref="E30">
    <cfRule type="expression" priority="244" dxfId="0">
      <formula>AND(COUNT(C30:F30)=4,E30=5)</formula>
    </cfRule>
    <cfRule type="expression" priority="245" dxfId="1">
      <formula>AND(COUNT(C30:F30)=4,E30&lt;5*0.4)</formula>
    </cfRule>
    <cfRule type="expression" priority="246" dxfId="2">
      <formula>AND(COUNT(C30:F30)=4,E30&gt;=5*0.4,E30&lt;5)</formula>
    </cfRule>
  </conditionalFormatting>
  <conditionalFormatting sqref="E31">
    <cfRule type="expression" priority="247" dxfId="0">
      <formula>AND(COUNT(C31:F31)=4,E31=5)</formula>
    </cfRule>
    <cfRule type="expression" priority="248" dxfId="1">
      <formula>AND(COUNT(C31:F31)=4,E31&lt;5*0.4)</formula>
    </cfRule>
    <cfRule type="expression" priority="249" dxfId="2">
      <formula>AND(COUNT(C31:F31)=4,E31&gt;=5*0.4,E31&lt;5)</formula>
    </cfRule>
  </conditionalFormatting>
  <conditionalFormatting sqref="E32">
    <cfRule type="expression" priority="250" dxfId="0">
      <formula>AND(COUNT(C32:F32)=4,E32=5)</formula>
    </cfRule>
    <cfRule type="expression" priority="251" dxfId="1">
      <formula>AND(COUNT(C32:F32)=4,E32&lt;5*0.4)</formula>
    </cfRule>
    <cfRule type="expression" priority="252" dxfId="2">
      <formula>AND(COUNT(C32:F32)=4,E32&gt;=5*0.4,E32&lt;5)</formula>
    </cfRule>
  </conditionalFormatting>
  <conditionalFormatting sqref="E33">
    <cfRule type="expression" priority="253" dxfId="0">
      <formula>AND(COUNT(C33:F33)=4,E33=5)</formula>
    </cfRule>
    <cfRule type="expression" priority="254" dxfId="1">
      <formula>AND(COUNT(C33:F33)=4,E33&lt;5*0.4)</formula>
    </cfRule>
    <cfRule type="expression" priority="255" dxfId="2">
      <formula>AND(COUNT(C33:F33)=4,E33&gt;=5*0.4,E33&lt;5)</formula>
    </cfRule>
  </conditionalFormatting>
  <conditionalFormatting sqref="E34">
    <cfRule type="expression" priority="256" dxfId="0">
      <formula>AND(COUNT(C34:F34)=4,E34=5)</formula>
    </cfRule>
    <cfRule type="expression" priority="257" dxfId="1">
      <formula>AND(COUNT(C34:F34)=4,E34&lt;5*0.4)</formula>
    </cfRule>
    <cfRule type="expression" priority="258" dxfId="2">
      <formula>AND(COUNT(C34:F34)=4,E34&gt;=5*0.4,E34&lt;5)</formula>
    </cfRule>
  </conditionalFormatting>
  <conditionalFormatting sqref="E35">
    <cfRule type="expression" priority="259" dxfId="0">
      <formula>AND(COUNT(C35:F35)=4,E35=5)</formula>
    </cfRule>
    <cfRule type="expression" priority="260" dxfId="1">
      <formula>AND(COUNT(C35:F35)=4,E35&lt;5*0.4)</formula>
    </cfRule>
    <cfRule type="expression" priority="261" dxfId="2">
      <formula>AND(COUNT(C35:F35)=4,E35&gt;=5*0.4,E35&lt;5)</formula>
    </cfRule>
  </conditionalFormatting>
  <conditionalFormatting sqref="E36">
    <cfRule type="expression" priority="262" dxfId="0">
      <formula>AND(COUNT(C36:F36)=4,E36=5)</formula>
    </cfRule>
    <cfRule type="expression" priority="263" dxfId="1">
      <formula>AND(COUNT(C36:F36)=4,E36&lt;5*0.4)</formula>
    </cfRule>
    <cfRule type="expression" priority="264" dxfId="2">
      <formula>AND(COUNT(C36:F36)=4,E36&gt;=5*0.4,E36&lt;5)</formula>
    </cfRule>
  </conditionalFormatting>
  <conditionalFormatting sqref="E37">
    <cfRule type="expression" priority="265" dxfId="0">
      <formula>AND(COUNT(C37:F37)=4,E37=5)</formula>
    </cfRule>
    <cfRule type="expression" priority="266" dxfId="1">
      <formula>AND(COUNT(C37:F37)=4,E37&lt;5*0.4)</formula>
    </cfRule>
    <cfRule type="expression" priority="267" dxfId="2">
      <formula>AND(COUNT(C37:F37)=4,E37&gt;=5*0.4,E37&lt;5)</formula>
    </cfRule>
  </conditionalFormatting>
  <conditionalFormatting sqref="E38">
    <cfRule type="expression" priority="268" dxfId="0">
      <formula>AND(COUNT(C38:F38)=4,E38=5)</formula>
    </cfRule>
    <cfRule type="expression" priority="269" dxfId="1">
      <formula>AND(COUNT(C38:F38)=4,E38&lt;5*0.4)</formula>
    </cfRule>
    <cfRule type="expression" priority="270" dxfId="2">
      <formula>AND(COUNT(C38:F38)=4,E38&gt;=5*0.4,E38&lt;5)</formula>
    </cfRule>
  </conditionalFormatting>
  <conditionalFormatting sqref="E39">
    <cfRule type="expression" priority="271" dxfId="0">
      <formula>AND(COUNT(C39:F39)=4,E39=5)</formula>
    </cfRule>
    <cfRule type="expression" priority="272" dxfId="1">
      <formula>AND(COUNT(C39:F39)=4,E39&lt;5*0.4)</formula>
    </cfRule>
    <cfRule type="expression" priority="273" dxfId="2">
      <formula>AND(COUNT(C39:F39)=4,E39&gt;=5*0.4,E39&lt;5)</formula>
    </cfRule>
  </conditionalFormatting>
  <conditionalFormatting sqref="E40">
    <cfRule type="expression" priority="274" dxfId="0">
      <formula>AND(COUNT(C40:F40)=4,E40=5)</formula>
    </cfRule>
    <cfRule type="expression" priority="275" dxfId="1">
      <formula>AND(COUNT(C40:F40)=4,E40&lt;5*0.4)</formula>
    </cfRule>
    <cfRule type="expression" priority="276" dxfId="2">
      <formula>AND(COUNT(C40:F40)=4,E40&gt;=5*0.4,E40&lt;5)</formula>
    </cfRule>
  </conditionalFormatting>
  <conditionalFormatting sqref="E41">
    <cfRule type="expression" priority="277" dxfId="0">
      <formula>AND(COUNT(C41:F41)=4,E41=5)</formula>
    </cfRule>
    <cfRule type="expression" priority="278" dxfId="1">
      <formula>AND(COUNT(C41:F41)=4,E41&lt;5*0.4)</formula>
    </cfRule>
    <cfRule type="expression" priority="279" dxfId="2">
      <formula>AND(COUNT(C41:F41)=4,E41&gt;=5*0.4,E41&lt;5)</formula>
    </cfRule>
  </conditionalFormatting>
  <conditionalFormatting sqref="F11">
    <cfRule type="expression" priority="280" dxfId="0">
      <formula>AND(COUNT(C11:F11)=4,F11=4)</formula>
    </cfRule>
    <cfRule type="expression" priority="281" dxfId="1">
      <formula>AND(COUNT(C11:F11)=4,F11&lt;4*0.4)</formula>
    </cfRule>
    <cfRule type="expression" priority="282" dxfId="2">
      <formula>AND(COUNT(C11:F11)=4,F11&gt;=4*0.4,F11&lt;4)</formula>
    </cfRule>
  </conditionalFormatting>
  <conditionalFormatting sqref="F12">
    <cfRule type="expression" priority="283" dxfId="0">
      <formula>AND(COUNT(C12:F12)=4,F12=4)</formula>
    </cfRule>
    <cfRule type="expression" priority="284" dxfId="1">
      <formula>AND(COUNT(C12:F12)=4,F12&lt;4*0.4)</formula>
    </cfRule>
    <cfRule type="expression" priority="285" dxfId="2">
      <formula>AND(COUNT(C12:F12)=4,F12&gt;=4*0.4,F12&lt;4)</formula>
    </cfRule>
  </conditionalFormatting>
  <conditionalFormatting sqref="F13">
    <cfRule type="expression" priority="286" dxfId="0">
      <formula>AND(COUNT(C13:F13)=4,F13=4)</formula>
    </cfRule>
    <cfRule type="expression" priority="287" dxfId="1">
      <formula>AND(COUNT(C13:F13)=4,F13&lt;4*0.4)</formula>
    </cfRule>
    <cfRule type="expression" priority="288" dxfId="2">
      <formula>AND(COUNT(C13:F13)=4,F13&gt;=4*0.4,F13&lt;4)</formula>
    </cfRule>
  </conditionalFormatting>
  <conditionalFormatting sqref="F14">
    <cfRule type="expression" priority="289" dxfId="0">
      <formula>AND(COUNT(C14:F14)=4,F14=4)</formula>
    </cfRule>
    <cfRule type="expression" priority="290" dxfId="1">
      <formula>AND(COUNT(C14:F14)=4,F14&lt;4*0.4)</formula>
    </cfRule>
    <cfRule type="expression" priority="291" dxfId="2">
      <formula>AND(COUNT(C14:F14)=4,F14&gt;=4*0.4,F14&lt;4)</formula>
    </cfRule>
  </conditionalFormatting>
  <conditionalFormatting sqref="F15">
    <cfRule type="expression" priority="292" dxfId="0">
      <formula>AND(COUNT(C15:F15)=4,F15=4)</formula>
    </cfRule>
    <cfRule type="expression" priority="293" dxfId="1">
      <formula>AND(COUNT(C15:F15)=4,F15&lt;4*0.4)</formula>
    </cfRule>
    <cfRule type="expression" priority="294" dxfId="2">
      <formula>AND(COUNT(C15:F15)=4,F15&gt;=4*0.4,F15&lt;4)</formula>
    </cfRule>
  </conditionalFormatting>
  <conditionalFormatting sqref="F16">
    <cfRule type="expression" priority="295" dxfId="0">
      <formula>AND(COUNT(C16:F16)=4,F16=4)</formula>
    </cfRule>
    <cfRule type="expression" priority="296" dxfId="1">
      <formula>AND(COUNT(C16:F16)=4,F16&lt;4*0.4)</formula>
    </cfRule>
    <cfRule type="expression" priority="297" dxfId="2">
      <formula>AND(COUNT(C16:F16)=4,F16&gt;=4*0.4,F16&lt;4)</formula>
    </cfRule>
  </conditionalFormatting>
  <conditionalFormatting sqref="F17">
    <cfRule type="expression" priority="298" dxfId="0">
      <formula>AND(COUNT(C17:F17)=4,F17=4)</formula>
    </cfRule>
    <cfRule type="expression" priority="299" dxfId="1">
      <formula>AND(COUNT(C17:F17)=4,F17&lt;4*0.4)</formula>
    </cfRule>
    <cfRule type="expression" priority="300" dxfId="2">
      <formula>AND(COUNT(C17:F17)=4,F17&gt;=4*0.4,F17&lt;4)</formula>
    </cfRule>
  </conditionalFormatting>
  <conditionalFormatting sqref="F18">
    <cfRule type="expression" priority="301" dxfId="0">
      <formula>AND(COUNT(C18:F18)=4,F18=4)</formula>
    </cfRule>
    <cfRule type="expression" priority="302" dxfId="1">
      <formula>AND(COUNT(C18:F18)=4,F18&lt;4*0.4)</formula>
    </cfRule>
    <cfRule type="expression" priority="303" dxfId="2">
      <formula>AND(COUNT(C18:F18)=4,F18&gt;=4*0.4,F18&lt;4)</formula>
    </cfRule>
  </conditionalFormatting>
  <conditionalFormatting sqref="F19">
    <cfRule type="expression" priority="304" dxfId="0">
      <formula>AND(COUNT(C19:F19)=4,F19=4)</formula>
    </cfRule>
    <cfRule type="expression" priority="305" dxfId="1">
      <formula>AND(COUNT(C19:F19)=4,F19&lt;4*0.4)</formula>
    </cfRule>
    <cfRule type="expression" priority="306" dxfId="2">
      <formula>AND(COUNT(C19:F19)=4,F19&gt;=4*0.4,F19&lt;4)</formula>
    </cfRule>
  </conditionalFormatting>
  <conditionalFormatting sqref="F20">
    <cfRule type="expression" priority="307" dxfId="0">
      <formula>AND(COUNT(C20:F20)=4,F20=4)</formula>
    </cfRule>
    <cfRule type="expression" priority="308" dxfId="1">
      <formula>AND(COUNT(C20:F20)=4,F20&lt;4*0.4)</formula>
    </cfRule>
    <cfRule type="expression" priority="309" dxfId="2">
      <formula>AND(COUNT(C20:F20)=4,F20&gt;=4*0.4,F20&lt;4)</formula>
    </cfRule>
  </conditionalFormatting>
  <conditionalFormatting sqref="F21">
    <cfRule type="expression" priority="310" dxfId="0">
      <formula>AND(COUNT(C21:F21)=4,F21=4)</formula>
    </cfRule>
    <cfRule type="expression" priority="311" dxfId="1">
      <formula>AND(COUNT(C21:F21)=4,F21&lt;4*0.4)</formula>
    </cfRule>
    <cfRule type="expression" priority="312" dxfId="2">
      <formula>AND(COUNT(C21:F21)=4,F21&gt;=4*0.4,F21&lt;4)</formula>
    </cfRule>
  </conditionalFormatting>
  <conditionalFormatting sqref="F22">
    <cfRule type="expression" priority="313" dxfId="0">
      <formula>AND(COUNT(C22:F22)=4,F22=4)</formula>
    </cfRule>
    <cfRule type="expression" priority="314" dxfId="1">
      <formula>AND(COUNT(C22:F22)=4,F22&lt;4*0.4)</formula>
    </cfRule>
    <cfRule type="expression" priority="315" dxfId="2">
      <formula>AND(COUNT(C22:F22)=4,F22&gt;=4*0.4,F22&lt;4)</formula>
    </cfRule>
  </conditionalFormatting>
  <conditionalFormatting sqref="F23">
    <cfRule type="expression" priority="316" dxfId="0">
      <formula>AND(COUNT(C23:F23)=4,F23=4)</formula>
    </cfRule>
    <cfRule type="expression" priority="317" dxfId="1">
      <formula>AND(COUNT(C23:F23)=4,F23&lt;4*0.4)</formula>
    </cfRule>
    <cfRule type="expression" priority="318" dxfId="2">
      <formula>AND(COUNT(C23:F23)=4,F23&gt;=4*0.4,F23&lt;4)</formula>
    </cfRule>
  </conditionalFormatting>
  <conditionalFormatting sqref="F24">
    <cfRule type="expression" priority="319" dxfId="0">
      <formula>AND(COUNT(C24:F24)=4,F24=4)</formula>
    </cfRule>
    <cfRule type="expression" priority="320" dxfId="1">
      <formula>AND(COUNT(C24:F24)=4,F24&lt;4*0.4)</formula>
    </cfRule>
    <cfRule type="expression" priority="321" dxfId="2">
      <formula>AND(COUNT(C24:F24)=4,F24&gt;=4*0.4,F24&lt;4)</formula>
    </cfRule>
  </conditionalFormatting>
  <conditionalFormatting sqref="F25">
    <cfRule type="expression" priority="322" dxfId="0">
      <formula>AND(COUNT(C25:F25)=4,F25=4)</formula>
    </cfRule>
    <cfRule type="expression" priority="323" dxfId="1">
      <formula>AND(COUNT(C25:F25)=4,F25&lt;4*0.4)</formula>
    </cfRule>
    <cfRule type="expression" priority="324" dxfId="2">
      <formula>AND(COUNT(C25:F25)=4,F25&gt;=4*0.4,F25&lt;4)</formula>
    </cfRule>
  </conditionalFormatting>
  <conditionalFormatting sqref="F26">
    <cfRule type="expression" priority="325" dxfId="0">
      <formula>AND(COUNT(C26:F26)=4,F26=4)</formula>
    </cfRule>
    <cfRule type="expression" priority="326" dxfId="1">
      <formula>AND(COUNT(C26:F26)=4,F26&lt;4*0.4)</formula>
    </cfRule>
    <cfRule type="expression" priority="327" dxfId="2">
      <formula>AND(COUNT(C26:F26)=4,F26&gt;=4*0.4,F26&lt;4)</formula>
    </cfRule>
  </conditionalFormatting>
  <conditionalFormatting sqref="F27">
    <cfRule type="expression" priority="328" dxfId="0">
      <formula>AND(COUNT(C27:F27)=4,F27=4)</formula>
    </cfRule>
    <cfRule type="expression" priority="329" dxfId="1">
      <formula>AND(COUNT(C27:F27)=4,F27&lt;4*0.4)</formula>
    </cfRule>
    <cfRule type="expression" priority="330" dxfId="2">
      <formula>AND(COUNT(C27:F27)=4,F27&gt;=4*0.4,F27&lt;4)</formula>
    </cfRule>
  </conditionalFormatting>
  <conditionalFormatting sqref="F28">
    <cfRule type="expression" priority="331" dxfId="0">
      <formula>AND(COUNT(C28:F28)=4,F28=4)</formula>
    </cfRule>
    <cfRule type="expression" priority="332" dxfId="1">
      <formula>AND(COUNT(C28:F28)=4,F28&lt;4*0.4)</formula>
    </cfRule>
    <cfRule type="expression" priority="333" dxfId="2">
      <formula>AND(COUNT(C28:F28)=4,F28&gt;=4*0.4,F28&lt;4)</formula>
    </cfRule>
  </conditionalFormatting>
  <conditionalFormatting sqref="F29">
    <cfRule type="expression" priority="334" dxfId="0">
      <formula>AND(COUNT(C29:F29)=4,F29=4)</formula>
    </cfRule>
    <cfRule type="expression" priority="335" dxfId="1">
      <formula>AND(COUNT(C29:F29)=4,F29&lt;4*0.4)</formula>
    </cfRule>
    <cfRule type="expression" priority="336" dxfId="2">
      <formula>AND(COUNT(C29:F29)=4,F29&gt;=4*0.4,F29&lt;4)</formula>
    </cfRule>
  </conditionalFormatting>
  <conditionalFormatting sqref="F30">
    <cfRule type="expression" priority="337" dxfId="0">
      <formula>AND(COUNT(C30:F30)=4,F30=4)</formula>
    </cfRule>
    <cfRule type="expression" priority="338" dxfId="1">
      <formula>AND(COUNT(C30:F30)=4,F30&lt;4*0.4)</formula>
    </cfRule>
    <cfRule type="expression" priority="339" dxfId="2">
      <formula>AND(COUNT(C30:F30)=4,F30&gt;=4*0.4,F30&lt;4)</formula>
    </cfRule>
  </conditionalFormatting>
  <conditionalFormatting sqref="F31">
    <cfRule type="expression" priority="340" dxfId="0">
      <formula>AND(COUNT(C31:F31)=4,F31=4)</formula>
    </cfRule>
    <cfRule type="expression" priority="341" dxfId="1">
      <formula>AND(COUNT(C31:F31)=4,F31&lt;4*0.4)</formula>
    </cfRule>
    <cfRule type="expression" priority="342" dxfId="2">
      <formula>AND(COUNT(C31:F31)=4,F31&gt;=4*0.4,F31&lt;4)</formula>
    </cfRule>
  </conditionalFormatting>
  <conditionalFormatting sqref="F32">
    <cfRule type="expression" priority="343" dxfId="0">
      <formula>AND(COUNT(C32:F32)=4,F32=4)</formula>
    </cfRule>
    <cfRule type="expression" priority="344" dxfId="1">
      <formula>AND(COUNT(C32:F32)=4,F32&lt;4*0.4)</formula>
    </cfRule>
    <cfRule type="expression" priority="345" dxfId="2">
      <formula>AND(COUNT(C32:F32)=4,F32&gt;=4*0.4,F32&lt;4)</formula>
    </cfRule>
  </conditionalFormatting>
  <conditionalFormatting sqref="F33">
    <cfRule type="expression" priority="346" dxfId="0">
      <formula>AND(COUNT(C33:F33)=4,F33=4)</formula>
    </cfRule>
    <cfRule type="expression" priority="347" dxfId="1">
      <formula>AND(COUNT(C33:F33)=4,F33&lt;4*0.4)</formula>
    </cfRule>
    <cfRule type="expression" priority="348" dxfId="2">
      <formula>AND(COUNT(C33:F33)=4,F33&gt;=4*0.4,F33&lt;4)</formula>
    </cfRule>
  </conditionalFormatting>
  <conditionalFormatting sqref="F34">
    <cfRule type="expression" priority="349" dxfId="0">
      <formula>AND(COUNT(C34:F34)=4,F34=4)</formula>
    </cfRule>
    <cfRule type="expression" priority="350" dxfId="1">
      <formula>AND(COUNT(C34:F34)=4,F34&lt;4*0.4)</formula>
    </cfRule>
    <cfRule type="expression" priority="351" dxfId="2">
      <formula>AND(COUNT(C34:F34)=4,F34&gt;=4*0.4,F34&lt;4)</formula>
    </cfRule>
  </conditionalFormatting>
  <conditionalFormatting sqref="F35">
    <cfRule type="expression" priority="352" dxfId="0">
      <formula>AND(COUNT(C35:F35)=4,F35=4)</formula>
    </cfRule>
    <cfRule type="expression" priority="353" dxfId="1">
      <formula>AND(COUNT(C35:F35)=4,F35&lt;4*0.4)</formula>
    </cfRule>
    <cfRule type="expression" priority="354" dxfId="2">
      <formula>AND(COUNT(C35:F35)=4,F35&gt;=4*0.4,F35&lt;4)</formula>
    </cfRule>
  </conditionalFormatting>
  <conditionalFormatting sqref="F36">
    <cfRule type="expression" priority="355" dxfId="0">
      <formula>AND(COUNT(C36:F36)=4,F36=4)</formula>
    </cfRule>
    <cfRule type="expression" priority="356" dxfId="1">
      <formula>AND(COUNT(C36:F36)=4,F36&lt;4*0.4)</formula>
    </cfRule>
    <cfRule type="expression" priority="357" dxfId="2">
      <formula>AND(COUNT(C36:F36)=4,F36&gt;=4*0.4,F36&lt;4)</formula>
    </cfRule>
  </conditionalFormatting>
  <conditionalFormatting sqref="F37">
    <cfRule type="expression" priority="358" dxfId="0">
      <formula>AND(COUNT(C37:F37)=4,F37=4)</formula>
    </cfRule>
    <cfRule type="expression" priority="359" dxfId="1">
      <formula>AND(COUNT(C37:F37)=4,F37&lt;4*0.4)</formula>
    </cfRule>
    <cfRule type="expression" priority="360" dxfId="2">
      <formula>AND(COUNT(C37:F37)=4,F37&gt;=4*0.4,F37&lt;4)</formula>
    </cfRule>
  </conditionalFormatting>
  <conditionalFormatting sqref="F38">
    <cfRule type="expression" priority="361" dxfId="0">
      <formula>AND(COUNT(C38:F38)=4,F38=4)</formula>
    </cfRule>
    <cfRule type="expression" priority="362" dxfId="1">
      <formula>AND(COUNT(C38:F38)=4,F38&lt;4*0.4)</formula>
    </cfRule>
    <cfRule type="expression" priority="363" dxfId="2">
      <formula>AND(COUNT(C38:F38)=4,F38&gt;=4*0.4,F38&lt;4)</formula>
    </cfRule>
  </conditionalFormatting>
  <conditionalFormatting sqref="F39">
    <cfRule type="expression" priority="364" dxfId="0">
      <formula>AND(COUNT(C39:F39)=4,F39=4)</formula>
    </cfRule>
    <cfRule type="expression" priority="365" dxfId="1">
      <formula>AND(COUNT(C39:F39)=4,F39&lt;4*0.4)</formula>
    </cfRule>
    <cfRule type="expression" priority="366" dxfId="2">
      <formula>AND(COUNT(C39:F39)=4,F39&gt;=4*0.4,F39&lt;4)</formula>
    </cfRule>
  </conditionalFormatting>
  <conditionalFormatting sqref="F40">
    <cfRule type="expression" priority="367" dxfId="0">
      <formula>AND(COUNT(C40:F40)=4,F40=4)</formula>
    </cfRule>
    <cfRule type="expression" priority="368" dxfId="1">
      <formula>AND(COUNT(C40:F40)=4,F40&lt;4*0.4)</formula>
    </cfRule>
    <cfRule type="expression" priority="369" dxfId="2">
      <formula>AND(COUNT(C40:F40)=4,F40&gt;=4*0.4,F40&lt;4)</formula>
    </cfRule>
  </conditionalFormatting>
  <conditionalFormatting sqref="F41">
    <cfRule type="expression" priority="370" dxfId="0">
      <formula>AND(COUNT(C41:F41)=4,F41=4)</formula>
    </cfRule>
    <cfRule type="expression" priority="371" dxfId="1">
      <formula>AND(COUNT(C41:F41)=4,F41&lt;4*0.4)</formula>
    </cfRule>
    <cfRule type="expression" priority="372" dxfId="2">
      <formula>AND(COUNT(C41:F41)=4,F41&gt;=4*0.4,F41&lt;4)</formula>
    </cfRule>
  </conditionalFormatting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Mini Test 7.1 — Correlation and Regression</t>
        </is>
      </c>
    </row>
    <row r="2">
      <c r="A2" s="2" t="inlineStr">
        <is>
          <t>Every block below pulls live from 'MT 7.1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SUMPRODUCT(--ISNUMBER('MT 7.1 Results'!I12:I41))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IF('MT 7.1 Results'!I12="","","Mini Test 7.1 — Correlation and Regression")</f>
        <v/>
      </c>
      <c r="K5">
        <f>IF('MT 7.1 Results'!I13="","","Mini Test 7.1 — Correlation and Regression")</f>
        <v/>
      </c>
    </row>
    <row r="6">
      <c r="A6">
        <f>IF('MT 7.1 Results'!I12="","","Name: "&amp;'MT 7.1 Results'!B12&amp;"   Class: "&amp;'MT 7.1 Results'!$B$3&amp;"   Date: "&amp;TEXT('MT 7.1 Results'!$B$5,"DD/MM/YY"))</f>
        <v/>
      </c>
      <c r="K6">
        <f>IF('MT 7.1 Results'!I13="","","Name: "&amp;'MT 7.1 Results'!B13&amp;"   Class: "&amp;'MT 7.1 Results'!$B$3&amp;"   Date: "&amp;TEXT('MT 7.1 Results'!$B$5,"DD/MM/YY"))</f>
        <v/>
      </c>
    </row>
    <row r="7">
      <c r="A7">
        <f>IF('MT 7.1 Results'!I12="","","Total: "&amp;'MT 7.1 Results'!G12&amp;"/22 ("&amp;TEXT('MT 7.1 Results'!H12,"0%")&amp;")   Overall: "&amp;'MT 7.1 Results'!I12)</f>
        <v/>
      </c>
      <c r="K7">
        <f>IF('MT 7.1 Results'!I13="","","Total: "&amp;'MT 7.1 Results'!G13&amp;"/22 ("&amp;TEXT('MT 7.1 Results'!H13,"0%")&amp;")   Overall: "&amp;'MT 7.1 Results'!I13)</f>
        <v/>
      </c>
    </row>
    <row r="8">
      <c r="A8">
        <f>IF('MT 7.1 Results'!I12="","",IF('MT 7.1 Results'!I12="Green",Parameters!$C$417,IF('MT 7.1 Results'!I12="Yellow",Parameters!$C$416,Parameters!$C$415)))</f>
        <v/>
      </c>
      <c r="K8">
        <f>IF('MT 7.1 Results'!I13="","",IF('MT 7.1 Results'!I13="Green",Parameters!$C$417,IF('MT 7.1 Results'!I13="Yellow",Parameters!$C$416,Parameters!$C$415)))</f>
        <v/>
      </c>
    </row>
    <row r="10">
      <c r="A10">
        <f>IF('MT 7.1 Results'!I12="","","Breakdown:")</f>
        <v/>
      </c>
      <c r="K10">
        <f>IF('MT 7.1 Results'!I13="","","Breakdown:")</f>
        <v/>
      </c>
    </row>
    <row r="11">
      <c r="A11">
        <f>IF('MT 7.1 Results'!I12="","","Q1 Scatter graphs &amp; correlation type: "&amp;'MT 7.1 Results'!C12&amp;"/7")</f>
        <v/>
      </c>
      <c r="K11">
        <f>IF('MT 7.1 Results'!I13="","","Q1 Scatter graphs &amp; correlation type: "&amp;'MT 7.1 Results'!C13&amp;"/7")</f>
        <v/>
      </c>
    </row>
    <row r="12">
      <c r="A12">
        <f>IF('MT 7.1 Results'!I12="","","Q2 Calculating &amp; interpreting PMCC: "&amp;'MT 7.1 Results'!D12&amp;"/6")</f>
        <v/>
      </c>
      <c r="K12">
        <f>IF('MT 7.1 Results'!I13="","","Q2 Calculating &amp; interpreting PMCC: "&amp;'MT 7.1 Results'!D13&amp;"/6")</f>
        <v/>
      </c>
    </row>
    <row r="13">
      <c r="A13">
        <f>IF('MT 7.1 Results'!I12="","","Q3 Correlation vs causation: "&amp;'MT 7.1 Results'!E12&amp;"/5")</f>
        <v/>
      </c>
      <c r="K13">
        <f>IF('MT 7.1 Results'!I13="","","Q3 Correlation vs causation: "&amp;'MT 7.1 Results'!E13&amp;"/5")</f>
        <v/>
      </c>
    </row>
    <row r="14">
      <c r="A14">
        <f>IF('MT 7.1 Results'!I12="","","Q4 Comparing PMCC values: "&amp;'MT 7.1 Results'!F12&amp;"/4")</f>
        <v/>
      </c>
      <c r="K14">
        <f>IF('MT 7.1 Results'!I13="","","Q4 Comparing PMCC values: "&amp;'MT 7.1 Results'!F13&amp;"/4")</f>
        <v/>
      </c>
    </row>
    <row r="15">
      <c r="A15">
        <f>IF(OR('MT 7.1 Results'!I12="",'MT 7.1 Results'!J12=""),"",'MT 7.1 Results'!J12)</f>
        <v/>
      </c>
      <c r="K15">
        <f>IF(OR('MT 7.1 Results'!I13="",'MT 7.1 Results'!J13=""),"",'MT 7.1 Results'!J13)</f>
        <v/>
      </c>
    </row>
    <row r="17">
      <c r="A17">
        <f>IF('MT 7.1 Results'!I12="","","Comments:")</f>
        <v/>
      </c>
      <c r="K17">
        <f>IF('MT 7.1 Results'!I13="","","Comments:")</f>
        <v/>
      </c>
    </row>
    <row r="21">
      <c r="A21">
        <f>IF('MT 7.1 Results'!I14="","","Mini Test 7.1 — Correlation and Regression")</f>
        <v/>
      </c>
      <c r="K21">
        <f>IF('MT 7.1 Results'!I15="","","Mini Test 7.1 — Correlation and Regression")</f>
        <v/>
      </c>
    </row>
    <row r="22">
      <c r="A22">
        <f>IF('MT 7.1 Results'!I14="","","Name: "&amp;'MT 7.1 Results'!B14&amp;"   Class: "&amp;'MT 7.1 Results'!$B$3&amp;"   Date: "&amp;TEXT('MT 7.1 Results'!$B$5,"DD/MM/YY"))</f>
        <v/>
      </c>
      <c r="K22">
        <f>IF('MT 7.1 Results'!I15="","","Name: "&amp;'MT 7.1 Results'!B15&amp;"   Class: "&amp;'MT 7.1 Results'!$B$3&amp;"   Date: "&amp;TEXT('MT 7.1 Results'!$B$5,"DD/MM/YY"))</f>
        <v/>
      </c>
    </row>
    <row r="23">
      <c r="A23">
        <f>IF('MT 7.1 Results'!I14="","","Total: "&amp;'MT 7.1 Results'!G14&amp;"/22 ("&amp;TEXT('MT 7.1 Results'!H14,"0%")&amp;")   Overall: "&amp;'MT 7.1 Results'!I14)</f>
        <v/>
      </c>
      <c r="K23">
        <f>IF('MT 7.1 Results'!I15="","","Total: "&amp;'MT 7.1 Results'!G15&amp;"/22 ("&amp;TEXT('MT 7.1 Results'!H15,"0%")&amp;")   Overall: "&amp;'MT 7.1 Results'!I15)</f>
        <v/>
      </c>
    </row>
    <row r="24">
      <c r="A24">
        <f>IF('MT 7.1 Results'!I14="","",IF('MT 7.1 Results'!I14="Green",Parameters!$C$417,IF('MT 7.1 Results'!I14="Yellow",Parameters!$C$416,Parameters!$C$415)))</f>
        <v/>
      </c>
      <c r="K24">
        <f>IF('MT 7.1 Results'!I15="","",IF('MT 7.1 Results'!I15="Green",Parameters!$C$417,IF('MT 7.1 Results'!I15="Yellow",Parameters!$C$416,Parameters!$C$415)))</f>
        <v/>
      </c>
    </row>
    <row r="26">
      <c r="A26">
        <f>IF('MT 7.1 Results'!I14="","","Breakdown:")</f>
        <v/>
      </c>
      <c r="K26">
        <f>IF('MT 7.1 Results'!I15="","","Breakdown:")</f>
        <v/>
      </c>
    </row>
    <row r="27">
      <c r="A27">
        <f>IF('MT 7.1 Results'!I14="","","Q1 Scatter graphs &amp; correlation type: "&amp;'MT 7.1 Results'!C14&amp;"/7")</f>
        <v/>
      </c>
      <c r="K27">
        <f>IF('MT 7.1 Results'!I15="","","Q1 Scatter graphs &amp; correlation type: "&amp;'MT 7.1 Results'!C15&amp;"/7")</f>
        <v/>
      </c>
    </row>
    <row r="28">
      <c r="A28">
        <f>IF('MT 7.1 Results'!I14="","","Q2 Calculating &amp; interpreting PMCC: "&amp;'MT 7.1 Results'!D14&amp;"/6")</f>
        <v/>
      </c>
      <c r="K28">
        <f>IF('MT 7.1 Results'!I15="","","Q2 Calculating &amp; interpreting PMCC: "&amp;'MT 7.1 Results'!D15&amp;"/6")</f>
        <v/>
      </c>
    </row>
    <row r="29">
      <c r="A29">
        <f>IF('MT 7.1 Results'!I14="","","Q3 Correlation vs causation: "&amp;'MT 7.1 Results'!E14&amp;"/5")</f>
        <v/>
      </c>
      <c r="K29">
        <f>IF('MT 7.1 Results'!I15="","","Q3 Correlation vs causation: "&amp;'MT 7.1 Results'!E15&amp;"/5")</f>
        <v/>
      </c>
    </row>
    <row r="30">
      <c r="A30">
        <f>IF('MT 7.1 Results'!I14="","","Q4 Comparing PMCC values: "&amp;'MT 7.1 Results'!F14&amp;"/4")</f>
        <v/>
      </c>
      <c r="K30">
        <f>IF('MT 7.1 Results'!I15="","","Q4 Comparing PMCC values: "&amp;'MT 7.1 Results'!F15&amp;"/4")</f>
        <v/>
      </c>
    </row>
    <row r="31">
      <c r="A31">
        <f>IF(OR('MT 7.1 Results'!I14="",'MT 7.1 Results'!J14=""),"",'MT 7.1 Results'!J14)</f>
        <v/>
      </c>
      <c r="K31">
        <f>IF(OR('MT 7.1 Results'!I15="",'MT 7.1 Results'!J15=""),"",'MT 7.1 Results'!J15)</f>
        <v/>
      </c>
    </row>
    <row r="33">
      <c r="A33">
        <f>IF('MT 7.1 Results'!I14="","","Comments:")</f>
        <v/>
      </c>
      <c r="K33">
        <f>IF('MT 7.1 Results'!I15="","","Comments:")</f>
        <v/>
      </c>
    </row>
    <row r="37">
      <c r="A37">
        <f>IF('MT 7.1 Results'!I16="","","Mini Test 7.1 — Correlation and Regression")</f>
        <v/>
      </c>
      <c r="K37">
        <f>IF('MT 7.1 Results'!I17="","","Mini Test 7.1 — Correlation and Regression")</f>
        <v/>
      </c>
    </row>
    <row r="38">
      <c r="A38">
        <f>IF('MT 7.1 Results'!I16="","","Name: "&amp;'MT 7.1 Results'!B16&amp;"   Class: "&amp;'MT 7.1 Results'!$B$3&amp;"   Date: "&amp;TEXT('MT 7.1 Results'!$B$5,"DD/MM/YY"))</f>
        <v/>
      </c>
      <c r="K38">
        <f>IF('MT 7.1 Results'!I17="","","Name: "&amp;'MT 7.1 Results'!B17&amp;"   Class: "&amp;'MT 7.1 Results'!$B$3&amp;"   Date: "&amp;TEXT('MT 7.1 Results'!$B$5,"DD/MM/YY"))</f>
        <v/>
      </c>
    </row>
    <row r="39">
      <c r="A39">
        <f>IF('MT 7.1 Results'!I16="","","Total: "&amp;'MT 7.1 Results'!G16&amp;"/22 ("&amp;TEXT('MT 7.1 Results'!H16,"0%")&amp;")   Overall: "&amp;'MT 7.1 Results'!I16)</f>
        <v/>
      </c>
      <c r="K39">
        <f>IF('MT 7.1 Results'!I17="","","Total: "&amp;'MT 7.1 Results'!G17&amp;"/22 ("&amp;TEXT('MT 7.1 Results'!H17,"0%")&amp;")   Overall: "&amp;'MT 7.1 Results'!I17)</f>
        <v/>
      </c>
    </row>
    <row r="40">
      <c r="A40">
        <f>IF('MT 7.1 Results'!I16="","",IF('MT 7.1 Results'!I16="Green",Parameters!$C$417,IF('MT 7.1 Results'!I16="Yellow",Parameters!$C$416,Parameters!$C$415)))</f>
        <v/>
      </c>
      <c r="K40">
        <f>IF('MT 7.1 Results'!I17="","",IF('MT 7.1 Results'!I17="Green",Parameters!$C$417,IF('MT 7.1 Results'!I17="Yellow",Parameters!$C$416,Parameters!$C$415)))</f>
        <v/>
      </c>
    </row>
    <row r="42">
      <c r="A42">
        <f>IF('MT 7.1 Results'!I16="","","Breakdown:")</f>
        <v/>
      </c>
      <c r="K42">
        <f>IF('MT 7.1 Results'!I17="","","Breakdown:")</f>
        <v/>
      </c>
    </row>
    <row r="43">
      <c r="A43">
        <f>IF('MT 7.1 Results'!I16="","","Q1 Scatter graphs &amp; correlation type: "&amp;'MT 7.1 Results'!C16&amp;"/7")</f>
        <v/>
      </c>
      <c r="K43">
        <f>IF('MT 7.1 Results'!I17="","","Q1 Scatter graphs &amp; correlation type: "&amp;'MT 7.1 Results'!C17&amp;"/7")</f>
        <v/>
      </c>
    </row>
    <row r="44">
      <c r="A44">
        <f>IF('MT 7.1 Results'!I16="","","Q2 Calculating &amp; interpreting PMCC: "&amp;'MT 7.1 Results'!D16&amp;"/6")</f>
        <v/>
      </c>
      <c r="K44">
        <f>IF('MT 7.1 Results'!I17="","","Q2 Calculating &amp; interpreting PMCC: "&amp;'MT 7.1 Results'!D17&amp;"/6")</f>
        <v/>
      </c>
    </row>
    <row r="45">
      <c r="A45">
        <f>IF('MT 7.1 Results'!I16="","","Q3 Correlation vs causation: "&amp;'MT 7.1 Results'!E16&amp;"/5")</f>
        <v/>
      </c>
      <c r="K45">
        <f>IF('MT 7.1 Results'!I17="","","Q3 Correlation vs causation: "&amp;'MT 7.1 Results'!E17&amp;"/5")</f>
        <v/>
      </c>
    </row>
    <row r="46">
      <c r="A46">
        <f>IF('MT 7.1 Results'!I16="","","Q4 Comparing PMCC values: "&amp;'MT 7.1 Results'!F16&amp;"/4")</f>
        <v/>
      </c>
      <c r="K46">
        <f>IF('MT 7.1 Results'!I17="","","Q4 Comparing PMCC values: "&amp;'MT 7.1 Results'!F17&amp;"/4")</f>
        <v/>
      </c>
    </row>
    <row r="47">
      <c r="A47">
        <f>IF(OR('MT 7.1 Results'!I16="",'MT 7.1 Results'!J16=""),"",'MT 7.1 Results'!J16)</f>
        <v/>
      </c>
      <c r="K47">
        <f>IF(OR('MT 7.1 Results'!I17="",'MT 7.1 Results'!J17=""),"",'MT 7.1 Results'!J17)</f>
        <v/>
      </c>
    </row>
    <row r="49">
      <c r="A49">
        <f>IF('MT 7.1 Results'!I16="","","Comments:")</f>
        <v/>
      </c>
      <c r="K49">
        <f>IF('MT 7.1 Results'!I17="","","Comments:")</f>
        <v/>
      </c>
    </row>
    <row r="53">
      <c r="A53">
        <f>IF('MT 7.1 Results'!I18="","","Mini Test 7.1 — Correlation and Regression")</f>
        <v/>
      </c>
      <c r="K53">
        <f>IF('MT 7.1 Results'!I19="","","Mini Test 7.1 — Correlation and Regression")</f>
        <v/>
      </c>
    </row>
    <row r="54">
      <c r="A54">
        <f>IF('MT 7.1 Results'!I18="","","Name: "&amp;'MT 7.1 Results'!B18&amp;"   Class: "&amp;'MT 7.1 Results'!$B$3&amp;"   Date: "&amp;TEXT('MT 7.1 Results'!$B$5,"DD/MM/YY"))</f>
        <v/>
      </c>
      <c r="K54">
        <f>IF('MT 7.1 Results'!I19="","","Name: "&amp;'MT 7.1 Results'!B19&amp;"   Class: "&amp;'MT 7.1 Results'!$B$3&amp;"   Date: "&amp;TEXT('MT 7.1 Results'!$B$5,"DD/MM/YY"))</f>
        <v/>
      </c>
    </row>
    <row r="55">
      <c r="A55">
        <f>IF('MT 7.1 Results'!I18="","","Total: "&amp;'MT 7.1 Results'!G18&amp;"/22 ("&amp;TEXT('MT 7.1 Results'!H18,"0%")&amp;")   Overall: "&amp;'MT 7.1 Results'!I18)</f>
        <v/>
      </c>
      <c r="K55">
        <f>IF('MT 7.1 Results'!I19="","","Total: "&amp;'MT 7.1 Results'!G19&amp;"/22 ("&amp;TEXT('MT 7.1 Results'!H19,"0%")&amp;")   Overall: "&amp;'MT 7.1 Results'!I19)</f>
        <v/>
      </c>
    </row>
    <row r="56">
      <c r="A56">
        <f>IF('MT 7.1 Results'!I18="","",IF('MT 7.1 Results'!I18="Green",Parameters!$C$417,IF('MT 7.1 Results'!I18="Yellow",Parameters!$C$416,Parameters!$C$415)))</f>
        <v/>
      </c>
      <c r="K56">
        <f>IF('MT 7.1 Results'!I19="","",IF('MT 7.1 Results'!I19="Green",Parameters!$C$417,IF('MT 7.1 Results'!I19="Yellow",Parameters!$C$416,Parameters!$C$415)))</f>
        <v/>
      </c>
    </row>
    <row r="58">
      <c r="A58">
        <f>IF('MT 7.1 Results'!I18="","","Breakdown:")</f>
        <v/>
      </c>
      <c r="K58">
        <f>IF('MT 7.1 Results'!I19="","","Breakdown:")</f>
        <v/>
      </c>
    </row>
    <row r="59">
      <c r="A59">
        <f>IF('MT 7.1 Results'!I18="","","Q1 Scatter graphs &amp; correlation type: "&amp;'MT 7.1 Results'!C18&amp;"/7")</f>
        <v/>
      </c>
      <c r="K59">
        <f>IF('MT 7.1 Results'!I19="","","Q1 Scatter graphs &amp; correlation type: "&amp;'MT 7.1 Results'!C19&amp;"/7")</f>
        <v/>
      </c>
    </row>
    <row r="60">
      <c r="A60">
        <f>IF('MT 7.1 Results'!I18="","","Q2 Calculating &amp; interpreting PMCC: "&amp;'MT 7.1 Results'!D18&amp;"/6")</f>
        <v/>
      </c>
      <c r="K60">
        <f>IF('MT 7.1 Results'!I19="","","Q2 Calculating &amp; interpreting PMCC: "&amp;'MT 7.1 Results'!D19&amp;"/6")</f>
        <v/>
      </c>
    </row>
    <row r="61">
      <c r="A61">
        <f>IF('MT 7.1 Results'!I18="","","Q3 Correlation vs causation: "&amp;'MT 7.1 Results'!E18&amp;"/5")</f>
        <v/>
      </c>
      <c r="K61">
        <f>IF('MT 7.1 Results'!I19="","","Q3 Correlation vs causation: "&amp;'MT 7.1 Results'!E19&amp;"/5")</f>
        <v/>
      </c>
    </row>
    <row r="62">
      <c r="A62">
        <f>IF('MT 7.1 Results'!I18="","","Q4 Comparing PMCC values: "&amp;'MT 7.1 Results'!F18&amp;"/4")</f>
        <v/>
      </c>
      <c r="K62">
        <f>IF('MT 7.1 Results'!I19="","","Q4 Comparing PMCC values: "&amp;'MT 7.1 Results'!F19&amp;"/4")</f>
        <v/>
      </c>
    </row>
    <row r="63">
      <c r="A63">
        <f>IF(OR('MT 7.1 Results'!I18="",'MT 7.1 Results'!J18=""),"",'MT 7.1 Results'!J18)</f>
        <v/>
      </c>
      <c r="K63">
        <f>IF(OR('MT 7.1 Results'!I19="",'MT 7.1 Results'!J19=""),"",'MT 7.1 Results'!J19)</f>
        <v/>
      </c>
    </row>
    <row r="65">
      <c r="A65">
        <f>IF('MT 7.1 Results'!I18="","","Comments:")</f>
        <v/>
      </c>
      <c r="K65">
        <f>IF('MT 7.1 Results'!I19="","","Comments:")</f>
        <v/>
      </c>
    </row>
    <row r="69">
      <c r="A69">
        <f>IF('MT 7.1 Results'!I20="","","Mini Test 7.1 — Correlation and Regression")</f>
        <v/>
      </c>
      <c r="K69">
        <f>IF('MT 7.1 Results'!I21="","","Mini Test 7.1 — Correlation and Regression")</f>
        <v/>
      </c>
    </row>
    <row r="70">
      <c r="A70">
        <f>IF('MT 7.1 Results'!I20="","","Name: "&amp;'MT 7.1 Results'!B20&amp;"   Class: "&amp;'MT 7.1 Results'!$B$3&amp;"   Date: "&amp;TEXT('MT 7.1 Results'!$B$5,"DD/MM/YY"))</f>
        <v/>
      </c>
      <c r="K70">
        <f>IF('MT 7.1 Results'!I21="","","Name: "&amp;'MT 7.1 Results'!B21&amp;"   Class: "&amp;'MT 7.1 Results'!$B$3&amp;"   Date: "&amp;TEXT('MT 7.1 Results'!$B$5,"DD/MM/YY"))</f>
        <v/>
      </c>
    </row>
    <row r="71">
      <c r="A71">
        <f>IF('MT 7.1 Results'!I20="","","Total: "&amp;'MT 7.1 Results'!G20&amp;"/22 ("&amp;TEXT('MT 7.1 Results'!H20,"0%")&amp;")   Overall: "&amp;'MT 7.1 Results'!I20)</f>
        <v/>
      </c>
      <c r="K71">
        <f>IF('MT 7.1 Results'!I21="","","Total: "&amp;'MT 7.1 Results'!G21&amp;"/22 ("&amp;TEXT('MT 7.1 Results'!H21,"0%")&amp;")   Overall: "&amp;'MT 7.1 Results'!I21)</f>
        <v/>
      </c>
    </row>
    <row r="72">
      <c r="A72">
        <f>IF('MT 7.1 Results'!I20="","",IF('MT 7.1 Results'!I20="Green",Parameters!$C$417,IF('MT 7.1 Results'!I20="Yellow",Parameters!$C$416,Parameters!$C$415)))</f>
        <v/>
      </c>
      <c r="K72">
        <f>IF('MT 7.1 Results'!I21="","",IF('MT 7.1 Results'!I21="Green",Parameters!$C$417,IF('MT 7.1 Results'!I21="Yellow",Parameters!$C$416,Parameters!$C$415)))</f>
        <v/>
      </c>
    </row>
    <row r="74">
      <c r="A74">
        <f>IF('MT 7.1 Results'!I20="","","Breakdown:")</f>
        <v/>
      </c>
      <c r="K74">
        <f>IF('MT 7.1 Results'!I21="","","Breakdown:")</f>
        <v/>
      </c>
    </row>
    <row r="75">
      <c r="A75">
        <f>IF('MT 7.1 Results'!I20="","","Q1 Scatter graphs &amp; correlation type: "&amp;'MT 7.1 Results'!C20&amp;"/7")</f>
        <v/>
      </c>
      <c r="K75">
        <f>IF('MT 7.1 Results'!I21="","","Q1 Scatter graphs &amp; correlation type: "&amp;'MT 7.1 Results'!C21&amp;"/7")</f>
        <v/>
      </c>
    </row>
    <row r="76">
      <c r="A76">
        <f>IF('MT 7.1 Results'!I20="","","Q2 Calculating &amp; interpreting PMCC: "&amp;'MT 7.1 Results'!D20&amp;"/6")</f>
        <v/>
      </c>
      <c r="K76">
        <f>IF('MT 7.1 Results'!I21="","","Q2 Calculating &amp; interpreting PMCC: "&amp;'MT 7.1 Results'!D21&amp;"/6")</f>
        <v/>
      </c>
    </row>
    <row r="77">
      <c r="A77">
        <f>IF('MT 7.1 Results'!I20="","","Q3 Correlation vs causation: "&amp;'MT 7.1 Results'!E20&amp;"/5")</f>
        <v/>
      </c>
      <c r="K77">
        <f>IF('MT 7.1 Results'!I21="","","Q3 Correlation vs causation: "&amp;'MT 7.1 Results'!E21&amp;"/5")</f>
        <v/>
      </c>
    </row>
    <row r="78">
      <c r="A78">
        <f>IF('MT 7.1 Results'!I20="","","Q4 Comparing PMCC values: "&amp;'MT 7.1 Results'!F20&amp;"/4")</f>
        <v/>
      </c>
      <c r="K78">
        <f>IF('MT 7.1 Results'!I21="","","Q4 Comparing PMCC values: "&amp;'MT 7.1 Results'!F21&amp;"/4")</f>
        <v/>
      </c>
    </row>
    <row r="79">
      <c r="A79">
        <f>IF(OR('MT 7.1 Results'!I20="",'MT 7.1 Results'!J20=""),"",'MT 7.1 Results'!J20)</f>
        <v/>
      </c>
      <c r="K79">
        <f>IF(OR('MT 7.1 Results'!I21="",'MT 7.1 Results'!J21=""),"",'MT 7.1 Results'!J21)</f>
        <v/>
      </c>
    </row>
    <row r="81">
      <c r="A81">
        <f>IF('MT 7.1 Results'!I20="","","Comments:")</f>
        <v/>
      </c>
      <c r="K81">
        <f>IF('MT 7.1 Results'!I21="","","Comments:")</f>
        <v/>
      </c>
    </row>
    <row r="85">
      <c r="A85">
        <f>IF('MT 7.1 Results'!I22="","","Mini Test 7.1 — Correlation and Regression")</f>
        <v/>
      </c>
      <c r="K85">
        <f>IF('MT 7.1 Results'!I23="","","Mini Test 7.1 — Correlation and Regression")</f>
        <v/>
      </c>
    </row>
    <row r="86">
      <c r="A86">
        <f>IF('MT 7.1 Results'!I22="","","Name: "&amp;'MT 7.1 Results'!B22&amp;"   Class: "&amp;'MT 7.1 Results'!$B$3&amp;"   Date: "&amp;TEXT('MT 7.1 Results'!$B$5,"DD/MM/YY"))</f>
        <v/>
      </c>
      <c r="K86">
        <f>IF('MT 7.1 Results'!I23="","","Name: "&amp;'MT 7.1 Results'!B23&amp;"   Class: "&amp;'MT 7.1 Results'!$B$3&amp;"   Date: "&amp;TEXT('MT 7.1 Results'!$B$5,"DD/MM/YY"))</f>
        <v/>
      </c>
    </row>
    <row r="87">
      <c r="A87">
        <f>IF('MT 7.1 Results'!I22="","","Total: "&amp;'MT 7.1 Results'!G22&amp;"/22 ("&amp;TEXT('MT 7.1 Results'!H22,"0%")&amp;")   Overall: "&amp;'MT 7.1 Results'!I22)</f>
        <v/>
      </c>
      <c r="K87">
        <f>IF('MT 7.1 Results'!I23="","","Total: "&amp;'MT 7.1 Results'!G23&amp;"/22 ("&amp;TEXT('MT 7.1 Results'!H23,"0%")&amp;")   Overall: "&amp;'MT 7.1 Results'!I23)</f>
        <v/>
      </c>
    </row>
    <row r="88">
      <c r="A88">
        <f>IF('MT 7.1 Results'!I22="","",IF('MT 7.1 Results'!I22="Green",Parameters!$C$417,IF('MT 7.1 Results'!I22="Yellow",Parameters!$C$416,Parameters!$C$415)))</f>
        <v/>
      </c>
      <c r="K88">
        <f>IF('MT 7.1 Results'!I23="","",IF('MT 7.1 Results'!I23="Green",Parameters!$C$417,IF('MT 7.1 Results'!I23="Yellow",Parameters!$C$416,Parameters!$C$415)))</f>
        <v/>
      </c>
    </row>
    <row r="90">
      <c r="A90">
        <f>IF('MT 7.1 Results'!I22="","","Breakdown:")</f>
        <v/>
      </c>
      <c r="K90">
        <f>IF('MT 7.1 Results'!I23="","","Breakdown:")</f>
        <v/>
      </c>
    </row>
    <row r="91">
      <c r="A91">
        <f>IF('MT 7.1 Results'!I22="","","Q1 Scatter graphs &amp; correlation type: "&amp;'MT 7.1 Results'!C22&amp;"/7")</f>
        <v/>
      </c>
      <c r="K91">
        <f>IF('MT 7.1 Results'!I23="","","Q1 Scatter graphs &amp; correlation type: "&amp;'MT 7.1 Results'!C23&amp;"/7")</f>
        <v/>
      </c>
    </row>
    <row r="92">
      <c r="A92">
        <f>IF('MT 7.1 Results'!I22="","","Q2 Calculating &amp; interpreting PMCC: "&amp;'MT 7.1 Results'!D22&amp;"/6")</f>
        <v/>
      </c>
      <c r="K92">
        <f>IF('MT 7.1 Results'!I23="","","Q2 Calculating &amp; interpreting PMCC: "&amp;'MT 7.1 Results'!D23&amp;"/6")</f>
        <v/>
      </c>
    </row>
    <row r="93">
      <c r="A93">
        <f>IF('MT 7.1 Results'!I22="","","Q3 Correlation vs causation: "&amp;'MT 7.1 Results'!E22&amp;"/5")</f>
        <v/>
      </c>
      <c r="K93">
        <f>IF('MT 7.1 Results'!I23="","","Q3 Correlation vs causation: "&amp;'MT 7.1 Results'!E23&amp;"/5")</f>
        <v/>
      </c>
    </row>
    <row r="94">
      <c r="A94">
        <f>IF('MT 7.1 Results'!I22="","","Q4 Comparing PMCC values: "&amp;'MT 7.1 Results'!F22&amp;"/4")</f>
        <v/>
      </c>
      <c r="K94">
        <f>IF('MT 7.1 Results'!I23="","","Q4 Comparing PMCC values: "&amp;'MT 7.1 Results'!F23&amp;"/4")</f>
        <v/>
      </c>
    </row>
    <row r="95">
      <c r="A95">
        <f>IF(OR('MT 7.1 Results'!I22="",'MT 7.1 Results'!J22=""),"",'MT 7.1 Results'!J22)</f>
        <v/>
      </c>
      <c r="K95">
        <f>IF(OR('MT 7.1 Results'!I23="",'MT 7.1 Results'!J23=""),"",'MT 7.1 Results'!J23)</f>
        <v/>
      </c>
    </row>
    <row r="97">
      <c r="A97">
        <f>IF('MT 7.1 Results'!I22="","","Comments:")</f>
        <v/>
      </c>
      <c r="K97">
        <f>IF('MT 7.1 Results'!I23="","","Comments:")</f>
        <v/>
      </c>
    </row>
    <row r="101">
      <c r="A101">
        <f>IF('MT 7.1 Results'!I24="","","Mini Test 7.1 — Correlation and Regression")</f>
        <v/>
      </c>
      <c r="K101">
        <f>IF('MT 7.1 Results'!I25="","","Mini Test 7.1 — Correlation and Regression")</f>
        <v/>
      </c>
    </row>
    <row r="102">
      <c r="A102">
        <f>IF('MT 7.1 Results'!I24="","","Name: "&amp;'MT 7.1 Results'!B24&amp;"   Class: "&amp;'MT 7.1 Results'!$B$3&amp;"   Date: "&amp;TEXT('MT 7.1 Results'!$B$5,"DD/MM/YY"))</f>
        <v/>
      </c>
      <c r="K102">
        <f>IF('MT 7.1 Results'!I25="","","Name: "&amp;'MT 7.1 Results'!B25&amp;"   Class: "&amp;'MT 7.1 Results'!$B$3&amp;"   Date: "&amp;TEXT('MT 7.1 Results'!$B$5,"DD/MM/YY"))</f>
        <v/>
      </c>
    </row>
    <row r="103">
      <c r="A103">
        <f>IF('MT 7.1 Results'!I24="","","Total: "&amp;'MT 7.1 Results'!G24&amp;"/22 ("&amp;TEXT('MT 7.1 Results'!H24,"0%")&amp;")   Overall: "&amp;'MT 7.1 Results'!I24)</f>
        <v/>
      </c>
      <c r="K103">
        <f>IF('MT 7.1 Results'!I25="","","Total: "&amp;'MT 7.1 Results'!G25&amp;"/22 ("&amp;TEXT('MT 7.1 Results'!H25,"0%")&amp;")   Overall: "&amp;'MT 7.1 Results'!I25)</f>
        <v/>
      </c>
    </row>
    <row r="104">
      <c r="A104">
        <f>IF('MT 7.1 Results'!I24="","",IF('MT 7.1 Results'!I24="Green",Parameters!$C$417,IF('MT 7.1 Results'!I24="Yellow",Parameters!$C$416,Parameters!$C$415)))</f>
        <v/>
      </c>
      <c r="K104">
        <f>IF('MT 7.1 Results'!I25="","",IF('MT 7.1 Results'!I25="Green",Parameters!$C$417,IF('MT 7.1 Results'!I25="Yellow",Parameters!$C$416,Parameters!$C$415)))</f>
        <v/>
      </c>
    </row>
    <row r="106">
      <c r="A106">
        <f>IF('MT 7.1 Results'!I24="","","Breakdown:")</f>
        <v/>
      </c>
      <c r="K106">
        <f>IF('MT 7.1 Results'!I25="","","Breakdown:")</f>
        <v/>
      </c>
    </row>
    <row r="107">
      <c r="A107">
        <f>IF('MT 7.1 Results'!I24="","","Q1 Scatter graphs &amp; correlation type: "&amp;'MT 7.1 Results'!C24&amp;"/7")</f>
        <v/>
      </c>
      <c r="K107">
        <f>IF('MT 7.1 Results'!I25="","","Q1 Scatter graphs &amp; correlation type: "&amp;'MT 7.1 Results'!C25&amp;"/7")</f>
        <v/>
      </c>
    </row>
    <row r="108">
      <c r="A108">
        <f>IF('MT 7.1 Results'!I24="","","Q2 Calculating &amp; interpreting PMCC: "&amp;'MT 7.1 Results'!D24&amp;"/6")</f>
        <v/>
      </c>
      <c r="K108">
        <f>IF('MT 7.1 Results'!I25="","","Q2 Calculating &amp; interpreting PMCC: "&amp;'MT 7.1 Results'!D25&amp;"/6")</f>
        <v/>
      </c>
    </row>
    <row r="109">
      <c r="A109">
        <f>IF('MT 7.1 Results'!I24="","","Q3 Correlation vs causation: "&amp;'MT 7.1 Results'!E24&amp;"/5")</f>
        <v/>
      </c>
      <c r="K109">
        <f>IF('MT 7.1 Results'!I25="","","Q3 Correlation vs causation: "&amp;'MT 7.1 Results'!E25&amp;"/5")</f>
        <v/>
      </c>
    </row>
    <row r="110">
      <c r="A110">
        <f>IF('MT 7.1 Results'!I24="","","Q4 Comparing PMCC values: "&amp;'MT 7.1 Results'!F24&amp;"/4")</f>
        <v/>
      </c>
      <c r="K110">
        <f>IF('MT 7.1 Results'!I25="","","Q4 Comparing PMCC values: "&amp;'MT 7.1 Results'!F25&amp;"/4")</f>
        <v/>
      </c>
    </row>
    <row r="111">
      <c r="A111">
        <f>IF(OR('MT 7.1 Results'!I24="",'MT 7.1 Results'!J24=""),"",'MT 7.1 Results'!J24)</f>
        <v/>
      </c>
      <c r="K111">
        <f>IF(OR('MT 7.1 Results'!I25="",'MT 7.1 Results'!J25=""),"",'MT 7.1 Results'!J25)</f>
        <v/>
      </c>
    </row>
    <row r="113">
      <c r="A113">
        <f>IF('MT 7.1 Results'!I24="","","Comments:")</f>
        <v/>
      </c>
      <c r="K113">
        <f>IF('MT 7.1 Results'!I25="","","Comments:")</f>
        <v/>
      </c>
    </row>
    <row r="117">
      <c r="A117">
        <f>IF('MT 7.1 Results'!I26="","","Mini Test 7.1 — Correlation and Regression")</f>
        <v/>
      </c>
      <c r="K117">
        <f>IF('MT 7.1 Results'!I27="","","Mini Test 7.1 — Correlation and Regression")</f>
        <v/>
      </c>
    </row>
    <row r="118">
      <c r="A118">
        <f>IF('MT 7.1 Results'!I26="","","Name: "&amp;'MT 7.1 Results'!B26&amp;"   Class: "&amp;'MT 7.1 Results'!$B$3&amp;"   Date: "&amp;TEXT('MT 7.1 Results'!$B$5,"DD/MM/YY"))</f>
        <v/>
      </c>
      <c r="K118">
        <f>IF('MT 7.1 Results'!I27="","","Name: "&amp;'MT 7.1 Results'!B27&amp;"   Class: "&amp;'MT 7.1 Results'!$B$3&amp;"   Date: "&amp;TEXT('MT 7.1 Results'!$B$5,"DD/MM/YY"))</f>
        <v/>
      </c>
    </row>
    <row r="119">
      <c r="A119">
        <f>IF('MT 7.1 Results'!I26="","","Total: "&amp;'MT 7.1 Results'!G26&amp;"/22 ("&amp;TEXT('MT 7.1 Results'!H26,"0%")&amp;")   Overall: "&amp;'MT 7.1 Results'!I26)</f>
        <v/>
      </c>
      <c r="K119">
        <f>IF('MT 7.1 Results'!I27="","","Total: "&amp;'MT 7.1 Results'!G27&amp;"/22 ("&amp;TEXT('MT 7.1 Results'!H27,"0%")&amp;")   Overall: "&amp;'MT 7.1 Results'!I27)</f>
        <v/>
      </c>
    </row>
    <row r="120">
      <c r="A120">
        <f>IF('MT 7.1 Results'!I26="","",IF('MT 7.1 Results'!I26="Green",Parameters!$C$417,IF('MT 7.1 Results'!I26="Yellow",Parameters!$C$416,Parameters!$C$415)))</f>
        <v/>
      </c>
      <c r="K120">
        <f>IF('MT 7.1 Results'!I27="","",IF('MT 7.1 Results'!I27="Green",Parameters!$C$417,IF('MT 7.1 Results'!I27="Yellow",Parameters!$C$416,Parameters!$C$415)))</f>
        <v/>
      </c>
    </row>
    <row r="122">
      <c r="A122">
        <f>IF('MT 7.1 Results'!I26="","","Breakdown:")</f>
        <v/>
      </c>
      <c r="K122">
        <f>IF('MT 7.1 Results'!I27="","","Breakdown:")</f>
        <v/>
      </c>
    </row>
    <row r="123">
      <c r="A123">
        <f>IF('MT 7.1 Results'!I26="","","Q1 Scatter graphs &amp; correlation type: "&amp;'MT 7.1 Results'!C26&amp;"/7")</f>
        <v/>
      </c>
      <c r="K123">
        <f>IF('MT 7.1 Results'!I27="","","Q1 Scatter graphs &amp; correlation type: "&amp;'MT 7.1 Results'!C27&amp;"/7")</f>
        <v/>
      </c>
    </row>
    <row r="124">
      <c r="A124">
        <f>IF('MT 7.1 Results'!I26="","","Q2 Calculating &amp; interpreting PMCC: "&amp;'MT 7.1 Results'!D26&amp;"/6")</f>
        <v/>
      </c>
      <c r="K124">
        <f>IF('MT 7.1 Results'!I27="","","Q2 Calculating &amp; interpreting PMCC: "&amp;'MT 7.1 Results'!D27&amp;"/6")</f>
        <v/>
      </c>
    </row>
    <row r="125">
      <c r="A125">
        <f>IF('MT 7.1 Results'!I26="","","Q3 Correlation vs causation: "&amp;'MT 7.1 Results'!E26&amp;"/5")</f>
        <v/>
      </c>
      <c r="K125">
        <f>IF('MT 7.1 Results'!I27="","","Q3 Correlation vs causation: "&amp;'MT 7.1 Results'!E27&amp;"/5")</f>
        <v/>
      </c>
    </row>
    <row r="126">
      <c r="A126">
        <f>IF('MT 7.1 Results'!I26="","","Q4 Comparing PMCC values: "&amp;'MT 7.1 Results'!F26&amp;"/4")</f>
        <v/>
      </c>
      <c r="K126">
        <f>IF('MT 7.1 Results'!I27="","","Q4 Comparing PMCC values: "&amp;'MT 7.1 Results'!F27&amp;"/4")</f>
        <v/>
      </c>
    </row>
    <row r="127">
      <c r="A127">
        <f>IF(OR('MT 7.1 Results'!I26="",'MT 7.1 Results'!J26=""),"",'MT 7.1 Results'!J26)</f>
        <v/>
      </c>
      <c r="K127">
        <f>IF(OR('MT 7.1 Results'!I27="",'MT 7.1 Results'!J27=""),"",'MT 7.1 Results'!J27)</f>
        <v/>
      </c>
    </row>
    <row r="129">
      <c r="A129">
        <f>IF('MT 7.1 Results'!I26="","","Comments:")</f>
        <v/>
      </c>
      <c r="K129">
        <f>IF('MT 7.1 Results'!I27="","","Comments:")</f>
        <v/>
      </c>
    </row>
    <row r="133">
      <c r="A133">
        <f>IF('MT 7.1 Results'!I28="","","Mini Test 7.1 — Correlation and Regression")</f>
        <v/>
      </c>
      <c r="K133">
        <f>IF('MT 7.1 Results'!I29="","","Mini Test 7.1 — Correlation and Regression")</f>
        <v/>
      </c>
    </row>
    <row r="134">
      <c r="A134">
        <f>IF('MT 7.1 Results'!I28="","","Name: "&amp;'MT 7.1 Results'!B28&amp;"   Class: "&amp;'MT 7.1 Results'!$B$3&amp;"   Date: "&amp;TEXT('MT 7.1 Results'!$B$5,"DD/MM/YY"))</f>
        <v/>
      </c>
      <c r="K134">
        <f>IF('MT 7.1 Results'!I29="","","Name: "&amp;'MT 7.1 Results'!B29&amp;"   Class: "&amp;'MT 7.1 Results'!$B$3&amp;"   Date: "&amp;TEXT('MT 7.1 Results'!$B$5,"DD/MM/YY"))</f>
        <v/>
      </c>
    </row>
    <row r="135">
      <c r="A135">
        <f>IF('MT 7.1 Results'!I28="","","Total: "&amp;'MT 7.1 Results'!G28&amp;"/22 ("&amp;TEXT('MT 7.1 Results'!H28,"0%")&amp;")   Overall: "&amp;'MT 7.1 Results'!I28)</f>
        <v/>
      </c>
      <c r="K135">
        <f>IF('MT 7.1 Results'!I29="","","Total: "&amp;'MT 7.1 Results'!G29&amp;"/22 ("&amp;TEXT('MT 7.1 Results'!H29,"0%")&amp;")   Overall: "&amp;'MT 7.1 Results'!I29)</f>
        <v/>
      </c>
    </row>
    <row r="136">
      <c r="A136">
        <f>IF('MT 7.1 Results'!I28="","",IF('MT 7.1 Results'!I28="Green",Parameters!$C$417,IF('MT 7.1 Results'!I28="Yellow",Parameters!$C$416,Parameters!$C$415)))</f>
        <v/>
      </c>
      <c r="K136">
        <f>IF('MT 7.1 Results'!I29="","",IF('MT 7.1 Results'!I29="Green",Parameters!$C$417,IF('MT 7.1 Results'!I29="Yellow",Parameters!$C$416,Parameters!$C$415)))</f>
        <v/>
      </c>
    </row>
    <row r="138">
      <c r="A138">
        <f>IF('MT 7.1 Results'!I28="","","Breakdown:")</f>
        <v/>
      </c>
      <c r="K138">
        <f>IF('MT 7.1 Results'!I29="","","Breakdown:")</f>
        <v/>
      </c>
    </row>
    <row r="139">
      <c r="A139">
        <f>IF('MT 7.1 Results'!I28="","","Q1 Scatter graphs &amp; correlation type: "&amp;'MT 7.1 Results'!C28&amp;"/7")</f>
        <v/>
      </c>
      <c r="K139">
        <f>IF('MT 7.1 Results'!I29="","","Q1 Scatter graphs &amp; correlation type: "&amp;'MT 7.1 Results'!C29&amp;"/7")</f>
        <v/>
      </c>
    </row>
    <row r="140">
      <c r="A140">
        <f>IF('MT 7.1 Results'!I28="","","Q2 Calculating &amp; interpreting PMCC: "&amp;'MT 7.1 Results'!D28&amp;"/6")</f>
        <v/>
      </c>
      <c r="K140">
        <f>IF('MT 7.1 Results'!I29="","","Q2 Calculating &amp; interpreting PMCC: "&amp;'MT 7.1 Results'!D29&amp;"/6")</f>
        <v/>
      </c>
    </row>
    <row r="141">
      <c r="A141">
        <f>IF('MT 7.1 Results'!I28="","","Q3 Correlation vs causation: "&amp;'MT 7.1 Results'!E28&amp;"/5")</f>
        <v/>
      </c>
      <c r="K141">
        <f>IF('MT 7.1 Results'!I29="","","Q3 Correlation vs causation: "&amp;'MT 7.1 Results'!E29&amp;"/5")</f>
        <v/>
      </c>
    </row>
    <row r="142">
      <c r="A142">
        <f>IF('MT 7.1 Results'!I28="","","Q4 Comparing PMCC values: "&amp;'MT 7.1 Results'!F28&amp;"/4")</f>
        <v/>
      </c>
      <c r="K142">
        <f>IF('MT 7.1 Results'!I29="","","Q4 Comparing PMCC values: "&amp;'MT 7.1 Results'!F29&amp;"/4")</f>
        <v/>
      </c>
    </row>
    <row r="143">
      <c r="A143">
        <f>IF(OR('MT 7.1 Results'!I28="",'MT 7.1 Results'!J28=""),"",'MT 7.1 Results'!J28)</f>
        <v/>
      </c>
      <c r="K143">
        <f>IF(OR('MT 7.1 Results'!I29="",'MT 7.1 Results'!J29=""),"",'MT 7.1 Results'!J29)</f>
        <v/>
      </c>
    </row>
    <row r="145">
      <c r="A145">
        <f>IF('MT 7.1 Results'!I28="","","Comments:")</f>
        <v/>
      </c>
      <c r="K145">
        <f>IF('MT 7.1 Results'!I29="","","Comments:")</f>
        <v/>
      </c>
    </row>
    <row r="149">
      <c r="A149">
        <f>IF('MT 7.1 Results'!I30="","","Mini Test 7.1 — Correlation and Regression")</f>
        <v/>
      </c>
      <c r="K149">
        <f>IF('MT 7.1 Results'!I31="","","Mini Test 7.1 — Correlation and Regression")</f>
        <v/>
      </c>
    </row>
    <row r="150">
      <c r="A150">
        <f>IF('MT 7.1 Results'!I30="","","Name: "&amp;'MT 7.1 Results'!B30&amp;"   Class: "&amp;'MT 7.1 Results'!$B$3&amp;"   Date: "&amp;TEXT('MT 7.1 Results'!$B$5,"DD/MM/YY"))</f>
        <v/>
      </c>
      <c r="K150">
        <f>IF('MT 7.1 Results'!I31="","","Name: "&amp;'MT 7.1 Results'!B31&amp;"   Class: "&amp;'MT 7.1 Results'!$B$3&amp;"   Date: "&amp;TEXT('MT 7.1 Results'!$B$5,"DD/MM/YY"))</f>
        <v/>
      </c>
    </row>
    <row r="151">
      <c r="A151">
        <f>IF('MT 7.1 Results'!I30="","","Total: "&amp;'MT 7.1 Results'!G30&amp;"/22 ("&amp;TEXT('MT 7.1 Results'!H30,"0%")&amp;")   Overall: "&amp;'MT 7.1 Results'!I30)</f>
        <v/>
      </c>
      <c r="K151">
        <f>IF('MT 7.1 Results'!I31="","","Total: "&amp;'MT 7.1 Results'!G31&amp;"/22 ("&amp;TEXT('MT 7.1 Results'!H31,"0%")&amp;")   Overall: "&amp;'MT 7.1 Results'!I31)</f>
        <v/>
      </c>
    </row>
    <row r="152">
      <c r="A152">
        <f>IF('MT 7.1 Results'!I30="","",IF('MT 7.1 Results'!I30="Green",Parameters!$C$417,IF('MT 7.1 Results'!I30="Yellow",Parameters!$C$416,Parameters!$C$415)))</f>
        <v/>
      </c>
      <c r="K152">
        <f>IF('MT 7.1 Results'!I31="","",IF('MT 7.1 Results'!I31="Green",Parameters!$C$417,IF('MT 7.1 Results'!I31="Yellow",Parameters!$C$416,Parameters!$C$415)))</f>
        <v/>
      </c>
    </row>
    <row r="154">
      <c r="A154">
        <f>IF('MT 7.1 Results'!I30="","","Breakdown:")</f>
        <v/>
      </c>
      <c r="K154">
        <f>IF('MT 7.1 Results'!I31="","","Breakdown:")</f>
        <v/>
      </c>
    </row>
    <row r="155">
      <c r="A155">
        <f>IF('MT 7.1 Results'!I30="","","Q1 Scatter graphs &amp; correlation type: "&amp;'MT 7.1 Results'!C30&amp;"/7")</f>
        <v/>
      </c>
      <c r="K155">
        <f>IF('MT 7.1 Results'!I31="","","Q1 Scatter graphs &amp; correlation type: "&amp;'MT 7.1 Results'!C31&amp;"/7")</f>
        <v/>
      </c>
    </row>
    <row r="156">
      <c r="A156">
        <f>IF('MT 7.1 Results'!I30="","","Q2 Calculating &amp; interpreting PMCC: "&amp;'MT 7.1 Results'!D30&amp;"/6")</f>
        <v/>
      </c>
      <c r="K156">
        <f>IF('MT 7.1 Results'!I31="","","Q2 Calculating &amp; interpreting PMCC: "&amp;'MT 7.1 Results'!D31&amp;"/6")</f>
        <v/>
      </c>
    </row>
    <row r="157">
      <c r="A157">
        <f>IF('MT 7.1 Results'!I30="","","Q3 Correlation vs causation: "&amp;'MT 7.1 Results'!E30&amp;"/5")</f>
        <v/>
      </c>
      <c r="K157">
        <f>IF('MT 7.1 Results'!I31="","","Q3 Correlation vs causation: "&amp;'MT 7.1 Results'!E31&amp;"/5")</f>
        <v/>
      </c>
    </row>
    <row r="158">
      <c r="A158">
        <f>IF('MT 7.1 Results'!I30="","","Q4 Comparing PMCC values: "&amp;'MT 7.1 Results'!F30&amp;"/4")</f>
        <v/>
      </c>
      <c r="K158">
        <f>IF('MT 7.1 Results'!I31="","","Q4 Comparing PMCC values: "&amp;'MT 7.1 Results'!F31&amp;"/4")</f>
        <v/>
      </c>
    </row>
    <row r="159">
      <c r="A159">
        <f>IF(OR('MT 7.1 Results'!I30="",'MT 7.1 Results'!J30=""),"",'MT 7.1 Results'!J30)</f>
        <v/>
      </c>
      <c r="K159">
        <f>IF(OR('MT 7.1 Results'!I31="",'MT 7.1 Results'!J31=""),"",'MT 7.1 Results'!J31)</f>
        <v/>
      </c>
    </row>
    <row r="161">
      <c r="A161">
        <f>IF('MT 7.1 Results'!I30="","","Comments:")</f>
        <v/>
      </c>
      <c r="K161">
        <f>IF('MT 7.1 Results'!I31="","","Comments:")</f>
        <v/>
      </c>
    </row>
    <row r="165">
      <c r="A165">
        <f>IF('MT 7.1 Results'!I32="","","Mini Test 7.1 — Correlation and Regression")</f>
        <v/>
      </c>
      <c r="K165">
        <f>IF('MT 7.1 Results'!I33="","","Mini Test 7.1 — Correlation and Regression")</f>
        <v/>
      </c>
    </row>
    <row r="166">
      <c r="A166">
        <f>IF('MT 7.1 Results'!I32="","","Name: "&amp;'MT 7.1 Results'!B32&amp;"   Class: "&amp;'MT 7.1 Results'!$B$3&amp;"   Date: "&amp;TEXT('MT 7.1 Results'!$B$5,"DD/MM/YY"))</f>
        <v/>
      </c>
      <c r="K166">
        <f>IF('MT 7.1 Results'!I33="","","Name: "&amp;'MT 7.1 Results'!B33&amp;"   Class: "&amp;'MT 7.1 Results'!$B$3&amp;"   Date: "&amp;TEXT('MT 7.1 Results'!$B$5,"DD/MM/YY"))</f>
        <v/>
      </c>
    </row>
    <row r="167">
      <c r="A167">
        <f>IF('MT 7.1 Results'!I32="","","Total: "&amp;'MT 7.1 Results'!G32&amp;"/22 ("&amp;TEXT('MT 7.1 Results'!H32,"0%")&amp;")   Overall: "&amp;'MT 7.1 Results'!I32)</f>
        <v/>
      </c>
      <c r="K167">
        <f>IF('MT 7.1 Results'!I33="","","Total: "&amp;'MT 7.1 Results'!G33&amp;"/22 ("&amp;TEXT('MT 7.1 Results'!H33,"0%")&amp;")   Overall: "&amp;'MT 7.1 Results'!I33)</f>
        <v/>
      </c>
    </row>
    <row r="168">
      <c r="A168">
        <f>IF('MT 7.1 Results'!I32="","",IF('MT 7.1 Results'!I32="Green",Parameters!$C$417,IF('MT 7.1 Results'!I32="Yellow",Parameters!$C$416,Parameters!$C$415)))</f>
        <v/>
      </c>
      <c r="K168">
        <f>IF('MT 7.1 Results'!I33="","",IF('MT 7.1 Results'!I33="Green",Parameters!$C$417,IF('MT 7.1 Results'!I33="Yellow",Parameters!$C$416,Parameters!$C$415)))</f>
        <v/>
      </c>
    </row>
    <row r="170">
      <c r="A170">
        <f>IF('MT 7.1 Results'!I32="","","Breakdown:")</f>
        <v/>
      </c>
      <c r="K170">
        <f>IF('MT 7.1 Results'!I33="","","Breakdown:")</f>
        <v/>
      </c>
    </row>
    <row r="171">
      <c r="A171">
        <f>IF('MT 7.1 Results'!I32="","","Q1 Scatter graphs &amp; correlation type: "&amp;'MT 7.1 Results'!C32&amp;"/7")</f>
        <v/>
      </c>
      <c r="K171">
        <f>IF('MT 7.1 Results'!I33="","","Q1 Scatter graphs &amp; correlation type: "&amp;'MT 7.1 Results'!C33&amp;"/7")</f>
        <v/>
      </c>
    </row>
    <row r="172">
      <c r="A172">
        <f>IF('MT 7.1 Results'!I32="","","Q2 Calculating &amp; interpreting PMCC: "&amp;'MT 7.1 Results'!D32&amp;"/6")</f>
        <v/>
      </c>
      <c r="K172">
        <f>IF('MT 7.1 Results'!I33="","","Q2 Calculating &amp; interpreting PMCC: "&amp;'MT 7.1 Results'!D33&amp;"/6")</f>
        <v/>
      </c>
    </row>
    <row r="173">
      <c r="A173">
        <f>IF('MT 7.1 Results'!I32="","","Q3 Correlation vs causation: "&amp;'MT 7.1 Results'!E32&amp;"/5")</f>
        <v/>
      </c>
      <c r="K173">
        <f>IF('MT 7.1 Results'!I33="","","Q3 Correlation vs causation: "&amp;'MT 7.1 Results'!E33&amp;"/5")</f>
        <v/>
      </c>
    </row>
    <row r="174">
      <c r="A174">
        <f>IF('MT 7.1 Results'!I32="","","Q4 Comparing PMCC values: "&amp;'MT 7.1 Results'!F32&amp;"/4")</f>
        <v/>
      </c>
      <c r="K174">
        <f>IF('MT 7.1 Results'!I33="","","Q4 Comparing PMCC values: "&amp;'MT 7.1 Results'!F33&amp;"/4")</f>
        <v/>
      </c>
    </row>
    <row r="175">
      <c r="A175">
        <f>IF(OR('MT 7.1 Results'!I32="",'MT 7.1 Results'!J32=""),"",'MT 7.1 Results'!J32)</f>
        <v/>
      </c>
      <c r="K175">
        <f>IF(OR('MT 7.1 Results'!I33="",'MT 7.1 Results'!J33=""),"",'MT 7.1 Results'!J33)</f>
        <v/>
      </c>
    </row>
    <row r="177">
      <c r="A177">
        <f>IF('MT 7.1 Results'!I32="","","Comments:")</f>
        <v/>
      </c>
      <c r="K177">
        <f>IF('MT 7.1 Results'!I33="","","Comments:")</f>
        <v/>
      </c>
    </row>
    <row r="181">
      <c r="A181">
        <f>IF('MT 7.1 Results'!I34="","","Mini Test 7.1 — Correlation and Regression")</f>
        <v/>
      </c>
      <c r="K181">
        <f>IF('MT 7.1 Results'!I35="","","Mini Test 7.1 — Correlation and Regression")</f>
        <v/>
      </c>
    </row>
    <row r="182">
      <c r="A182">
        <f>IF('MT 7.1 Results'!I34="","","Name: "&amp;'MT 7.1 Results'!B34&amp;"   Class: "&amp;'MT 7.1 Results'!$B$3&amp;"   Date: "&amp;TEXT('MT 7.1 Results'!$B$5,"DD/MM/YY"))</f>
        <v/>
      </c>
      <c r="K182">
        <f>IF('MT 7.1 Results'!I35="","","Name: "&amp;'MT 7.1 Results'!B35&amp;"   Class: "&amp;'MT 7.1 Results'!$B$3&amp;"   Date: "&amp;TEXT('MT 7.1 Results'!$B$5,"DD/MM/YY"))</f>
        <v/>
      </c>
    </row>
    <row r="183">
      <c r="A183">
        <f>IF('MT 7.1 Results'!I34="","","Total: "&amp;'MT 7.1 Results'!G34&amp;"/22 ("&amp;TEXT('MT 7.1 Results'!H34,"0%")&amp;")   Overall: "&amp;'MT 7.1 Results'!I34)</f>
        <v/>
      </c>
      <c r="K183">
        <f>IF('MT 7.1 Results'!I35="","","Total: "&amp;'MT 7.1 Results'!G35&amp;"/22 ("&amp;TEXT('MT 7.1 Results'!H35,"0%")&amp;")   Overall: "&amp;'MT 7.1 Results'!I35)</f>
        <v/>
      </c>
    </row>
    <row r="184">
      <c r="A184">
        <f>IF('MT 7.1 Results'!I34="","",IF('MT 7.1 Results'!I34="Green",Parameters!$C$417,IF('MT 7.1 Results'!I34="Yellow",Parameters!$C$416,Parameters!$C$415)))</f>
        <v/>
      </c>
      <c r="K184">
        <f>IF('MT 7.1 Results'!I35="","",IF('MT 7.1 Results'!I35="Green",Parameters!$C$417,IF('MT 7.1 Results'!I35="Yellow",Parameters!$C$416,Parameters!$C$415)))</f>
        <v/>
      </c>
    </row>
    <row r="186">
      <c r="A186">
        <f>IF('MT 7.1 Results'!I34="","","Breakdown:")</f>
        <v/>
      </c>
      <c r="K186">
        <f>IF('MT 7.1 Results'!I35="","","Breakdown:")</f>
        <v/>
      </c>
    </row>
    <row r="187">
      <c r="A187">
        <f>IF('MT 7.1 Results'!I34="","","Q1 Scatter graphs &amp; correlation type: "&amp;'MT 7.1 Results'!C34&amp;"/7")</f>
        <v/>
      </c>
      <c r="K187">
        <f>IF('MT 7.1 Results'!I35="","","Q1 Scatter graphs &amp; correlation type: "&amp;'MT 7.1 Results'!C35&amp;"/7")</f>
        <v/>
      </c>
    </row>
    <row r="188">
      <c r="A188">
        <f>IF('MT 7.1 Results'!I34="","","Q2 Calculating &amp; interpreting PMCC: "&amp;'MT 7.1 Results'!D34&amp;"/6")</f>
        <v/>
      </c>
      <c r="K188">
        <f>IF('MT 7.1 Results'!I35="","","Q2 Calculating &amp; interpreting PMCC: "&amp;'MT 7.1 Results'!D35&amp;"/6")</f>
        <v/>
      </c>
    </row>
    <row r="189">
      <c r="A189">
        <f>IF('MT 7.1 Results'!I34="","","Q3 Correlation vs causation: "&amp;'MT 7.1 Results'!E34&amp;"/5")</f>
        <v/>
      </c>
      <c r="K189">
        <f>IF('MT 7.1 Results'!I35="","","Q3 Correlation vs causation: "&amp;'MT 7.1 Results'!E35&amp;"/5")</f>
        <v/>
      </c>
    </row>
    <row r="190">
      <c r="A190">
        <f>IF('MT 7.1 Results'!I34="","","Q4 Comparing PMCC values: "&amp;'MT 7.1 Results'!F34&amp;"/4")</f>
        <v/>
      </c>
      <c r="K190">
        <f>IF('MT 7.1 Results'!I35="","","Q4 Comparing PMCC values: "&amp;'MT 7.1 Results'!F35&amp;"/4")</f>
        <v/>
      </c>
    </row>
    <row r="191">
      <c r="A191">
        <f>IF(OR('MT 7.1 Results'!I34="",'MT 7.1 Results'!J34=""),"",'MT 7.1 Results'!J34)</f>
        <v/>
      </c>
      <c r="K191">
        <f>IF(OR('MT 7.1 Results'!I35="",'MT 7.1 Results'!J35=""),"",'MT 7.1 Results'!J35)</f>
        <v/>
      </c>
    </row>
    <row r="193">
      <c r="A193">
        <f>IF('MT 7.1 Results'!I34="","","Comments:")</f>
        <v/>
      </c>
      <c r="K193">
        <f>IF('MT 7.1 Results'!I35="","","Comments:")</f>
        <v/>
      </c>
    </row>
    <row r="197">
      <c r="A197">
        <f>IF('MT 7.1 Results'!I36="","","Mini Test 7.1 — Correlation and Regression")</f>
        <v/>
      </c>
      <c r="K197">
        <f>IF('MT 7.1 Results'!I37="","","Mini Test 7.1 — Correlation and Regression")</f>
        <v/>
      </c>
    </row>
    <row r="198">
      <c r="A198">
        <f>IF('MT 7.1 Results'!I36="","","Name: "&amp;'MT 7.1 Results'!B36&amp;"   Class: "&amp;'MT 7.1 Results'!$B$3&amp;"   Date: "&amp;TEXT('MT 7.1 Results'!$B$5,"DD/MM/YY"))</f>
        <v/>
      </c>
      <c r="K198">
        <f>IF('MT 7.1 Results'!I37="","","Name: "&amp;'MT 7.1 Results'!B37&amp;"   Class: "&amp;'MT 7.1 Results'!$B$3&amp;"   Date: "&amp;TEXT('MT 7.1 Results'!$B$5,"DD/MM/YY"))</f>
        <v/>
      </c>
    </row>
    <row r="199">
      <c r="A199">
        <f>IF('MT 7.1 Results'!I36="","","Total: "&amp;'MT 7.1 Results'!G36&amp;"/22 ("&amp;TEXT('MT 7.1 Results'!H36,"0%")&amp;")   Overall: "&amp;'MT 7.1 Results'!I36)</f>
        <v/>
      </c>
      <c r="K199">
        <f>IF('MT 7.1 Results'!I37="","","Total: "&amp;'MT 7.1 Results'!G37&amp;"/22 ("&amp;TEXT('MT 7.1 Results'!H37,"0%")&amp;")   Overall: "&amp;'MT 7.1 Results'!I37)</f>
        <v/>
      </c>
    </row>
    <row r="200">
      <c r="A200">
        <f>IF('MT 7.1 Results'!I36="","",IF('MT 7.1 Results'!I36="Green",Parameters!$C$417,IF('MT 7.1 Results'!I36="Yellow",Parameters!$C$416,Parameters!$C$415)))</f>
        <v/>
      </c>
      <c r="K200">
        <f>IF('MT 7.1 Results'!I37="","",IF('MT 7.1 Results'!I37="Green",Parameters!$C$417,IF('MT 7.1 Results'!I37="Yellow",Parameters!$C$416,Parameters!$C$415)))</f>
        <v/>
      </c>
    </row>
    <row r="202">
      <c r="A202">
        <f>IF('MT 7.1 Results'!I36="","","Breakdown:")</f>
        <v/>
      </c>
      <c r="K202">
        <f>IF('MT 7.1 Results'!I37="","","Breakdown:")</f>
        <v/>
      </c>
    </row>
    <row r="203">
      <c r="A203">
        <f>IF('MT 7.1 Results'!I36="","","Q1 Scatter graphs &amp; correlation type: "&amp;'MT 7.1 Results'!C36&amp;"/7")</f>
        <v/>
      </c>
      <c r="K203">
        <f>IF('MT 7.1 Results'!I37="","","Q1 Scatter graphs &amp; correlation type: "&amp;'MT 7.1 Results'!C37&amp;"/7")</f>
        <v/>
      </c>
    </row>
    <row r="204">
      <c r="A204">
        <f>IF('MT 7.1 Results'!I36="","","Q2 Calculating &amp; interpreting PMCC: "&amp;'MT 7.1 Results'!D36&amp;"/6")</f>
        <v/>
      </c>
      <c r="K204">
        <f>IF('MT 7.1 Results'!I37="","","Q2 Calculating &amp; interpreting PMCC: "&amp;'MT 7.1 Results'!D37&amp;"/6")</f>
        <v/>
      </c>
    </row>
    <row r="205">
      <c r="A205">
        <f>IF('MT 7.1 Results'!I36="","","Q3 Correlation vs causation: "&amp;'MT 7.1 Results'!E36&amp;"/5")</f>
        <v/>
      </c>
      <c r="K205">
        <f>IF('MT 7.1 Results'!I37="","","Q3 Correlation vs causation: "&amp;'MT 7.1 Results'!E37&amp;"/5")</f>
        <v/>
      </c>
    </row>
    <row r="206">
      <c r="A206">
        <f>IF('MT 7.1 Results'!I36="","","Q4 Comparing PMCC values: "&amp;'MT 7.1 Results'!F36&amp;"/4")</f>
        <v/>
      </c>
      <c r="K206">
        <f>IF('MT 7.1 Results'!I37="","","Q4 Comparing PMCC values: "&amp;'MT 7.1 Results'!F37&amp;"/4")</f>
        <v/>
      </c>
    </row>
    <row r="207">
      <c r="A207">
        <f>IF(OR('MT 7.1 Results'!I36="",'MT 7.1 Results'!J36=""),"",'MT 7.1 Results'!J36)</f>
        <v/>
      </c>
      <c r="K207">
        <f>IF(OR('MT 7.1 Results'!I37="",'MT 7.1 Results'!J37=""),"",'MT 7.1 Results'!J37)</f>
        <v/>
      </c>
    </row>
    <row r="209">
      <c r="A209">
        <f>IF('MT 7.1 Results'!I36="","","Comments:")</f>
        <v/>
      </c>
      <c r="K209">
        <f>IF('MT 7.1 Results'!I37="","","Comments:")</f>
        <v/>
      </c>
    </row>
    <row r="213">
      <c r="A213">
        <f>IF('MT 7.1 Results'!I38="","","Mini Test 7.1 — Correlation and Regression")</f>
        <v/>
      </c>
      <c r="K213">
        <f>IF('MT 7.1 Results'!I39="","","Mini Test 7.1 — Correlation and Regression")</f>
        <v/>
      </c>
    </row>
    <row r="214">
      <c r="A214">
        <f>IF('MT 7.1 Results'!I38="","","Name: "&amp;'MT 7.1 Results'!B38&amp;"   Class: "&amp;'MT 7.1 Results'!$B$3&amp;"   Date: "&amp;TEXT('MT 7.1 Results'!$B$5,"DD/MM/YY"))</f>
        <v/>
      </c>
      <c r="K214">
        <f>IF('MT 7.1 Results'!I39="","","Name: "&amp;'MT 7.1 Results'!B39&amp;"   Class: "&amp;'MT 7.1 Results'!$B$3&amp;"   Date: "&amp;TEXT('MT 7.1 Results'!$B$5,"DD/MM/YY"))</f>
        <v/>
      </c>
    </row>
    <row r="215">
      <c r="A215">
        <f>IF('MT 7.1 Results'!I38="","","Total: "&amp;'MT 7.1 Results'!G38&amp;"/22 ("&amp;TEXT('MT 7.1 Results'!H38,"0%")&amp;")   Overall: "&amp;'MT 7.1 Results'!I38)</f>
        <v/>
      </c>
      <c r="K215">
        <f>IF('MT 7.1 Results'!I39="","","Total: "&amp;'MT 7.1 Results'!G39&amp;"/22 ("&amp;TEXT('MT 7.1 Results'!H39,"0%")&amp;")   Overall: "&amp;'MT 7.1 Results'!I39)</f>
        <v/>
      </c>
    </row>
    <row r="216">
      <c r="A216">
        <f>IF('MT 7.1 Results'!I38="","",IF('MT 7.1 Results'!I38="Green",Parameters!$C$417,IF('MT 7.1 Results'!I38="Yellow",Parameters!$C$416,Parameters!$C$415)))</f>
        <v/>
      </c>
      <c r="K216">
        <f>IF('MT 7.1 Results'!I39="","",IF('MT 7.1 Results'!I39="Green",Parameters!$C$417,IF('MT 7.1 Results'!I39="Yellow",Parameters!$C$416,Parameters!$C$415)))</f>
        <v/>
      </c>
    </row>
    <row r="218">
      <c r="A218">
        <f>IF('MT 7.1 Results'!I38="","","Breakdown:")</f>
        <v/>
      </c>
      <c r="K218">
        <f>IF('MT 7.1 Results'!I39="","","Breakdown:")</f>
        <v/>
      </c>
    </row>
    <row r="219">
      <c r="A219">
        <f>IF('MT 7.1 Results'!I38="","","Q1 Scatter graphs &amp; correlation type: "&amp;'MT 7.1 Results'!C38&amp;"/7")</f>
        <v/>
      </c>
      <c r="K219">
        <f>IF('MT 7.1 Results'!I39="","","Q1 Scatter graphs &amp; correlation type: "&amp;'MT 7.1 Results'!C39&amp;"/7")</f>
        <v/>
      </c>
    </row>
    <row r="220">
      <c r="A220">
        <f>IF('MT 7.1 Results'!I38="","","Q2 Calculating &amp; interpreting PMCC: "&amp;'MT 7.1 Results'!D38&amp;"/6")</f>
        <v/>
      </c>
      <c r="K220">
        <f>IF('MT 7.1 Results'!I39="","","Q2 Calculating &amp; interpreting PMCC: "&amp;'MT 7.1 Results'!D39&amp;"/6")</f>
        <v/>
      </c>
    </row>
    <row r="221">
      <c r="A221">
        <f>IF('MT 7.1 Results'!I38="","","Q3 Correlation vs causation: "&amp;'MT 7.1 Results'!E38&amp;"/5")</f>
        <v/>
      </c>
      <c r="K221">
        <f>IF('MT 7.1 Results'!I39="","","Q3 Correlation vs causation: "&amp;'MT 7.1 Results'!E39&amp;"/5")</f>
        <v/>
      </c>
    </row>
    <row r="222">
      <c r="A222">
        <f>IF('MT 7.1 Results'!I38="","","Q4 Comparing PMCC values: "&amp;'MT 7.1 Results'!F38&amp;"/4")</f>
        <v/>
      </c>
      <c r="K222">
        <f>IF('MT 7.1 Results'!I39="","","Q4 Comparing PMCC values: "&amp;'MT 7.1 Results'!F39&amp;"/4")</f>
        <v/>
      </c>
    </row>
    <row r="223">
      <c r="A223">
        <f>IF(OR('MT 7.1 Results'!I38="",'MT 7.1 Results'!J38=""),"",'MT 7.1 Results'!J38)</f>
        <v/>
      </c>
      <c r="K223">
        <f>IF(OR('MT 7.1 Results'!I39="",'MT 7.1 Results'!J39=""),"",'MT 7.1 Results'!J39)</f>
        <v/>
      </c>
    </row>
    <row r="225">
      <c r="A225">
        <f>IF('MT 7.1 Results'!I38="","","Comments:")</f>
        <v/>
      </c>
      <c r="K225">
        <f>IF('MT 7.1 Results'!I39="","","Comments:")</f>
        <v/>
      </c>
    </row>
    <row r="229">
      <c r="A229">
        <f>IF('MT 7.1 Results'!I40="","","Mini Test 7.1 — Correlation and Regression")</f>
        <v/>
      </c>
      <c r="K229">
        <f>IF('MT 7.1 Results'!I41="","","Mini Test 7.1 — Correlation and Regression")</f>
        <v/>
      </c>
    </row>
    <row r="230">
      <c r="A230">
        <f>IF('MT 7.1 Results'!I40="","","Name: "&amp;'MT 7.1 Results'!B40&amp;"   Class: "&amp;'MT 7.1 Results'!$B$3&amp;"   Date: "&amp;TEXT('MT 7.1 Results'!$B$5,"DD/MM/YY"))</f>
        <v/>
      </c>
      <c r="K230">
        <f>IF('MT 7.1 Results'!I41="","","Name: "&amp;'MT 7.1 Results'!B41&amp;"   Class: "&amp;'MT 7.1 Results'!$B$3&amp;"   Date: "&amp;TEXT('MT 7.1 Results'!$B$5,"DD/MM/YY"))</f>
        <v/>
      </c>
    </row>
    <row r="231">
      <c r="A231">
        <f>IF('MT 7.1 Results'!I40="","","Total: "&amp;'MT 7.1 Results'!G40&amp;"/22 ("&amp;TEXT('MT 7.1 Results'!H40,"0%")&amp;")   Overall: "&amp;'MT 7.1 Results'!I40)</f>
        <v/>
      </c>
      <c r="K231">
        <f>IF('MT 7.1 Results'!I41="","","Total: "&amp;'MT 7.1 Results'!G41&amp;"/22 ("&amp;TEXT('MT 7.1 Results'!H41,"0%")&amp;")   Overall: "&amp;'MT 7.1 Results'!I41)</f>
        <v/>
      </c>
    </row>
    <row r="232">
      <c r="A232">
        <f>IF('MT 7.1 Results'!I40="","",IF('MT 7.1 Results'!I40="Green",Parameters!$C$417,IF('MT 7.1 Results'!I40="Yellow",Parameters!$C$416,Parameters!$C$415)))</f>
        <v/>
      </c>
      <c r="K232">
        <f>IF('MT 7.1 Results'!I41="","",IF('MT 7.1 Results'!I41="Green",Parameters!$C$417,IF('MT 7.1 Results'!I41="Yellow",Parameters!$C$416,Parameters!$C$415)))</f>
        <v/>
      </c>
    </row>
    <row r="234">
      <c r="A234">
        <f>IF('MT 7.1 Results'!I40="","","Breakdown:")</f>
        <v/>
      </c>
      <c r="K234">
        <f>IF('MT 7.1 Results'!I41="","","Breakdown:")</f>
        <v/>
      </c>
    </row>
    <row r="235">
      <c r="A235">
        <f>IF('MT 7.1 Results'!I40="","","Q1 Scatter graphs &amp; correlation type: "&amp;'MT 7.1 Results'!C40&amp;"/7")</f>
        <v/>
      </c>
      <c r="K235">
        <f>IF('MT 7.1 Results'!I41="","","Q1 Scatter graphs &amp; correlation type: "&amp;'MT 7.1 Results'!C41&amp;"/7")</f>
        <v/>
      </c>
    </row>
    <row r="236">
      <c r="A236">
        <f>IF('MT 7.1 Results'!I40="","","Q2 Calculating &amp; interpreting PMCC: "&amp;'MT 7.1 Results'!D40&amp;"/6")</f>
        <v/>
      </c>
      <c r="K236">
        <f>IF('MT 7.1 Results'!I41="","","Q2 Calculating &amp; interpreting PMCC: "&amp;'MT 7.1 Results'!D41&amp;"/6")</f>
        <v/>
      </c>
    </row>
    <row r="237">
      <c r="A237">
        <f>IF('MT 7.1 Results'!I40="","","Q3 Correlation vs causation: "&amp;'MT 7.1 Results'!E40&amp;"/5")</f>
        <v/>
      </c>
      <c r="K237">
        <f>IF('MT 7.1 Results'!I41="","","Q3 Correlation vs causation: "&amp;'MT 7.1 Results'!E41&amp;"/5")</f>
        <v/>
      </c>
    </row>
    <row r="238">
      <c r="A238">
        <f>IF('MT 7.1 Results'!I40="","","Q4 Comparing PMCC values: "&amp;'MT 7.1 Results'!F40&amp;"/4")</f>
        <v/>
      </c>
      <c r="K238">
        <f>IF('MT 7.1 Results'!I41="","","Q4 Comparing PMCC values: "&amp;'MT 7.1 Results'!F41&amp;"/4")</f>
        <v/>
      </c>
    </row>
    <row r="239">
      <c r="A239">
        <f>IF(OR('MT 7.1 Results'!I40="",'MT 7.1 Results'!J40=""),"",'MT 7.1 Results'!J40)</f>
        <v/>
      </c>
      <c r="K239">
        <f>IF(OR('MT 7.1 Results'!I41="",'MT 7.1 Results'!J41=""),"",'MT 7.1 Results'!J41)</f>
        <v/>
      </c>
    </row>
    <row r="241">
      <c r="A241">
        <f>IF('MT 7.1 Results'!I40="","","Comments:")</f>
        <v/>
      </c>
      <c r="K241">
        <f>IF('MT 7.1 Results'!I41="","","Comments:")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0" customWidth="1" min="7" max="7"/>
    <col width="8" customWidth="1" min="8" max="8"/>
    <col width="10" customWidth="1" min="9" max="9"/>
    <col width="45" customWidth="1" min="10" max="10"/>
  </cols>
  <sheetData>
    <row r="1">
      <c r="A1" s="11" t="inlineStr">
        <is>
          <t>Mini Test 7.2 — Correlation and Regression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Line of best fit
(/6)</t>
        </is>
      </c>
      <c r="D9" s="12" t="inlineStr">
        <is>
          <t>Q2
Regression equation
(/7)</t>
        </is>
      </c>
      <c r="E9" s="12" t="inlineStr">
        <is>
          <t>Q3
Extrapolation
(/5)</t>
        </is>
      </c>
      <c r="F9" s="12" t="inlineStr">
        <is>
          <t>Q4
Interpreting regression lines
(/4)</t>
        </is>
      </c>
      <c r="G9" s="12" t="inlineStr">
        <is>
          <t>Total
(/22)</t>
        </is>
      </c>
      <c r="H9" s="12" t="inlineStr">
        <is>
          <t>%</t>
        </is>
      </c>
      <c r="I9" s="12" t="inlineStr">
        <is>
          <t>Overall</t>
        </is>
      </c>
      <c r="J9" s="12" t="inlineStr">
        <is>
          <t>Focus for next steps</t>
        </is>
      </c>
      <c r="K9" s="12" t="inlineStr">
        <is>
          <t>Q1%</t>
        </is>
      </c>
      <c r="L9" s="12" t="inlineStr">
        <is>
          <t>Q2%</t>
        </is>
      </c>
      <c r="M9" s="12" t="inlineStr">
        <is>
          <t>Q3%</t>
        </is>
      </c>
      <c r="N9" s="12" t="inlineStr">
        <is>
          <t>Q4%</t>
        </is>
      </c>
    </row>
    <row r="10">
      <c r="A10" s="3" t="n"/>
      <c r="B10" s="3" t="inlineStr">
        <is>
          <t>Max marks</t>
        </is>
      </c>
      <c r="C10" s="3" t="n">
        <v>6</v>
      </c>
      <c r="D10" s="3" t="n">
        <v>7</v>
      </c>
      <c r="E10" s="3" t="n">
        <v>5</v>
      </c>
      <c r="F10" s="3" t="n">
        <v>4</v>
      </c>
      <c r="G10" s="3" t="n">
        <v>22</v>
      </c>
      <c r="H10" s="3" t="inlineStr">
        <is>
          <t>100%</t>
        </is>
      </c>
      <c r="I10" s="3" t="n"/>
      <c r="J10" s="3" t="n"/>
      <c r="K10" s="3" t="n"/>
      <c r="L10" s="3" t="n"/>
      <c r="M10" s="3" t="n"/>
      <c r="N10" s="3" t="n"/>
    </row>
    <row r="11">
      <c r="A11" s="13" t="n">
        <v>1</v>
      </c>
      <c r="B11" s="13" t="inlineStr">
        <is>
          <t>Example pupil (edit me)</t>
        </is>
      </c>
      <c r="C11" s="13" t="n">
        <v>5</v>
      </c>
      <c r="D11" s="13" t="n">
        <v>6</v>
      </c>
      <c r="E11" s="13" t="n">
        <v>4</v>
      </c>
      <c r="F11" s="13" t="n">
        <v>3</v>
      </c>
      <c r="G11" s="13">
        <f>IF(COUNT(C11:F11)&lt;4,"",SUM(C11:F11))</f>
        <v/>
      </c>
      <c r="H11" s="13">
        <f>IF(COUNT(C11:F11)&lt;4,"",G11/22)</f>
        <v/>
      </c>
      <c r="I11" s="13">
        <f>IF(COUNT(C11:F11)&lt;4,"",IF(H11&gt;=0.8,"Green",IF(H11&gt;=0.5,"Yellow","Red")))</f>
        <v/>
      </c>
      <c r="J11" s="13">
        <f>IF(COUNT(C11:F11)&lt;4,"",IF(I11="Green","Well done! "&amp;Parameters!$C$432,"Revise: "&amp;_xlfn.TEXTJOIN(", ",TRUE(),IF(K11&lt;1,Parameters!$A$423,""),IF(L11&lt;1,Parameters!$A$424,""),IF(M11&lt;1,Parameters!$A$425,""),IF(N11&lt;1,Parameters!$A$426,""))))</f>
        <v/>
      </c>
      <c r="K11" s="13">
        <f>IF(C11="","",C11/6)</f>
        <v/>
      </c>
      <c r="L11" s="13">
        <f>IF(D11="","",D11/7)</f>
        <v/>
      </c>
      <c r="M11" s="13">
        <f>IF(E11="","",E11/5)</f>
        <v/>
      </c>
      <c r="N11" s="13">
        <f>IF(F11="","",F11/4)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3">
        <f>IF(COUNT(C12:F12)&lt;4,"",SUM(C12:F12))</f>
        <v/>
      </c>
      <c r="H12" s="13">
        <f>IF(COUNT(C12:F12)&lt;4,"",G12/22)</f>
        <v/>
      </c>
      <c r="I12" s="13">
        <f>IF(COUNT(C12:F12)&lt;4,"",IF(H12&gt;=0.8,"Green",IF(H12&gt;=0.5,"Yellow","Red")))</f>
        <v/>
      </c>
      <c r="J12" s="13">
        <f>IF(COUNT(C12:F12)&lt;4,"",IF(I12="Green","Well done! "&amp;Parameters!$C$432,"Revise: "&amp;_xlfn.TEXTJOIN(", ",TRUE(),IF(K12&lt;1,Parameters!$A$423,""),IF(L12&lt;1,Parameters!$A$424,""),IF(M12&lt;1,Parameters!$A$425,""),IF(N12&lt;1,Parameters!$A$426,""))))</f>
        <v/>
      </c>
      <c r="K12" s="13">
        <f>IF(C12="","",C12/6)</f>
        <v/>
      </c>
      <c r="L12" s="13">
        <f>IF(D12="","",D12/7)</f>
        <v/>
      </c>
      <c r="M12" s="13">
        <f>IF(E12="","",E12/5)</f>
        <v/>
      </c>
      <c r="N12" s="13">
        <f>IF(F12="","",F12/4)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3">
        <f>IF(COUNT(C13:F13)&lt;4,"",SUM(C13:F13))</f>
        <v/>
      </c>
      <c r="H13" s="13">
        <f>IF(COUNT(C13:F13)&lt;4,"",G13/22)</f>
        <v/>
      </c>
      <c r="I13" s="13">
        <f>IF(COUNT(C13:F13)&lt;4,"",IF(H13&gt;=0.8,"Green",IF(H13&gt;=0.5,"Yellow","Red")))</f>
        <v/>
      </c>
      <c r="J13" s="13">
        <f>IF(COUNT(C13:F13)&lt;4,"",IF(I13="Green","Well done! "&amp;Parameters!$C$432,"Revise: "&amp;_xlfn.TEXTJOIN(", ",TRUE(),IF(K13&lt;1,Parameters!$A$423,""),IF(L13&lt;1,Parameters!$A$424,""),IF(M13&lt;1,Parameters!$A$425,""),IF(N13&lt;1,Parameters!$A$426,""))))</f>
        <v/>
      </c>
      <c r="K13" s="13">
        <f>IF(C13="","",C13/6)</f>
        <v/>
      </c>
      <c r="L13" s="13">
        <f>IF(D13="","",D13/7)</f>
        <v/>
      </c>
      <c r="M13" s="13">
        <f>IF(E13="","",E13/5)</f>
        <v/>
      </c>
      <c r="N13" s="13">
        <f>IF(F13="","",F13/4)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3">
        <f>IF(COUNT(C14:F14)&lt;4,"",SUM(C14:F14))</f>
        <v/>
      </c>
      <c r="H14" s="13">
        <f>IF(COUNT(C14:F14)&lt;4,"",G14/22)</f>
        <v/>
      </c>
      <c r="I14" s="13">
        <f>IF(COUNT(C14:F14)&lt;4,"",IF(H14&gt;=0.8,"Green",IF(H14&gt;=0.5,"Yellow","Red")))</f>
        <v/>
      </c>
      <c r="J14" s="13">
        <f>IF(COUNT(C14:F14)&lt;4,"",IF(I14="Green","Well done! "&amp;Parameters!$C$432,"Revise: "&amp;_xlfn.TEXTJOIN(", ",TRUE(),IF(K14&lt;1,Parameters!$A$423,""),IF(L14&lt;1,Parameters!$A$424,""),IF(M14&lt;1,Parameters!$A$425,""),IF(N14&lt;1,Parameters!$A$426,""))))</f>
        <v/>
      </c>
      <c r="K14" s="13">
        <f>IF(C14="","",C14/6)</f>
        <v/>
      </c>
      <c r="L14" s="13">
        <f>IF(D14="","",D14/7)</f>
        <v/>
      </c>
      <c r="M14" s="13">
        <f>IF(E14="","",E14/5)</f>
        <v/>
      </c>
      <c r="N14" s="13">
        <f>IF(F14="","",F14/4)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3">
        <f>IF(COUNT(C15:F15)&lt;4,"",SUM(C15:F15))</f>
        <v/>
      </c>
      <c r="H15" s="13">
        <f>IF(COUNT(C15:F15)&lt;4,"",G15/22)</f>
        <v/>
      </c>
      <c r="I15" s="13">
        <f>IF(COUNT(C15:F15)&lt;4,"",IF(H15&gt;=0.8,"Green",IF(H15&gt;=0.5,"Yellow","Red")))</f>
        <v/>
      </c>
      <c r="J15" s="13">
        <f>IF(COUNT(C15:F15)&lt;4,"",IF(I15="Green","Well done! "&amp;Parameters!$C$432,"Revise: "&amp;_xlfn.TEXTJOIN(", ",TRUE(),IF(K15&lt;1,Parameters!$A$423,""),IF(L15&lt;1,Parameters!$A$424,""),IF(M15&lt;1,Parameters!$A$425,""),IF(N15&lt;1,Parameters!$A$426,""))))</f>
        <v/>
      </c>
      <c r="K15" s="13">
        <f>IF(C15="","",C15/6)</f>
        <v/>
      </c>
      <c r="L15" s="13">
        <f>IF(D15="","",D15/7)</f>
        <v/>
      </c>
      <c r="M15" s="13">
        <f>IF(E15="","",E15/5)</f>
        <v/>
      </c>
      <c r="N15" s="13">
        <f>IF(F15="","",F15/4)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3">
        <f>IF(COUNT(C16:F16)&lt;4,"",SUM(C16:F16))</f>
        <v/>
      </c>
      <c r="H16" s="13">
        <f>IF(COUNT(C16:F16)&lt;4,"",G16/22)</f>
        <v/>
      </c>
      <c r="I16" s="13">
        <f>IF(COUNT(C16:F16)&lt;4,"",IF(H16&gt;=0.8,"Green",IF(H16&gt;=0.5,"Yellow","Red")))</f>
        <v/>
      </c>
      <c r="J16" s="13">
        <f>IF(COUNT(C16:F16)&lt;4,"",IF(I16="Green","Well done! "&amp;Parameters!$C$432,"Revise: "&amp;_xlfn.TEXTJOIN(", ",TRUE(),IF(K16&lt;1,Parameters!$A$423,""),IF(L16&lt;1,Parameters!$A$424,""),IF(M16&lt;1,Parameters!$A$425,""),IF(N16&lt;1,Parameters!$A$426,""))))</f>
        <v/>
      </c>
      <c r="K16" s="13">
        <f>IF(C16="","",C16/6)</f>
        <v/>
      </c>
      <c r="L16" s="13">
        <f>IF(D16="","",D16/7)</f>
        <v/>
      </c>
      <c r="M16" s="13">
        <f>IF(E16="","",E16/5)</f>
        <v/>
      </c>
      <c r="N16" s="13">
        <f>IF(F16="","",F16/4)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3">
        <f>IF(COUNT(C17:F17)&lt;4,"",SUM(C17:F17))</f>
        <v/>
      </c>
      <c r="H17" s="13">
        <f>IF(COUNT(C17:F17)&lt;4,"",G17/22)</f>
        <v/>
      </c>
      <c r="I17" s="13">
        <f>IF(COUNT(C17:F17)&lt;4,"",IF(H17&gt;=0.8,"Green",IF(H17&gt;=0.5,"Yellow","Red")))</f>
        <v/>
      </c>
      <c r="J17" s="13">
        <f>IF(COUNT(C17:F17)&lt;4,"",IF(I17="Green","Well done! "&amp;Parameters!$C$432,"Revise: "&amp;_xlfn.TEXTJOIN(", ",TRUE(),IF(K17&lt;1,Parameters!$A$423,""),IF(L17&lt;1,Parameters!$A$424,""),IF(M17&lt;1,Parameters!$A$425,""),IF(N17&lt;1,Parameters!$A$426,""))))</f>
        <v/>
      </c>
      <c r="K17" s="13">
        <f>IF(C17="","",C17/6)</f>
        <v/>
      </c>
      <c r="L17" s="13">
        <f>IF(D17="","",D17/7)</f>
        <v/>
      </c>
      <c r="M17" s="13">
        <f>IF(E17="","",E17/5)</f>
        <v/>
      </c>
      <c r="N17" s="13">
        <f>IF(F17="","",F17/4)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3">
        <f>IF(COUNT(C18:F18)&lt;4,"",SUM(C18:F18))</f>
        <v/>
      </c>
      <c r="H18" s="13">
        <f>IF(COUNT(C18:F18)&lt;4,"",G18/22)</f>
        <v/>
      </c>
      <c r="I18" s="13">
        <f>IF(COUNT(C18:F18)&lt;4,"",IF(H18&gt;=0.8,"Green",IF(H18&gt;=0.5,"Yellow","Red")))</f>
        <v/>
      </c>
      <c r="J18" s="13">
        <f>IF(COUNT(C18:F18)&lt;4,"",IF(I18="Green","Well done! "&amp;Parameters!$C$432,"Revise: "&amp;_xlfn.TEXTJOIN(", ",TRUE(),IF(K18&lt;1,Parameters!$A$423,""),IF(L18&lt;1,Parameters!$A$424,""),IF(M18&lt;1,Parameters!$A$425,""),IF(N18&lt;1,Parameters!$A$426,""))))</f>
        <v/>
      </c>
      <c r="K18" s="13">
        <f>IF(C18="","",C18/6)</f>
        <v/>
      </c>
      <c r="L18" s="13">
        <f>IF(D18="","",D18/7)</f>
        <v/>
      </c>
      <c r="M18" s="13">
        <f>IF(E18="","",E18/5)</f>
        <v/>
      </c>
      <c r="N18" s="13">
        <f>IF(F18="","",F18/4)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3">
        <f>IF(COUNT(C19:F19)&lt;4,"",SUM(C19:F19))</f>
        <v/>
      </c>
      <c r="H19" s="13">
        <f>IF(COUNT(C19:F19)&lt;4,"",G19/22)</f>
        <v/>
      </c>
      <c r="I19" s="13">
        <f>IF(COUNT(C19:F19)&lt;4,"",IF(H19&gt;=0.8,"Green",IF(H19&gt;=0.5,"Yellow","Red")))</f>
        <v/>
      </c>
      <c r="J19" s="13">
        <f>IF(COUNT(C19:F19)&lt;4,"",IF(I19="Green","Well done! "&amp;Parameters!$C$432,"Revise: "&amp;_xlfn.TEXTJOIN(", ",TRUE(),IF(K19&lt;1,Parameters!$A$423,""),IF(L19&lt;1,Parameters!$A$424,""),IF(M19&lt;1,Parameters!$A$425,""),IF(N19&lt;1,Parameters!$A$426,""))))</f>
        <v/>
      </c>
      <c r="K19" s="13">
        <f>IF(C19="","",C19/6)</f>
        <v/>
      </c>
      <c r="L19" s="13">
        <f>IF(D19="","",D19/7)</f>
        <v/>
      </c>
      <c r="M19" s="13">
        <f>IF(E19="","",E19/5)</f>
        <v/>
      </c>
      <c r="N19" s="13">
        <f>IF(F19="","",F19/4)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3">
        <f>IF(COUNT(C20:F20)&lt;4,"",SUM(C20:F20))</f>
        <v/>
      </c>
      <c r="H20" s="13">
        <f>IF(COUNT(C20:F20)&lt;4,"",G20/22)</f>
        <v/>
      </c>
      <c r="I20" s="13">
        <f>IF(COUNT(C20:F20)&lt;4,"",IF(H20&gt;=0.8,"Green",IF(H20&gt;=0.5,"Yellow","Red")))</f>
        <v/>
      </c>
      <c r="J20" s="13">
        <f>IF(COUNT(C20:F20)&lt;4,"",IF(I20="Green","Well done! "&amp;Parameters!$C$432,"Revise: "&amp;_xlfn.TEXTJOIN(", ",TRUE(),IF(K20&lt;1,Parameters!$A$423,""),IF(L20&lt;1,Parameters!$A$424,""),IF(M20&lt;1,Parameters!$A$425,""),IF(N20&lt;1,Parameters!$A$426,""))))</f>
        <v/>
      </c>
      <c r="K20" s="13">
        <f>IF(C20="","",C20/6)</f>
        <v/>
      </c>
      <c r="L20" s="13">
        <f>IF(D20="","",D20/7)</f>
        <v/>
      </c>
      <c r="M20" s="13">
        <f>IF(E20="","",E20/5)</f>
        <v/>
      </c>
      <c r="N20" s="13">
        <f>IF(F20="","",F20/4)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3">
        <f>IF(COUNT(C21:F21)&lt;4,"",SUM(C21:F21))</f>
        <v/>
      </c>
      <c r="H21" s="13">
        <f>IF(COUNT(C21:F21)&lt;4,"",G21/22)</f>
        <v/>
      </c>
      <c r="I21" s="13">
        <f>IF(COUNT(C21:F21)&lt;4,"",IF(H21&gt;=0.8,"Green",IF(H21&gt;=0.5,"Yellow","Red")))</f>
        <v/>
      </c>
      <c r="J21" s="13">
        <f>IF(COUNT(C21:F21)&lt;4,"",IF(I21="Green","Well done! "&amp;Parameters!$C$432,"Revise: "&amp;_xlfn.TEXTJOIN(", ",TRUE(),IF(K21&lt;1,Parameters!$A$423,""),IF(L21&lt;1,Parameters!$A$424,""),IF(M21&lt;1,Parameters!$A$425,""),IF(N21&lt;1,Parameters!$A$426,""))))</f>
        <v/>
      </c>
      <c r="K21" s="13">
        <f>IF(C21="","",C21/6)</f>
        <v/>
      </c>
      <c r="L21" s="13">
        <f>IF(D21="","",D21/7)</f>
        <v/>
      </c>
      <c r="M21" s="13">
        <f>IF(E21="","",E21/5)</f>
        <v/>
      </c>
      <c r="N21" s="13">
        <f>IF(F21="","",F21/4)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3">
        <f>IF(COUNT(C22:F22)&lt;4,"",SUM(C22:F22))</f>
        <v/>
      </c>
      <c r="H22" s="13">
        <f>IF(COUNT(C22:F22)&lt;4,"",G22/22)</f>
        <v/>
      </c>
      <c r="I22" s="13">
        <f>IF(COUNT(C22:F22)&lt;4,"",IF(H22&gt;=0.8,"Green",IF(H22&gt;=0.5,"Yellow","Red")))</f>
        <v/>
      </c>
      <c r="J22" s="13">
        <f>IF(COUNT(C22:F22)&lt;4,"",IF(I22="Green","Well done! "&amp;Parameters!$C$432,"Revise: "&amp;_xlfn.TEXTJOIN(", ",TRUE(),IF(K22&lt;1,Parameters!$A$423,""),IF(L22&lt;1,Parameters!$A$424,""),IF(M22&lt;1,Parameters!$A$425,""),IF(N22&lt;1,Parameters!$A$426,""))))</f>
        <v/>
      </c>
      <c r="K22" s="13">
        <f>IF(C22="","",C22/6)</f>
        <v/>
      </c>
      <c r="L22" s="13">
        <f>IF(D22="","",D22/7)</f>
        <v/>
      </c>
      <c r="M22" s="13">
        <f>IF(E22="","",E22/5)</f>
        <v/>
      </c>
      <c r="N22" s="13">
        <f>IF(F22="","",F22/4)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3">
        <f>IF(COUNT(C23:F23)&lt;4,"",SUM(C23:F23))</f>
        <v/>
      </c>
      <c r="H23" s="13">
        <f>IF(COUNT(C23:F23)&lt;4,"",G23/22)</f>
        <v/>
      </c>
      <c r="I23" s="13">
        <f>IF(COUNT(C23:F23)&lt;4,"",IF(H23&gt;=0.8,"Green",IF(H23&gt;=0.5,"Yellow","Red")))</f>
        <v/>
      </c>
      <c r="J23" s="13">
        <f>IF(COUNT(C23:F23)&lt;4,"",IF(I23="Green","Well done! "&amp;Parameters!$C$432,"Revise: "&amp;_xlfn.TEXTJOIN(", ",TRUE(),IF(K23&lt;1,Parameters!$A$423,""),IF(L23&lt;1,Parameters!$A$424,""),IF(M23&lt;1,Parameters!$A$425,""),IF(N23&lt;1,Parameters!$A$426,""))))</f>
        <v/>
      </c>
      <c r="K23" s="13">
        <f>IF(C23="","",C23/6)</f>
        <v/>
      </c>
      <c r="L23" s="13">
        <f>IF(D23="","",D23/7)</f>
        <v/>
      </c>
      <c r="M23" s="13">
        <f>IF(E23="","",E23/5)</f>
        <v/>
      </c>
      <c r="N23" s="13">
        <f>IF(F23="","",F23/4)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3">
        <f>IF(COUNT(C24:F24)&lt;4,"",SUM(C24:F24))</f>
        <v/>
      </c>
      <c r="H24" s="13">
        <f>IF(COUNT(C24:F24)&lt;4,"",G24/22)</f>
        <v/>
      </c>
      <c r="I24" s="13">
        <f>IF(COUNT(C24:F24)&lt;4,"",IF(H24&gt;=0.8,"Green",IF(H24&gt;=0.5,"Yellow","Red")))</f>
        <v/>
      </c>
      <c r="J24" s="13">
        <f>IF(COUNT(C24:F24)&lt;4,"",IF(I24="Green","Well done! "&amp;Parameters!$C$432,"Revise: "&amp;_xlfn.TEXTJOIN(", ",TRUE(),IF(K24&lt;1,Parameters!$A$423,""),IF(L24&lt;1,Parameters!$A$424,""),IF(M24&lt;1,Parameters!$A$425,""),IF(N24&lt;1,Parameters!$A$426,""))))</f>
        <v/>
      </c>
      <c r="K24" s="13">
        <f>IF(C24="","",C24/6)</f>
        <v/>
      </c>
      <c r="L24" s="13">
        <f>IF(D24="","",D24/7)</f>
        <v/>
      </c>
      <c r="M24" s="13">
        <f>IF(E24="","",E24/5)</f>
        <v/>
      </c>
      <c r="N24" s="13">
        <f>IF(F24="","",F24/4)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3">
        <f>IF(COUNT(C25:F25)&lt;4,"",SUM(C25:F25))</f>
        <v/>
      </c>
      <c r="H25" s="13">
        <f>IF(COUNT(C25:F25)&lt;4,"",G25/22)</f>
        <v/>
      </c>
      <c r="I25" s="13">
        <f>IF(COUNT(C25:F25)&lt;4,"",IF(H25&gt;=0.8,"Green",IF(H25&gt;=0.5,"Yellow","Red")))</f>
        <v/>
      </c>
      <c r="J25" s="13">
        <f>IF(COUNT(C25:F25)&lt;4,"",IF(I25="Green","Well done! "&amp;Parameters!$C$432,"Revise: "&amp;_xlfn.TEXTJOIN(", ",TRUE(),IF(K25&lt;1,Parameters!$A$423,""),IF(L25&lt;1,Parameters!$A$424,""),IF(M25&lt;1,Parameters!$A$425,""),IF(N25&lt;1,Parameters!$A$426,""))))</f>
        <v/>
      </c>
      <c r="K25" s="13">
        <f>IF(C25="","",C25/6)</f>
        <v/>
      </c>
      <c r="L25" s="13">
        <f>IF(D25="","",D25/7)</f>
        <v/>
      </c>
      <c r="M25" s="13">
        <f>IF(E25="","",E25/5)</f>
        <v/>
      </c>
      <c r="N25" s="13">
        <f>IF(F25="","",F25/4)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3">
        <f>IF(COUNT(C26:F26)&lt;4,"",SUM(C26:F26))</f>
        <v/>
      </c>
      <c r="H26" s="13">
        <f>IF(COUNT(C26:F26)&lt;4,"",G26/22)</f>
        <v/>
      </c>
      <c r="I26" s="13">
        <f>IF(COUNT(C26:F26)&lt;4,"",IF(H26&gt;=0.8,"Green",IF(H26&gt;=0.5,"Yellow","Red")))</f>
        <v/>
      </c>
      <c r="J26" s="13">
        <f>IF(COUNT(C26:F26)&lt;4,"",IF(I26="Green","Well done! "&amp;Parameters!$C$432,"Revise: "&amp;_xlfn.TEXTJOIN(", ",TRUE(),IF(K26&lt;1,Parameters!$A$423,""),IF(L26&lt;1,Parameters!$A$424,""),IF(M26&lt;1,Parameters!$A$425,""),IF(N26&lt;1,Parameters!$A$426,""))))</f>
        <v/>
      </c>
      <c r="K26" s="13">
        <f>IF(C26="","",C26/6)</f>
        <v/>
      </c>
      <c r="L26" s="13">
        <f>IF(D26="","",D26/7)</f>
        <v/>
      </c>
      <c r="M26" s="13">
        <f>IF(E26="","",E26/5)</f>
        <v/>
      </c>
      <c r="N26" s="13">
        <f>IF(F26="","",F26/4)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3">
        <f>IF(COUNT(C27:F27)&lt;4,"",SUM(C27:F27))</f>
        <v/>
      </c>
      <c r="H27" s="13">
        <f>IF(COUNT(C27:F27)&lt;4,"",G27/22)</f>
        <v/>
      </c>
      <c r="I27" s="13">
        <f>IF(COUNT(C27:F27)&lt;4,"",IF(H27&gt;=0.8,"Green",IF(H27&gt;=0.5,"Yellow","Red")))</f>
        <v/>
      </c>
      <c r="J27" s="13">
        <f>IF(COUNT(C27:F27)&lt;4,"",IF(I27="Green","Well done! "&amp;Parameters!$C$432,"Revise: "&amp;_xlfn.TEXTJOIN(", ",TRUE(),IF(K27&lt;1,Parameters!$A$423,""),IF(L27&lt;1,Parameters!$A$424,""),IF(M27&lt;1,Parameters!$A$425,""),IF(N27&lt;1,Parameters!$A$426,""))))</f>
        <v/>
      </c>
      <c r="K27" s="13">
        <f>IF(C27="","",C27/6)</f>
        <v/>
      </c>
      <c r="L27" s="13">
        <f>IF(D27="","",D27/7)</f>
        <v/>
      </c>
      <c r="M27" s="13">
        <f>IF(E27="","",E27/5)</f>
        <v/>
      </c>
      <c r="N27" s="13">
        <f>IF(F27="","",F27/4)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3">
        <f>IF(COUNT(C28:F28)&lt;4,"",SUM(C28:F28))</f>
        <v/>
      </c>
      <c r="H28" s="13">
        <f>IF(COUNT(C28:F28)&lt;4,"",G28/22)</f>
        <v/>
      </c>
      <c r="I28" s="13">
        <f>IF(COUNT(C28:F28)&lt;4,"",IF(H28&gt;=0.8,"Green",IF(H28&gt;=0.5,"Yellow","Red")))</f>
        <v/>
      </c>
      <c r="J28" s="13">
        <f>IF(COUNT(C28:F28)&lt;4,"",IF(I28="Green","Well done! "&amp;Parameters!$C$432,"Revise: "&amp;_xlfn.TEXTJOIN(", ",TRUE(),IF(K28&lt;1,Parameters!$A$423,""),IF(L28&lt;1,Parameters!$A$424,""),IF(M28&lt;1,Parameters!$A$425,""),IF(N28&lt;1,Parameters!$A$426,""))))</f>
        <v/>
      </c>
      <c r="K28" s="13">
        <f>IF(C28="","",C28/6)</f>
        <v/>
      </c>
      <c r="L28" s="13">
        <f>IF(D28="","",D28/7)</f>
        <v/>
      </c>
      <c r="M28" s="13">
        <f>IF(E28="","",E28/5)</f>
        <v/>
      </c>
      <c r="N28" s="13">
        <f>IF(F28="","",F28/4)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3">
        <f>IF(COUNT(C29:F29)&lt;4,"",SUM(C29:F29))</f>
        <v/>
      </c>
      <c r="H29" s="13">
        <f>IF(COUNT(C29:F29)&lt;4,"",G29/22)</f>
        <v/>
      </c>
      <c r="I29" s="13">
        <f>IF(COUNT(C29:F29)&lt;4,"",IF(H29&gt;=0.8,"Green",IF(H29&gt;=0.5,"Yellow","Red")))</f>
        <v/>
      </c>
      <c r="J29" s="13">
        <f>IF(COUNT(C29:F29)&lt;4,"",IF(I29="Green","Well done! "&amp;Parameters!$C$432,"Revise: "&amp;_xlfn.TEXTJOIN(", ",TRUE(),IF(K29&lt;1,Parameters!$A$423,""),IF(L29&lt;1,Parameters!$A$424,""),IF(M29&lt;1,Parameters!$A$425,""),IF(N29&lt;1,Parameters!$A$426,""))))</f>
        <v/>
      </c>
      <c r="K29" s="13">
        <f>IF(C29="","",C29/6)</f>
        <v/>
      </c>
      <c r="L29" s="13">
        <f>IF(D29="","",D29/7)</f>
        <v/>
      </c>
      <c r="M29" s="13">
        <f>IF(E29="","",E29/5)</f>
        <v/>
      </c>
      <c r="N29" s="13">
        <f>IF(F29="","",F29/4)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3">
        <f>IF(COUNT(C30:F30)&lt;4,"",SUM(C30:F30))</f>
        <v/>
      </c>
      <c r="H30" s="13">
        <f>IF(COUNT(C30:F30)&lt;4,"",G30/22)</f>
        <v/>
      </c>
      <c r="I30" s="13">
        <f>IF(COUNT(C30:F30)&lt;4,"",IF(H30&gt;=0.8,"Green",IF(H30&gt;=0.5,"Yellow","Red")))</f>
        <v/>
      </c>
      <c r="J30" s="13">
        <f>IF(COUNT(C30:F30)&lt;4,"",IF(I30="Green","Well done! "&amp;Parameters!$C$432,"Revise: "&amp;_xlfn.TEXTJOIN(", ",TRUE(),IF(K30&lt;1,Parameters!$A$423,""),IF(L30&lt;1,Parameters!$A$424,""),IF(M30&lt;1,Parameters!$A$425,""),IF(N30&lt;1,Parameters!$A$426,""))))</f>
        <v/>
      </c>
      <c r="K30" s="13">
        <f>IF(C30="","",C30/6)</f>
        <v/>
      </c>
      <c r="L30" s="13">
        <f>IF(D30="","",D30/7)</f>
        <v/>
      </c>
      <c r="M30" s="13">
        <f>IF(E30="","",E30/5)</f>
        <v/>
      </c>
      <c r="N30" s="13">
        <f>IF(F30="","",F30/4)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3">
        <f>IF(COUNT(C31:F31)&lt;4,"",SUM(C31:F31))</f>
        <v/>
      </c>
      <c r="H31" s="13">
        <f>IF(COUNT(C31:F31)&lt;4,"",G31/22)</f>
        <v/>
      </c>
      <c r="I31" s="13">
        <f>IF(COUNT(C31:F31)&lt;4,"",IF(H31&gt;=0.8,"Green",IF(H31&gt;=0.5,"Yellow","Red")))</f>
        <v/>
      </c>
      <c r="J31" s="13">
        <f>IF(COUNT(C31:F31)&lt;4,"",IF(I31="Green","Well done! "&amp;Parameters!$C$432,"Revise: "&amp;_xlfn.TEXTJOIN(", ",TRUE(),IF(K31&lt;1,Parameters!$A$423,""),IF(L31&lt;1,Parameters!$A$424,""),IF(M31&lt;1,Parameters!$A$425,""),IF(N31&lt;1,Parameters!$A$426,""))))</f>
        <v/>
      </c>
      <c r="K31" s="13">
        <f>IF(C31="","",C31/6)</f>
        <v/>
      </c>
      <c r="L31" s="13">
        <f>IF(D31="","",D31/7)</f>
        <v/>
      </c>
      <c r="M31" s="13">
        <f>IF(E31="","",E31/5)</f>
        <v/>
      </c>
      <c r="N31" s="13">
        <f>IF(F31="","",F31/4)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3">
        <f>IF(COUNT(C32:F32)&lt;4,"",SUM(C32:F32))</f>
        <v/>
      </c>
      <c r="H32" s="13">
        <f>IF(COUNT(C32:F32)&lt;4,"",G32/22)</f>
        <v/>
      </c>
      <c r="I32" s="13">
        <f>IF(COUNT(C32:F32)&lt;4,"",IF(H32&gt;=0.8,"Green",IF(H32&gt;=0.5,"Yellow","Red")))</f>
        <v/>
      </c>
      <c r="J32" s="13">
        <f>IF(COUNT(C32:F32)&lt;4,"",IF(I32="Green","Well done! "&amp;Parameters!$C$432,"Revise: "&amp;_xlfn.TEXTJOIN(", ",TRUE(),IF(K32&lt;1,Parameters!$A$423,""),IF(L32&lt;1,Parameters!$A$424,""),IF(M32&lt;1,Parameters!$A$425,""),IF(N32&lt;1,Parameters!$A$426,""))))</f>
        <v/>
      </c>
      <c r="K32" s="13">
        <f>IF(C32="","",C32/6)</f>
        <v/>
      </c>
      <c r="L32" s="13">
        <f>IF(D32="","",D32/7)</f>
        <v/>
      </c>
      <c r="M32" s="13">
        <f>IF(E32="","",E32/5)</f>
        <v/>
      </c>
      <c r="N32" s="13">
        <f>IF(F32="","",F32/4)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3">
        <f>IF(COUNT(C33:F33)&lt;4,"",SUM(C33:F33))</f>
        <v/>
      </c>
      <c r="H33" s="13">
        <f>IF(COUNT(C33:F33)&lt;4,"",G33/22)</f>
        <v/>
      </c>
      <c r="I33" s="13">
        <f>IF(COUNT(C33:F33)&lt;4,"",IF(H33&gt;=0.8,"Green",IF(H33&gt;=0.5,"Yellow","Red")))</f>
        <v/>
      </c>
      <c r="J33" s="13">
        <f>IF(COUNT(C33:F33)&lt;4,"",IF(I33="Green","Well done! "&amp;Parameters!$C$432,"Revise: "&amp;_xlfn.TEXTJOIN(", ",TRUE(),IF(K33&lt;1,Parameters!$A$423,""),IF(L33&lt;1,Parameters!$A$424,""),IF(M33&lt;1,Parameters!$A$425,""),IF(N33&lt;1,Parameters!$A$426,""))))</f>
        <v/>
      </c>
      <c r="K33" s="13">
        <f>IF(C33="","",C33/6)</f>
        <v/>
      </c>
      <c r="L33" s="13">
        <f>IF(D33="","",D33/7)</f>
        <v/>
      </c>
      <c r="M33" s="13">
        <f>IF(E33="","",E33/5)</f>
        <v/>
      </c>
      <c r="N33" s="13">
        <f>IF(F33="","",F33/4)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3">
        <f>IF(COUNT(C34:F34)&lt;4,"",SUM(C34:F34))</f>
        <v/>
      </c>
      <c r="H34" s="13">
        <f>IF(COUNT(C34:F34)&lt;4,"",G34/22)</f>
        <v/>
      </c>
      <c r="I34" s="13">
        <f>IF(COUNT(C34:F34)&lt;4,"",IF(H34&gt;=0.8,"Green",IF(H34&gt;=0.5,"Yellow","Red")))</f>
        <v/>
      </c>
      <c r="J34" s="13">
        <f>IF(COUNT(C34:F34)&lt;4,"",IF(I34="Green","Well done! "&amp;Parameters!$C$432,"Revise: "&amp;_xlfn.TEXTJOIN(", ",TRUE(),IF(K34&lt;1,Parameters!$A$423,""),IF(L34&lt;1,Parameters!$A$424,""),IF(M34&lt;1,Parameters!$A$425,""),IF(N34&lt;1,Parameters!$A$426,""))))</f>
        <v/>
      </c>
      <c r="K34" s="13">
        <f>IF(C34="","",C34/6)</f>
        <v/>
      </c>
      <c r="L34" s="13">
        <f>IF(D34="","",D34/7)</f>
        <v/>
      </c>
      <c r="M34" s="13">
        <f>IF(E34="","",E34/5)</f>
        <v/>
      </c>
      <c r="N34" s="13">
        <f>IF(F34="","",F34/4)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3">
        <f>IF(COUNT(C35:F35)&lt;4,"",SUM(C35:F35))</f>
        <v/>
      </c>
      <c r="H35" s="13">
        <f>IF(COUNT(C35:F35)&lt;4,"",G35/22)</f>
        <v/>
      </c>
      <c r="I35" s="13">
        <f>IF(COUNT(C35:F35)&lt;4,"",IF(H35&gt;=0.8,"Green",IF(H35&gt;=0.5,"Yellow","Red")))</f>
        <v/>
      </c>
      <c r="J35" s="13">
        <f>IF(COUNT(C35:F35)&lt;4,"",IF(I35="Green","Well done! "&amp;Parameters!$C$432,"Revise: "&amp;_xlfn.TEXTJOIN(", ",TRUE(),IF(K35&lt;1,Parameters!$A$423,""),IF(L35&lt;1,Parameters!$A$424,""),IF(M35&lt;1,Parameters!$A$425,""),IF(N35&lt;1,Parameters!$A$426,""))))</f>
        <v/>
      </c>
      <c r="K35" s="13">
        <f>IF(C35="","",C35/6)</f>
        <v/>
      </c>
      <c r="L35" s="13">
        <f>IF(D35="","",D35/7)</f>
        <v/>
      </c>
      <c r="M35" s="13">
        <f>IF(E35="","",E35/5)</f>
        <v/>
      </c>
      <c r="N35" s="13">
        <f>IF(F35="","",F35/4)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3">
        <f>IF(COUNT(C36:F36)&lt;4,"",SUM(C36:F36))</f>
        <v/>
      </c>
      <c r="H36" s="13">
        <f>IF(COUNT(C36:F36)&lt;4,"",G36/22)</f>
        <v/>
      </c>
      <c r="I36" s="13">
        <f>IF(COUNT(C36:F36)&lt;4,"",IF(H36&gt;=0.8,"Green",IF(H36&gt;=0.5,"Yellow","Red")))</f>
        <v/>
      </c>
      <c r="J36" s="13">
        <f>IF(COUNT(C36:F36)&lt;4,"",IF(I36="Green","Well done! "&amp;Parameters!$C$432,"Revise: "&amp;_xlfn.TEXTJOIN(", ",TRUE(),IF(K36&lt;1,Parameters!$A$423,""),IF(L36&lt;1,Parameters!$A$424,""),IF(M36&lt;1,Parameters!$A$425,""),IF(N36&lt;1,Parameters!$A$426,""))))</f>
        <v/>
      </c>
      <c r="K36" s="13">
        <f>IF(C36="","",C36/6)</f>
        <v/>
      </c>
      <c r="L36" s="13">
        <f>IF(D36="","",D36/7)</f>
        <v/>
      </c>
      <c r="M36" s="13">
        <f>IF(E36="","",E36/5)</f>
        <v/>
      </c>
      <c r="N36" s="13">
        <f>IF(F36="","",F36/4)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3">
        <f>IF(COUNT(C37:F37)&lt;4,"",SUM(C37:F37))</f>
        <v/>
      </c>
      <c r="H37" s="13">
        <f>IF(COUNT(C37:F37)&lt;4,"",G37/22)</f>
        <v/>
      </c>
      <c r="I37" s="13">
        <f>IF(COUNT(C37:F37)&lt;4,"",IF(H37&gt;=0.8,"Green",IF(H37&gt;=0.5,"Yellow","Red")))</f>
        <v/>
      </c>
      <c r="J37" s="13">
        <f>IF(COUNT(C37:F37)&lt;4,"",IF(I37="Green","Well done! "&amp;Parameters!$C$432,"Revise: "&amp;_xlfn.TEXTJOIN(", ",TRUE(),IF(K37&lt;1,Parameters!$A$423,""),IF(L37&lt;1,Parameters!$A$424,""),IF(M37&lt;1,Parameters!$A$425,""),IF(N37&lt;1,Parameters!$A$426,""))))</f>
        <v/>
      </c>
      <c r="K37" s="13">
        <f>IF(C37="","",C37/6)</f>
        <v/>
      </c>
      <c r="L37" s="13">
        <f>IF(D37="","",D37/7)</f>
        <v/>
      </c>
      <c r="M37" s="13">
        <f>IF(E37="","",E37/5)</f>
        <v/>
      </c>
      <c r="N37" s="13">
        <f>IF(F37="","",F37/4)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3">
        <f>IF(COUNT(C38:F38)&lt;4,"",SUM(C38:F38))</f>
        <v/>
      </c>
      <c r="H38" s="13">
        <f>IF(COUNT(C38:F38)&lt;4,"",G38/22)</f>
        <v/>
      </c>
      <c r="I38" s="13">
        <f>IF(COUNT(C38:F38)&lt;4,"",IF(H38&gt;=0.8,"Green",IF(H38&gt;=0.5,"Yellow","Red")))</f>
        <v/>
      </c>
      <c r="J38" s="13">
        <f>IF(COUNT(C38:F38)&lt;4,"",IF(I38="Green","Well done! "&amp;Parameters!$C$432,"Revise: "&amp;_xlfn.TEXTJOIN(", ",TRUE(),IF(K38&lt;1,Parameters!$A$423,""),IF(L38&lt;1,Parameters!$A$424,""),IF(M38&lt;1,Parameters!$A$425,""),IF(N38&lt;1,Parameters!$A$426,""))))</f>
        <v/>
      </c>
      <c r="K38" s="13">
        <f>IF(C38="","",C38/6)</f>
        <v/>
      </c>
      <c r="L38" s="13">
        <f>IF(D38="","",D38/7)</f>
        <v/>
      </c>
      <c r="M38" s="13">
        <f>IF(E38="","",E38/5)</f>
        <v/>
      </c>
      <c r="N38" s="13">
        <f>IF(F38="","",F38/4)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3">
        <f>IF(COUNT(C39:F39)&lt;4,"",SUM(C39:F39))</f>
        <v/>
      </c>
      <c r="H39" s="13">
        <f>IF(COUNT(C39:F39)&lt;4,"",G39/22)</f>
        <v/>
      </c>
      <c r="I39" s="13">
        <f>IF(COUNT(C39:F39)&lt;4,"",IF(H39&gt;=0.8,"Green",IF(H39&gt;=0.5,"Yellow","Red")))</f>
        <v/>
      </c>
      <c r="J39" s="13">
        <f>IF(COUNT(C39:F39)&lt;4,"",IF(I39="Green","Well done! "&amp;Parameters!$C$432,"Revise: "&amp;_xlfn.TEXTJOIN(", ",TRUE(),IF(K39&lt;1,Parameters!$A$423,""),IF(L39&lt;1,Parameters!$A$424,""),IF(M39&lt;1,Parameters!$A$425,""),IF(N39&lt;1,Parameters!$A$426,""))))</f>
        <v/>
      </c>
      <c r="K39" s="13">
        <f>IF(C39="","",C39/6)</f>
        <v/>
      </c>
      <c r="L39" s="13">
        <f>IF(D39="","",D39/7)</f>
        <v/>
      </c>
      <c r="M39" s="13">
        <f>IF(E39="","",E39/5)</f>
        <v/>
      </c>
      <c r="N39" s="13">
        <f>IF(F39="","",F39/4)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3">
        <f>IF(COUNT(C40:F40)&lt;4,"",SUM(C40:F40))</f>
        <v/>
      </c>
      <c r="H40" s="13">
        <f>IF(COUNT(C40:F40)&lt;4,"",G40/22)</f>
        <v/>
      </c>
      <c r="I40" s="13">
        <f>IF(COUNT(C40:F40)&lt;4,"",IF(H40&gt;=0.8,"Green",IF(H40&gt;=0.5,"Yellow","Red")))</f>
        <v/>
      </c>
      <c r="J40" s="13">
        <f>IF(COUNT(C40:F40)&lt;4,"",IF(I40="Green","Well done! "&amp;Parameters!$C$432,"Revise: "&amp;_xlfn.TEXTJOIN(", ",TRUE(),IF(K40&lt;1,Parameters!$A$423,""),IF(L40&lt;1,Parameters!$A$424,""),IF(M40&lt;1,Parameters!$A$425,""),IF(N40&lt;1,Parameters!$A$426,""))))</f>
        <v/>
      </c>
      <c r="K40" s="13">
        <f>IF(C40="","",C40/6)</f>
        <v/>
      </c>
      <c r="L40" s="13">
        <f>IF(D40="","",D40/7)</f>
        <v/>
      </c>
      <c r="M40" s="13">
        <f>IF(E40="","",E40/5)</f>
        <v/>
      </c>
      <c r="N40" s="13">
        <f>IF(F40="","",F40/4)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3">
        <f>IF(COUNT(C41:F41)&lt;4,"",SUM(C41:F41))</f>
        <v/>
      </c>
      <c r="H41" s="13">
        <f>IF(COUNT(C41:F41)&lt;4,"",G41/22)</f>
        <v/>
      </c>
      <c r="I41" s="13">
        <f>IF(COUNT(C41:F41)&lt;4,"",IF(H41&gt;=0.8,"Green",IF(H41&gt;=0.5,"Yellow","Red")))</f>
        <v/>
      </c>
      <c r="J41" s="13">
        <f>IF(COUNT(C41:F41)&lt;4,"",IF(I41="Green","Well done! "&amp;Parameters!$C$432,"Revise: "&amp;_xlfn.TEXTJOIN(", ",TRUE(),IF(K41&lt;1,Parameters!$A$423,""),IF(L41&lt;1,Parameters!$A$424,""),IF(M41&lt;1,Parameters!$A$425,""),IF(N41&lt;1,Parameters!$A$426,""))))</f>
        <v/>
      </c>
      <c r="K41" s="13">
        <f>IF(C41="","",C41/6)</f>
        <v/>
      </c>
      <c r="L41" s="13">
        <f>IF(D41="","",D41/7)</f>
        <v/>
      </c>
      <c r="M41" s="13">
        <f>IF(E41="","",E41/5)</f>
        <v/>
      </c>
      <c r="N41" s="13">
        <f>IF(F41="","",F41/4)</f>
        <v/>
      </c>
    </row>
  </sheetData>
  <conditionalFormatting sqref="C11">
    <cfRule type="expression" priority="1" dxfId="0">
      <formula>AND(COUNT(C11:F11)=4,C11=6)</formula>
    </cfRule>
    <cfRule type="expression" priority="2" dxfId="1">
      <formula>AND(COUNT(C11:F11)=4,C11&lt;6*0.4)</formula>
    </cfRule>
    <cfRule type="expression" priority="3" dxfId="2">
      <formula>AND(COUNT(C11:F11)=4,C11&gt;=6*0.4,C11&lt;6)</formula>
    </cfRule>
  </conditionalFormatting>
  <conditionalFormatting sqref="C12">
    <cfRule type="expression" priority="4" dxfId="0">
      <formula>AND(COUNT(C12:F12)=4,C12=6)</formula>
    </cfRule>
    <cfRule type="expression" priority="5" dxfId="1">
      <formula>AND(COUNT(C12:F12)=4,C12&lt;6*0.4)</formula>
    </cfRule>
    <cfRule type="expression" priority="6" dxfId="2">
      <formula>AND(COUNT(C12:F12)=4,C12&gt;=6*0.4,C12&lt;6)</formula>
    </cfRule>
  </conditionalFormatting>
  <conditionalFormatting sqref="C13">
    <cfRule type="expression" priority="7" dxfId="0">
      <formula>AND(COUNT(C13:F13)=4,C13=6)</formula>
    </cfRule>
    <cfRule type="expression" priority="8" dxfId="1">
      <formula>AND(COUNT(C13:F13)=4,C13&lt;6*0.4)</formula>
    </cfRule>
    <cfRule type="expression" priority="9" dxfId="2">
      <formula>AND(COUNT(C13:F13)=4,C13&gt;=6*0.4,C13&lt;6)</formula>
    </cfRule>
  </conditionalFormatting>
  <conditionalFormatting sqref="C14">
    <cfRule type="expression" priority="10" dxfId="0">
      <formula>AND(COUNT(C14:F14)=4,C14=6)</formula>
    </cfRule>
    <cfRule type="expression" priority="11" dxfId="1">
      <formula>AND(COUNT(C14:F14)=4,C14&lt;6*0.4)</formula>
    </cfRule>
    <cfRule type="expression" priority="12" dxfId="2">
      <formula>AND(COUNT(C14:F14)=4,C14&gt;=6*0.4,C14&lt;6)</formula>
    </cfRule>
  </conditionalFormatting>
  <conditionalFormatting sqref="C15">
    <cfRule type="expression" priority="13" dxfId="0">
      <formula>AND(COUNT(C15:F15)=4,C15=6)</formula>
    </cfRule>
    <cfRule type="expression" priority="14" dxfId="1">
      <formula>AND(COUNT(C15:F15)=4,C15&lt;6*0.4)</formula>
    </cfRule>
    <cfRule type="expression" priority="15" dxfId="2">
      <formula>AND(COUNT(C15:F15)=4,C15&gt;=6*0.4,C15&lt;6)</formula>
    </cfRule>
  </conditionalFormatting>
  <conditionalFormatting sqref="C16">
    <cfRule type="expression" priority="16" dxfId="0">
      <formula>AND(COUNT(C16:F16)=4,C16=6)</formula>
    </cfRule>
    <cfRule type="expression" priority="17" dxfId="1">
      <formula>AND(COUNT(C16:F16)=4,C16&lt;6*0.4)</formula>
    </cfRule>
    <cfRule type="expression" priority="18" dxfId="2">
      <formula>AND(COUNT(C16:F16)=4,C16&gt;=6*0.4,C16&lt;6)</formula>
    </cfRule>
  </conditionalFormatting>
  <conditionalFormatting sqref="C17">
    <cfRule type="expression" priority="19" dxfId="0">
      <formula>AND(COUNT(C17:F17)=4,C17=6)</formula>
    </cfRule>
    <cfRule type="expression" priority="20" dxfId="1">
      <formula>AND(COUNT(C17:F17)=4,C17&lt;6*0.4)</formula>
    </cfRule>
    <cfRule type="expression" priority="21" dxfId="2">
      <formula>AND(COUNT(C17:F17)=4,C17&gt;=6*0.4,C17&lt;6)</formula>
    </cfRule>
  </conditionalFormatting>
  <conditionalFormatting sqref="C18">
    <cfRule type="expression" priority="22" dxfId="0">
      <formula>AND(COUNT(C18:F18)=4,C18=6)</formula>
    </cfRule>
    <cfRule type="expression" priority="23" dxfId="1">
      <formula>AND(COUNT(C18:F18)=4,C18&lt;6*0.4)</formula>
    </cfRule>
    <cfRule type="expression" priority="24" dxfId="2">
      <formula>AND(COUNT(C18:F18)=4,C18&gt;=6*0.4,C18&lt;6)</formula>
    </cfRule>
  </conditionalFormatting>
  <conditionalFormatting sqref="C19">
    <cfRule type="expression" priority="25" dxfId="0">
      <formula>AND(COUNT(C19:F19)=4,C19=6)</formula>
    </cfRule>
    <cfRule type="expression" priority="26" dxfId="1">
      <formula>AND(COUNT(C19:F19)=4,C19&lt;6*0.4)</formula>
    </cfRule>
    <cfRule type="expression" priority="27" dxfId="2">
      <formula>AND(COUNT(C19:F19)=4,C19&gt;=6*0.4,C19&lt;6)</formula>
    </cfRule>
  </conditionalFormatting>
  <conditionalFormatting sqref="C20">
    <cfRule type="expression" priority="28" dxfId="0">
      <formula>AND(COUNT(C20:F20)=4,C20=6)</formula>
    </cfRule>
    <cfRule type="expression" priority="29" dxfId="1">
      <formula>AND(COUNT(C20:F20)=4,C20&lt;6*0.4)</formula>
    </cfRule>
    <cfRule type="expression" priority="30" dxfId="2">
      <formula>AND(COUNT(C20:F20)=4,C20&gt;=6*0.4,C20&lt;6)</formula>
    </cfRule>
  </conditionalFormatting>
  <conditionalFormatting sqref="C21">
    <cfRule type="expression" priority="31" dxfId="0">
      <formula>AND(COUNT(C21:F21)=4,C21=6)</formula>
    </cfRule>
    <cfRule type="expression" priority="32" dxfId="1">
      <formula>AND(COUNT(C21:F21)=4,C21&lt;6*0.4)</formula>
    </cfRule>
    <cfRule type="expression" priority="33" dxfId="2">
      <formula>AND(COUNT(C21:F21)=4,C21&gt;=6*0.4,C21&lt;6)</formula>
    </cfRule>
  </conditionalFormatting>
  <conditionalFormatting sqref="C22">
    <cfRule type="expression" priority="34" dxfId="0">
      <formula>AND(COUNT(C22:F22)=4,C22=6)</formula>
    </cfRule>
    <cfRule type="expression" priority="35" dxfId="1">
      <formula>AND(COUNT(C22:F22)=4,C22&lt;6*0.4)</formula>
    </cfRule>
    <cfRule type="expression" priority="36" dxfId="2">
      <formula>AND(COUNT(C22:F22)=4,C22&gt;=6*0.4,C22&lt;6)</formula>
    </cfRule>
  </conditionalFormatting>
  <conditionalFormatting sqref="C23">
    <cfRule type="expression" priority="37" dxfId="0">
      <formula>AND(COUNT(C23:F23)=4,C23=6)</formula>
    </cfRule>
    <cfRule type="expression" priority="38" dxfId="1">
      <formula>AND(COUNT(C23:F23)=4,C23&lt;6*0.4)</formula>
    </cfRule>
    <cfRule type="expression" priority="39" dxfId="2">
      <formula>AND(COUNT(C23:F23)=4,C23&gt;=6*0.4,C23&lt;6)</formula>
    </cfRule>
  </conditionalFormatting>
  <conditionalFormatting sqref="C24">
    <cfRule type="expression" priority="40" dxfId="0">
      <formula>AND(COUNT(C24:F24)=4,C24=6)</formula>
    </cfRule>
    <cfRule type="expression" priority="41" dxfId="1">
      <formula>AND(COUNT(C24:F24)=4,C24&lt;6*0.4)</formula>
    </cfRule>
    <cfRule type="expression" priority="42" dxfId="2">
      <formula>AND(COUNT(C24:F24)=4,C24&gt;=6*0.4,C24&lt;6)</formula>
    </cfRule>
  </conditionalFormatting>
  <conditionalFormatting sqref="C25">
    <cfRule type="expression" priority="43" dxfId="0">
      <formula>AND(COUNT(C25:F25)=4,C25=6)</formula>
    </cfRule>
    <cfRule type="expression" priority="44" dxfId="1">
      <formula>AND(COUNT(C25:F25)=4,C25&lt;6*0.4)</formula>
    </cfRule>
    <cfRule type="expression" priority="45" dxfId="2">
      <formula>AND(COUNT(C25:F25)=4,C25&gt;=6*0.4,C25&lt;6)</formula>
    </cfRule>
  </conditionalFormatting>
  <conditionalFormatting sqref="C26">
    <cfRule type="expression" priority="46" dxfId="0">
      <formula>AND(COUNT(C26:F26)=4,C26=6)</formula>
    </cfRule>
    <cfRule type="expression" priority="47" dxfId="1">
      <formula>AND(COUNT(C26:F26)=4,C26&lt;6*0.4)</formula>
    </cfRule>
    <cfRule type="expression" priority="48" dxfId="2">
      <formula>AND(COUNT(C26:F26)=4,C26&gt;=6*0.4,C26&lt;6)</formula>
    </cfRule>
  </conditionalFormatting>
  <conditionalFormatting sqref="C27">
    <cfRule type="expression" priority="49" dxfId="0">
      <formula>AND(COUNT(C27:F27)=4,C27=6)</formula>
    </cfRule>
    <cfRule type="expression" priority="50" dxfId="1">
      <formula>AND(COUNT(C27:F27)=4,C27&lt;6*0.4)</formula>
    </cfRule>
    <cfRule type="expression" priority="51" dxfId="2">
      <formula>AND(COUNT(C27:F27)=4,C27&gt;=6*0.4,C27&lt;6)</formula>
    </cfRule>
  </conditionalFormatting>
  <conditionalFormatting sqref="C28">
    <cfRule type="expression" priority="52" dxfId="0">
      <formula>AND(COUNT(C28:F28)=4,C28=6)</formula>
    </cfRule>
    <cfRule type="expression" priority="53" dxfId="1">
      <formula>AND(COUNT(C28:F28)=4,C28&lt;6*0.4)</formula>
    </cfRule>
    <cfRule type="expression" priority="54" dxfId="2">
      <formula>AND(COUNT(C28:F28)=4,C28&gt;=6*0.4,C28&lt;6)</formula>
    </cfRule>
  </conditionalFormatting>
  <conditionalFormatting sqref="C29">
    <cfRule type="expression" priority="55" dxfId="0">
      <formula>AND(COUNT(C29:F29)=4,C29=6)</formula>
    </cfRule>
    <cfRule type="expression" priority="56" dxfId="1">
      <formula>AND(COUNT(C29:F29)=4,C29&lt;6*0.4)</formula>
    </cfRule>
    <cfRule type="expression" priority="57" dxfId="2">
      <formula>AND(COUNT(C29:F29)=4,C29&gt;=6*0.4,C29&lt;6)</formula>
    </cfRule>
  </conditionalFormatting>
  <conditionalFormatting sqref="C30">
    <cfRule type="expression" priority="58" dxfId="0">
      <formula>AND(COUNT(C30:F30)=4,C30=6)</formula>
    </cfRule>
    <cfRule type="expression" priority="59" dxfId="1">
      <formula>AND(COUNT(C30:F30)=4,C30&lt;6*0.4)</formula>
    </cfRule>
    <cfRule type="expression" priority="60" dxfId="2">
      <formula>AND(COUNT(C30:F30)=4,C30&gt;=6*0.4,C30&lt;6)</formula>
    </cfRule>
  </conditionalFormatting>
  <conditionalFormatting sqref="C31">
    <cfRule type="expression" priority="61" dxfId="0">
      <formula>AND(COUNT(C31:F31)=4,C31=6)</formula>
    </cfRule>
    <cfRule type="expression" priority="62" dxfId="1">
      <formula>AND(COUNT(C31:F31)=4,C31&lt;6*0.4)</formula>
    </cfRule>
    <cfRule type="expression" priority="63" dxfId="2">
      <formula>AND(COUNT(C31:F31)=4,C31&gt;=6*0.4,C31&lt;6)</formula>
    </cfRule>
  </conditionalFormatting>
  <conditionalFormatting sqref="C32">
    <cfRule type="expression" priority="64" dxfId="0">
      <formula>AND(COUNT(C32:F32)=4,C32=6)</formula>
    </cfRule>
    <cfRule type="expression" priority="65" dxfId="1">
      <formula>AND(COUNT(C32:F32)=4,C32&lt;6*0.4)</formula>
    </cfRule>
    <cfRule type="expression" priority="66" dxfId="2">
      <formula>AND(COUNT(C32:F32)=4,C32&gt;=6*0.4,C32&lt;6)</formula>
    </cfRule>
  </conditionalFormatting>
  <conditionalFormatting sqref="C33">
    <cfRule type="expression" priority="67" dxfId="0">
      <formula>AND(COUNT(C33:F33)=4,C33=6)</formula>
    </cfRule>
    <cfRule type="expression" priority="68" dxfId="1">
      <formula>AND(COUNT(C33:F33)=4,C33&lt;6*0.4)</formula>
    </cfRule>
    <cfRule type="expression" priority="69" dxfId="2">
      <formula>AND(COUNT(C33:F33)=4,C33&gt;=6*0.4,C33&lt;6)</formula>
    </cfRule>
  </conditionalFormatting>
  <conditionalFormatting sqref="C34">
    <cfRule type="expression" priority="70" dxfId="0">
      <formula>AND(COUNT(C34:F34)=4,C34=6)</formula>
    </cfRule>
    <cfRule type="expression" priority="71" dxfId="1">
      <formula>AND(COUNT(C34:F34)=4,C34&lt;6*0.4)</formula>
    </cfRule>
    <cfRule type="expression" priority="72" dxfId="2">
      <formula>AND(COUNT(C34:F34)=4,C34&gt;=6*0.4,C34&lt;6)</formula>
    </cfRule>
  </conditionalFormatting>
  <conditionalFormatting sqref="C35">
    <cfRule type="expression" priority="73" dxfId="0">
      <formula>AND(COUNT(C35:F35)=4,C35=6)</formula>
    </cfRule>
    <cfRule type="expression" priority="74" dxfId="1">
      <formula>AND(COUNT(C35:F35)=4,C35&lt;6*0.4)</formula>
    </cfRule>
    <cfRule type="expression" priority="75" dxfId="2">
      <formula>AND(COUNT(C35:F35)=4,C35&gt;=6*0.4,C35&lt;6)</formula>
    </cfRule>
  </conditionalFormatting>
  <conditionalFormatting sqref="C36">
    <cfRule type="expression" priority="76" dxfId="0">
      <formula>AND(COUNT(C36:F36)=4,C36=6)</formula>
    </cfRule>
    <cfRule type="expression" priority="77" dxfId="1">
      <formula>AND(COUNT(C36:F36)=4,C36&lt;6*0.4)</formula>
    </cfRule>
    <cfRule type="expression" priority="78" dxfId="2">
      <formula>AND(COUNT(C36:F36)=4,C36&gt;=6*0.4,C36&lt;6)</formula>
    </cfRule>
  </conditionalFormatting>
  <conditionalFormatting sqref="C37">
    <cfRule type="expression" priority="79" dxfId="0">
      <formula>AND(COUNT(C37:F37)=4,C37=6)</formula>
    </cfRule>
    <cfRule type="expression" priority="80" dxfId="1">
      <formula>AND(COUNT(C37:F37)=4,C37&lt;6*0.4)</formula>
    </cfRule>
    <cfRule type="expression" priority="81" dxfId="2">
      <formula>AND(COUNT(C37:F37)=4,C37&gt;=6*0.4,C37&lt;6)</formula>
    </cfRule>
  </conditionalFormatting>
  <conditionalFormatting sqref="C38">
    <cfRule type="expression" priority="82" dxfId="0">
      <formula>AND(COUNT(C38:F38)=4,C38=6)</formula>
    </cfRule>
    <cfRule type="expression" priority="83" dxfId="1">
      <formula>AND(COUNT(C38:F38)=4,C38&lt;6*0.4)</formula>
    </cfRule>
    <cfRule type="expression" priority="84" dxfId="2">
      <formula>AND(COUNT(C38:F38)=4,C38&gt;=6*0.4,C38&lt;6)</formula>
    </cfRule>
  </conditionalFormatting>
  <conditionalFormatting sqref="C39">
    <cfRule type="expression" priority="85" dxfId="0">
      <formula>AND(COUNT(C39:F39)=4,C39=6)</formula>
    </cfRule>
    <cfRule type="expression" priority="86" dxfId="1">
      <formula>AND(COUNT(C39:F39)=4,C39&lt;6*0.4)</formula>
    </cfRule>
    <cfRule type="expression" priority="87" dxfId="2">
      <formula>AND(COUNT(C39:F39)=4,C39&gt;=6*0.4,C39&lt;6)</formula>
    </cfRule>
  </conditionalFormatting>
  <conditionalFormatting sqref="C40">
    <cfRule type="expression" priority="88" dxfId="0">
      <formula>AND(COUNT(C40:F40)=4,C40=6)</formula>
    </cfRule>
    <cfRule type="expression" priority="89" dxfId="1">
      <formula>AND(COUNT(C40:F40)=4,C40&lt;6*0.4)</formula>
    </cfRule>
    <cfRule type="expression" priority="90" dxfId="2">
      <formula>AND(COUNT(C40:F40)=4,C40&gt;=6*0.4,C40&lt;6)</formula>
    </cfRule>
  </conditionalFormatting>
  <conditionalFormatting sqref="C41">
    <cfRule type="expression" priority="91" dxfId="0">
      <formula>AND(COUNT(C41:F41)=4,C41=6)</formula>
    </cfRule>
    <cfRule type="expression" priority="92" dxfId="1">
      <formula>AND(COUNT(C41:F41)=4,C41&lt;6*0.4)</formula>
    </cfRule>
    <cfRule type="expression" priority="93" dxfId="2">
      <formula>AND(COUNT(C41:F41)=4,C41&gt;=6*0.4,C41&lt;6)</formula>
    </cfRule>
  </conditionalFormatting>
  <conditionalFormatting sqref="D11">
    <cfRule type="expression" priority="94" dxfId="0">
      <formula>AND(COUNT(C11:F11)=4,D11=7)</formula>
    </cfRule>
    <cfRule type="expression" priority="95" dxfId="1">
      <formula>AND(COUNT(C11:F11)=4,D11&lt;7*0.4)</formula>
    </cfRule>
    <cfRule type="expression" priority="96" dxfId="2">
      <formula>AND(COUNT(C11:F11)=4,D11&gt;=7*0.4,D11&lt;7)</formula>
    </cfRule>
  </conditionalFormatting>
  <conditionalFormatting sqref="D12">
    <cfRule type="expression" priority="97" dxfId="0">
      <formula>AND(COUNT(C12:F12)=4,D12=7)</formula>
    </cfRule>
    <cfRule type="expression" priority="98" dxfId="1">
      <formula>AND(COUNT(C12:F12)=4,D12&lt;7*0.4)</formula>
    </cfRule>
    <cfRule type="expression" priority="99" dxfId="2">
      <formula>AND(COUNT(C12:F12)=4,D12&gt;=7*0.4,D12&lt;7)</formula>
    </cfRule>
  </conditionalFormatting>
  <conditionalFormatting sqref="D13">
    <cfRule type="expression" priority="100" dxfId="0">
      <formula>AND(COUNT(C13:F13)=4,D13=7)</formula>
    </cfRule>
    <cfRule type="expression" priority="101" dxfId="1">
      <formula>AND(COUNT(C13:F13)=4,D13&lt;7*0.4)</formula>
    </cfRule>
    <cfRule type="expression" priority="102" dxfId="2">
      <formula>AND(COUNT(C13:F13)=4,D13&gt;=7*0.4,D13&lt;7)</formula>
    </cfRule>
  </conditionalFormatting>
  <conditionalFormatting sqref="D14">
    <cfRule type="expression" priority="103" dxfId="0">
      <formula>AND(COUNT(C14:F14)=4,D14=7)</formula>
    </cfRule>
    <cfRule type="expression" priority="104" dxfId="1">
      <formula>AND(COUNT(C14:F14)=4,D14&lt;7*0.4)</formula>
    </cfRule>
    <cfRule type="expression" priority="105" dxfId="2">
      <formula>AND(COUNT(C14:F14)=4,D14&gt;=7*0.4,D14&lt;7)</formula>
    </cfRule>
  </conditionalFormatting>
  <conditionalFormatting sqref="D15">
    <cfRule type="expression" priority="106" dxfId="0">
      <formula>AND(COUNT(C15:F15)=4,D15=7)</formula>
    </cfRule>
    <cfRule type="expression" priority="107" dxfId="1">
      <formula>AND(COUNT(C15:F15)=4,D15&lt;7*0.4)</formula>
    </cfRule>
    <cfRule type="expression" priority="108" dxfId="2">
      <formula>AND(COUNT(C15:F15)=4,D15&gt;=7*0.4,D15&lt;7)</formula>
    </cfRule>
  </conditionalFormatting>
  <conditionalFormatting sqref="D16">
    <cfRule type="expression" priority="109" dxfId="0">
      <formula>AND(COUNT(C16:F16)=4,D16=7)</formula>
    </cfRule>
    <cfRule type="expression" priority="110" dxfId="1">
      <formula>AND(COUNT(C16:F16)=4,D16&lt;7*0.4)</formula>
    </cfRule>
    <cfRule type="expression" priority="111" dxfId="2">
      <formula>AND(COUNT(C16:F16)=4,D16&gt;=7*0.4,D16&lt;7)</formula>
    </cfRule>
  </conditionalFormatting>
  <conditionalFormatting sqref="D17">
    <cfRule type="expression" priority="112" dxfId="0">
      <formula>AND(COUNT(C17:F17)=4,D17=7)</formula>
    </cfRule>
    <cfRule type="expression" priority="113" dxfId="1">
      <formula>AND(COUNT(C17:F17)=4,D17&lt;7*0.4)</formula>
    </cfRule>
    <cfRule type="expression" priority="114" dxfId="2">
      <formula>AND(COUNT(C17:F17)=4,D17&gt;=7*0.4,D17&lt;7)</formula>
    </cfRule>
  </conditionalFormatting>
  <conditionalFormatting sqref="D18">
    <cfRule type="expression" priority="115" dxfId="0">
      <formula>AND(COUNT(C18:F18)=4,D18=7)</formula>
    </cfRule>
    <cfRule type="expression" priority="116" dxfId="1">
      <formula>AND(COUNT(C18:F18)=4,D18&lt;7*0.4)</formula>
    </cfRule>
    <cfRule type="expression" priority="117" dxfId="2">
      <formula>AND(COUNT(C18:F18)=4,D18&gt;=7*0.4,D18&lt;7)</formula>
    </cfRule>
  </conditionalFormatting>
  <conditionalFormatting sqref="D19">
    <cfRule type="expression" priority="118" dxfId="0">
      <formula>AND(COUNT(C19:F19)=4,D19=7)</formula>
    </cfRule>
    <cfRule type="expression" priority="119" dxfId="1">
      <formula>AND(COUNT(C19:F19)=4,D19&lt;7*0.4)</formula>
    </cfRule>
    <cfRule type="expression" priority="120" dxfId="2">
      <formula>AND(COUNT(C19:F19)=4,D19&gt;=7*0.4,D19&lt;7)</formula>
    </cfRule>
  </conditionalFormatting>
  <conditionalFormatting sqref="D20">
    <cfRule type="expression" priority="121" dxfId="0">
      <formula>AND(COUNT(C20:F20)=4,D20=7)</formula>
    </cfRule>
    <cfRule type="expression" priority="122" dxfId="1">
      <formula>AND(COUNT(C20:F20)=4,D20&lt;7*0.4)</formula>
    </cfRule>
    <cfRule type="expression" priority="123" dxfId="2">
      <formula>AND(COUNT(C20:F20)=4,D20&gt;=7*0.4,D20&lt;7)</formula>
    </cfRule>
  </conditionalFormatting>
  <conditionalFormatting sqref="D21">
    <cfRule type="expression" priority="124" dxfId="0">
      <formula>AND(COUNT(C21:F21)=4,D21=7)</formula>
    </cfRule>
    <cfRule type="expression" priority="125" dxfId="1">
      <formula>AND(COUNT(C21:F21)=4,D21&lt;7*0.4)</formula>
    </cfRule>
    <cfRule type="expression" priority="126" dxfId="2">
      <formula>AND(COUNT(C21:F21)=4,D21&gt;=7*0.4,D21&lt;7)</formula>
    </cfRule>
  </conditionalFormatting>
  <conditionalFormatting sqref="D22">
    <cfRule type="expression" priority="127" dxfId="0">
      <formula>AND(COUNT(C22:F22)=4,D22=7)</formula>
    </cfRule>
    <cfRule type="expression" priority="128" dxfId="1">
      <formula>AND(COUNT(C22:F22)=4,D22&lt;7*0.4)</formula>
    </cfRule>
    <cfRule type="expression" priority="129" dxfId="2">
      <formula>AND(COUNT(C22:F22)=4,D22&gt;=7*0.4,D22&lt;7)</formula>
    </cfRule>
  </conditionalFormatting>
  <conditionalFormatting sqref="D23">
    <cfRule type="expression" priority="130" dxfId="0">
      <formula>AND(COUNT(C23:F23)=4,D23=7)</formula>
    </cfRule>
    <cfRule type="expression" priority="131" dxfId="1">
      <formula>AND(COUNT(C23:F23)=4,D23&lt;7*0.4)</formula>
    </cfRule>
    <cfRule type="expression" priority="132" dxfId="2">
      <formula>AND(COUNT(C23:F23)=4,D23&gt;=7*0.4,D23&lt;7)</formula>
    </cfRule>
  </conditionalFormatting>
  <conditionalFormatting sqref="D24">
    <cfRule type="expression" priority="133" dxfId="0">
      <formula>AND(COUNT(C24:F24)=4,D24=7)</formula>
    </cfRule>
    <cfRule type="expression" priority="134" dxfId="1">
      <formula>AND(COUNT(C24:F24)=4,D24&lt;7*0.4)</formula>
    </cfRule>
    <cfRule type="expression" priority="135" dxfId="2">
      <formula>AND(COUNT(C24:F24)=4,D24&gt;=7*0.4,D24&lt;7)</formula>
    </cfRule>
  </conditionalFormatting>
  <conditionalFormatting sqref="D25">
    <cfRule type="expression" priority="136" dxfId="0">
      <formula>AND(COUNT(C25:F25)=4,D25=7)</formula>
    </cfRule>
    <cfRule type="expression" priority="137" dxfId="1">
      <formula>AND(COUNT(C25:F25)=4,D25&lt;7*0.4)</formula>
    </cfRule>
    <cfRule type="expression" priority="138" dxfId="2">
      <formula>AND(COUNT(C25:F25)=4,D25&gt;=7*0.4,D25&lt;7)</formula>
    </cfRule>
  </conditionalFormatting>
  <conditionalFormatting sqref="D26">
    <cfRule type="expression" priority="139" dxfId="0">
      <formula>AND(COUNT(C26:F26)=4,D26=7)</formula>
    </cfRule>
    <cfRule type="expression" priority="140" dxfId="1">
      <formula>AND(COUNT(C26:F26)=4,D26&lt;7*0.4)</formula>
    </cfRule>
    <cfRule type="expression" priority="141" dxfId="2">
      <formula>AND(COUNT(C26:F26)=4,D26&gt;=7*0.4,D26&lt;7)</formula>
    </cfRule>
  </conditionalFormatting>
  <conditionalFormatting sqref="D27">
    <cfRule type="expression" priority="142" dxfId="0">
      <formula>AND(COUNT(C27:F27)=4,D27=7)</formula>
    </cfRule>
    <cfRule type="expression" priority="143" dxfId="1">
      <formula>AND(COUNT(C27:F27)=4,D27&lt;7*0.4)</formula>
    </cfRule>
    <cfRule type="expression" priority="144" dxfId="2">
      <formula>AND(COUNT(C27:F27)=4,D27&gt;=7*0.4,D27&lt;7)</formula>
    </cfRule>
  </conditionalFormatting>
  <conditionalFormatting sqref="D28">
    <cfRule type="expression" priority="145" dxfId="0">
      <formula>AND(COUNT(C28:F28)=4,D28=7)</formula>
    </cfRule>
    <cfRule type="expression" priority="146" dxfId="1">
      <formula>AND(COUNT(C28:F28)=4,D28&lt;7*0.4)</formula>
    </cfRule>
    <cfRule type="expression" priority="147" dxfId="2">
      <formula>AND(COUNT(C28:F28)=4,D28&gt;=7*0.4,D28&lt;7)</formula>
    </cfRule>
  </conditionalFormatting>
  <conditionalFormatting sqref="D29">
    <cfRule type="expression" priority="148" dxfId="0">
      <formula>AND(COUNT(C29:F29)=4,D29=7)</formula>
    </cfRule>
    <cfRule type="expression" priority="149" dxfId="1">
      <formula>AND(COUNT(C29:F29)=4,D29&lt;7*0.4)</formula>
    </cfRule>
    <cfRule type="expression" priority="150" dxfId="2">
      <formula>AND(COUNT(C29:F29)=4,D29&gt;=7*0.4,D29&lt;7)</formula>
    </cfRule>
  </conditionalFormatting>
  <conditionalFormatting sqref="D30">
    <cfRule type="expression" priority="151" dxfId="0">
      <formula>AND(COUNT(C30:F30)=4,D30=7)</formula>
    </cfRule>
    <cfRule type="expression" priority="152" dxfId="1">
      <formula>AND(COUNT(C30:F30)=4,D30&lt;7*0.4)</formula>
    </cfRule>
    <cfRule type="expression" priority="153" dxfId="2">
      <formula>AND(COUNT(C30:F30)=4,D30&gt;=7*0.4,D30&lt;7)</formula>
    </cfRule>
  </conditionalFormatting>
  <conditionalFormatting sqref="D31">
    <cfRule type="expression" priority="154" dxfId="0">
      <formula>AND(COUNT(C31:F31)=4,D31=7)</formula>
    </cfRule>
    <cfRule type="expression" priority="155" dxfId="1">
      <formula>AND(COUNT(C31:F31)=4,D31&lt;7*0.4)</formula>
    </cfRule>
    <cfRule type="expression" priority="156" dxfId="2">
      <formula>AND(COUNT(C31:F31)=4,D31&gt;=7*0.4,D31&lt;7)</formula>
    </cfRule>
  </conditionalFormatting>
  <conditionalFormatting sqref="D32">
    <cfRule type="expression" priority="157" dxfId="0">
      <formula>AND(COUNT(C32:F32)=4,D32=7)</formula>
    </cfRule>
    <cfRule type="expression" priority="158" dxfId="1">
      <formula>AND(COUNT(C32:F32)=4,D32&lt;7*0.4)</formula>
    </cfRule>
    <cfRule type="expression" priority="159" dxfId="2">
      <formula>AND(COUNT(C32:F32)=4,D32&gt;=7*0.4,D32&lt;7)</formula>
    </cfRule>
  </conditionalFormatting>
  <conditionalFormatting sqref="D33">
    <cfRule type="expression" priority="160" dxfId="0">
      <formula>AND(COUNT(C33:F33)=4,D33=7)</formula>
    </cfRule>
    <cfRule type="expression" priority="161" dxfId="1">
      <formula>AND(COUNT(C33:F33)=4,D33&lt;7*0.4)</formula>
    </cfRule>
    <cfRule type="expression" priority="162" dxfId="2">
      <formula>AND(COUNT(C33:F33)=4,D33&gt;=7*0.4,D33&lt;7)</formula>
    </cfRule>
  </conditionalFormatting>
  <conditionalFormatting sqref="D34">
    <cfRule type="expression" priority="163" dxfId="0">
      <formula>AND(COUNT(C34:F34)=4,D34=7)</formula>
    </cfRule>
    <cfRule type="expression" priority="164" dxfId="1">
      <formula>AND(COUNT(C34:F34)=4,D34&lt;7*0.4)</formula>
    </cfRule>
    <cfRule type="expression" priority="165" dxfId="2">
      <formula>AND(COUNT(C34:F34)=4,D34&gt;=7*0.4,D34&lt;7)</formula>
    </cfRule>
  </conditionalFormatting>
  <conditionalFormatting sqref="D35">
    <cfRule type="expression" priority="166" dxfId="0">
      <formula>AND(COUNT(C35:F35)=4,D35=7)</formula>
    </cfRule>
    <cfRule type="expression" priority="167" dxfId="1">
      <formula>AND(COUNT(C35:F35)=4,D35&lt;7*0.4)</formula>
    </cfRule>
    <cfRule type="expression" priority="168" dxfId="2">
      <formula>AND(COUNT(C35:F35)=4,D35&gt;=7*0.4,D35&lt;7)</formula>
    </cfRule>
  </conditionalFormatting>
  <conditionalFormatting sqref="D36">
    <cfRule type="expression" priority="169" dxfId="0">
      <formula>AND(COUNT(C36:F36)=4,D36=7)</formula>
    </cfRule>
    <cfRule type="expression" priority="170" dxfId="1">
      <formula>AND(COUNT(C36:F36)=4,D36&lt;7*0.4)</formula>
    </cfRule>
    <cfRule type="expression" priority="171" dxfId="2">
      <formula>AND(COUNT(C36:F36)=4,D36&gt;=7*0.4,D36&lt;7)</formula>
    </cfRule>
  </conditionalFormatting>
  <conditionalFormatting sqref="D37">
    <cfRule type="expression" priority="172" dxfId="0">
      <formula>AND(COUNT(C37:F37)=4,D37=7)</formula>
    </cfRule>
    <cfRule type="expression" priority="173" dxfId="1">
      <formula>AND(COUNT(C37:F37)=4,D37&lt;7*0.4)</formula>
    </cfRule>
    <cfRule type="expression" priority="174" dxfId="2">
      <formula>AND(COUNT(C37:F37)=4,D37&gt;=7*0.4,D37&lt;7)</formula>
    </cfRule>
  </conditionalFormatting>
  <conditionalFormatting sqref="D38">
    <cfRule type="expression" priority="175" dxfId="0">
      <formula>AND(COUNT(C38:F38)=4,D38=7)</formula>
    </cfRule>
    <cfRule type="expression" priority="176" dxfId="1">
      <formula>AND(COUNT(C38:F38)=4,D38&lt;7*0.4)</formula>
    </cfRule>
    <cfRule type="expression" priority="177" dxfId="2">
      <formula>AND(COUNT(C38:F38)=4,D38&gt;=7*0.4,D38&lt;7)</formula>
    </cfRule>
  </conditionalFormatting>
  <conditionalFormatting sqref="D39">
    <cfRule type="expression" priority="178" dxfId="0">
      <formula>AND(COUNT(C39:F39)=4,D39=7)</formula>
    </cfRule>
    <cfRule type="expression" priority="179" dxfId="1">
      <formula>AND(COUNT(C39:F39)=4,D39&lt;7*0.4)</formula>
    </cfRule>
    <cfRule type="expression" priority="180" dxfId="2">
      <formula>AND(COUNT(C39:F39)=4,D39&gt;=7*0.4,D39&lt;7)</formula>
    </cfRule>
  </conditionalFormatting>
  <conditionalFormatting sqref="D40">
    <cfRule type="expression" priority="181" dxfId="0">
      <formula>AND(COUNT(C40:F40)=4,D40=7)</formula>
    </cfRule>
    <cfRule type="expression" priority="182" dxfId="1">
      <formula>AND(COUNT(C40:F40)=4,D40&lt;7*0.4)</formula>
    </cfRule>
    <cfRule type="expression" priority="183" dxfId="2">
      <formula>AND(COUNT(C40:F40)=4,D40&gt;=7*0.4,D40&lt;7)</formula>
    </cfRule>
  </conditionalFormatting>
  <conditionalFormatting sqref="D41">
    <cfRule type="expression" priority="184" dxfId="0">
      <formula>AND(COUNT(C41:F41)=4,D41=7)</formula>
    </cfRule>
    <cfRule type="expression" priority="185" dxfId="1">
      <formula>AND(COUNT(C41:F41)=4,D41&lt;7*0.4)</formula>
    </cfRule>
    <cfRule type="expression" priority="186" dxfId="2">
      <formula>AND(COUNT(C41:F41)=4,D41&gt;=7*0.4,D41&lt;7)</formula>
    </cfRule>
  </conditionalFormatting>
  <conditionalFormatting sqref="E11">
    <cfRule type="expression" priority="187" dxfId="0">
      <formula>AND(COUNT(C11:F11)=4,E11=5)</formula>
    </cfRule>
    <cfRule type="expression" priority="188" dxfId="1">
      <formula>AND(COUNT(C11:F11)=4,E11&lt;5*0.4)</formula>
    </cfRule>
    <cfRule type="expression" priority="189" dxfId="2">
      <formula>AND(COUNT(C11:F11)=4,E11&gt;=5*0.4,E11&lt;5)</formula>
    </cfRule>
  </conditionalFormatting>
  <conditionalFormatting sqref="E12">
    <cfRule type="expression" priority="190" dxfId="0">
      <formula>AND(COUNT(C12:F12)=4,E12=5)</formula>
    </cfRule>
    <cfRule type="expression" priority="191" dxfId="1">
      <formula>AND(COUNT(C12:F12)=4,E12&lt;5*0.4)</formula>
    </cfRule>
    <cfRule type="expression" priority="192" dxfId="2">
      <formula>AND(COUNT(C12:F12)=4,E12&gt;=5*0.4,E12&lt;5)</formula>
    </cfRule>
  </conditionalFormatting>
  <conditionalFormatting sqref="E13">
    <cfRule type="expression" priority="193" dxfId="0">
      <formula>AND(COUNT(C13:F13)=4,E13=5)</formula>
    </cfRule>
    <cfRule type="expression" priority="194" dxfId="1">
      <formula>AND(COUNT(C13:F13)=4,E13&lt;5*0.4)</formula>
    </cfRule>
    <cfRule type="expression" priority="195" dxfId="2">
      <formula>AND(COUNT(C13:F13)=4,E13&gt;=5*0.4,E13&lt;5)</formula>
    </cfRule>
  </conditionalFormatting>
  <conditionalFormatting sqref="E14">
    <cfRule type="expression" priority="196" dxfId="0">
      <formula>AND(COUNT(C14:F14)=4,E14=5)</formula>
    </cfRule>
    <cfRule type="expression" priority="197" dxfId="1">
      <formula>AND(COUNT(C14:F14)=4,E14&lt;5*0.4)</formula>
    </cfRule>
    <cfRule type="expression" priority="198" dxfId="2">
      <formula>AND(COUNT(C14:F14)=4,E14&gt;=5*0.4,E14&lt;5)</formula>
    </cfRule>
  </conditionalFormatting>
  <conditionalFormatting sqref="E15">
    <cfRule type="expression" priority="199" dxfId="0">
      <formula>AND(COUNT(C15:F15)=4,E15=5)</formula>
    </cfRule>
    <cfRule type="expression" priority="200" dxfId="1">
      <formula>AND(COUNT(C15:F15)=4,E15&lt;5*0.4)</formula>
    </cfRule>
    <cfRule type="expression" priority="201" dxfId="2">
      <formula>AND(COUNT(C15:F15)=4,E15&gt;=5*0.4,E15&lt;5)</formula>
    </cfRule>
  </conditionalFormatting>
  <conditionalFormatting sqref="E16">
    <cfRule type="expression" priority="202" dxfId="0">
      <formula>AND(COUNT(C16:F16)=4,E16=5)</formula>
    </cfRule>
    <cfRule type="expression" priority="203" dxfId="1">
      <formula>AND(COUNT(C16:F16)=4,E16&lt;5*0.4)</formula>
    </cfRule>
    <cfRule type="expression" priority="204" dxfId="2">
      <formula>AND(COUNT(C16:F16)=4,E16&gt;=5*0.4,E16&lt;5)</formula>
    </cfRule>
  </conditionalFormatting>
  <conditionalFormatting sqref="E17">
    <cfRule type="expression" priority="205" dxfId="0">
      <formula>AND(COUNT(C17:F17)=4,E17=5)</formula>
    </cfRule>
    <cfRule type="expression" priority="206" dxfId="1">
      <formula>AND(COUNT(C17:F17)=4,E17&lt;5*0.4)</formula>
    </cfRule>
    <cfRule type="expression" priority="207" dxfId="2">
      <formula>AND(COUNT(C17:F17)=4,E17&gt;=5*0.4,E17&lt;5)</formula>
    </cfRule>
  </conditionalFormatting>
  <conditionalFormatting sqref="E18">
    <cfRule type="expression" priority="208" dxfId="0">
      <formula>AND(COUNT(C18:F18)=4,E18=5)</formula>
    </cfRule>
    <cfRule type="expression" priority="209" dxfId="1">
      <formula>AND(COUNT(C18:F18)=4,E18&lt;5*0.4)</formula>
    </cfRule>
    <cfRule type="expression" priority="210" dxfId="2">
      <formula>AND(COUNT(C18:F18)=4,E18&gt;=5*0.4,E18&lt;5)</formula>
    </cfRule>
  </conditionalFormatting>
  <conditionalFormatting sqref="E19">
    <cfRule type="expression" priority="211" dxfId="0">
      <formula>AND(COUNT(C19:F19)=4,E19=5)</formula>
    </cfRule>
    <cfRule type="expression" priority="212" dxfId="1">
      <formula>AND(COUNT(C19:F19)=4,E19&lt;5*0.4)</formula>
    </cfRule>
    <cfRule type="expression" priority="213" dxfId="2">
      <formula>AND(COUNT(C19:F19)=4,E19&gt;=5*0.4,E19&lt;5)</formula>
    </cfRule>
  </conditionalFormatting>
  <conditionalFormatting sqref="E20">
    <cfRule type="expression" priority="214" dxfId="0">
      <formula>AND(COUNT(C20:F20)=4,E20=5)</formula>
    </cfRule>
    <cfRule type="expression" priority="215" dxfId="1">
      <formula>AND(COUNT(C20:F20)=4,E20&lt;5*0.4)</formula>
    </cfRule>
    <cfRule type="expression" priority="216" dxfId="2">
      <formula>AND(COUNT(C20:F20)=4,E20&gt;=5*0.4,E20&lt;5)</formula>
    </cfRule>
  </conditionalFormatting>
  <conditionalFormatting sqref="E21">
    <cfRule type="expression" priority="217" dxfId="0">
      <formula>AND(COUNT(C21:F21)=4,E21=5)</formula>
    </cfRule>
    <cfRule type="expression" priority="218" dxfId="1">
      <formula>AND(COUNT(C21:F21)=4,E21&lt;5*0.4)</formula>
    </cfRule>
    <cfRule type="expression" priority="219" dxfId="2">
      <formula>AND(COUNT(C21:F21)=4,E21&gt;=5*0.4,E21&lt;5)</formula>
    </cfRule>
  </conditionalFormatting>
  <conditionalFormatting sqref="E22">
    <cfRule type="expression" priority="220" dxfId="0">
      <formula>AND(COUNT(C22:F22)=4,E22=5)</formula>
    </cfRule>
    <cfRule type="expression" priority="221" dxfId="1">
      <formula>AND(COUNT(C22:F22)=4,E22&lt;5*0.4)</formula>
    </cfRule>
    <cfRule type="expression" priority="222" dxfId="2">
      <formula>AND(COUNT(C22:F22)=4,E22&gt;=5*0.4,E22&lt;5)</formula>
    </cfRule>
  </conditionalFormatting>
  <conditionalFormatting sqref="E23">
    <cfRule type="expression" priority="223" dxfId="0">
      <formula>AND(COUNT(C23:F23)=4,E23=5)</formula>
    </cfRule>
    <cfRule type="expression" priority="224" dxfId="1">
      <formula>AND(COUNT(C23:F23)=4,E23&lt;5*0.4)</formula>
    </cfRule>
    <cfRule type="expression" priority="225" dxfId="2">
      <formula>AND(COUNT(C23:F23)=4,E23&gt;=5*0.4,E23&lt;5)</formula>
    </cfRule>
  </conditionalFormatting>
  <conditionalFormatting sqref="E24">
    <cfRule type="expression" priority="226" dxfId="0">
      <formula>AND(COUNT(C24:F24)=4,E24=5)</formula>
    </cfRule>
    <cfRule type="expression" priority="227" dxfId="1">
      <formula>AND(COUNT(C24:F24)=4,E24&lt;5*0.4)</formula>
    </cfRule>
    <cfRule type="expression" priority="228" dxfId="2">
      <formula>AND(COUNT(C24:F24)=4,E24&gt;=5*0.4,E24&lt;5)</formula>
    </cfRule>
  </conditionalFormatting>
  <conditionalFormatting sqref="E25">
    <cfRule type="expression" priority="229" dxfId="0">
      <formula>AND(COUNT(C25:F25)=4,E25=5)</formula>
    </cfRule>
    <cfRule type="expression" priority="230" dxfId="1">
      <formula>AND(COUNT(C25:F25)=4,E25&lt;5*0.4)</formula>
    </cfRule>
    <cfRule type="expression" priority="231" dxfId="2">
      <formula>AND(COUNT(C25:F25)=4,E25&gt;=5*0.4,E25&lt;5)</formula>
    </cfRule>
  </conditionalFormatting>
  <conditionalFormatting sqref="E26">
    <cfRule type="expression" priority="232" dxfId="0">
      <formula>AND(COUNT(C26:F26)=4,E26=5)</formula>
    </cfRule>
    <cfRule type="expression" priority="233" dxfId="1">
      <formula>AND(COUNT(C26:F26)=4,E26&lt;5*0.4)</formula>
    </cfRule>
    <cfRule type="expression" priority="234" dxfId="2">
      <formula>AND(COUNT(C26:F26)=4,E26&gt;=5*0.4,E26&lt;5)</formula>
    </cfRule>
  </conditionalFormatting>
  <conditionalFormatting sqref="E27">
    <cfRule type="expression" priority="235" dxfId="0">
      <formula>AND(COUNT(C27:F27)=4,E27=5)</formula>
    </cfRule>
    <cfRule type="expression" priority="236" dxfId="1">
      <formula>AND(COUNT(C27:F27)=4,E27&lt;5*0.4)</formula>
    </cfRule>
    <cfRule type="expression" priority="237" dxfId="2">
      <formula>AND(COUNT(C27:F27)=4,E27&gt;=5*0.4,E27&lt;5)</formula>
    </cfRule>
  </conditionalFormatting>
  <conditionalFormatting sqref="E28">
    <cfRule type="expression" priority="238" dxfId="0">
      <formula>AND(COUNT(C28:F28)=4,E28=5)</formula>
    </cfRule>
    <cfRule type="expression" priority="239" dxfId="1">
      <formula>AND(COUNT(C28:F28)=4,E28&lt;5*0.4)</formula>
    </cfRule>
    <cfRule type="expression" priority="240" dxfId="2">
      <formula>AND(COUNT(C28:F28)=4,E28&gt;=5*0.4,E28&lt;5)</formula>
    </cfRule>
  </conditionalFormatting>
  <conditionalFormatting sqref="E29">
    <cfRule type="expression" priority="241" dxfId="0">
      <formula>AND(COUNT(C29:F29)=4,E29=5)</formula>
    </cfRule>
    <cfRule type="expression" priority="242" dxfId="1">
      <formula>AND(COUNT(C29:F29)=4,E29&lt;5*0.4)</formula>
    </cfRule>
    <cfRule type="expression" priority="243" dxfId="2">
      <formula>AND(COUNT(C29:F29)=4,E29&gt;=5*0.4,E29&lt;5)</formula>
    </cfRule>
  </conditionalFormatting>
  <conditionalFormatting sqref="E30">
    <cfRule type="expression" priority="244" dxfId="0">
      <formula>AND(COUNT(C30:F30)=4,E30=5)</formula>
    </cfRule>
    <cfRule type="expression" priority="245" dxfId="1">
      <formula>AND(COUNT(C30:F30)=4,E30&lt;5*0.4)</formula>
    </cfRule>
    <cfRule type="expression" priority="246" dxfId="2">
      <formula>AND(COUNT(C30:F30)=4,E30&gt;=5*0.4,E30&lt;5)</formula>
    </cfRule>
  </conditionalFormatting>
  <conditionalFormatting sqref="E31">
    <cfRule type="expression" priority="247" dxfId="0">
      <formula>AND(COUNT(C31:F31)=4,E31=5)</formula>
    </cfRule>
    <cfRule type="expression" priority="248" dxfId="1">
      <formula>AND(COUNT(C31:F31)=4,E31&lt;5*0.4)</formula>
    </cfRule>
    <cfRule type="expression" priority="249" dxfId="2">
      <formula>AND(COUNT(C31:F31)=4,E31&gt;=5*0.4,E31&lt;5)</formula>
    </cfRule>
  </conditionalFormatting>
  <conditionalFormatting sqref="E32">
    <cfRule type="expression" priority="250" dxfId="0">
      <formula>AND(COUNT(C32:F32)=4,E32=5)</formula>
    </cfRule>
    <cfRule type="expression" priority="251" dxfId="1">
      <formula>AND(COUNT(C32:F32)=4,E32&lt;5*0.4)</formula>
    </cfRule>
    <cfRule type="expression" priority="252" dxfId="2">
      <formula>AND(COUNT(C32:F32)=4,E32&gt;=5*0.4,E32&lt;5)</formula>
    </cfRule>
  </conditionalFormatting>
  <conditionalFormatting sqref="E33">
    <cfRule type="expression" priority="253" dxfId="0">
      <formula>AND(COUNT(C33:F33)=4,E33=5)</formula>
    </cfRule>
    <cfRule type="expression" priority="254" dxfId="1">
      <formula>AND(COUNT(C33:F33)=4,E33&lt;5*0.4)</formula>
    </cfRule>
    <cfRule type="expression" priority="255" dxfId="2">
      <formula>AND(COUNT(C33:F33)=4,E33&gt;=5*0.4,E33&lt;5)</formula>
    </cfRule>
  </conditionalFormatting>
  <conditionalFormatting sqref="E34">
    <cfRule type="expression" priority="256" dxfId="0">
      <formula>AND(COUNT(C34:F34)=4,E34=5)</formula>
    </cfRule>
    <cfRule type="expression" priority="257" dxfId="1">
      <formula>AND(COUNT(C34:F34)=4,E34&lt;5*0.4)</formula>
    </cfRule>
    <cfRule type="expression" priority="258" dxfId="2">
      <formula>AND(COUNT(C34:F34)=4,E34&gt;=5*0.4,E34&lt;5)</formula>
    </cfRule>
  </conditionalFormatting>
  <conditionalFormatting sqref="E35">
    <cfRule type="expression" priority="259" dxfId="0">
      <formula>AND(COUNT(C35:F35)=4,E35=5)</formula>
    </cfRule>
    <cfRule type="expression" priority="260" dxfId="1">
      <formula>AND(COUNT(C35:F35)=4,E35&lt;5*0.4)</formula>
    </cfRule>
    <cfRule type="expression" priority="261" dxfId="2">
      <formula>AND(COUNT(C35:F35)=4,E35&gt;=5*0.4,E35&lt;5)</formula>
    </cfRule>
  </conditionalFormatting>
  <conditionalFormatting sqref="E36">
    <cfRule type="expression" priority="262" dxfId="0">
      <formula>AND(COUNT(C36:F36)=4,E36=5)</formula>
    </cfRule>
    <cfRule type="expression" priority="263" dxfId="1">
      <formula>AND(COUNT(C36:F36)=4,E36&lt;5*0.4)</formula>
    </cfRule>
    <cfRule type="expression" priority="264" dxfId="2">
      <formula>AND(COUNT(C36:F36)=4,E36&gt;=5*0.4,E36&lt;5)</formula>
    </cfRule>
  </conditionalFormatting>
  <conditionalFormatting sqref="E37">
    <cfRule type="expression" priority="265" dxfId="0">
      <formula>AND(COUNT(C37:F37)=4,E37=5)</formula>
    </cfRule>
    <cfRule type="expression" priority="266" dxfId="1">
      <formula>AND(COUNT(C37:F37)=4,E37&lt;5*0.4)</formula>
    </cfRule>
    <cfRule type="expression" priority="267" dxfId="2">
      <formula>AND(COUNT(C37:F37)=4,E37&gt;=5*0.4,E37&lt;5)</formula>
    </cfRule>
  </conditionalFormatting>
  <conditionalFormatting sqref="E38">
    <cfRule type="expression" priority="268" dxfId="0">
      <formula>AND(COUNT(C38:F38)=4,E38=5)</formula>
    </cfRule>
    <cfRule type="expression" priority="269" dxfId="1">
      <formula>AND(COUNT(C38:F38)=4,E38&lt;5*0.4)</formula>
    </cfRule>
    <cfRule type="expression" priority="270" dxfId="2">
      <formula>AND(COUNT(C38:F38)=4,E38&gt;=5*0.4,E38&lt;5)</formula>
    </cfRule>
  </conditionalFormatting>
  <conditionalFormatting sqref="E39">
    <cfRule type="expression" priority="271" dxfId="0">
      <formula>AND(COUNT(C39:F39)=4,E39=5)</formula>
    </cfRule>
    <cfRule type="expression" priority="272" dxfId="1">
      <formula>AND(COUNT(C39:F39)=4,E39&lt;5*0.4)</formula>
    </cfRule>
    <cfRule type="expression" priority="273" dxfId="2">
      <formula>AND(COUNT(C39:F39)=4,E39&gt;=5*0.4,E39&lt;5)</formula>
    </cfRule>
  </conditionalFormatting>
  <conditionalFormatting sqref="E40">
    <cfRule type="expression" priority="274" dxfId="0">
      <formula>AND(COUNT(C40:F40)=4,E40=5)</formula>
    </cfRule>
    <cfRule type="expression" priority="275" dxfId="1">
      <formula>AND(COUNT(C40:F40)=4,E40&lt;5*0.4)</formula>
    </cfRule>
    <cfRule type="expression" priority="276" dxfId="2">
      <formula>AND(COUNT(C40:F40)=4,E40&gt;=5*0.4,E40&lt;5)</formula>
    </cfRule>
  </conditionalFormatting>
  <conditionalFormatting sqref="E41">
    <cfRule type="expression" priority="277" dxfId="0">
      <formula>AND(COUNT(C41:F41)=4,E41=5)</formula>
    </cfRule>
    <cfRule type="expression" priority="278" dxfId="1">
      <formula>AND(COUNT(C41:F41)=4,E41&lt;5*0.4)</formula>
    </cfRule>
    <cfRule type="expression" priority="279" dxfId="2">
      <formula>AND(COUNT(C41:F41)=4,E41&gt;=5*0.4,E41&lt;5)</formula>
    </cfRule>
  </conditionalFormatting>
  <conditionalFormatting sqref="F11">
    <cfRule type="expression" priority="280" dxfId="0">
      <formula>AND(COUNT(C11:F11)=4,F11=4)</formula>
    </cfRule>
    <cfRule type="expression" priority="281" dxfId="1">
      <formula>AND(COUNT(C11:F11)=4,F11&lt;4*0.4)</formula>
    </cfRule>
    <cfRule type="expression" priority="282" dxfId="2">
      <formula>AND(COUNT(C11:F11)=4,F11&gt;=4*0.4,F11&lt;4)</formula>
    </cfRule>
  </conditionalFormatting>
  <conditionalFormatting sqref="F12">
    <cfRule type="expression" priority="283" dxfId="0">
      <formula>AND(COUNT(C12:F12)=4,F12=4)</formula>
    </cfRule>
    <cfRule type="expression" priority="284" dxfId="1">
      <formula>AND(COUNT(C12:F12)=4,F12&lt;4*0.4)</formula>
    </cfRule>
    <cfRule type="expression" priority="285" dxfId="2">
      <formula>AND(COUNT(C12:F12)=4,F12&gt;=4*0.4,F12&lt;4)</formula>
    </cfRule>
  </conditionalFormatting>
  <conditionalFormatting sqref="F13">
    <cfRule type="expression" priority="286" dxfId="0">
      <formula>AND(COUNT(C13:F13)=4,F13=4)</formula>
    </cfRule>
    <cfRule type="expression" priority="287" dxfId="1">
      <formula>AND(COUNT(C13:F13)=4,F13&lt;4*0.4)</formula>
    </cfRule>
    <cfRule type="expression" priority="288" dxfId="2">
      <formula>AND(COUNT(C13:F13)=4,F13&gt;=4*0.4,F13&lt;4)</formula>
    </cfRule>
  </conditionalFormatting>
  <conditionalFormatting sqref="F14">
    <cfRule type="expression" priority="289" dxfId="0">
      <formula>AND(COUNT(C14:F14)=4,F14=4)</formula>
    </cfRule>
    <cfRule type="expression" priority="290" dxfId="1">
      <formula>AND(COUNT(C14:F14)=4,F14&lt;4*0.4)</formula>
    </cfRule>
    <cfRule type="expression" priority="291" dxfId="2">
      <formula>AND(COUNT(C14:F14)=4,F14&gt;=4*0.4,F14&lt;4)</formula>
    </cfRule>
  </conditionalFormatting>
  <conditionalFormatting sqref="F15">
    <cfRule type="expression" priority="292" dxfId="0">
      <formula>AND(COUNT(C15:F15)=4,F15=4)</formula>
    </cfRule>
    <cfRule type="expression" priority="293" dxfId="1">
      <formula>AND(COUNT(C15:F15)=4,F15&lt;4*0.4)</formula>
    </cfRule>
    <cfRule type="expression" priority="294" dxfId="2">
      <formula>AND(COUNT(C15:F15)=4,F15&gt;=4*0.4,F15&lt;4)</formula>
    </cfRule>
  </conditionalFormatting>
  <conditionalFormatting sqref="F16">
    <cfRule type="expression" priority="295" dxfId="0">
      <formula>AND(COUNT(C16:F16)=4,F16=4)</formula>
    </cfRule>
    <cfRule type="expression" priority="296" dxfId="1">
      <formula>AND(COUNT(C16:F16)=4,F16&lt;4*0.4)</formula>
    </cfRule>
    <cfRule type="expression" priority="297" dxfId="2">
      <formula>AND(COUNT(C16:F16)=4,F16&gt;=4*0.4,F16&lt;4)</formula>
    </cfRule>
  </conditionalFormatting>
  <conditionalFormatting sqref="F17">
    <cfRule type="expression" priority="298" dxfId="0">
      <formula>AND(COUNT(C17:F17)=4,F17=4)</formula>
    </cfRule>
    <cfRule type="expression" priority="299" dxfId="1">
      <formula>AND(COUNT(C17:F17)=4,F17&lt;4*0.4)</formula>
    </cfRule>
    <cfRule type="expression" priority="300" dxfId="2">
      <formula>AND(COUNT(C17:F17)=4,F17&gt;=4*0.4,F17&lt;4)</formula>
    </cfRule>
  </conditionalFormatting>
  <conditionalFormatting sqref="F18">
    <cfRule type="expression" priority="301" dxfId="0">
      <formula>AND(COUNT(C18:F18)=4,F18=4)</formula>
    </cfRule>
    <cfRule type="expression" priority="302" dxfId="1">
      <formula>AND(COUNT(C18:F18)=4,F18&lt;4*0.4)</formula>
    </cfRule>
    <cfRule type="expression" priority="303" dxfId="2">
      <formula>AND(COUNT(C18:F18)=4,F18&gt;=4*0.4,F18&lt;4)</formula>
    </cfRule>
  </conditionalFormatting>
  <conditionalFormatting sqref="F19">
    <cfRule type="expression" priority="304" dxfId="0">
      <formula>AND(COUNT(C19:F19)=4,F19=4)</formula>
    </cfRule>
    <cfRule type="expression" priority="305" dxfId="1">
      <formula>AND(COUNT(C19:F19)=4,F19&lt;4*0.4)</formula>
    </cfRule>
    <cfRule type="expression" priority="306" dxfId="2">
      <formula>AND(COUNT(C19:F19)=4,F19&gt;=4*0.4,F19&lt;4)</formula>
    </cfRule>
  </conditionalFormatting>
  <conditionalFormatting sqref="F20">
    <cfRule type="expression" priority="307" dxfId="0">
      <formula>AND(COUNT(C20:F20)=4,F20=4)</formula>
    </cfRule>
    <cfRule type="expression" priority="308" dxfId="1">
      <formula>AND(COUNT(C20:F20)=4,F20&lt;4*0.4)</formula>
    </cfRule>
    <cfRule type="expression" priority="309" dxfId="2">
      <formula>AND(COUNT(C20:F20)=4,F20&gt;=4*0.4,F20&lt;4)</formula>
    </cfRule>
  </conditionalFormatting>
  <conditionalFormatting sqref="F21">
    <cfRule type="expression" priority="310" dxfId="0">
      <formula>AND(COUNT(C21:F21)=4,F21=4)</formula>
    </cfRule>
    <cfRule type="expression" priority="311" dxfId="1">
      <formula>AND(COUNT(C21:F21)=4,F21&lt;4*0.4)</formula>
    </cfRule>
    <cfRule type="expression" priority="312" dxfId="2">
      <formula>AND(COUNT(C21:F21)=4,F21&gt;=4*0.4,F21&lt;4)</formula>
    </cfRule>
  </conditionalFormatting>
  <conditionalFormatting sqref="F22">
    <cfRule type="expression" priority="313" dxfId="0">
      <formula>AND(COUNT(C22:F22)=4,F22=4)</formula>
    </cfRule>
    <cfRule type="expression" priority="314" dxfId="1">
      <formula>AND(COUNT(C22:F22)=4,F22&lt;4*0.4)</formula>
    </cfRule>
    <cfRule type="expression" priority="315" dxfId="2">
      <formula>AND(COUNT(C22:F22)=4,F22&gt;=4*0.4,F22&lt;4)</formula>
    </cfRule>
  </conditionalFormatting>
  <conditionalFormatting sqref="F23">
    <cfRule type="expression" priority="316" dxfId="0">
      <formula>AND(COUNT(C23:F23)=4,F23=4)</formula>
    </cfRule>
    <cfRule type="expression" priority="317" dxfId="1">
      <formula>AND(COUNT(C23:F23)=4,F23&lt;4*0.4)</formula>
    </cfRule>
    <cfRule type="expression" priority="318" dxfId="2">
      <formula>AND(COUNT(C23:F23)=4,F23&gt;=4*0.4,F23&lt;4)</formula>
    </cfRule>
  </conditionalFormatting>
  <conditionalFormatting sqref="F24">
    <cfRule type="expression" priority="319" dxfId="0">
      <formula>AND(COUNT(C24:F24)=4,F24=4)</formula>
    </cfRule>
    <cfRule type="expression" priority="320" dxfId="1">
      <formula>AND(COUNT(C24:F24)=4,F24&lt;4*0.4)</formula>
    </cfRule>
    <cfRule type="expression" priority="321" dxfId="2">
      <formula>AND(COUNT(C24:F24)=4,F24&gt;=4*0.4,F24&lt;4)</formula>
    </cfRule>
  </conditionalFormatting>
  <conditionalFormatting sqref="F25">
    <cfRule type="expression" priority="322" dxfId="0">
      <formula>AND(COUNT(C25:F25)=4,F25=4)</formula>
    </cfRule>
    <cfRule type="expression" priority="323" dxfId="1">
      <formula>AND(COUNT(C25:F25)=4,F25&lt;4*0.4)</formula>
    </cfRule>
    <cfRule type="expression" priority="324" dxfId="2">
      <formula>AND(COUNT(C25:F25)=4,F25&gt;=4*0.4,F25&lt;4)</formula>
    </cfRule>
  </conditionalFormatting>
  <conditionalFormatting sqref="F26">
    <cfRule type="expression" priority="325" dxfId="0">
      <formula>AND(COUNT(C26:F26)=4,F26=4)</formula>
    </cfRule>
    <cfRule type="expression" priority="326" dxfId="1">
      <formula>AND(COUNT(C26:F26)=4,F26&lt;4*0.4)</formula>
    </cfRule>
    <cfRule type="expression" priority="327" dxfId="2">
      <formula>AND(COUNT(C26:F26)=4,F26&gt;=4*0.4,F26&lt;4)</formula>
    </cfRule>
  </conditionalFormatting>
  <conditionalFormatting sqref="F27">
    <cfRule type="expression" priority="328" dxfId="0">
      <formula>AND(COUNT(C27:F27)=4,F27=4)</formula>
    </cfRule>
    <cfRule type="expression" priority="329" dxfId="1">
      <formula>AND(COUNT(C27:F27)=4,F27&lt;4*0.4)</formula>
    </cfRule>
    <cfRule type="expression" priority="330" dxfId="2">
      <formula>AND(COUNT(C27:F27)=4,F27&gt;=4*0.4,F27&lt;4)</formula>
    </cfRule>
  </conditionalFormatting>
  <conditionalFormatting sqref="F28">
    <cfRule type="expression" priority="331" dxfId="0">
      <formula>AND(COUNT(C28:F28)=4,F28=4)</formula>
    </cfRule>
    <cfRule type="expression" priority="332" dxfId="1">
      <formula>AND(COUNT(C28:F28)=4,F28&lt;4*0.4)</formula>
    </cfRule>
    <cfRule type="expression" priority="333" dxfId="2">
      <formula>AND(COUNT(C28:F28)=4,F28&gt;=4*0.4,F28&lt;4)</formula>
    </cfRule>
  </conditionalFormatting>
  <conditionalFormatting sqref="F29">
    <cfRule type="expression" priority="334" dxfId="0">
      <formula>AND(COUNT(C29:F29)=4,F29=4)</formula>
    </cfRule>
    <cfRule type="expression" priority="335" dxfId="1">
      <formula>AND(COUNT(C29:F29)=4,F29&lt;4*0.4)</formula>
    </cfRule>
    <cfRule type="expression" priority="336" dxfId="2">
      <formula>AND(COUNT(C29:F29)=4,F29&gt;=4*0.4,F29&lt;4)</formula>
    </cfRule>
  </conditionalFormatting>
  <conditionalFormatting sqref="F30">
    <cfRule type="expression" priority="337" dxfId="0">
      <formula>AND(COUNT(C30:F30)=4,F30=4)</formula>
    </cfRule>
    <cfRule type="expression" priority="338" dxfId="1">
      <formula>AND(COUNT(C30:F30)=4,F30&lt;4*0.4)</formula>
    </cfRule>
    <cfRule type="expression" priority="339" dxfId="2">
      <formula>AND(COUNT(C30:F30)=4,F30&gt;=4*0.4,F30&lt;4)</formula>
    </cfRule>
  </conditionalFormatting>
  <conditionalFormatting sqref="F31">
    <cfRule type="expression" priority="340" dxfId="0">
      <formula>AND(COUNT(C31:F31)=4,F31=4)</formula>
    </cfRule>
    <cfRule type="expression" priority="341" dxfId="1">
      <formula>AND(COUNT(C31:F31)=4,F31&lt;4*0.4)</formula>
    </cfRule>
    <cfRule type="expression" priority="342" dxfId="2">
      <formula>AND(COUNT(C31:F31)=4,F31&gt;=4*0.4,F31&lt;4)</formula>
    </cfRule>
  </conditionalFormatting>
  <conditionalFormatting sqref="F32">
    <cfRule type="expression" priority="343" dxfId="0">
      <formula>AND(COUNT(C32:F32)=4,F32=4)</formula>
    </cfRule>
    <cfRule type="expression" priority="344" dxfId="1">
      <formula>AND(COUNT(C32:F32)=4,F32&lt;4*0.4)</formula>
    </cfRule>
    <cfRule type="expression" priority="345" dxfId="2">
      <formula>AND(COUNT(C32:F32)=4,F32&gt;=4*0.4,F32&lt;4)</formula>
    </cfRule>
  </conditionalFormatting>
  <conditionalFormatting sqref="F33">
    <cfRule type="expression" priority="346" dxfId="0">
      <formula>AND(COUNT(C33:F33)=4,F33=4)</formula>
    </cfRule>
    <cfRule type="expression" priority="347" dxfId="1">
      <formula>AND(COUNT(C33:F33)=4,F33&lt;4*0.4)</formula>
    </cfRule>
    <cfRule type="expression" priority="348" dxfId="2">
      <formula>AND(COUNT(C33:F33)=4,F33&gt;=4*0.4,F33&lt;4)</formula>
    </cfRule>
  </conditionalFormatting>
  <conditionalFormatting sqref="F34">
    <cfRule type="expression" priority="349" dxfId="0">
      <formula>AND(COUNT(C34:F34)=4,F34=4)</formula>
    </cfRule>
    <cfRule type="expression" priority="350" dxfId="1">
      <formula>AND(COUNT(C34:F34)=4,F34&lt;4*0.4)</formula>
    </cfRule>
    <cfRule type="expression" priority="351" dxfId="2">
      <formula>AND(COUNT(C34:F34)=4,F34&gt;=4*0.4,F34&lt;4)</formula>
    </cfRule>
  </conditionalFormatting>
  <conditionalFormatting sqref="F35">
    <cfRule type="expression" priority="352" dxfId="0">
      <formula>AND(COUNT(C35:F35)=4,F35=4)</formula>
    </cfRule>
    <cfRule type="expression" priority="353" dxfId="1">
      <formula>AND(COUNT(C35:F35)=4,F35&lt;4*0.4)</formula>
    </cfRule>
    <cfRule type="expression" priority="354" dxfId="2">
      <formula>AND(COUNT(C35:F35)=4,F35&gt;=4*0.4,F35&lt;4)</formula>
    </cfRule>
  </conditionalFormatting>
  <conditionalFormatting sqref="F36">
    <cfRule type="expression" priority="355" dxfId="0">
      <formula>AND(COUNT(C36:F36)=4,F36=4)</formula>
    </cfRule>
    <cfRule type="expression" priority="356" dxfId="1">
      <formula>AND(COUNT(C36:F36)=4,F36&lt;4*0.4)</formula>
    </cfRule>
    <cfRule type="expression" priority="357" dxfId="2">
      <formula>AND(COUNT(C36:F36)=4,F36&gt;=4*0.4,F36&lt;4)</formula>
    </cfRule>
  </conditionalFormatting>
  <conditionalFormatting sqref="F37">
    <cfRule type="expression" priority="358" dxfId="0">
      <formula>AND(COUNT(C37:F37)=4,F37=4)</formula>
    </cfRule>
    <cfRule type="expression" priority="359" dxfId="1">
      <formula>AND(COUNT(C37:F37)=4,F37&lt;4*0.4)</formula>
    </cfRule>
    <cfRule type="expression" priority="360" dxfId="2">
      <formula>AND(COUNT(C37:F37)=4,F37&gt;=4*0.4,F37&lt;4)</formula>
    </cfRule>
  </conditionalFormatting>
  <conditionalFormatting sqref="F38">
    <cfRule type="expression" priority="361" dxfId="0">
      <formula>AND(COUNT(C38:F38)=4,F38=4)</formula>
    </cfRule>
    <cfRule type="expression" priority="362" dxfId="1">
      <formula>AND(COUNT(C38:F38)=4,F38&lt;4*0.4)</formula>
    </cfRule>
    <cfRule type="expression" priority="363" dxfId="2">
      <formula>AND(COUNT(C38:F38)=4,F38&gt;=4*0.4,F38&lt;4)</formula>
    </cfRule>
  </conditionalFormatting>
  <conditionalFormatting sqref="F39">
    <cfRule type="expression" priority="364" dxfId="0">
      <formula>AND(COUNT(C39:F39)=4,F39=4)</formula>
    </cfRule>
    <cfRule type="expression" priority="365" dxfId="1">
      <formula>AND(COUNT(C39:F39)=4,F39&lt;4*0.4)</formula>
    </cfRule>
    <cfRule type="expression" priority="366" dxfId="2">
      <formula>AND(COUNT(C39:F39)=4,F39&gt;=4*0.4,F39&lt;4)</formula>
    </cfRule>
  </conditionalFormatting>
  <conditionalFormatting sqref="F40">
    <cfRule type="expression" priority="367" dxfId="0">
      <formula>AND(COUNT(C40:F40)=4,F40=4)</formula>
    </cfRule>
    <cfRule type="expression" priority="368" dxfId="1">
      <formula>AND(COUNT(C40:F40)=4,F40&lt;4*0.4)</formula>
    </cfRule>
    <cfRule type="expression" priority="369" dxfId="2">
      <formula>AND(COUNT(C40:F40)=4,F40&gt;=4*0.4,F40&lt;4)</formula>
    </cfRule>
  </conditionalFormatting>
  <conditionalFormatting sqref="F41">
    <cfRule type="expression" priority="370" dxfId="0">
      <formula>AND(COUNT(C41:F41)=4,F41=4)</formula>
    </cfRule>
    <cfRule type="expression" priority="371" dxfId="1">
      <formula>AND(COUNT(C41:F41)=4,F41&lt;4*0.4)</formula>
    </cfRule>
    <cfRule type="expression" priority="372" dxfId="2">
      <formula>AND(COUNT(C41:F41)=4,F41&gt;=4*0.4,F41&lt;4)</formula>
    </cfRule>
  </conditionalFormatting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Mini Test 7.2 — Correlation and Regression</t>
        </is>
      </c>
    </row>
    <row r="2">
      <c r="A2" s="2" t="inlineStr">
        <is>
          <t>Every block below pulls live from 'MT 7.2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SUMPRODUCT(--ISNUMBER('MT 7.2 Results'!I12:I41))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IF('MT 7.2 Results'!I12="","","Mini Test 7.2 — Correlation and Regression")</f>
        <v/>
      </c>
      <c r="K5">
        <f>IF('MT 7.2 Results'!I13="","","Mini Test 7.2 — Correlation and Regression")</f>
        <v/>
      </c>
    </row>
    <row r="6">
      <c r="A6">
        <f>IF('MT 7.2 Results'!I12="","","Name: "&amp;'MT 7.2 Results'!B12&amp;"   Class: "&amp;'MT 7.2 Results'!$B$3&amp;"   Date: "&amp;TEXT('MT 7.2 Results'!$B$5,"DD/MM/YY"))</f>
        <v/>
      </c>
      <c r="K6">
        <f>IF('MT 7.2 Results'!I13="","","Name: "&amp;'MT 7.2 Results'!B13&amp;"   Class: "&amp;'MT 7.2 Results'!$B$3&amp;"   Date: "&amp;TEXT('MT 7.2 Results'!$B$5,"DD/MM/YY"))</f>
        <v/>
      </c>
    </row>
    <row r="7">
      <c r="A7">
        <f>IF('MT 7.2 Results'!I12="","","Total: "&amp;'MT 7.2 Results'!G12&amp;"/22 ("&amp;TEXT('MT 7.2 Results'!H12,"0%")&amp;")   Overall: "&amp;'MT 7.2 Results'!I12)</f>
        <v/>
      </c>
      <c r="K7">
        <f>IF('MT 7.2 Results'!I13="","","Total: "&amp;'MT 7.2 Results'!G13&amp;"/22 ("&amp;TEXT('MT 7.2 Results'!H13,"0%")&amp;")   Overall: "&amp;'MT 7.2 Results'!I13)</f>
        <v/>
      </c>
    </row>
    <row r="8">
      <c r="A8">
        <f>IF('MT 7.2 Results'!I12="","",IF('MT 7.2 Results'!I12="Green",Parameters!$C$432,IF('MT 7.2 Results'!I12="Yellow",Parameters!$C$431,Parameters!$C$430)))</f>
        <v/>
      </c>
      <c r="K8">
        <f>IF('MT 7.2 Results'!I13="","",IF('MT 7.2 Results'!I13="Green",Parameters!$C$432,IF('MT 7.2 Results'!I13="Yellow",Parameters!$C$431,Parameters!$C$430)))</f>
        <v/>
      </c>
    </row>
    <row r="10">
      <c r="A10">
        <f>IF('MT 7.2 Results'!I12="","","Breakdown:")</f>
        <v/>
      </c>
      <c r="K10">
        <f>IF('MT 7.2 Results'!I13="","","Breakdown:")</f>
        <v/>
      </c>
    </row>
    <row r="11">
      <c r="A11">
        <f>IF('MT 7.2 Results'!I12="","","Q1 Mean point &amp; line of best fit: "&amp;'MT 7.2 Results'!C12&amp;"/6")</f>
        <v/>
      </c>
      <c r="K11">
        <f>IF('MT 7.2 Results'!I13="","","Q1 Mean point &amp; line of best fit: "&amp;'MT 7.2 Results'!C13&amp;"/6")</f>
        <v/>
      </c>
    </row>
    <row r="12">
      <c r="A12">
        <f>IF('MT 7.2 Results'!I12="","","Q2 Finding the regression equation: "&amp;'MT 7.2 Results'!D12&amp;"/7")</f>
        <v/>
      </c>
      <c r="K12">
        <f>IF('MT 7.2 Results'!I13="","","Q2 Finding the regression equation: "&amp;'MT 7.2 Results'!D13&amp;"/7")</f>
        <v/>
      </c>
    </row>
    <row r="13">
      <c r="A13">
        <f>IF('MT 7.2 Results'!I12="","","Q3 Problems with extrapolation: "&amp;'MT 7.2 Results'!E12&amp;"/5")</f>
        <v/>
      </c>
      <c r="K13">
        <f>IF('MT 7.2 Results'!I13="","","Q3 Problems with extrapolation: "&amp;'MT 7.2 Results'!E13&amp;"/5")</f>
        <v/>
      </c>
    </row>
    <row r="14">
      <c r="A14">
        <f>IF('MT 7.2 Results'!I12="","","Q4 Interpreting &amp; comparing regression lines: "&amp;'MT 7.2 Results'!F12&amp;"/4")</f>
        <v/>
      </c>
      <c r="K14">
        <f>IF('MT 7.2 Results'!I13="","","Q4 Interpreting &amp; comparing regression lines: "&amp;'MT 7.2 Results'!F13&amp;"/4")</f>
        <v/>
      </c>
    </row>
    <row r="15">
      <c r="A15">
        <f>IF(OR('MT 7.2 Results'!I12="",'MT 7.2 Results'!J12=""),"",'MT 7.2 Results'!J12)</f>
        <v/>
      </c>
      <c r="K15">
        <f>IF(OR('MT 7.2 Results'!I13="",'MT 7.2 Results'!J13=""),"",'MT 7.2 Results'!J13)</f>
        <v/>
      </c>
    </row>
    <row r="17">
      <c r="A17">
        <f>IF('MT 7.2 Results'!I12="","","Comments:")</f>
        <v/>
      </c>
      <c r="K17">
        <f>IF('MT 7.2 Results'!I13="","","Comments:")</f>
        <v/>
      </c>
    </row>
    <row r="21">
      <c r="A21">
        <f>IF('MT 7.2 Results'!I14="","","Mini Test 7.2 — Correlation and Regression")</f>
        <v/>
      </c>
      <c r="K21">
        <f>IF('MT 7.2 Results'!I15="","","Mini Test 7.2 — Correlation and Regression")</f>
        <v/>
      </c>
    </row>
    <row r="22">
      <c r="A22">
        <f>IF('MT 7.2 Results'!I14="","","Name: "&amp;'MT 7.2 Results'!B14&amp;"   Class: "&amp;'MT 7.2 Results'!$B$3&amp;"   Date: "&amp;TEXT('MT 7.2 Results'!$B$5,"DD/MM/YY"))</f>
        <v/>
      </c>
      <c r="K22">
        <f>IF('MT 7.2 Results'!I15="","","Name: "&amp;'MT 7.2 Results'!B15&amp;"   Class: "&amp;'MT 7.2 Results'!$B$3&amp;"   Date: "&amp;TEXT('MT 7.2 Results'!$B$5,"DD/MM/YY"))</f>
        <v/>
      </c>
    </row>
    <row r="23">
      <c r="A23">
        <f>IF('MT 7.2 Results'!I14="","","Total: "&amp;'MT 7.2 Results'!G14&amp;"/22 ("&amp;TEXT('MT 7.2 Results'!H14,"0%")&amp;")   Overall: "&amp;'MT 7.2 Results'!I14)</f>
        <v/>
      </c>
      <c r="K23">
        <f>IF('MT 7.2 Results'!I15="","","Total: "&amp;'MT 7.2 Results'!G15&amp;"/22 ("&amp;TEXT('MT 7.2 Results'!H15,"0%")&amp;")   Overall: "&amp;'MT 7.2 Results'!I15)</f>
        <v/>
      </c>
    </row>
    <row r="24">
      <c r="A24">
        <f>IF('MT 7.2 Results'!I14="","",IF('MT 7.2 Results'!I14="Green",Parameters!$C$432,IF('MT 7.2 Results'!I14="Yellow",Parameters!$C$431,Parameters!$C$430)))</f>
        <v/>
      </c>
      <c r="K24">
        <f>IF('MT 7.2 Results'!I15="","",IF('MT 7.2 Results'!I15="Green",Parameters!$C$432,IF('MT 7.2 Results'!I15="Yellow",Parameters!$C$431,Parameters!$C$430)))</f>
        <v/>
      </c>
    </row>
    <row r="26">
      <c r="A26">
        <f>IF('MT 7.2 Results'!I14="","","Breakdown:")</f>
        <v/>
      </c>
      <c r="K26">
        <f>IF('MT 7.2 Results'!I15="","","Breakdown:")</f>
        <v/>
      </c>
    </row>
    <row r="27">
      <c r="A27">
        <f>IF('MT 7.2 Results'!I14="","","Q1 Mean point &amp; line of best fit: "&amp;'MT 7.2 Results'!C14&amp;"/6")</f>
        <v/>
      </c>
      <c r="K27">
        <f>IF('MT 7.2 Results'!I15="","","Q1 Mean point &amp; line of best fit: "&amp;'MT 7.2 Results'!C15&amp;"/6")</f>
        <v/>
      </c>
    </row>
    <row r="28">
      <c r="A28">
        <f>IF('MT 7.2 Results'!I14="","","Q2 Finding the regression equation: "&amp;'MT 7.2 Results'!D14&amp;"/7")</f>
        <v/>
      </c>
      <c r="K28">
        <f>IF('MT 7.2 Results'!I15="","","Q2 Finding the regression equation: "&amp;'MT 7.2 Results'!D15&amp;"/7")</f>
        <v/>
      </c>
    </row>
    <row r="29">
      <c r="A29">
        <f>IF('MT 7.2 Results'!I14="","","Q3 Problems with extrapolation: "&amp;'MT 7.2 Results'!E14&amp;"/5")</f>
        <v/>
      </c>
      <c r="K29">
        <f>IF('MT 7.2 Results'!I15="","","Q3 Problems with extrapolation: "&amp;'MT 7.2 Results'!E15&amp;"/5")</f>
        <v/>
      </c>
    </row>
    <row r="30">
      <c r="A30">
        <f>IF('MT 7.2 Results'!I14="","","Q4 Interpreting &amp; comparing regression lines: "&amp;'MT 7.2 Results'!F14&amp;"/4")</f>
        <v/>
      </c>
      <c r="K30">
        <f>IF('MT 7.2 Results'!I15="","","Q4 Interpreting &amp; comparing regression lines: "&amp;'MT 7.2 Results'!F15&amp;"/4")</f>
        <v/>
      </c>
    </row>
    <row r="31">
      <c r="A31">
        <f>IF(OR('MT 7.2 Results'!I14="",'MT 7.2 Results'!J14=""),"",'MT 7.2 Results'!J14)</f>
        <v/>
      </c>
      <c r="K31">
        <f>IF(OR('MT 7.2 Results'!I15="",'MT 7.2 Results'!J15=""),"",'MT 7.2 Results'!J15)</f>
        <v/>
      </c>
    </row>
    <row r="33">
      <c r="A33">
        <f>IF('MT 7.2 Results'!I14="","","Comments:")</f>
        <v/>
      </c>
      <c r="K33">
        <f>IF('MT 7.2 Results'!I15="","","Comments:")</f>
        <v/>
      </c>
    </row>
    <row r="37">
      <c r="A37">
        <f>IF('MT 7.2 Results'!I16="","","Mini Test 7.2 — Correlation and Regression")</f>
        <v/>
      </c>
      <c r="K37">
        <f>IF('MT 7.2 Results'!I17="","","Mini Test 7.2 — Correlation and Regression")</f>
        <v/>
      </c>
    </row>
    <row r="38">
      <c r="A38">
        <f>IF('MT 7.2 Results'!I16="","","Name: "&amp;'MT 7.2 Results'!B16&amp;"   Class: "&amp;'MT 7.2 Results'!$B$3&amp;"   Date: "&amp;TEXT('MT 7.2 Results'!$B$5,"DD/MM/YY"))</f>
        <v/>
      </c>
      <c r="K38">
        <f>IF('MT 7.2 Results'!I17="","","Name: "&amp;'MT 7.2 Results'!B17&amp;"   Class: "&amp;'MT 7.2 Results'!$B$3&amp;"   Date: "&amp;TEXT('MT 7.2 Results'!$B$5,"DD/MM/YY"))</f>
        <v/>
      </c>
    </row>
    <row r="39">
      <c r="A39">
        <f>IF('MT 7.2 Results'!I16="","","Total: "&amp;'MT 7.2 Results'!G16&amp;"/22 ("&amp;TEXT('MT 7.2 Results'!H16,"0%")&amp;")   Overall: "&amp;'MT 7.2 Results'!I16)</f>
        <v/>
      </c>
      <c r="K39">
        <f>IF('MT 7.2 Results'!I17="","","Total: "&amp;'MT 7.2 Results'!G17&amp;"/22 ("&amp;TEXT('MT 7.2 Results'!H17,"0%")&amp;")   Overall: "&amp;'MT 7.2 Results'!I17)</f>
        <v/>
      </c>
    </row>
    <row r="40">
      <c r="A40">
        <f>IF('MT 7.2 Results'!I16="","",IF('MT 7.2 Results'!I16="Green",Parameters!$C$432,IF('MT 7.2 Results'!I16="Yellow",Parameters!$C$431,Parameters!$C$430)))</f>
        <v/>
      </c>
      <c r="K40">
        <f>IF('MT 7.2 Results'!I17="","",IF('MT 7.2 Results'!I17="Green",Parameters!$C$432,IF('MT 7.2 Results'!I17="Yellow",Parameters!$C$431,Parameters!$C$430)))</f>
        <v/>
      </c>
    </row>
    <row r="42">
      <c r="A42">
        <f>IF('MT 7.2 Results'!I16="","","Breakdown:")</f>
        <v/>
      </c>
      <c r="K42">
        <f>IF('MT 7.2 Results'!I17="","","Breakdown:")</f>
        <v/>
      </c>
    </row>
    <row r="43">
      <c r="A43">
        <f>IF('MT 7.2 Results'!I16="","","Q1 Mean point &amp; line of best fit: "&amp;'MT 7.2 Results'!C16&amp;"/6")</f>
        <v/>
      </c>
      <c r="K43">
        <f>IF('MT 7.2 Results'!I17="","","Q1 Mean point &amp; line of best fit: "&amp;'MT 7.2 Results'!C17&amp;"/6")</f>
        <v/>
      </c>
    </row>
    <row r="44">
      <c r="A44">
        <f>IF('MT 7.2 Results'!I16="","","Q2 Finding the regression equation: "&amp;'MT 7.2 Results'!D16&amp;"/7")</f>
        <v/>
      </c>
      <c r="K44">
        <f>IF('MT 7.2 Results'!I17="","","Q2 Finding the regression equation: "&amp;'MT 7.2 Results'!D17&amp;"/7")</f>
        <v/>
      </c>
    </row>
    <row r="45">
      <c r="A45">
        <f>IF('MT 7.2 Results'!I16="","","Q3 Problems with extrapolation: "&amp;'MT 7.2 Results'!E16&amp;"/5")</f>
        <v/>
      </c>
      <c r="K45">
        <f>IF('MT 7.2 Results'!I17="","","Q3 Problems with extrapolation: "&amp;'MT 7.2 Results'!E17&amp;"/5")</f>
        <v/>
      </c>
    </row>
    <row r="46">
      <c r="A46">
        <f>IF('MT 7.2 Results'!I16="","","Q4 Interpreting &amp; comparing regression lines: "&amp;'MT 7.2 Results'!F16&amp;"/4")</f>
        <v/>
      </c>
      <c r="K46">
        <f>IF('MT 7.2 Results'!I17="","","Q4 Interpreting &amp; comparing regression lines: "&amp;'MT 7.2 Results'!F17&amp;"/4")</f>
        <v/>
      </c>
    </row>
    <row r="47">
      <c r="A47">
        <f>IF(OR('MT 7.2 Results'!I16="",'MT 7.2 Results'!J16=""),"",'MT 7.2 Results'!J16)</f>
        <v/>
      </c>
      <c r="K47">
        <f>IF(OR('MT 7.2 Results'!I17="",'MT 7.2 Results'!J17=""),"",'MT 7.2 Results'!J17)</f>
        <v/>
      </c>
    </row>
    <row r="49">
      <c r="A49">
        <f>IF('MT 7.2 Results'!I16="","","Comments:")</f>
        <v/>
      </c>
      <c r="K49">
        <f>IF('MT 7.2 Results'!I17="","","Comments:")</f>
        <v/>
      </c>
    </row>
    <row r="53">
      <c r="A53">
        <f>IF('MT 7.2 Results'!I18="","","Mini Test 7.2 — Correlation and Regression")</f>
        <v/>
      </c>
      <c r="K53">
        <f>IF('MT 7.2 Results'!I19="","","Mini Test 7.2 — Correlation and Regression")</f>
        <v/>
      </c>
    </row>
    <row r="54">
      <c r="A54">
        <f>IF('MT 7.2 Results'!I18="","","Name: "&amp;'MT 7.2 Results'!B18&amp;"   Class: "&amp;'MT 7.2 Results'!$B$3&amp;"   Date: "&amp;TEXT('MT 7.2 Results'!$B$5,"DD/MM/YY"))</f>
        <v/>
      </c>
      <c r="K54">
        <f>IF('MT 7.2 Results'!I19="","","Name: "&amp;'MT 7.2 Results'!B19&amp;"   Class: "&amp;'MT 7.2 Results'!$B$3&amp;"   Date: "&amp;TEXT('MT 7.2 Results'!$B$5,"DD/MM/YY"))</f>
        <v/>
      </c>
    </row>
    <row r="55">
      <c r="A55">
        <f>IF('MT 7.2 Results'!I18="","","Total: "&amp;'MT 7.2 Results'!G18&amp;"/22 ("&amp;TEXT('MT 7.2 Results'!H18,"0%")&amp;")   Overall: "&amp;'MT 7.2 Results'!I18)</f>
        <v/>
      </c>
      <c r="K55">
        <f>IF('MT 7.2 Results'!I19="","","Total: "&amp;'MT 7.2 Results'!G19&amp;"/22 ("&amp;TEXT('MT 7.2 Results'!H19,"0%")&amp;")   Overall: "&amp;'MT 7.2 Results'!I19)</f>
        <v/>
      </c>
    </row>
    <row r="56">
      <c r="A56">
        <f>IF('MT 7.2 Results'!I18="","",IF('MT 7.2 Results'!I18="Green",Parameters!$C$432,IF('MT 7.2 Results'!I18="Yellow",Parameters!$C$431,Parameters!$C$430)))</f>
        <v/>
      </c>
      <c r="K56">
        <f>IF('MT 7.2 Results'!I19="","",IF('MT 7.2 Results'!I19="Green",Parameters!$C$432,IF('MT 7.2 Results'!I19="Yellow",Parameters!$C$431,Parameters!$C$430)))</f>
        <v/>
      </c>
    </row>
    <row r="58">
      <c r="A58">
        <f>IF('MT 7.2 Results'!I18="","","Breakdown:")</f>
        <v/>
      </c>
      <c r="K58">
        <f>IF('MT 7.2 Results'!I19="","","Breakdown:")</f>
        <v/>
      </c>
    </row>
    <row r="59">
      <c r="A59">
        <f>IF('MT 7.2 Results'!I18="","","Q1 Mean point &amp; line of best fit: "&amp;'MT 7.2 Results'!C18&amp;"/6")</f>
        <v/>
      </c>
      <c r="K59">
        <f>IF('MT 7.2 Results'!I19="","","Q1 Mean point &amp; line of best fit: "&amp;'MT 7.2 Results'!C19&amp;"/6")</f>
        <v/>
      </c>
    </row>
    <row r="60">
      <c r="A60">
        <f>IF('MT 7.2 Results'!I18="","","Q2 Finding the regression equation: "&amp;'MT 7.2 Results'!D18&amp;"/7")</f>
        <v/>
      </c>
      <c r="K60">
        <f>IF('MT 7.2 Results'!I19="","","Q2 Finding the regression equation: "&amp;'MT 7.2 Results'!D19&amp;"/7")</f>
        <v/>
      </c>
    </row>
    <row r="61">
      <c r="A61">
        <f>IF('MT 7.2 Results'!I18="","","Q3 Problems with extrapolation: "&amp;'MT 7.2 Results'!E18&amp;"/5")</f>
        <v/>
      </c>
      <c r="K61">
        <f>IF('MT 7.2 Results'!I19="","","Q3 Problems with extrapolation: "&amp;'MT 7.2 Results'!E19&amp;"/5")</f>
        <v/>
      </c>
    </row>
    <row r="62">
      <c r="A62">
        <f>IF('MT 7.2 Results'!I18="","","Q4 Interpreting &amp; comparing regression lines: "&amp;'MT 7.2 Results'!F18&amp;"/4")</f>
        <v/>
      </c>
      <c r="K62">
        <f>IF('MT 7.2 Results'!I19="","","Q4 Interpreting &amp; comparing regression lines: "&amp;'MT 7.2 Results'!F19&amp;"/4")</f>
        <v/>
      </c>
    </row>
    <row r="63">
      <c r="A63">
        <f>IF(OR('MT 7.2 Results'!I18="",'MT 7.2 Results'!J18=""),"",'MT 7.2 Results'!J18)</f>
        <v/>
      </c>
      <c r="K63">
        <f>IF(OR('MT 7.2 Results'!I19="",'MT 7.2 Results'!J19=""),"",'MT 7.2 Results'!J19)</f>
        <v/>
      </c>
    </row>
    <row r="65">
      <c r="A65">
        <f>IF('MT 7.2 Results'!I18="","","Comments:")</f>
        <v/>
      </c>
      <c r="K65">
        <f>IF('MT 7.2 Results'!I19="","","Comments:")</f>
        <v/>
      </c>
    </row>
    <row r="69">
      <c r="A69">
        <f>IF('MT 7.2 Results'!I20="","","Mini Test 7.2 — Correlation and Regression")</f>
        <v/>
      </c>
      <c r="K69">
        <f>IF('MT 7.2 Results'!I21="","","Mini Test 7.2 — Correlation and Regression")</f>
        <v/>
      </c>
    </row>
    <row r="70">
      <c r="A70">
        <f>IF('MT 7.2 Results'!I20="","","Name: "&amp;'MT 7.2 Results'!B20&amp;"   Class: "&amp;'MT 7.2 Results'!$B$3&amp;"   Date: "&amp;TEXT('MT 7.2 Results'!$B$5,"DD/MM/YY"))</f>
        <v/>
      </c>
      <c r="K70">
        <f>IF('MT 7.2 Results'!I21="","","Name: "&amp;'MT 7.2 Results'!B21&amp;"   Class: "&amp;'MT 7.2 Results'!$B$3&amp;"   Date: "&amp;TEXT('MT 7.2 Results'!$B$5,"DD/MM/YY"))</f>
        <v/>
      </c>
    </row>
    <row r="71">
      <c r="A71">
        <f>IF('MT 7.2 Results'!I20="","","Total: "&amp;'MT 7.2 Results'!G20&amp;"/22 ("&amp;TEXT('MT 7.2 Results'!H20,"0%")&amp;")   Overall: "&amp;'MT 7.2 Results'!I20)</f>
        <v/>
      </c>
      <c r="K71">
        <f>IF('MT 7.2 Results'!I21="","","Total: "&amp;'MT 7.2 Results'!G21&amp;"/22 ("&amp;TEXT('MT 7.2 Results'!H21,"0%")&amp;")   Overall: "&amp;'MT 7.2 Results'!I21)</f>
        <v/>
      </c>
    </row>
    <row r="72">
      <c r="A72">
        <f>IF('MT 7.2 Results'!I20="","",IF('MT 7.2 Results'!I20="Green",Parameters!$C$432,IF('MT 7.2 Results'!I20="Yellow",Parameters!$C$431,Parameters!$C$430)))</f>
        <v/>
      </c>
      <c r="K72">
        <f>IF('MT 7.2 Results'!I21="","",IF('MT 7.2 Results'!I21="Green",Parameters!$C$432,IF('MT 7.2 Results'!I21="Yellow",Parameters!$C$431,Parameters!$C$430)))</f>
        <v/>
      </c>
    </row>
    <row r="74">
      <c r="A74">
        <f>IF('MT 7.2 Results'!I20="","","Breakdown:")</f>
        <v/>
      </c>
      <c r="K74">
        <f>IF('MT 7.2 Results'!I21="","","Breakdown:")</f>
        <v/>
      </c>
    </row>
    <row r="75">
      <c r="A75">
        <f>IF('MT 7.2 Results'!I20="","","Q1 Mean point &amp; line of best fit: "&amp;'MT 7.2 Results'!C20&amp;"/6")</f>
        <v/>
      </c>
      <c r="K75">
        <f>IF('MT 7.2 Results'!I21="","","Q1 Mean point &amp; line of best fit: "&amp;'MT 7.2 Results'!C21&amp;"/6")</f>
        <v/>
      </c>
    </row>
    <row r="76">
      <c r="A76">
        <f>IF('MT 7.2 Results'!I20="","","Q2 Finding the regression equation: "&amp;'MT 7.2 Results'!D20&amp;"/7")</f>
        <v/>
      </c>
      <c r="K76">
        <f>IF('MT 7.2 Results'!I21="","","Q2 Finding the regression equation: "&amp;'MT 7.2 Results'!D21&amp;"/7")</f>
        <v/>
      </c>
    </row>
    <row r="77">
      <c r="A77">
        <f>IF('MT 7.2 Results'!I20="","","Q3 Problems with extrapolation: "&amp;'MT 7.2 Results'!E20&amp;"/5")</f>
        <v/>
      </c>
      <c r="K77">
        <f>IF('MT 7.2 Results'!I21="","","Q3 Problems with extrapolation: "&amp;'MT 7.2 Results'!E21&amp;"/5")</f>
        <v/>
      </c>
    </row>
    <row r="78">
      <c r="A78">
        <f>IF('MT 7.2 Results'!I20="","","Q4 Interpreting &amp; comparing regression lines: "&amp;'MT 7.2 Results'!F20&amp;"/4")</f>
        <v/>
      </c>
      <c r="K78">
        <f>IF('MT 7.2 Results'!I21="","","Q4 Interpreting &amp; comparing regression lines: "&amp;'MT 7.2 Results'!F21&amp;"/4")</f>
        <v/>
      </c>
    </row>
    <row r="79">
      <c r="A79">
        <f>IF(OR('MT 7.2 Results'!I20="",'MT 7.2 Results'!J20=""),"",'MT 7.2 Results'!J20)</f>
        <v/>
      </c>
      <c r="K79">
        <f>IF(OR('MT 7.2 Results'!I21="",'MT 7.2 Results'!J21=""),"",'MT 7.2 Results'!J21)</f>
        <v/>
      </c>
    </row>
    <row r="81">
      <c r="A81">
        <f>IF('MT 7.2 Results'!I20="","","Comments:")</f>
        <v/>
      </c>
      <c r="K81">
        <f>IF('MT 7.2 Results'!I21="","","Comments:")</f>
        <v/>
      </c>
    </row>
    <row r="85">
      <c r="A85">
        <f>IF('MT 7.2 Results'!I22="","","Mini Test 7.2 — Correlation and Regression")</f>
        <v/>
      </c>
      <c r="K85">
        <f>IF('MT 7.2 Results'!I23="","","Mini Test 7.2 — Correlation and Regression")</f>
        <v/>
      </c>
    </row>
    <row r="86">
      <c r="A86">
        <f>IF('MT 7.2 Results'!I22="","","Name: "&amp;'MT 7.2 Results'!B22&amp;"   Class: "&amp;'MT 7.2 Results'!$B$3&amp;"   Date: "&amp;TEXT('MT 7.2 Results'!$B$5,"DD/MM/YY"))</f>
        <v/>
      </c>
      <c r="K86">
        <f>IF('MT 7.2 Results'!I23="","","Name: "&amp;'MT 7.2 Results'!B23&amp;"   Class: "&amp;'MT 7.2 Results'!$B$3&amp;"   Date: "&amp;TEXT('MT 7.2 Results'!$B$5,"DD/MM/YY"))</f>
        <v/>
      </c>
    </row>
    <row r="87">
      <c r="A87">
        <f>IF('MT 7.2 Results'!I22="","","Total: "&amp;'MT 7.2 Results'!G22&amp;"/22 ("&amp;TEXT('MT 7.2 Results'!H22,"0%")&amp;")   Overall: "&amp;'MT 7.2 Results'!I22)</f>
        <v/>
      </c>
      <c r="K87">
        <f>IF('MT 7.2 Results'!I23="","","Total: "&amp;'MT 7.2 Results'!G23&amp;"/22 ("&amp;TEXT('MT 7.2 Results'!H23,"0%")&amp;")   Overall: "&amp;'MT 7.2 Results'!I23)</f>
        <v/>
      </c>
    </row>
    <row r="88">
      <c r="A88">
        <f>IF('MT 7.2 Results'!I22="","",IF('MT 7.2 Results'!I22="Green",Parameters!$C$432,IF('MT 7.2 Results'!I22="Yellow",Parameters!$C$431,Parameters!$C$430)))</f>
        <v/>
      </c>
      <c r="K88">
        <f>IF('MT 7.2 Results'!I23="","",IF('MT 7.2 Results'!I23="Green",Parameters!$C$432,IF('MT 7.2 Results'!I23="Yellow",Parameters!$C$431,Parameters!$C$430)))</f>
        <v/>
      </c>
    </row>
    <row r="90">
      <c r="A90">
        <f>IF('MT 7.2 Results'!I22="","","Breakdown:")</f>
        <v/>
      </c>
      <c r="K90">
        <f>IF('MT 7.2 Results'!I23="","","Breakdown:")</f>
        <v/>
      </c>
    </row>
    <row r="91">
      <c r="A91">
        <f>IF('MT 7.2 Results'!I22="","","Q1 Mean point &amp; line of best fit: "&amp;'MT 7.2 Results'!C22&amp;"/6")</f>
        <v/>
      </c>
      <c r="K91">
        <f>IF('MT 7.2 Results'!I23="","","Q1 Mean point &amp; line of best fit: "&amp;'MT 7.2 Results'!C23&amp;"/6")</f>
        <v/>
      </c>
    </row>
    <row r="92">
      <c r="A92">
        <f>IF('MT 7.2 Results'!I22="","","Q2 Finding the regression equation: "&amp;'MT 7.2 Results'!D22&amp;"/7")</f>
        <v/>
      </c>
      <c r="K92">
        <f>IF('MT 7.2 Results'!I23="","","Q2 Finding the regression equation: "&amp;'MT 7.2 Results'!D23&amp;"/7")</f>
        <v/>
      </c>
    </row>
    <row r="93">
      <c r="A93">
        <f>IF('MT 7.2 Results'!I22="","","Q3 Problems with extrapolation: "&amp;'MT 7.2 Results'!E22&amp;"/5")</f>
        <v/>
      </c>
      <c r="K93">
        <f>IF('MT 7.2 Results'!I23="","","Q3 Problems with extrapolation: "&amp;'MT 7.2 Results'!E23&amp;"/5")</f>
        <v/>
      </c>
    </row>
    <row r="94">
      <c r="A94">
        <f>IF('MT 7.2 Results'!I22="","","Q4 Interpreting &amp; comparing regression lines: "&amp;'MT 7.2 Results'!F22&amp;"/4")</f>
        <v/>
      </c>
      <c r="K94">
        <f>IF('MT 7.2 Results'!I23="","","Q4 Interpreting &amp; comparing regression lines: "&amp;'MT 7.2 Results'!F23&amp;"/4")</f>
        <v/>
      </c>
    </row>
    <row r="95">
      <c r="A95">
        <f>IF(OR('MT 7.2 Results'!I22="",'MT 7.2 Results'!J22=""),"",'MT 7.2 Results'!J22)</f>
        <v/>
      </c>
      <c r="K95">
        <f>IF(OR('MT 7.2 Results'!I23="",'MT 7.2 Results'!J23=""),"",'MT 7.2 Results'!J23)</f>
        <v/>
      </c>
    </row>
    <row r="97">
      <c r="A97">
        <f>IF('MT 7.2 Results'!I22="","","Comments:")</f>
        <v/>
      </c>
      <c r="K97">
        <f>IF('MT 7.2 Results'!I23="","","Comments:")</f>
        <v/>
      </c>
    </row>
    <row r="101">
      <c r="A101">
        <f>IF('MT 7.2 Results'!I24="","","Mini Test 7.2 — Correlation and Regression")</f>
        <v/>
      </c>
      <c r="K101">
        <f>IF('MT 7.2 Results'!I25="","","Mini Test 7.2 — Correlation and Regression")</f>
        <v/>
      </c>
    </row>
    <row r="102">
      <c r="A102">
        <f>IF('MT 7.2 Results'!I24="","","Name: "&amp;'MT 7.2 Results'!B24&amp;"   Class: "&amp;'MT 7.2 Results'!$B$3&amp;"   Date: "&amp;TEXT('MT 7.2 Results'!$B$5,"DD/MM/YY"))</f>
        <v/>
      </c>
      <c r="K102">
        <f>IF('MT 7.2 Results'!I25="","","Name: "&amp;'MT 7.2 Results'!B25&amp;"   Class: "&amp;'MT 7.2 Results'!$B$3&amp;"   Date: "&amp;TEXT('MT 7.2 Results'!$B$5,"DD/MM/YY"))</f>
        <v/>
      </c>
    </row>
    <row r="103">
      <c r="A103">
        <f>IF('MT 7.2 Results'!I24="","","Total: "&amp;'MT 7.2 Results'!G24&amp;"/22 ("&amp;TEXT('MT 7.2 Results'!H24,"0%")&amp;")   Overall: "&amp;'MT 7.2 Results'!I24)</f>
        <v/>
      </c>
      <c r="K103">
        <f>IF('MT 7.2 Results'!I25="","","Total: "&amp;'MT 7.2 Results'!G25&amp;"/22 ("&amp;TEXT('MT 7.2 Results'!H25,"0%")&amp;")   Overall: "&amp;'MT 7.2 Results'!I25)</f>
        <v/>
      </c>
    </row>
    <row r="104">
      <c r="A104">
        <f>IF('MT 7.2 Results'!I24="","",IF('MT 7.2 Results'!I24="Green",Parameters!$C$432,IF('MT 7.2 Results'!I24="Yellow",Parameters!$C$431,Parameters!$C$430)))</f>
        <v/>
      </c>
      <c r="K104">
        <f>IF('MT 7.2 Results'!I25="","",IF('MT 7.2 Results'!I25="Green",Parameters!$C$432,IF('MT 7.2 Results'!I25="Yellow",Parameters!$C$431,Parameters!$C$430)))</f>
        <v/>
      </c>
    </row>
    <row r="106">
      <c r="A106">
        <f>IF('MT 7.2 Results'!I24="","","Breakdown:")</f>
        <v/>
      </c>
      <c r="K106">
        <f>IF('MT 7.2 Results'!I25="","","Breakdown:")</f>
        <v/>
      </c>
    </row>
    <row r="107">
      <c r="A107">
        <f>IF('MT 7.2 Results'!I24="","","Q1 Mean point &amp; line of best fit: "&amp;'MT 7.2 Results'!C24&amp;"/6")</f>
        <v/>
      </c>
      <c r="K107">
        <f>IF('MT 7.2 Results'!I25="","","Q1 Mean point &amp; line of best fit: "&amp;'MT 7.2 Results'!C25&amp;"/6")</f>
        <v/>
      </c>
    </row>
    <row r="108">
      <c r="A108">
        <f>IF('MT 7.2 Results'!I24="","","Q2 Finding the regression equation: "&amp;'MT 7.2 Results'!D24&amp;"/7")</f>
        <v/>
      </c>
      <c r="K108">
        <f>IF('MT 7.2 Results'!I25="","","Q2 Finding the regression equation: "&amp;'MT 7.2 Results'!D25&amp;"/7")</f>
        <v/>
      </c>
    </row>
    <row r="109">
      <c r="A109">
        <f>IF('MT 7.2 Results'!I24="","","Q3 Problems with extrapolation: "&amp;'MT 7.2 Results'!E24&amp;"/5")</f>
        <v/>
      </c>
      <c r="K109">
        <f>IF('MT 7.2 Results'!I25="","","Q3 Problems with extrapolation: "&amp;'MT 7.2 Results'!E25&amp;"/5")</f>
        <v/>
      </c>
    </row>
    <row r="110">
      <c r="A110">
        <f>IF('MT 7.2 Results'!I24="","","Q4 Interpreting &amp; comparing regression lines: "&amp;'MT 7.2 Results'!F24&amp;"/4")</f>
        <v/>
      </c>
      <c r="K110">
        <f>IF('MT 7.2 Results'!I25="","","Q4 Interpreting &amp; comparing regression lines: "&amp;'MT 7.2 Results'!F25&amp;"/4")</f>
        <v/>
      </c>
    </row>
    <row r="111">
      <c r="A111">
        <f>IF(OR('MT 7.2 Results'!I24="",'MT 7.2 Results'!J24=""),"",'MT 7.2 Results'!J24)</f>
        <v/>
      </c>
      <c r="K111">
        <f>IF(OR('MT 7.2 Results'!I25="",'MT 7.2 Results'!J25=""),"",'MT 7.2 Results'!J25)</f>
        <v/>
      </c>
    </row>
    <row r="113">
      <c r="A113">
        <f>IF('MT 7.2 Results'!I24="","","Comments:")</f>
        <v/>
      </c>
      <c r="K113">
        <f>IF('MT 7.2 Results'!I25="","","Comments:")</f>
        <v/>
      </c>
    </row>
    <row r="117">
      <c r="A117">
        <f>IF('MT 7.2 Results'!I26="","","Mini Test 7.2 — Correlation and Regression")</f>
        <v/>
      </c>
      <c r="K117">
        <f>IF('MT 7.2 Results'!I27="","","Mini Test 7.2 — Correlation and Regression")</f>
        <v/>
      </c>
    </row>
    <row r="118">
      <c r="A118">
        <f>IF('MT 7.2 Results'!I26="","","Name: "&amp;'MT 7.2 Results'!B26&amp;"   Class: "&amp;'MT 7.2 Results'!$B$3&amp;"   Date: "&amp;TEXT('MT 7.2 Results'!$B$5,"DD/MM/YY"))</f>
        <v/>
      </c>
      <c r="K118">
        <f>IF('MT 7.2 Results'!I27="","","Name: "&amp;'MT 7.2 Results'!B27&amp;"   Class: "&amp;'MT 7.2 Results'!$B$3&amp;"   Date: "&amp;TEXT('MT 7.2 Results'!$B$5,"DD/MM/YY"))</f>
        <v/>
      </c>
    </row>
    <row r="119">
      <c r="A119">
        <f>IF('MT 7.2 Results'!I26="","","Total: "&amp;'MT 7.2 Results'!G26&amp;"/22 ("&amp;TEXT('MT 7.2 Results'!H26,"0%")&amp;")   Overall: "&amp;'MT 7.2 Results'!I26)</f>
        <v/>
      </c>
      <c r="K119">
        <f>IF('MT 7.2 Results'!I27="","","Total: "&amp;'MT 7.2 Results'!G27&amp;"/22 ("&amp;TEXT('MT 7.2 Results'!H27,"0%")&amp;")   Overall: "&amp;'MT 7.2 Results'!I27)</f>
        <v/>
      </c>
    </row>
    <row r="120">
      <c r="A120">
        <f>IF('MT 7.2 Results'!I26="","",IF('MT 7.2 Results'!I26="Green",Parameters!$C$432,IF('MT 7.2 Results'!I26="Yellow",Parameters!$C$431,Parameters!$C$430)))</f>
        <v/>
      </c>
      <c r="K120">
        <f>IF('MT 7.2 Results'!I27="","",IF('MT 7.2 Results'!I27="Green",Parameters!$C$432,IF('MT 7.2 Results'!I27="Yellow",Parameters!$C$431,Parameters!$C$430)))</f>
        <v/>
      </c>
    </row>
    <row r="122">
      <c r="A122">
        <f>IF('MT 7.2 Results'!I26="","","Breakdown:")</f>
        <v/>
      </c>
      <c r="K122">
        <f>IF('MT 7.2 Results'!I27="","","Breakdown:")</f>
        <v/>
      </c>
    </row>
    <row r="123">
      <c r="A123">
        <f>IF('MT 7.2 Results'!I26="","","Q1 Mean point &amp; line of best fit: "&amp;'MT 7.2 Results'!C26&amp;"/6")</f>
        <v/>
      </c>
      <c r="K123">
        <f>IF('MT 7.2 Results'!I27="","","Q1 Mean point &amp; line of best fit: "&amp;'MT 7.2 Results'!C27&amp;"/6")</f>
        <v/>
      </c>
    </row>
    <row r="124">
      <c r="A124">
        <f>IF('MT 7.2 Results'!I26="","","Q2 Finding the regression equation: "&amp;'MT 7.2 Results'!D26&amp;"/7")</f>
        <v/>
      </c>
      <c r="K124">
        <f>IF('MT 7.2 Results'!I27="","","Q2 Finding the regression equation: "&amp;'MT 7.2 Results'!D27&amp;"/7")</f>
        <v/>
      </c>
    </row>
    <row r="125">
      <c r="A125">
        <f>IF('MT 7.2 Results'!I26="","","Q3 Problems with extrapolation: "&amp;'MT 7.2 Results'!E26&amp;"/5")</f>
        <v/>
      </c>
      <c r="K125">
        <f>IF('MT 7.2 Results'!I27="","","Q3 Problems with extrapolation: "&amp;'MT 7.2 Results'!E27&amp;"/5")</f>
        <v/>
      </c>
    </row>
    <row r="126">
      <c r="A126">
        <f>IF('MT 7.2 Results'!I26="","","Q4 Interpreting &amp; comparing regression lines: "&amp;'MT 7.2 Results'!F26&amp;"/4")</f>
        <v/>
      </c>
      <c r="K126">
        <f>IF('MT 7.2 Results'!I27="","","Q4 Interpreting &amp; comparing regression lines: "&amp;'MT 7.2 Results'!F27&amp;"/4")</f>
        <v/>
      </c>
    </row>
    <row r="127">
      <c r="A127">
        <f>IF(OR('MT 7.2 Results'!I26="",'MT 7.2 Results'!J26=""),"",'MT 7.2 Results'!J26)</f>
        <v/>
      </c>
      <c r="K127">
        <f>IF(OR('MT 7.2 Results'!I27="",'MT 7.2 Results'!J27=""),"",'MT 7.2 Results'!J27)</f>
        <v/>
      </c>
    </row>
    <row r="129">
      <c r="A129">
        <f>IF('MT 7.2 Results'!I26="","","Comments:")</f>
        <v/>
      </c>
      <c r="K129">
        <f>IF('MT 7.2 Results'!I27="","","Comments:")</f>
        <v/>
      </c>
    </row>
    <row r="133">
      <c r="A133">
        <f>IF('MT 7.2 Results'!I28="","","Mini Test 7.2 — Correlation and Regression")</f>
        <v/>
      </c>
      <c r="K133">
        <f>IF('MT 7.2 Results'!I29="","","Mini Test 7.2 — Correlation and Regression")</f>
        <v/>
      </c>
    </row>
    <row r="134">
      <c r="A134">
        <f>IF('MT 7.2 Results'!I28="","","Name: "&amp;'MT 7.2 Results'!B28&amp;"   Class: "&amp;'MT 7.2 Results'!$B$3&amp;"   Date: "&amp;TEXT('MT 7.2 Results'!$B$5,"DD/MM/YY"))</f>
        <v/>
      </c>
      <c r="K134">
        <f>IF('MT 7.2 Results'!I29="","","Name: "&amp;'MT 7.2 Results'!B29&amp;"   Class: "&amp;'MT 7.2 Results'!$B$3&amp;"   Date: "&amp;TEXT('MT 7.2 Results'!$B$5,"DD/MM/YY"))</f>
        <v/>
      </c>
    </row>
    <row r="135">
      <c r="A135">
        <f>IF('MT 7.2 Results'!I28="","","Total: "&amp;'MT 7.2 Results'!G28&amp;"/22 ("&amp;TEXT('MT 7.2 Results'!H28,"0%")&amp;")   Overall: "&amp;'MT 7.2 Results'!I28)</f>
        <v/>
      </c>
      <c r="K135">
        <f>IF('MT 7.2 Results'!I29="","","Total: "&amp;'MT 7.2 Results'!G29&amp;"/22 ("&amp;TEXT('MT 7.2 Results'!H29,"0%")&amp;")   Overall: "&amp;'MT 7.2 Results'!I29)</f>
        <v/>
      </c>
    </row>
    <row r="136">
      <c r="A136">
        <f>IF('MT 7.2 Results'!I28="","",IF('MT 7.2 Results'!I28="Green",Parameters!$C$432,IF('MT 7.2 Results'!I28="Yellow",Parameters!$C$431,Parameters!$C$430)))</f>
        <v/>
      </c>
      <c r="K136">
        <f>IF('MT 7.2 Results'!I29="","",IF('MT 7.2 Results'!I29="Green",Parameters!$C$432,IF('MT 7.2 Results'!I29="Yellow",Parameters!$C$431,Parameters!$C$430)))</f>
        <v/>
      </c>
    </row>
    <row r="138">
      <c r="A138">
        <f>IF('MT 7.2 Results'!I28="","","Breakdown:")</f>
        <v/>
      </c>
      <c r="K138">
        <f>IF('MT 7.2 Results'!I29="","","Breakdown:")</f>
        <v/>
      </c>
    </row>
    <row r="139">
      <c r="A139">
        <f>IF('MT 7.2 Results'!I28="","","Q1 Mean point &amp; line of best fit: "&amp;'MT 7.2 Results'!C28&amp;"/6")</f>
        <v/>
      </c>
      <c r="K139">
        <f>IF('MT 7.2 Results'!I29="","","Q1 Mean point &amp; line of best fit: "&amp;'MT 7.2 Results'!C29&amp;"/6")</f>
        <v/>
      </c>
    </row>
    <row r="140">
      <c r="A140">
        <f>IF('MT 7.2 Results'!I28="","","Q2 Finding the regression equation: "&amp;'MT 7.2 Results'!D28&amp;"/7")</f>
        <v/>
      </c>
      <c r="K140">
        <f>IF('MT 7.2 Results'!I29="","","Q2 Finding the regression equation: "&amp;'MT 7.2 Results'!D29&amp;"/7")</f>
        <v/>
      </c>
    </row>
    <row r="141">
      <c r="A141">
        <f>IF('MT 7.2 Results'!I28="","","Q3 Problems with extrapolation: "&amp;'MT 7.2 Results'!E28&amp;"/5")</f>
        <v/>
      </c>
      <c r="K141">
        <f>IF('MT 7.2 Results'!I29="","","Q3 Problems with extrapolation: "&amp;'MT 7.2 Results'!E29&amp;"/5")</f>
        <v/>
      </c>
    </row>
    <row r="142">
      <c r="A142">
        <f>IF('MT 7.2 Results'!I28="","","Q4 Interpreting &amp; comparing regression lines: "&amp;'MT 7.2 Results'!F28&amp;"/4")</f>
        <v/>
      </c>
      <c r="K142">
        <f>IF('MT 7.2 Results'!I29="","","Q4 Interpreting &amp; comparing regression lines: "&amp;'MT 7.2 Results'!F29&amp;"/4")</f>
        <v/>
      </c>
    </row>
    <row r="143">
      <c r="A143">
        <f>IF(OR('MT 7.2 Results'!I28="",'MT 7.2 Results'!J28=""),"",'MT 7.2 Results'!J28)</f>
        <v/>
      </c>
      <c r="K143">
        <f>IF(OR('MT 7.2 Results'!I29="",'MT 7.2 Results'!J29=""),"",'MT 7.2 Results'!J29)</f>
        <v/>
      </c>
    </row>
    <row r="145">
      <c r="A145">
        <f>IF('MT 7.2 Results'!I28="","","Comments:")</f>
        <v/>
      </c>
      <c r="K145">
        <f>IF('MT 7.2 Results'!I29="","","Comments:")</f>
        <v/>
      </c>
    </row>
    <row r="149">
      <c r="A149">
        <f>IF('MT 7.2 Results'!I30="","","Mini Test 7.2 — Correlation and Regression")</f>
        <v/>
      </c>
      <c r="K149">
        <f>IF('MT 7.2 Results'!I31="","","Mini Test 7.2 — Correlation and Regression")</f>
        <v/>
      </c>
    </row>
    <row r="150">
      <c r="A150">
        <f>IF('MT 7.2 Results'!I30="","","Name: "&amp;'MT 7.2 Results'!B30&amp;"   Class: "&amp;'MT 7.2 Results'!$B$3&amp;"   Date: "&amp;TEXT('MT 7.2 Results'!$B$5,"DD/MM/YY"))</f>
        <v/>
      </c>
      <c r="K150">
        <f>IF('MT 7.2 Results'!I31="","","Name: "&amp;'MT 7.2 Results'!B31&amp;"   Class: "&amp;'MT 7.2 Results'!$B$3&amp;"   Date: "&amp;TEXT('MT 7.2 Results'!$B$5,"DD/MM/YY"))</f>
        <v/>
      </c>
    </row>
    <row r="151">
      <c r="A151">
        <f>IF('MT 7.2 Results'!I30="","","Total: "&amp;'MT 7.2 Results'!G30&amp;"/22 ("&amp;TEXT('MT 7.2 Results'!H30,"0%")&amp;")   Overall: "&amp;'MT 7.2 Results'!I30)</f>
        <v/>
      </c>
      <c r="K151">
        <f>IF('MT 7.2 Results'!I31="","","Total: "&amp;'MT 7.2 Results'!G31&amp;"/22 ("&amp;TEXT('MT 7.2 Results'!H31,"0%")&amp;")   Overall: "&amp;'MT 7.2 Results'!I31)</f>
        <v/>
      </c>
    </row>
    <row r="152">
      <c r="A152">
        <f>IF('MT 7.2 Results'!I30="","",IF('MT 7.2 Results'!I30="Green",Parameters!$C$432,IF('MT 7.2 Results'!I30="Yellow",Parameters!$C$431,Parameters!$C$430)))</f>
        <v/>
      </c>
      <c r="K152">
        <f>IF('MT 7.2 Results'!I31="","",IF('MT 7.2 Results'!I31="Green",Parameters!$C$432,IF('MT 7.2 Results'!I31="Yellow",Parameters!$C$431,Parameters!$C$430)))</f>
        <v/>
      </c>
    </row>
    <row r="154">
      <c r="A154">
        <f>IF('MT 7.2 Results'!I30="","","Breakdown:")</f>
        <v/>
      </c>
      <c r="K154">
        <f>IF('MT 7.2 Results'!I31="","","Breakdown:")</f>
        <v/>
      </c>
    </row>
    <row r="155">
      <c r="A155">
        <f>IF('MT 7.2 Results'!I30="","","Q1 Mean point &amp; line of best fit: "&amp;'MT 7.2 Results'!C30&amp;"/6")</f>
        <v/>
      </c>
      <c r="K155">
        <f>IF('MT 7.2 Results'!I31="","","Q1 Mean point &amp; line of best fit: "&amp;'MT 7.2 Results'!C31&amp;"/6")</f>
        <v/>
      </c>
    </row>
    <row r="156">
      <c r="A156">
        <f>IF('MT 7.2 Results'!I30="","","Q2 Finding the regression equation: "&amp;'MT 7.2 Results'!D30&amp;"/7")</f>
        <v/>
      </c>
      <c r="K156">
        <f>IF('MT 7.2 Results'!I31="","","Q2 Finding the regression equation: "&amp;'MT 7.2 Results'!D31&amp;"/7")</f>
        <v/>
      </c>
    </row>
    <row r="157">
      <c r="A157">
        <f>IF('MT 7.2 Results'!I30="","","Q3 Problems with extrapolation: "&amp;'MT 7.2 Results'!E30&amp;"/5")</f>
        <v/>
      </c>
      <c r="K157">
        <f>IF('MT 7.2 Results'!I31="","","Q3 Problems with extrapolation: "&amp;'MT 7.2 Results'!E31&amp;"/5")</f>
        <v/>
      </c>
    </row>
    <row r="158">
      <c r="A158">
        <f>IF('MT 7.2 Results'!I30="","","Q4 Interpreting &amp; comparing regression lines: "&amp;'MT 7.2 Results'!F30&amp;"/4")</f>
        <v/>
      </c>
      <c r="K158">
        <f>IF('MT 7.2 Results'!I31="","","Q4 Interpreting &amp; comparing regression lines: "&amp;'MT 7.2 Results'!F31&amp;"/4")</f>
        <v/>
      </c>
    </row>
    <row r="159">
      <c r="A159">
        <f>IF(OR('MT 7.2 Results'!I30="",'MT 7.2 Results'!J30=""),"",'MT 7.2 Results'!J30)</f>
        <v/>
      </c>
      <c r="K159">
        <f>IF(OR('MT 7.2 Results'!I31="",'MT 7.2 Results'!J31=""),"",'MT 7.2 Results'!J31)</f>
        <v/>
      </c>
    </row>
    <row r="161">
      <c r="A161">
        <f>IF('MT 7.2 Results'!I30="","","Comments:")</f>
        <v/>
      </c>
      <c r="K161">
        <f>IF('MT 7.2 Results'!I31="","","Comments:")</f>
        <v/>
      </c>
    </row>
    <row r="165">
      <c r="A165">
        <f>IF('MT 7.2 Results'!I32="","","Mini Test 7.2 — Correlation and Regression")</f>
        <v/>
      </c>
      <c r="K165">
        <f>IF('MT 7.2 Results'!I33="","","Mini Test 7.2 — Correlation and Regression")</f>
        <v/>
      </c>
    </row>
    <row r="166">
      <c r="A166">
        <f>IF('MT 7.2 Results'!I32="","","Name: "&amp;'MT 7.2 Results'!B32&amp;"   Class: "&amp;'MT 7.2 Results'!$B$3&amp;"   Date: "&amp;TEXT('MT 7.2 Results'!$B$5,"DD/MM/YY"))</f>
        <v/>
      </c>
      <c r="K166">
        <f>IF('MT 7.2 Results'!I33="","","Name: "&amp;'MT 7.2 Results'!B33&amp;"   Class: "&amp;'MT 7.2 Results'!$B$3&amp;"   Date: "&amp;TEXT('MT 7.2 Results'!$B$5,"DD/MM/YY"))</f>
        <v/>
      </c>
    </row>
    <row r="167">
      <c r="A167">
        <f>IF('MT 7.2 Results'!I32="","","Total: "&amp;'MT 7.2 Results'!G32&amp;"/22 ("&amp;TEXT('MT 7.2 Results'!H32,"0%")&amp;")   Overall: "&amp;'MT 7.2 Results'!I32)</f>
        <v/>
      </c>
      <c r="K167">
        <f>IF('MT 7.2 Results'!I33="","","Total: "&amp;'MT 7.2 Results'!G33&amp;"/22 ("&amp;TEXT('MT 7.2 Results'!H33,"0%")&amp;")   Overall: "&amp;'MT 7.2 Results'!I33)</f>
        <v/>
      </c>
    </row>
    <row r="168">
      <c r="A168">
        <f>IF('MT 7.2 Results'!I32="","",IF('MT 7.2 Results'!I32="Green",Parameters!$C$432,IF('MT 7.2 Results'!I32="Yellow",Parameters!$C$431,Parameters!$C$430)))</f>
        <v/>
      </c>
      <c r="K168">
        <f>IF('MT 7.2 Results'!I33="","",IF('MT 7.2 Results'!I33="Green",Parameters!$C$432,IF('MT 7.2 Results'!I33="Yellow",Parameters!$C$431,Parameters!$C$430)))</f>
        <v/>
      </c>
    </row>
    <row r="170">
      <c r="A170">
        <f>IF('MT 7.2 Results'!I32="","","Breakdown:")</f>
        <v/>
      </c>
      <c r="K170">
        <f>IF('MT 7.2 Results'!I33="","","Breakdown:")</f>
        <v/>
      </c>
    </row>
    <row r="171">
      <c r="A171">
        <f>IF('MT 7.2 Results'!I32="","","Q1 Mean point &amp; line of best fit: "&amp;'MT 7.2 Results'!C32&amp;"/6")</f>
        <v/>
      </c>
      <c r="K171">
        <f>IF('MT 7.2 Results'!I33="","","Q1 Mean point &amp; line of best fit: "&amp;'MT 7.2 Results'!C33&amp;"/6")</f>
        <v/>
      </c>
    </row>
    <row r="172">
      <c r="A172">
        <f>IF('MT 7.2 Results'!I32="","","Q2 Finding the regression equation: "&amp;'MT 7.2 Results'!D32&amp;"/7")</f>
        <v/>
      </c>
      <c r="K172">
        <f>IF('MT 7.2 Results'!I33="","","Q2 Finding the regression equation: "&amp;'MT 7.2 Results'!D33&amp;"/7")</f>
        <v/>
      </c>
    </row>
    <row r="173">
      <c r="A173">
        <f>IF('MT 7.2 Results'!I32="","","Q3 Problems with extrapolation: "&amp;'MT 7.2 Results'!E32&amp;"/5")</f>
        <v/>
      </c>
      <c r="K173">
        <f>IF('MT 7.2 Results'!I33="","","Q3 Problems with extrapolation: "&amp;'MT 7.2 Results'!E33&amp;"/5")</f>
        <v/>
      </c>
    </row>
    <row r="174">
      <c r="A174">
        <f>IF('MT 7.2 Results'!I32="","","Q4 Interpreting &amp; comparing regression lines: "&amp;'MT 7.2 Results'!F32&amp;"/4")</f>
        <v/>
      </c>
      <c r="K174">
        <f>IF('MT 7.2 Results'!I33="","","Q4 Interpreting &amp; comparing regression lines: "&amp;'MT 7.2 Results'!F33&amp;"/4")</f>
        <v/>
      </c>
    </row>
    <row r="175">
      <c r="A175">
        <f>IF(OR('MT 7.2 Results'!I32="",'MT 7.2 Results'!J32=""),"",'MT 7.2 Results'!J32)</f>
        <v/>
      </c>
      <c r="K175">
        <f>IF(OR('MT 7.2 Results'!I33="",'MT 7.2 Results'!J33=""),"",'MT 7.2 Results'!J33)</f>
        <v/>
      </c>
    </row>
    <row r="177">
      <c r="A177">
        <f>IF('MT 7.2 Results'!I32="","","Comments:")</f>
        <v/>
      </c>
      <c r="K177">
        <f>IF('MT 7.2 Results'!I33="","","Comments:")</f>
        <v/>
      </c>
    </row>
    <row r="181">
      <c r="A181">
        <f>IF('MT 7.2 Results'!I34="","","Mini Test 7.2 — Correlation and Regression")</f>
        <v/>
      </c>
      <c r="K181">
        <f>IF('MT 7.2 Results'!I35="","","Mini Test 7.2 — Correlation and Regression")</f>
        <v/>
      </c>
    </row>
    <row r="182">
      <c r="A182">
        <f>IF('MT 7.2 Results'!I34="","","Name: "&amp;'MT 7.2 Results'!B34&amp;"   Class: "&amp;'MT 7.2 Results'!$B$3&amp;"   Date: "&amp;TEXT('MT 7.2 Results'!$B$5,"DD/MM/YY"))</f>
        <v/>
      </c>
      <c r="K182">
        <f>IF('MT 7.2 Results'!I35="","","Name: "&amp;'MT 7.2 Results'!B35&amp;"   Class: "&amp;'MT 7.2 Results'!$B$3&amp;"   Date: "&amp;TEXT('MT 7.2 Results'!$B$5,"DD/MM/YY"))</f>
        <v/>
      </c>
    </row>
    <row r="183">
      <c r="A183">
        <f>IF('MT 7.2 Results'!I34="","","Total: "&amp;'MT 7.2 Results'!G34&amp;"/22 ("&amp;TEXT('MT 7.2 Results'!H34,"0%")&amp;")   Overall: "&amp;'MT 7.2 Results'!I34)</f>
        <v/>
      </c>
      <c r="K183">
        <f>IF('MT 7.2 Results'!I35="","","Total: "&amp;'MT 7.2 Results'!G35&amp;"/22 ("&amp;TEXT('MT 7.2 Results'!H35,"0%")&amp;")   Overall: "&amp;'MT 7.2 Results'!I35)</f>
        <v/>
      </c>
    </row>
    <row r="184">
      <c r="A184">
        <f>IF('MT 7.2 Results'!I34="","",IF('MT 7.2 Results'!I34="Green",Parameters!$C$432,IF('MT 7.2 Results'!I34="Yellow",Parameters!$C$431,Parameters!$C$430)))</f>
        <v/>
      </c>
      <c r="K184">
        <f>IF('MT 7.2 Results'!I35="","",IF('MT 7.2 Results'!I35="Green",Parameters!$C$432,IF('MT 7.2 Results'!I35="Yellow",Parameters!$C$431,Parameters!$C$430)))</f>
        <v/>
      </c>
    </row>
    <row r="186">
      <c r="A186">
        <f>IF('MT 7.2 Results'!I34="","","Breakdown:")</f>
        <v/>
      </c>
      <c r="K186">
        <f>IF('MT 7.2 Results'!I35="","","Breakdown:")</f>
        <v/>
      </c>
    </row>
    <row r="187">
      <c r="A187">
        <f>IF('MT 7.2 Results'!I34="","","Q1 Mean point &amp; line of best fit: "&amp;'MT 7.2 Results'!C34&amp;"/6")</f>
        <v/>
      </c>
      <c r="K187">
        <f>IF('MT 7.2 Results'!I35="","","Q1 Mean point &amp; line of best fit: "&amp;'MT 7.2 Results'!C35&amp;"/6")</f>
        <v/>
      </c>
    </row>
    <row r="188">
      <c r="A188">
        <f>IF('MT 7.2 Results'!I34="","","Q2 Finding the regression equation: "&amp;'MT 7.2 Results'!D34&amp;"/7")</f>
        <v/>
      </c>
      <c r="K188">
        <f>IF('MT 7.2 Results'!I35="","","Q2 Finding the regression equation: "&amp;'MT 7.2 Results'!D35&amp;"/7")</f>
        <v/>
      </c>
    </row>
    <row r="189">
      <c r="A189">
        <f>IF('MT 7.2 Results'!I34="","","Q3 Problems with extrapolation: "&amp;'MT 7.2 Results'!E34&amp;"/5")</f>
        <v/>
      </c>
      <c r="K189">
        <f>IF('MT 7.2 Results'!I35="","","Q3 Problems with extrapolation: "&amp;'MT 7.2 Results'!E35&amp;"/5")</f>
        <v/>
      </c>
    </row>
    <row r="190">
      <c r="A190">
        <f>IF('MT 7.2 Results'!I34="","","Q4 Interpreting &amp; comparing regression lines: "&amp;'MT 7.2 Results'!F34&amp;"/4")</f>
        <v/>
      </c>
      <c r="K190">
        <f>IF('MT 7.2 Results'!I35="","","Q4 Interpreting &amp; comparing regression lines: "&amp;'MT 7.2 Results'!F35&amp;"/4")</f>
        <v/>
      </c>
    </row>
    <row r="191">
      <c r="A191">
        <f>IF(OR('MT 7.2 Results'!I34="",'MT 7.2 Results'!J34=""),"",'MT 7.2 Results'!J34)</f>
        <v/>
      </c>
      <c r="K191">
        <f>IF(OR('MT 7.2 Results'!I35="",'MT 7.2 Results'!J35=""),"",'MT 7.2 Results'!J35)</f>
        <v/>
      </c>
    </row>
    <row r="193">
      <c r="A193">
        <f>IF('MT 7.2 Results'!I34="","","Comments:")</f>
        <v/>
      </c>
      <c r="K193">
        <f>IF('MT 7.2 Results'!I35="","","Comments:")</f>
        <v/>
      </c>
    </row>
    <row r="197">
      <c r="A197">
        <f>IF('MT 7.2 Results'!I36="","","Mini Test 7.2 — Correlation and Regression")</f>
        <v/>
      </c>
      <c r="K197">
        <f>IF('MT 7.2 Results'!I37="","","Mini Test 7.2 — Correlation and Regression")</f>
        <v/>
      </c>
    </row>
    <row r="198">
      <c r="A198">
        <f>IF('MT 7.2 Results'!I36="","","Name: "&amp;'MT 7.2 Results'!B36&amp;"   Class: "&amp;'MT 7.2 Results'!$B$3&amp;"   Date: "&amp;TEXT('MT 7.2 Results'!$B$5,"DD/MM/YY"))</f>
        <v/>
      </c>
      <c r="K198">
        <f>IF('MT 7.2 Results'!I37="","","Name: "&amp;'MT 7.2 Results'!B37&amp;"   Class: "&amp;'MT 7.2 Results'!$B$3&amp;"   Date: "&amp;TEXT('MT 7.2 Results'!$B$5,"DD/MM/YY"))</f>
        <v/>
      </c>
    </row>
    <row r="199">
      <c r="A199">
        <f>IF('MT 7.2 Results'!I36="","","Total: "&amp;'MT 7.2 Results'!G36&amp;"/22 ("&amp;TEXT('MT 7.2 Results'!H36,"0%")&amp;")   Overall: "&amp;'MT 7.2 Results'!I36)</f>
        <v/>
      </c>
      <c r="K199">
        <f>IF('MT 7.2 Results'!I37="","","Total: "&amp;'MT 7.2 Results'!G37&amp;"/22 ("&amp;TEXT('MT 7.2 Results'!H37,"0%")&amp;")   Overall: "&amp;'MT 7.2 Results'!I37)</f>
        <v/>
      </c>
    </row>
    <row r="200">
      <c r="A200">
        <f>IF('MT 7.2 Results'!I36="","",IF('MT 7.2 Results'!I36="Green",Parameters!$C$432,IF('MT 7.2 Results'!I36="Yellow",Parameters!$C$431,Parameters!$C$430)))</f>
        <v/>
      </c>
      <c r="K200">
        <f>IF('MT 7.2 Results'!I37="","",IF('MT 7.2 Results'!I37="Green",Parameters!$C$432,IF('MT 7.2 Results'!I37="Yellow",Parameters!$C$431,Parameters!$C$430)))</f>
        <v/>
      </c>
    </row>
    <row r="202">
      <c r="A202">
        <f>IF('MT 7.2 Results'!I36="","","Breakdown:")</f>
        <v/>
      </c>
      <c r="K202">
        <f>IF('MT 7.2 Results'!I37="","","Breakdown:")</f>
        <v/>
      </c>
    </row>
    <row r="203">
      <c r="A203">
        <f>IF('MT 7.2 Results'!I36="","","Q1 Mean point &amp; line of best fit: "&amp;'MT 7.2 Results'!C36&amp;"/6")</f>
        <v/>
      </c>
      <c r="K203">
        <f>IF('MT 7.2 Results'!I37="","","Q1 Mean point &amp; line of best fit: "&amp;'MT 7.2 Results'!C37&amp;"/6")</f>
        <v/>
      </c>
    </row>
    <row r="204">
      <c r="A204">
        <f>IF('MT 7.2 Results'!I36="","","Q2 Finding the regression equation: "&amp;'MT 7.2 Results'!D36&amp;"/7")</f>
        <v/>
      </c>
      <c r="K204">
        <f>IF('MT 7.2 Results'!I37="","","Q2 Finding the regression equation: "&amp;'MT 7.2 Results'!D37&amp;"/7")</f>
        <v/>
      </c>
    </row>
    <row r="205">
      <c r="A205">
        <f>IF('MT 7.2 Results'!I36="","","Q3 Problems with extrapolation: "&amp;'MT 7.2 Results'!E36&amp;"/5")</f>
        <v/>
      </c>
      <c r="K205">
        <f>IF('MT 7.2 Results'!I37="","","Q3 Problems with extrapolation: "&amp;'MT 7.2 Results'!E37&amp;"/5")</f>
        <v/>
      </c>
    </row>
    <row r="206">
      <c r="A206">
        <f>IF('MT 7.2 Results'!I36="","","Q4 Interpreting &amp; comparing regression lines: "&amp;'MT 7.2 Results'!F36&amp;"/4")</f>
        <v/>
      </c>
      <c r="K206">
        <f>IF('MT 7.2 Results'!I37="","","Q4 Interpreting &amp; comparing regression lines: "&amp;'MT 7.2 Results'!F37&amp;"/4")</f>
        <v/>
      </c>
    </row>
    <row r="207">
      <c r="A207">
        <f>IF(OR('MT 7.2 Results'!I36="",'MT 7.2 Results'!J36=""),"",'MT 7.2 Results'!J36)</f>
        <v/>
      </c>
      <c r="K207">
        <f>IF(OR('MT 7.2 Results'!I37="",'MT 7.2 Results'!J37=""),"",'MT 7.2 Results'!J37)</f>
        <v/>
      </c>
    </row>
    <row r="209">
      <c r="A209">
        <f>IF('MT 7.2 Results'!I36="","","Comments:")</f>
        <v/>
      </c>
      <c r="K209">
        <f>IF('MT 7.2 Results'!I37="","","Comments:")</f>
        <v/>
      </c>
    </row>
    <row r="213">
      <c r="A213">
        <f>IF('MT 7.2 Results'!I38="","","Mini Test 7.2 — Correlation and Regression")</f>
        <v/>
      </c>
      <c r="K213">
        <f>IF('MT 7.2 Results'!I39="","","Mini Test 7.2 — Correlation and Regression")</f>
        <v/>
      </c>
    </row>
    <row r="214">
      <c r="A214">
        <f>IF('MT 7.2 Results'!I38="","","Name: "&amp;'MT 7.2 Results'!B38&amp;"   Class: "&amp;'MT 7.2 Results'!$B$3&amp;"   Date: "&amp;TEXT('MT 7.2 Results'!$B$5,"DD/MM/YY"))</f>
        <v/>
      </c>
      <c r="K214">
        <f>IF('MT 7.2 Results'!I39="","","Name: "&amp;'MT 7.2 Results'!B39&amp;"   Class: "&amp;'MT 7.2 Results'!$B$3&amp;"   Date: "&amp;TEXT('MT 7.2 Results'!$B$5,"DD/MM/YY"))</f>
        <v/>
      </c>
    </row>
    <row r="215">
      <c r="A215">
        <f>IF('MT 7.2 Results'!I38="","","Total: "&amp;'MT 7.2 Results'!G38&amp;"/22 ("&amp;TEXT('MT 7.2 Results'!H38,"0%")&amp;")   Overall: "&amp;'MT 7.2 Results'!I38)</f>
        <v/>
      </c>
      <c r="K215">
        <f>IF('MT 7.2 Results'!I39="","","Total: "&amp;'MT 7.2 Results'!G39&amp;"/22 ("&amp;TEXT('MT 7.2 Results'!H39,"0%")&amp;")   Overall: "&amp;'MT 7.2 Results'!I39)</f>
        <v/>
      </c>
    </row>
    <row r="216">
      <c r="A216">
        <f>IF('MT 7.2 Results'!I38="","",IF('MT 7.2 Results'!I38="Green",Parameters!$C$432,IF('MT 7.2 Results'!I38="Yellow",Parameters!$C$431,Parameters!$C$430)))</f>
        <v/>
      </c>
      <c r="K216">
        <f>IF('MT 7.2 Results'!I39="","",IF('MT 7.2 Results'!I39="Green",Parameters!$C$432,IF('MT 7.2 Results'!I39="Yellow",Parameters!$C$431,Parameters!$C$430)))</f>
        <v/>
      </c>
    </row>
    <row r="218">
      <c r="A218">
        <f>IF('MT 7.2 Results'!I38="","","Breakdown:")</f>
        <v/>
      </c>
      <c r="K218">
        <f>IF('MT 7.2 Results'!I39="","","Breakdown:")</f>
        <v/>
      </c>
    </row>
    <row r="219">
      <c r="A219">
        <f>IF('MT 7.2 Results'!I38="","","Q1 Mean point &amp; line of best fit: "&amp;'MT 7.2 Results'!C38&amp;"/6")</f>
        <v/>
      </c>
      <c r="K219">
        <f>IF('MT 7.2 Results'!I39="","","Q1 Mean point &amp; line of best fit: "&amp;'MT 7.2 Results'!C39&amp;"/6")</f>
        <v/>
      </c>
    </row>
    <row r="220">
      <c r="A220">
        <f>IF('MT 7.2 Results'!I38="","","Q2 Finding the regression equation: "&amp;'MT 7.2 Results'!D38&amp;"/7")</f>
        <v/>
      </c>
      <c r="K220">
        <f>IF('MT 7.2 Results'!I39="","","Q2 Finding the regression equation: "&amp;'MT 7.2 Results'!D39&amp;"/7")</f>
        <v/>
      </c>
    </row>
    <row r="221">
      <c r="A221">
        <f>IF('MT 7.2 Results'!I38="","","Q3 Problems with extrapolation: "&amp;'MT 7.2 Results'!E38&amp;"/5")</f>
        <v/>
      </c>
      <c r="K221">
        <f>IF('MT 7.2 Results'!I39="","","Q3 Problems with extrapolation: "&amp;'MT 7.2 Results'!E39&amp;"/5")</f>
        <v/>
      </c>
    </row>
    <row r="222">
      <c r="A222">
        <f>IF('MT 7.2 Results'!I38="","","Q4 Interpreting &amp; comparing regression lines: "&amp;'MT 7.2 Results'!F38&amp;"/4")</f>
        <v/>
      </c>
      <c r="K222">
        <f>IF('MT 7.2 Results'!I39="","","Q4 Interpreting &amp; comparing regression lines: "&amp;'MT 7.2 Results'!F39&amp;"/4")</f>
        <v/>
      </c>
    </row>
    <row r="223">
      <c r="A223">
        <f>IF(OR('MT 7.2 Results'!I38="",'MT 7.2 Results'!J38=""),"",'MT 7.2 Results'!J38)</f>
        <v/>
      </c>
      <c r="K223">
        <f>IF(OR('MT 7.2 Results'!I39="",'MT 7.2 Results'!J39=""),"",'MT 7.2 Results'!J39)</f>
        <v/>
      </c>
    </row>
    <row r="225">
      <c r="A225">
        <f>IF('MT 7.2 Results'!I38="","","Comments:")</f>
        <v/>
      </c>
      <c r="K225">
        <f>IF('MT 7.2 Results'!I39="","","Comments:")</f>
        <v/>
      </c>
    </row>
    <row r="229">
      <c r="A229">
        <f>IF('MT 7.2 Results'!I40="","","Mini Test 7.2 — Correlation and Regression")</f>
        <v/>
      </c>
      <c r="K229">
        <f>IF('MT 7.2 Results'!I41="","","Mini Test 7.2 — Correlation and Regression")</f>
        <v/>
      </c>
    </row>
    <row r="230">
      <c r="A230">
        <f>IF('MT 7.2 Results'!I40="","","Name: "&amp;'MT 7.2 Results'!B40&amp;"   Class: "&amp;'MT 7.2 Results'!$B$3&amp;"   Date: "&amp;TEXT('MT 7.2 Results'!$B$5,"DD/MM/YY"))</f>
        <v/>
      </c>
      <c r="K230">
        <f>IF('MT 7.2 Results'!I41="","","Name: "&amp;'MT 7.2 Results'!B41&amp;"   Class: "&amp;'MT 7.2 Results'!$B$3&amp;"   Date: "&amp;TEXT('MT 7.2 Results'!$B$5,"DD/MM/YY"))</f>
        <v/>
      </c>
    </row>
    <row r="231">
      <c r="A231">
        <f>IF('MT 7.2 Results'!I40="","","Total: "&amp;'MT 7.2 Results'!G40&amp;"/22 ("&amp;TEXT('MT 7.2 Results'!H40,"0%")&amp;")   Overall: "&amp;'MT 7.2 Results'!I40)</f>
        <v/>
      </c>
      <c r="K231">
        <f>IF('MT 7.2 Results'!I41="","","Total: "&amp;'MT 7.2 Results'!G41&amp;"/22 ("&amp;TEXT('MT 7.2 Results'!H41,"0%")&amp;")   Overall: "&amp;'MT 7.2 Results'!I41)</f>
        <v/>
      </c>
    </row>
    <row r="232">
      <c r="A232">
        <f>IF('MT 7.2 Results'!I40="","",IF('MT 7.2 Results'!I40="Green",Parameters!$C$432,IF('MT 7.2 Results'!I40="Yellow",Parameters!$C$431,Parameters!$C$430)))</f>
        <v/>
      </c>
      <c r="K232">
        <f>IF('MT 7.2 Results'!I41="","",IF('MT 7.2 Results'!I41="Green",Parameters!$C$432,IF('MT 7.2 Results'!I41="Yellow",Parameters!$C$431,Parameters!$C$430)))</f>
        <v/>
      </c>
    </row>
    <row r="234">
      <c r="A234">
        <f>IF('MT 7.2 Results'!I40="","","Breakdown:")</f>
        <v/>
      </c>
      <c r="K234">
        <f>IF('MT 7.2 Results'!I41="","","Breakdown:")</f>
        <v/>
      </c>
    </row>
    <row r="235">
      <c r="A235">
        <f>IF('MT 7.2 Results'!I40="","","Q1 Mean point &amp; line of best fit: "&amp;'MT 7.2 Results'!C40&amp;"/6")</f>
        <v/>
      </c>
      <c r="K235">
        <f>IF('MT 7.2 Results'!I41="","","Q1 Mean point &amp; line of best fit: "&amp;'MT 7.2 Results'!C41&amp;"/6")</f>
        <v/>
      </c>
    </row>
    <row r="236">
      <c r="A236">
        <f>IF('MT 7.2 Results'!I40="","","Q2 Finding the regression equation: "&amp;'MT 7.2 Results'!D40&amp;"/7")</f>
        <v/>
      </c>
      <c r="K236">
        <f>IF('MT 7.2 Results'!I41="","","Q2 Finding the regression equation: "&amp;'MT 7.2 Results'!D41&amp;"/7")</f>
        <v/>
      </c>
    </row>
    <row r="237">
      <c r="A237">
        <f>IF('MT 7.2 Results'!I40="","","Q3 Problems with extrapolation: "&amp;'MT 7.2 Results'!E40&amp;"/5")</f>
        <v/>
      </c>
      <c r="K237">
        <f>IF('MT 7.2 Results'!I41="","","Q3 Problems with extrapolation: "&amp;'MT 7.2 Results'!E41&amp;"/5")</f>
        <v/>
      </c>
    </row>
    <row r="238">
      <c r="A238">
        <f>IF('MT 7.2 Results'!I40="","","Q4 Interpreting &amp; comparing regression lines: "&amp;'MT 7.2 Results'!F40&amp;"/4")</f>
        <v/>
      </c>
      <c r="K238">
        <f>IF('MT 7.2 Results'!I41="","","Q4 Interpreting &amp; comparing regression lines: "&amp;'MT 7.2 Results'!F41&amp;"/4")</f>
        <v/>
      </c>
    </row>
    <row r="239">
      <c r="A239">
        <f>IF(OR('MT 7.2 Results'!I40="",'MT 7.2 Results'!J40=""),"",'MT 7.2 Results'!J40)</f>
        <v/>
      </c>
      <c r="K239">
        <f>IF(OR('MT 7.2 Results'!I41="",'MT 7.2 Results'!J41=""),"",'MT 7.2 Results'!J41)</f>
        <v/>
      </c>
    </row>
    <row r="241">
      <c r="A241">
        <f>IF('MT 7.2 Results'!I40="","","Comments:")</f>
        <v/>
      </c>
      <c r="K241">
        <f>IF('MT 7.2 Results'!I41="","","Comments:")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P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8" customWidth="1" min="9" max="9"/>
    <col width="10" customWidth="1" min="10" max="10"/>
    <col width="45" customWidth="1" min="11" max="11"/>
  </cols>
  <sheetData>
    <row r="1">
      <c r="A1" s="11" t="inlineStr">
        <is>
          <t>Chapter 7 End of Topic Test — Correlation and Regression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PMCC &amp; prediction
(/18)</t>
        </is>
      </c>
      <c r="D9" s="12" t="inlineStr">
        <is>
          <t>Q2
Comparing correlations
(/22)</t>
        </is>
      </c>
      <c r="E9" s="12" t="inlineStr">
        <is>
          <t>Q3
Outliers &amp; regression
(/23)</t>
        </is>
      </c>
      <c r="F9" s="12" t="inlineStr">
        <is>
          <t>Q4
Comparing regression lines
(/15)</t>
        </is>
      </c>
      <c r="G9" s="12" t="inlineStr">
        <is>
          <t>Q5
Extrapolation &amp; limits
(/14)</t>
        </is>
      </c>
      <c r="H9" s="12" t="inlineStr">
        <is>
          <t>Total
(/92)</t>
        </is>
      </c>
      <c r="I9" s="12" t="inlineStr">
        <is>
          <t>%</t>
        </is>
      </c>
      <c r="J9" s="12" t="inlineStr">
        <is>
          <t>Overall</t>
        </is>
      </c>
      <c r="K9" s="12" t="inlineStr">
        <is>
          <t>Focus for next steps</t>
        </is>
      </c>
      <c r="L9" s="12" t="inlineStr">
        <is>
          <t>Q1%</t>
        </is>
      </c>
      <c r="M9" s="12" t="inlineStr">
        <is>
          <t>Q2%</t>
        </is>
      </c>
      <c r="N9" s="12" t="inlineStr">
        <is>
          <t>Q3%</t>
        </is>
      </c>
      <c r="O9" s="12" t="inlineStr">
        <is>
          <t>Q4%</t>
        </is>
      </c>
      <c r="P9" s="12" t="inlineStr">
        <is>
          <t>Q5%</t>
        </is>
      </c>
    </row>
    <row r="10">
      <c r="A10" s="3" t="n"/>
      <c r="B10" s="3" t="inlineStr">
        <is>
          <t>Max marks</t>
        </is>
      </c>
      <c r="C10" s="3" t="n">
        <v>18</v>
      </c>
      <c r="D10" s="3" t="n">
        <v>22</v>
      </c>
      <c r="E10" s="3" t="n">
        <v>23</v>
      </c>
      <c r="F10" s="3" t="n">
        <v>15</v>
      </c>
      <c r="G10" s="3" t="n">
        <v>14</v>
      </c>
      <c r="H10" s="3" t="n">
        <v>92</v>
      </c>
      <c r="I10" s="3" t="inlineStr">
        <is>
          <t>100%</t>
        </is>
      </c>
      <c r="J10" s="3" t="n"/>
      <c r="K10" s="3" t="n"/>
      <c r="L10" s="3" t="n"/>
      <c r="M10" s="3" t="n"/>
      <c r="N10" s="3" t="n"/>
      <c r="O10" s="3" t="n"/>
      <c r="P10" s="3" t="n"/>
    </row>
    <row r="11">
      <c r="A11" s="13" t="n">
        <v>1</v>
      </c>
      <c r="B11" s="13" t="inlineStr">
        <is>
          <t>Example pupil (edit me)</t>
        </is>
      </c>
      <c r="C11" s="13" t="n">
        <v>14</v>
      </c>
      <c r="D11" s="13" t="n">
        <v>18</v>
      </c>
      <c r="E11" s="13" t="n">
        <v>18</v>
      </c>
      <c r="F11" s="13" t="n">
        <v>12</v>
      </c>
      <c r="G11" s="13" t="n">
        <v>11</v>
      </c>
      <c r="H11" s="13">
        <f>IF(COUNT(C11:G11)&lt;5,"",SUM(C11:G11))</f>
        <v/>
      </c>
      <c r="I11" s="13">
        <f>IF(COUNT(C11:G11)&lt;5,"",H11/92)</f>
        <v/>
      </c>
      <c r="J11" s="13">
        <f>IF(COUNT(C11:G11)&lt;5,"",IF(I11&gt;=0.8,"Green",IF(I11&gt;=0.5,"Yellow","Red")))</f>
        <v/>
      </c>
      <c r="K11" s="13">
        <f>IF(COUNT(C11:G11)&lt;5,"",IF(J11="Green","Well done! "&amp;Parameters!$C$448,"Revise: "&amp;_xlfn.TEXTJOIN(", ",TRUE(),IF(L11&lt;1,Parameters!$A$438,""),IF(M11&lt;1,Parameters!$A$439,""),IF(N11&lt;1,Parameters!$A$440,""),IF(O11&lt;1,Parameters!$A$441,""),IF(P11&lt;1,Parameters!$A$442,""))))</f>
        <v/>
      </c>
      <c r="L11" s="13">
        <f>IF(C11="","",C11/18)</f>
        <v/>
      </c>
      <c r="M11" s="13">
        <f>IF(D11="","",D11/22)</f>
        <v/>
      </c>
      <c r="N11" s="13">
        <f>IF(E11="","",E11/23)</f>
        <v/>
      </c>
      <c r="O11" s="13">
        <f>IF(F11="","",F11/15)</f>
        <v/>
      </c>
      <c r="P11" s="13">
        <f>IF(G11="","",G11/14)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4" t="n"/>
      <c r="H12" s="13">
        <f>IF(COUNT(C12:G12)&lt;5,"",SUM(C12:G12))</f>
        <v/>
      </c>
      <c r="I12" s="13">
        <f>IF(COUNT(C12:G12)&lt;5,"",H12/92)</f>
        <v/>
      </c>
      <c r="J12" s="13">
        <f>IF(COUNT(C12:G12)&lt;5,"",IF(I12&gt;=0.8,"Green",IF(I12&gt;=0.5,"Yellow","Red")))</f>
        <v/>
      </c>
      <c r="K12" s="13">
        <f>IF(COUNT(C12:G12)&lt;5,"",IF(J12="Green","Well done! "&amp;Parameters!$C$448,"Revise: "&amp;_xlfn.TEXTJOIN(", ",TRUE(),IF(L12&lt;1,Parameters!$A$438,""),IF(M12&lt;1,Parameters!$A$439,""),IF(N12&lt;1,Parameters!$A$440,""),IF(O12&lt;1,Parameters!$A$441,""),IF(P12&lt;1,Parameters!$A$442,""))))</f>
        <v/>
      </c>
      <c r="L12" s="13">
        <f>IF(C12="","",C12/18)</f>
        <v/>
      </c>
      <c r="M12" s="13">
        <f>IF(D12="","",D12/22)</f>
        <v/>
      </c>
      <c r="N12" s="13">
        <f>IF(E12="","",E12/23)</f>
        <v/>
      </c>
      <c r="O12" s="13">
        <f>IF(F12="","",F12/15)</f>
        <v/>
      </c>
      <c r="P12" s="13">
        <f>IF(G12="","",G12/14)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4" t="n"/>
      <c r="H13" s="13">
        <f>IF(COUNT(C13:G13)&lt;5,"",SUM(C13:G13))</f>
        <v/>
      </c>
      <c r="I13" s="13">
        <f>IF(COUNT(C13:G13)&lt;5,"",H13/92)</f>
        <v/>
      </c>
      <c r="J13" s="13">
        <f>IF(COUNT(C13:G13)&lt;5,"",IF(I13&gt;=0.8,"Green",IF(I13&gt;=0.5,"Yellow","Red")))</f>
        <v/>
      </c>
      <c r="K13" s="13">
        <f>IF(COUNT(C13:G13)&lt;5,"",IF(J13="Green","Well done! "&amp;Parameters!$C$448,"Revise: "&amp;_xlfn.TEXTJOIN(", ",TRUE(),IF(L13&lt;1,Parameters!$A$438,""),IF(M13&lt;1,Parameters!$A$439,""),IF(N13&lt;1,Parameters!$A$440,""),IF(O13&lt;1,Parameters!$A$441,""),IF(P13&lt;1,Parameters!$A$442,""))))</f>
        <v/>
      </c>
      <c r="L13" s="13">
        <f>IF(C13="","",C13/18)</f>
        <v/>
      </c>
      <c r="M13" s="13">
        <f>IF(D13="","",D13/22)</f>
        <v/>
      </c>
      <c r="N13" s="13">
        <f>IF(E13="","",E13/23)</f>
        <v/>
      </c>
      <c r="O13" s="13">
        <f>IF(F13="","",F13/15)</f>
        <v/>
      </c>
      <c r="P13" s="13">
        <f>IF(G13="","",G13/14)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4" t="n"/>
      <c r="H14" s="13">
        <f>IF(COUNT(C14:G14)&lt;5,"",SUM(C14:G14))</f>
        <v/>
      </c>
      <c r="I14" s="13">
        <f>IF(COUNT(C14:G14)&lt;5,"",H14/92)</f>
        <v/>
      </c>
      <c r="J14" s="13">
        <f>IF(COUNT(C14:G14)&lt;5,"",IF(I14&gt;=0.8,"Green",IF(I14&gt;=0.5,"Yellow","Red")))</f>
        <v/>
      </c>
      <c r="K14" s="13">
        <f>IF(COUNT(C14:G14)&lt;5,"",IF(J14="Green","Well done! "&amp;Parameters!$C$448,"Revise: "&amp;_xlfn.TEXTJOIN(", ",TRUE(),IF(L14&lt;1,Parameters!$A$438,""),IF(M14&lt;1,Parameters!$A$439,""),IF(N14&lt;1,Parameters!$A$440,""),IF(O14&lt;1,Parameters!$A$441,""),IF(P14&lt;1,Parameters!$A$442,""))))</f>
        <v/>
      </c>
      <c r="L14" s="13">
        <f>IF(C14="","",C14/18)</f>
        <v/>
      </c>
      <c r="M14" s="13">
        <f>IF(D14="","",D14/22)</f>
        <v/>
      </c>
      <c r="N14" s="13">
        <f>IF(E14="","",E14/23)</f>
        <v/>
      </c>
      <c r="O14" s="13">
        <f>IF(F14="","",F14/15)</f>
        <v/>
      </c>
      <c r="P14" s="13">
        <f>IF(G14="","",G14/14)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4" t="n"/>
      <c r="H15" s="13">
        <f>IF(COUNT(C15:G15)&lt;5,"",SUM(C15:G15))</f>
        <v/>
      </c>
      <c r="I15" s="13">
        <f>IF(COUNT(C15:G15)&lt;5,"",H15/92)</f>
        <v/>
      </c>
      <c r="J15" s="13">
        <f>IF(COUNT(C15:G15)&lt;5,"",IF(I15&gt;=0.8,"Green",IF(I15&gt;=0.5,"Yellow","Red")))</f>
        <v/>
      </c>
      <c r="K15" s="13">
        <f>IF(COUNT(C15:G15)&lt;5,"",IF(J15="Green","Well done! "&amp;Parameters!$C$448,"Revise: "&amp;_xlfn.TEXTJOIN(", ",TRUE(),IF(L15&lt;1,Parameters!$A$438,""),IF(M15&lt;1,Parameters!$A$439,""),IF(N15&lt;1,Parameters!$A$440,""),IF(O15&lt;1,Parameters!$A$441,""),IF(P15&lt;1,Parameters!$A$442,""))))</f>
        <v/>
      </c>
      <c r="L15" s="13">
        <f>IF(C15="","",C15/18)</f>
        <v/>
      </c>
      <c r="M15" s="13">
        <f>IF(D15="","",D15/22)</f>
        <v/>
      </c>
      <c r="N15" s="13">
        <f>IF(E15="","",E15/23)</f>
        <v/>
      </c>
      <c r="O15" s="13">
        <f>IF(F15="","",F15/15)</f>
        <v/>
      </c>
      <c r="P15" s="13">
        <f>IF(G15="","",G15/14)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4" t="n"/>
      <c r="H16" s="13">
        <f>IF(COUNT(C16:G16)&lt;5,"",SUM(C16:G16))</f>
        <v/>
      </c>
      <c r="I16" s="13">
        <f>IF(COUNT(C16:G16)&lt;5,"",H16/92)</f>
        <v/>
      </c>
      <c r="J16" s="13">
        <f>IF(COUNT(C16:G16)&lt;5,"",IF(I16&gt;=0.8,"Green",IF(I16&gt;=0.5,"Yellow","Red")))</f>
        <v/>
      </c>
      <c r="K16" s="13">
        <f>IF(COUNT(C16:G16)&lt;5,"",IF(J16="Green","Well done! "&amp;Parameters!$C$448,"Revise: "&amp;_xlfn.TEXTJOIN(", ",TRUE(),IF(L16&lt;1,Parameters!$A$438,""),IF(M16&lt;1,Parameters!$A$439,""),IF(N16&lt;1,Parameters!$A$440,""),IF(O16&lt;1,Parameters!$A$441,""),IF(P16&lt;1,Parameters!$A$442,""))))</f>
        <v/>
      </c>
      <c r="L16" s="13">
        <f>IF(C16="","",C16/18)</f>
        <v/>
      </c>
      <c r="M16" s="13">
        <f>IF(D16="","",D16/22)</f>
        <v/>
      </c>
      <c r="N16" s="13">
        <f>IF(E16="","",E16/23)</f>
        <v/>
      </c>
      <c r="O16" s="13">
        <f>IF(F16="","",F16/15)</f>
        <v/>
      </c>
      <c r="P16" s="13">
        <f>IF(G16="","",G16/14)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4" t="n"/>
      <c r="H17" s="13">
        <f>IF(COUNT(C17:G17)&lt;5,"",SUM(C17:G17))</f>
        <v/>
      </c>
      <c r="I17" s="13">
        <f>IF(COUNT(C17:G17)&lt;5,"",H17/92)</f>
        <v/>
      </c>
      <c r="J17" s="13">
        <f>IF(COUNT(C17:G17)&lt;5,"",IF(I17&gt;=0.8,"Green",IF(I17&gt;=0.5,"Yellow","Red")))</f>
        <v/>
      </c>
      <c r="K17" s="13">
        <f>IF(COUNT(C17:G17)&lt;5,"",IF(J17="Green","Well done! "&amp;Parameters!$C$448,"Revise: "&amp;_xlfn.TEXTJOIN(", ",TRUE(),IF(L17&lt;1,Parameters!$A$438,""),IF(M17&lt;1,Parameters!$A$439,""),IF(N17&lt;1,Parameters!$A$440,""),IF(O17&lt;1,Parameters!$A$441,""),IF(P17&lt;1,Parameters!$A$442,""))))</f>
        <v/>
      </c>
      <c r="L17" s="13">
        <f>IF(C17="","",C17/18)</f>
        <v/>
      </c>
      <c r="M17" s="13">
        <f>IF(D17="","",D17/22)</f>
        <v/>
      </c>
      <c r="N17" s="13">
        <f>IF(E17="","",E17/23)</f>
        <v/>
      </c>
      <c r="O17" s="13">
        <f>IF(F17="","",F17/15)</f>
        <v/>
      </c>
      <c r="P17" s="13">
        <f>IF(G17="","",G17/14)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4" t="n"/>
      <c r="H18" s="13">
        <f>IF(COUNT(C18:G18)&lt;5,"",SUM(C18:G18))</f>
        <v/>
      </c>
      <c r="I18" s="13">
        <f>IF(COUNT(C18:G18)&lt;5,"",H18/92)</f>
        <v/>
      </c>
      <c r="J18" s="13">
        <f>IF(COUNT(C18:G18)&lt;5,"",IF(I18&gt;=0.8,"Green",IF(I18&gt;=0.5,"Yellow","Red")))</f>
        <v/>
      </c>
      <c r="K18" s="13">
        <f>IF(COUNT(C18:G18)&lt;5,"",IF(J18="Green","Well done! "&amp;Parameters!$C$448,"Revise: "&amp;_xlfn.TEXTJOIN(", ",TRUE(),IF(L18&lt;1,Parameters!$A$438,""),IF(M18&lt;1,Parameters!$A$439,""),IF(N18&lt;1,Parameters!$A$440,""),IF(O18&lt;1,Parameters!$A$441,""),IF(P18&lt;1,Parameters!$A$442,""))))</f>
        <v/>
      </c>
      <c r="L18" s="13">
        <f>IF(C18="","",C18/18)</f>
        <v/>
      </c>
      <c r="M18" s="13">
        <f>IF(D18="","",D18/22)</f>
        <v/>
      </c>
      <c r="N18" s="13">
        <f>IF(E18="","",E18/23)</f>
        <v/>
      </c>
      <c r="O18" s="13">
        <f>IF(F18="","",F18/15)</f>
        <v/>
      </c>
      <c r="P18" s="13">
        <f>IF(G18="","",G18/14)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4" t="n"/>
      <c r="H19" s="13">
        <f>IF(COUNT(C19:G19)&lt;5,"",SUM(C19:G19))</f>
        <v/>
      </c>
      <c r="I19" s="13">
        <f>IF(COUNT(C19:G19)&lt;5,"",H19/92)</f>
        <v/>
      </c>
      <c r="J19" s="13">
        <f>IF(COUNT(C19:G19)&lt;5,"",IF(I19&gt;=0.8,"Green",IF(I19&gt;=0.5,"Yellow","Red")))</f>
        <v/>
      </c>
      <c r="K19" s="13">
        <f>IF(COUNT(C19:G19)&lt;5,"",IF(J19="Green","Well done! "&amp;Parameters!$C$448,"Revise: "&amp;_xlfn.TEXTJOIN(", ",TRUE(),IF(L19&lt;1,Parameters!$A$438,""),IF(M19&lt;1,Parameters!$A$439,""),IF(N19&lt;1,Parameters!$A$440,""),IF(O19&lt;1,Parameters!$A$441,""),IF(P19&lt;1,Parameters!$A$442,""))))</f>
        <v/>
      </c>
      <c r="L19" s="13">
        <f>IF(C19="","",C19/18)</f>
        <v/>
      </c>
      <c r="M19" s="13">
        <f>IF(D19="","",D19/22)</f>
        <v/>
      </c>
      <c r="N19" s="13">
        <f>IF(E19="","",E19/23)</f>
        <v/>
      </c>
      <c r="O19" s="13">
        <f>IF(F19="","",F19/15)</f>
        <v/>
      </c>
      <c r="P19" s="13">
        <f>IF(G19="","",G19/14)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4" t="n"/>
      <c r="H20" s="13">
        <f>IF(COUNT(C20:G20)&lt;5,"",SUM(C20:G20))</f>
        <v/>
      </c>
      <c r="I20" s="13">
        <f>IF(COUNT(C20:G20)&lt;5,"",H20/92)</f>
        <v/>
      </c>
      <c r="J20" s="13">
        <f>IF(COUNT(C20:G20)&lt;5,"",IF(I20&gt;=0.8,"Green",IF(I20&gt;=0.5,"Yellow","Red")))</f>
        <v/>
      </c>
      <c r="K20" s="13">
        <f>IF(COUNT(C20:G20)&lt;5,"",IF(J20="Green","Well done! "&amp;Parameters!$C$448,"Revise: "&amp;_xlfn.TEXTJOIN(", ",TRUE(),IF(L20&lt;1,Parameters!$A$438,""),IF(M20&lt;1,Parameters!$A$439,""),IF(N20&lt;1,Parameters!$A$440,""),IF(O20&lt;1,Parameters!$A$441,""),IF(P20&lt;1,Parameters!$A$442,""))))</f>
        <v/>
      </c>
      <c r="L20" s="13">
        <f>IF(C20="","",C20/18)</f>
        <v/>
      </c>
      <c r="M20" s="13">
        <f>IF(D20="","",D20/22)</f>
        <v/>
      </c>
      <c r="N20" s="13">
        <f>IF(E20="","",E20/23)</f>
        <v/>
      </c>
      <c r="O20" s="13">
        <f>IF(F20="","",F20/15)</f>
        <v/>
      </c>
      <c r="P20" s="13">
        <f>IF(G20="","",G20/14)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4" t="n"/>
      <c r="H21" s="13">
        <f>IF(COUNT(C21:G21)&lt;5,"",SUM(C21:G21))</f>
        <v/>
      </c>
      <c r="I21" s="13">
        <f>IF(COUNT(C21:G21)&lt;5,"",H21/92)</f>
        <v/>
      </c>
      <c r="J21" s="13">
        <f>IF(COUNT(C21:G21)&lt;5,"",IF(I21&gt;=0.8,"Green",IF(I21&gt;=0.5,"Yellow","Red")))</f>
        <v/>
      </c>
      <c r="K21" s="13">
        <f>IF(COUNT(C21:G21)&lt;5,"",IF(J21="Green","Well done! "&amp;Parameters!$C$448,"Revise: "&amp;_xlfn.TEXTJOIN(", ",TRUE(),IF(L21&lt;1,Parameters!$A$438,""),IF(M21&lt;1,Parameters!$A$439,""),IF(N21&lt;1,Parameters!$A$440,""),IF(O21&lt;1,Parameters!$A$441,""),IF(P21&lt;1,Parameters!$A$442,""))))</f>
        <v/>
      </c>
      <c r="L21" s="13">
        <f>IF(C21="","",C21/18)</f>
        <v/>
      </c>
      <c r="M21" s="13">
        <f>IF(D21="","",D21/22)</f>
        <v/>
      </c>
      <c r="N21" s="13">
        <f>IF(E21="","",E21/23)</f>
        <v/>
      </c>
      <c r="O21" s="13">
        <f>IF(F21="","",F21/15)</f>
        <v/>
      </c>
      <c r="P21" s="13">
        <f>IF(G21="","",G21/14)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4" t="n"/>
      <c r="H22" s="13">
        <f>IF(COUNT(C22:G22)&lt;5,"",SUM(C22:G22))</f>
        <v/>
      </c>
      <c r="I22" s="13">
        <f>IF(COUNT(C22:G22)&lt;5,"",H22/92)</f>
        <v/>
      </c>
      <c r="J22" s="13">
        <f>IF(COUNT(C22:G22)&lt;5,"",IF(I22&gt;=0.8,"Green",IF(I22&gt;=0.5,"Yellow","Red")))</f>
        <v/>
      </c>
      <c r="K22" s="13">
        <f>IF(COUNT(C22:G22)&lt;5,"",IF(J22="Green","Well done! "&amp;Parameters!$C$448,"Revise: "&amp;_xlfn.TEXTJOIN(", ",TRUE(),IF(L22&lt;1,Parameters!$A$438,""),IF(M22&lt;1,Parameters!$A$439,""),IF(N22&lt;1,Parameters!$A$440,""),IF(O22&lt;1,Parameters!$A$441,""),IF(P22&lt;1,Parameters!$A$442,""))))</f>
        <v/>
      </c>
      <c r="L22" s="13">
        <f>IF(C22="","",C22/18)</f>
        <v/>
      </c>
      <c r="M22" s="13">
        <f>IF(D22="","",D22/22)</f>
        <v/>
      </c>
      <c r="N22" s="13">
        <f>IF(E22="","",E22/23)</f>
        <v/>
      </c>
      <c r="O22" s="13">
        <f>IF(F22="","",F22/15)</f>
        <v/>
      </c>
      <c r="P22" s="13">
        <f>IF(G22="","",G22/14)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4" t="n"/>
      <c r="H23" s="13">
        <f>IF(COUNT(C23:G23)&lt;5,"",SUM(C23:G23))</f>
        <v/>
      </c>
      <c r="I23" s="13">
        <f>IF(COUNT(C23:G23)&lt;5,"",H23/92)</f>
        <v/>
      </c>
      <c r="J23" s="13">
        <f>IF(COUNT(C23:G23)&lt;5,"",IF(I23&gt;=0.8,"Green",IF(I23&gt;=0.5,"Yellow","Red")))</f>
        <v/>
      </c>
      <c r="K23" s="13">
        <f>IF(COUNT(C23:G23)&lt;5,"",IF(J23="Green","Well done! "&amp;Parameters!$C$448,"Revise: "&amp;_xlfn.TEXTJOIN(", ",TRUE(),IF(L23&lt;1,Parameters!$A$438,""),IF(M23&lt;1,Parameters!$A$439,""),IF(N23&lt;1,Parameters!$A$440,""),IF(O23&lt;1,Parameters!$A$441,""),IF(P23&lt;1,Parameters!$A$442,""))))</f>
        <v/>
      </c>
      <c r="L23" s="13">
        <f>IF(C23="","",C23/18)</f>
        <v/>
      </c>
      <c r="M23" s="13">
        <f>IF(D23="","",D23/22)</f>
        <v/>
      </c>
      <c r="N23" s="13">
        <f>IF(E23="","",E23/23)</f>
        <v/>
      </c>
      <c r="O23" s="13">
        <f>IF(F23="","",F23/15)</f>
        <v/>
      </c>
      <c r="P23" s="13">
        <f>IF(G23="","",G23/14)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4" t="n"/>
      <c r="H24" s="13">
        <f>IF(COUNT(C24:G24)&lt;5,"",SUM(C24:G24))</f>
        <v/>
      </c>
      <c r="I24" s="13">
        <f>IF(COUNT(C24:G24)&lt;5,"",H24/92)</f>
        <v/>
      </c>
      <c r="J24" s="13">
        <f>IF(COUNT(C24:G24)&lt;5,"",IF(I24&gt;=0.8,"Green",IF(I24&gt;=0.5,"Yellow","Red")))</f>
        <v/>
      </c>
      <c r="K24" s="13">
        <f>IF(COUNT(C24:G24)&lt;5,"",IF(J24="Green","Well done! "&amp;Parameters!$C$448,"Revise: "&amp;_xlfn.TEXTJOIN(", ",TRUE(),IF(L24&lt;1,Parameters!$A$438,""),IF(M24&lt;1,Parameters!$A$439,""),IF(N24&lt;1,Parameters!$A$440,""),IF(O24&lt;1,Parameters!$A$441,""),IF(P24&lt;1,Parameters!$A$442,""))))</f>
        <v/>
      </c>
      <c r="L24" s="13">
        <f>IF(C24="","",C24/18)</f>
        <v/>
      </c>
      <c r="M24" s="13">
        <f>IF(D24="","",D24/22)</f>
        <v/>
      </c>
      <c r="N24" s="13">
        <f>IF(E24="","",E24/23)</f>
        <v/>
      </c>
      <c r="O24" s="13">
        <f>IF(F24="","",F24/15)</f>
        <v/>
      </c>
      <c r="P24" s="13">
        <f>IF(G24="","",G24/14)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4" t="n"/>
      <c r="H25" s="13">
        <f>IF(COUNT(C25:G25)&lt;5,"",SUM(C25:G25))</f>
        <v/>
      </c>
      <c r="I25" s="13">
        <f>IF(COUNT(C25:G25)&lt;5,"",H25/92)</f>
        <v/>
      </c>
      <c r="J25" s="13">
        <f>IF(COUNT(C25:G25)&lt;5,"",IF(I25&gt;=0.8,"Green",IF(I25&gt;=0.5,"Yellow","Red")))</f>
        <v/>
      </c>
      <c r="K25" s="13">
        <f>IF(COUNT(C25:G25)&lt;5,"",IF(J25="Green","Well done! "&amp;Parameters!$C$448,"Revise: "&amp;_xlfn.TEXTJOIN(", ",TRUE(),IF(L25&lt;1,Parameters!$A$438,""),IF(M25&lt;1,Parameters!$A$439,""),IF(N25&lt;1,Parameters!$A$440,""),IF(O25&lt;1,Parameters!$A$441,""),IF(P25&lt;1,Parameters!$A$442,""))))</f>
        <v/>
      </c>
      <c r="L25" s="13">
        <f>IF(C25="","",C25/18)</f>
        <v/>
      </c>
      <c r="M25" s="13">
        <f>IF(D25="","",D25/22)</f>
        <v/>
      </c>
      <c r="N25" s="13">
        <f>IF(E25="","",E25/23)</f>
        <v/>
      </c>
      <c r="O25" s="13">
        <f>IF(F25="","",F25/15)</f>
        <v/>
      </c>
      <c r="P25" s="13">
        <f>IF(G25="","",G25/14)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4" t="n"/>
      <c r="H26" s="13">
        <f>IF(COUNT(C26:G26)&lt;5,"",SUM(C26:G26))</f>
        <v/>
      </c>
      <c r="I26" s="13">
        <f>IF(COUNT(C26:G26)&lt;5,"",H26/92)</f>
        <v/>
      </c>
      <c r="J26" s="13">
        <f>IF(COUNT(C26:G26)&lt;5,"",IF(I26&gt;=0.8,"Green",IF(I26&gt;=0.5,"Yellow","Red")))</f>
        <v/>
      </c>
      <c r="K26" s="13">
        <f>IF(COUNT(C26:G26)&lt;5,"",IF(J26="Green","Well done! "&amp;Parameters!$C$448,"Revise: "&amp;_xlfn.TEXTJOIN(", ",TRUE(),IF(L26&lt;1,Parameters!$A$438,""),IF(M26&lt;1,Parameters!$A$439,""),IF(N26&lt;1,Parameters!$A$440,""),IF(O26&lt;1,Parameters!$A$441,""),IF(P26&lt;1,Parameters!$A$442,""))))</f>
        <v/>
      </c>
      <c r="L26" s="13">
        <f>IF(C26="","",C26/18)</f>
        <v/>
      </c>
      <c r="M26" s="13">
        <f>IF(D26="","",D26/22)</f>
        <v/>
      </c>
      <c r="N26" s="13">
        <f>IF(E26="","",E26/23)</f>
        <v/>
      </c>
      <c r="O26" s="13">
        <f>IF(F26="","",F26/15)</f>
        <v/>
      </c>
      <c r="P26" s="13">
        <f>IF(G26="","",G26/14)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4" t="n"/>
      <c r="H27" s="13">
        <f>IF(COUNT(C27:G27)&lt;5,"",SUM(C27:G27))</f>
        <v/>
      </c>
      <c r="I27" s="13">
        <f>IF(COUNT(C27:G27)&lt;5,"",H27/92)</f>
        <v/>
      </c>
      <c r="J27" s="13">
        <f>IF(COUNT(C27:G27)&lt;5,"",IF(I27&gt;=0.8,"Green",IF(I27&gt;=0.5,"Yellow","Red")))</f>
        <v/>
      </c>
      <c r="K27" s="13">
        <f>IF(COUNT(C27:G27)&lt;5,"",IF(J27="Green","Well done! "&amp;Parameters!$C$448,"Revise: "&amp;_xlfn.TEXTJOIN(", ",TRUE(),IF(L27&lt;1,Parameters!$A$438,""),IF(M27&lt;1,Parameters!$A$439,""),IF(N27&lt;1,Parameters!$A$440,""),IF(O27&lt;1,Parameters!$A$441,""),IF(P27&lt;1,Parameters!$A$442,""))))</f>
        <v/>
      </c>
      <c r="L27" s="13">
        <f>IF(C27="","",C27/18)</f>
        <v/>
      </c>
      <c r="M27" s="13">
        <f>IF(D27="","",D27/22)</f>
        <v/>
      </c>
      <c r="N27" s="13">
        <f>IF(E27="","",E27/23)</f>
        <v/>
      </c>
      <c r="O27" s="13">
        <f>IF(F27="","",F27/15)</f>
        <v/>
      </c>
      <c r="P27" s="13">
        <f>IF(G27="","",G27/14)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4" t="n"/>
      <c r="H28" s="13">
        <f>IF(COUNT(C28:G28)&lt;5,"",SUM(C28:G28))</f>
        <v/>
      </c>
      <c r="I28" s="13">
        <f>IF(COUNT(C28:G28)&lt;5,"",H28/92)</f>
        <v/>
      </c>
      <c r="J28" s="13">
        <f>IF(COUNT(C28:G28)&lt;5,"",IF(I28&gt;=0.8,"Green",IF(I28&gt;=0.5,"Yellow","Red")))</f>
        <v/>
      </c>
      <c r="K28" s="13">
        <f>IF(COUNT(C28:G28)&lt;5,"",IF(J28="Green","Well done! "&amp;Parameters!$C$448,"Revise: "&amp;_xlfn.TEXTJOIN(", ",TRUE(),IF(L28&lt;1,Parameters!$A$438,""),IF(M28&lt;1,Parameters!$A$439,""),IF(N28&lt;1,Parameters!$A$440,""),IF(O28&lt;1,Parameters!$A$441,""),IF(P28&lt;1,Parameters!$A$442,""))))</f>
        <v/>
      </c>
      <c r="L28" s="13">
        <f>IF(C28="","",C28/18)</f>
        <v/>
      </c>
      <c r="M28" s="13">
        <f>IF(D28="","",D28/22)</f>
        <v/>
      </c>
      <c r="N28" s="13">
        <f>IF(E28="","",E28/23)</f>
        <v/>
      </c>
      <c r="O28" s="13">
        <f>IF(F28="","",F28/15)</f>
        <v/>
      </c>
      <c r="P28" s="13">
        <f>IF(G28="","",G28/14)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4" t="n"/>
      <c r="H29" s="13">
        <f>IF(COUNT(C29:G29)&lt;5,"",SUM(C29:G29))</f>
        <v/>
      </c>
      <c r="I29" s="13">
        <f>IF(COUNT(C29:G29)&lt;5,"",H29/92)</f>
        <v/>
      </c>
      <c r="J29" s="13">
        <f>IF(COUNT(C29:G29)&lt;5,"",IF(I29&gt;=0.8,"Green",IF(I29&gt;=0.5,"Yellow","Red")))</f>
        <v/>
      </c>
      <c r="K29" s="13">
        <f>IF(COUNT(C29:G29)&lt;5,"",IF(J29="Green","Well done! "&amp;Parameters!$C$448,"Revise: "&amp;_xlfn.TEXTJOIN(", ",TRUE(),IF(L29&lt;1,Parameters!$A$438,""),IF(M29&lt;1,Parameters!$A$439,""),IF(N29&lt;1,Parameters!$A$440,""),IF(O29&lt;1,Parameters!$A$441,""),IF(P29&lt;1,Parameters!$A$442,""))))</f>
        <v/>
      </c>
      <c r="L29" s="13">
        <f>IF(C29="","",C29/18)</f>
        <v/>
      </c>
      <c r="M29" s="13">
        <f>IF(D29="","",D29/22)</f>
        <v/>
      </c>
      <c r="N29" s="13">
        <f>IF(E29="","",E29/23)</f>
        <v/>
      </c>
      <c r="O29" s="13">
        <f>IF(F29="","",F29/15)</f>
        <v/>
      </c>
      <c r="P29" s="13">
        <f>IF(G29="","",G29/14)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4" t="n"/>
      <c r="H30" s="13">
        <f>IF(COUNT(C30:G30)&lt;5,"",SUM(C30:G30))</f>
        <v/>
      </c>
      <c r="I30" s="13">
        <f>IF(COUNT(C30:G30)&lt;5,"",H30/92)</f>
        <v/>
      </c>
      <c r="J30" s="13">
        <f>IF(COUNT(C30:G30)&lt;5,"",IF(I30&gt;=0.8,"Green",IF(I30&gt;=0.5,"Yellow","Red")))</f>
        <v/>
      </c>
      <c r="K30" s="13">
        <f>IF(COUNT(C30:G30)&lt;5,"",IF(J30="Green","Well done! "&amp;Parameters!$C$448,"Revise: "&amp;_xlfn.TEXTJOIN(", ",TRUE(),IF(L30&lt;1,Parameters!$A$438,""),IF(M30&lt;1,Parameters!$A$439,""),IF(N30&lt;1,Parameters!$A$440,""),IF(O30&lt;1,Parameters!$A$441,""),IF(P30&lt;1,Parameters!$A$442,""))))</f>
        <v/>
      </c>
      <c r="L30" s="13">
        <f>IF(C30="","",C30/18)</f>
        <v/>
      </c>
      <c r="M30" s="13">
        <f>IF(D30="","",D30/22)</f>
        <v/>
      </c>
      <c r="N30" s="13">
        <f>IF(E30="","",E30/23)</f>
        <v/>
      </c>
      <c r="O30" s="13">
        <f>IF(F30="","",F30/15)</f>
        <v/>
      </c>
      <c r="P30" s="13">
        <f>IF(G30="","",G30/14)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4" t="n"/>
      <c r="H31" s="13">
        <f>IF(COUNT(C31:G31)&lt;5,"",SUM(C31:G31))</f>
        <v/>
      </c>
      <c r="I31" s="13">
        <f>IF(COUNT(C31:G31)&lt;5,"",H31/92)</f>
        <v/>
      </c>
      <c r="J31" s="13">
        <f>IF(COUNT(C31:G31)&lt;5,"",IF(I31&gt;=0.8,"Green",IF(I31&gt;=0.5,"Yellow","Red")))</f>
        <v/>
      </c>
      <c r="K31" s="13">
        <f>IF(COUNT(C31:G31)&lt;5,"",IF(J31="Green","Well done! "&amp;Parameters!$C$448,"Revise: "&amp;_xlfn.TEXTJOIN(", ",TRUE(),IF(L31&lt;1,Parameters!$A$438,""),IF(M31&lt;1,Parameters!$A$439,""),IF(N31&lt;1,Parameters!$A$440,""),IF(O31&lt;1,Parameters!$A$441,""),IF(P31&lt;1,Parameters!$A$442,""))))</f>
        <v/>
      </c>
      <c r="L31" s="13">
        <f>IF(C31="","",C31/18)</f>
        <v/>
      </c>
      <c r="M31" s="13">
        <f>IF(D31="","",D31/22)</f>
        <v/>
      </c>
      <c r="N31" s="13">
        <f>IF(E31="","",E31/23)</f>
        <v/>
      </c>
      <c r="O31" s="13">
        <f>IF(F31="","",F31/15)</f>
        <v/>
      </c>
      <c r="P31" s="13">
        <f>IF(G31="","",G31/14)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4" t="n"/>
      <c r="H32" s="13">
        <f>IF(COUNT(C32:G32)&lt;5,"",SUM(C32:G32))</f>
        <v/>
      </c>
      <c r="I32" s="13">
        <f>IF(COUNT(C32:G32)&lt;5,"",H32/92)</f>
        <v/>
      </c>
      <c r="J32" s="13">
        <f>IF(COUNT(C32:G32)&lt;5,"",IF(I32&gt;=0.8,"Green",IF(I32&gt;=0.5,"Yellow","Red")))</f>
        <v/>
      </c>
      <c r="K32" s="13">
        <f>IF(COUNT(C32:G32)&lt;5,"",IF(J32="Green","Well done! "&amp;Parameters!$C$448,"Revise: "&amp;_xlfn.TEXTJOIN(", ",TRUE(),IF(L32&lt;1,Parameters!$A$438,""),IF(M32&lt;1,Parameters!$A$439,""),IF(N32&lt;1,Parameters!$A$440,""),IF(O32&lt;1,Parameters!$A$441,""),IF(P32&lt;1,Parameters!$A$442,""))))</f>
        <v/>
      </c>
      <c r="L32" s="13">
        <f>IF(C32="","",C32/18)</f>
        <v/>
      </c>
      <c r="M32" s="13">
        <f>IF(D32="","",D32/22)</f>
        <v/>
      </c>
      <c r="N32" s="13">
        <f>IF(E32="","",E32/23)</f>
        <v/>
      </c>
      <c r="O32" s="13">
        <f>IF(F32="","",F32/15)</f>
        <v/>
      </c>
      <c r="P32" s="13">
        <f>IF(G32="","",G32/14)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4" t="n"/>
      <c r="H33" s="13">
        <f>IF(COUNT(C33:G33)&lt;5,"",SUM(C33:G33))</f>
        <v/>
      </c>
      <c r="I33" s="13">
        <f>IF(COUNT(C33:G33)&lt;5,"",H33/92)</f>
        <v/>
      </c>
      <c r="J33" s="13">
        <f>IF(COUNT(C33:G33)&lt;5,"",IF(I33&gt;=0.8,"Green",IF(I33&gt;=0.5,"Yellow","Red")))</f>
        <v/>
      </c>
      <c r="K33" s="13">
        <f>IF(COUNT(C33:G33)&lt;5,"",IF(J33="Green","Well done! "&amp;Parameters!$C$448,"Revise: "&amp;_xlfn.TEXTJOIN(", ",TRUE(),IF(L33&lt;1,Parameters!$A$438,""),IF(M33&lt;1,Parameters!$A$439,""),IF(N33&lt;1,Parameters!$A$440,""),IF(O33&lt;1,Parameters!$A$441,""),IF(P33&lt;1,Parameters!$A$442,""))))</f>
        <v/>
      </c>
      <c r="L33" s="13">
        <f>IF(C33="","",C33/18)</f>
        <v/>
      </c>
      <c r="M33" s="13">
        <f>IF(D33="","",D33/22)</f>
        <v/>
      </c>
      <c r="N33" s="13">
        <f>IF(E33="","",E33/23)</f>
        <v/>
      </c>
      <c r="O33" s="13">
        <f>IF(F33="","",F33/15)</f>
        <v/>
      </c>
      <c r="P33" s="13">
        <f>IF(G33="","",G33/14)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4" t="n"/>
      <c r="H34" s="13">
        <f>IF(COUNT(C34:G34)&lt;5,"",SUM(C34:G34))</f>
        <v/>
      </c>
      <c r="I34" s="13">
        <f>IF(COUNT(C34:G34)&lt;5,"",H34/92)</f>
        <v/>
      </c>
      <c r="J34" s="13">
        <f>IF(COUNT(C34:G34)&lt;5,"",IF(I34&gt;=0.8,"Green",IF(I34&gt;=0.5,"Yellow","Red")))</f>
        <v/>
      </c>
      <c r="K34" s="13">
        <f>IF(COUNT(C34:G34)&lt;5,"",IF(J34="Green","Well done! "&amp;Parameters!$C$448,"Revise: "&amp;_xlfn.TEXTJOIN(", ",TRUE(),IF(L34&lt;1,Parameters!$A$438,""),IF(M34&lt;1,Parameters!$A$439,""),IF(N34&lt;1,Parameters!$A$440,""),IF(O34&lt;1,Parameters!$A$441,""),IF(P34&lt;1,Parameters!$A$442,""))))</f>
        <v/>
      </c>
      <c r="L34" s="13">
        <f>IF(C34="","",C34/18)</f>
        <v/>
      </c>
      <c r="M34" s="13">
        <f>IF(D34="","",D34/22)</f>
        <v/>
      </c>
      <c r="N34" s="13">
        <f>IF(E34="","",E34/23)</f>
        <v/>
      </c>
      <c r="O34" s="13">
        <f>IF(F34="","",F34/15)</f>
        <v/>
      </c>
      <c r="P34" s="13">
        <f>IF(G34="","",G34/14)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4" t="n"/>
      <c r="H35" s="13">
        <f>IF(COUNT(C35:G35)&lt;5,"",SUM(C35:G35))</f>
        <v/>
      </c>
      <c r="I35" s="13">
        <f>IF(COUNT(C35:G35)&lt;5,"",H35/92)</f>
        <v/>
      </c>
      <c r="J35" s="13">
        <f>IF(COUNT(C35:G35)&lt;5,"",IF(I35&gt;=0.8,"Green",IF(I35&gt;=0.5,"Yellow","Red")))</f>
        <v/>
      </c>
      <c r="K35" s="13">
        <f>IF(COUNT(C35:G35)&lt;5,"",IF(J35="Green","Well done! "&amp;Parameters!$C$448,"Revise: "&amp;_xlfn.TEXTJOIN(", ",TRUE(),IF(L35&lt;1,Parameters!$A$438,""),IF(M35&lt;1,Parameters!$A$439,""),IF(N35&lt;1,Parameters!$A$440,""),IF(O35&lt;1,Parameters!$A$441,""),IF(P35&lt;1,Parameters!$A$442,""))))</f>
        <v/>
      </c>
      <c r="L35" s="13">
        <f>IF(C35="","",C35/18)</f>
        <v/>
      </c>
      <c r="M35" s="13">
        <f>IF(D35="","",D35/22)</f>
        <v/>
      </c>
      <c r="N35" s="13">
        <f>IF(E35="","",E35/23)</f>
        <v/>
      </c>
      <c r="O35" s="13">
        <f>IF(F35="","",F35/15)</f>
        <v/>
      </c>
      <c r="P35" s="13">
        <f>IF(G35="","",G35/14)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4" t="n"/>
      <c r="H36" s="13">
        <f>IF(COUNT(C36:G36)&lt;5,"",SUM(C36:G36))</f>
        <v/>
      </c>
      <c r="I36" s="13">
        <f>IF(COUNT(C36:G36)&lt;5,"",H36/92)</f>
        <v/>
      </c>
      <c r="J36" s="13">
        <f>IF(COUNT(C36:G36)&lt;5,"",IF(I36&gt;=0.8,"Green",IF(I36&gt;=0.5,"Yellow","Red")))</f>
        <v/>
      </c>
      <c r="K36" s="13">
        <f>IF(COUNT(C36:G36)&lt;5,"",IF(J36="Green","Well done! "&amp;Parameters!$C$448,"Revise: "&amp;_xlfn.TEXTJOIN(", ",TRUE(),IF(L36&lt;1,Parameters!$A$438,""),IF(M36&lt;1,Parameters!$A$439,""),IF(N36&lt;1,Parameters!$A$440,""),IF(O36&lt;1,Parameters!$A$441,""),IF(P36&lt;1,Parameters!$A$442,""))))</f>
        <v/>
      </c>
      <c r="L36" s="13">
        <f>IF(C36="","",C36/18)</f>
        <v/>
      </c>
      <c r="M36" s="13">
        <f>IF(D36="","",D36/22)</f>
        <v/>
      </c>
      <c r="N36" s="13">
        <f>IF(E36="","",E36/23)</f>
        <v/>
      </c>
      <c r="O36" s="13">
        <f>IF(F36="","",F36/15)</f>
        <v/>
      </c>
      <c r="P36" s="13">
        <f>IF(G36="","",G36/14)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4" t="n"/>
      <c r="H37" s="13">
        <f>IF(COUNT(C37:G37)&lt;5,"",SUM(C37:G37))</f>
        <v/>
      </c>
      <c r="I37" s="13">
        <f>IF(COUNT(C37:G37)&lt;5,"",H37/92)</f>
        <v/>
      </c>
      <c r="J37" s="13">
        <f>IF(COUNT(C37:G37)&lt;5,"",IF(I37&gt;=0.8,"Green",IF(I37&gt;=0.5,"Yellow","Red")))</f>
        <v/>
      </c>
      <c r="K37" s="13">
        <f>IF(COUNT(C37:G37)&lt;5,"",IF(J37="Green","Well done! "&amp;Parameters!$C$448,"Revise: "&amp;_xlfn.TEXTJOIN(", ",TRUE(),IF(L37&lt;1,Parameters!$A$438,""),IF(M37&lt;1,Parameters!$A$439,""),IF(N37&lt;1,Parameters!$A$440,""),IF(O37&lt;1,Parameters!$A$441,""),IF(P37&lt;1,Parameters!$A$442,""))))</f>
        <v/>
      </c>
      <c r="L37" s="13">
        <f>IF(C37="","",C37/18)</f>
        <v/>
      </c>
      <c r="M37" s="13">
        <f>IF(D37="","",D37/22)</f>
        <v/>
      </c>
      <c r="N37" s="13">
        <f>IF(E37="","",E37/23)</f>
        <v/>
      </c>
      <c r="O37" s="13">
        <f>IF(F37="","",F37/15)</f>
        <v/>
      </c>
      <c r="P37" s="13">
        <f>IF(G37="","",G37/14)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4" t="n"/>
      <c r="H38" s="13">
        <f>IF(COUNT(C38:G38)&lt;5,"",SUM(C38:G38))</f>
        <v/>
      </c>
      <c r="I38" s="13">
        <f>IF(COUNT(C38:G38)&lt;5,"",H38/92)</f>
        <v/>
      </c>
      <c r="J38" s="13">
        <f>IF(COUNT(C38:G38)&lt;5,"",IF(I38&gt;=0.8,"Green",IF(I38&gt;=0.5,"Yellow","Red")))</f>
        <v/>
      </c>
      <c r="K38" s="13">
        <f>IF(COUNT(C38:G38)&lt;5,"",IF(J38="Green","Well done! "&amp;Parameters!$C$448,"Revise: "&amp;_xlfn.TEXTJOIN(", ",TRUE(),IF(L38&lt;1,Parameters!$A$438,""),IF(M38&lt;1,Parameters!$A$439,""),IF(N38&lt;1,Parameters!$A$440,""),IF(O38&lt;1,Parameters!$A$441,""),IF(P38&lt;1,Parameters!$A$442,""))))</f>
        <v/>
      </c>
      <c r="L38" s="13">
        <f>IF(C38="","",C38/18)</f>
        <v/>
      </c>
      <c r="M38" s="13">
        <f>IF(D38="","",D38/22)</f>
        <v/>
      </c>
      <c r="N38" s="13">
        <f>IF(E38="","",E38/23)</f>
        <v/>
      </c>
      <c r="O38" s="13">
        <f>IF(F38="","",F38/15)</f>
        <v/>
      </c>
      <c r="P38" s="13">
        <f>IF(G38="","",G38/14)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4" t="n"/>
      <c r="H39" s="13">
        <f>IF(COUNT(C39:G39)&lt;5,"",SUM(C39:G39))</f>
        <v/>
      </c>
      <c r="I39" s="13">
        <f>IF(COUNT(C39:G39)&lt;5,"",H39/92)</f>
        <v/>
      </c>
      <c r="J39" s="13">
        <f>IF(COUNT(C39:G39)&lt;5,"",IF(I39&gt;=0.8,"Green",IF(I39&gt;=0.5,"Yellow","Red")))</f>
        <v/>
      </c>
      <c r="K39" s="13">
        <f>IF(COUNT(C39:G39)&lt;5,"",IF(J39="Green","Well done! "&amp;Parameters!$C$448,"Revise: "&amp;_xlfn.TEXTJOIN(", ",TRUE(),IF(L39&lt;1,Parameters!$A$438,""),IF(M39&lt;1,Parameters!$A$439,""),IF(N39&lt;1,Parameters!$A$440,""),IF(O39&lt;1,Parameters!$A$441,""),IF(P39&lt;1,Parameters!$A$442,""))))</f>
        <v/>
      </c>
      <c r="L39" s="13">
        <f>IF(C39="","",C39/18)</f>
        <v/>
      </c>
      <c r="M39" s="13">
        <f>IF(D39="","",D39/22)</f>
        <v/>
      </c>
      <c r="N39" s="13">
        <f>IF(E39="","",E39/23)</f>
        <v/>
      </c>
      <c r="O39" s="13">
        <f>IF(F39="","",F39/15)</f>
        <v/>
      </c>
      <c r="P39" s="13">
        <f>IF(G39="","",G39/14)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4" t="n"/>
      <c r="H40" s="13">
        <f>IF(COUNT(C40:G40)&lt;5,"",SUM(C40:G40))</f>
        <v/>
      </c>
      <c r="I40" s="13">
        <f>IF(COUNT(C40:G40)&lt;5,"",H40/92)</f>
        <v/>
      </c>
      <c r="J40" s="13">
        <f>IF(COUNT(C40:G40)&lt;5,"",IF(I40&gt;=0.8,"Green",IF(I40&gt;=0.5,"Yellow","Red")))</f>
        <v/>
      </c>
      <c r="K40" s="13">
        <f>IF(COUNT(C40:G40)&lt;5,"",IF(J40="Green","Well done! "&amp;Parameters!$C$448,"Revise: "&amp;_xlfn.TEXTJOIN(", ",TRUE(),IF(L40&lt;1,Parameters!$A$438,""),IF(M40&lt;1,Parameters!$A$439,""),IF(N40&lt;1,Parameters!$A$440,""),IF(O40&lt;1,Parameters!$A$441,""),IF(P40&lt;1,Parameters!$A$442,""))))</f>
        <v/>
      </c>
      <c r="L40" s="13">
        <f>IF(C40="","",C40/18)</f>
        <v/>
      </c>
      <c r="M40" s="13">
        <f>IF(D40="","",D40/22)</f>
        <v/>
      </c>
      <c r="N40" s="13">
        <f>IF(E40="","",E40/23)</f>
        <v/>
      </c>
      <c r="O40" s="13">
        <f>IF(F40="","",F40/15)</f>
        <v/>
      </c>
      <c r="P40" s="13">
        <f>IF(G40="","",G40/14)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4" t="n"/>
      <c r="H41" s="13">
        <f>IF(COUNT(C41:G41)&lt;5,"",SUM(C41:G41))</f>
        <v/>
      </c>
      <c r="I41" s="13">
        <f>IF(COUNT(C41:G41)&lt;5,"",H41/92)</f>
        <v/>
      </c>
      <c r="J41" s="13">
        <f>IF(COUNT(C41:G41)&lt;5,"",IF(I41&gt;=0.8,"Green",IF(I41&gt;=0.5,"Yellow","Red")))</f>
        <v/>
      </c>
      <c r="K41" s="13">
        <f>IF(COUNT(C41:G41)&lt;5,"",IF(J41="Green","Well done! "&amp;Parameters!$C$448,"Revise: "&amp;_xlfn.TEXTJOIN(", ",TRUE(),IF(L41&lt;1,Parameters!$A$438,""),IF(M41&lt;1,Parameters!$A$439,""),IF(N41&lt;1,Parameters!$A$440,""),IF(O41&lt;1,Parameters!$A$441,""),IF(P41&lt;1,Parameters!$A$442,""))))</f>
        <v/>
      </c>
      <c r="L41" s="13">
        <f>IF(C41="","",C41/18)</f>
        <v/>
      </c>
      <c r="M41" s="13">
        <f>IF(D41="","",D41/22)</f>
        <v/>
      </c>
      <c r="N41" s="13">
        <f>IF(E41="","",E41/23)</f>
        <v/>
      </c>
      <c r="O41" s="13">
        <f>IF(F41="","",F41/15)</f>
        <v/>
      </c>
      <c r="P41" s="13">
        <f>IF(G41="","",G41/14)</f>
        <v/>
      </c>
    </row>
  </sheetData>
  <conditionalFormatting sqref="C11">
    <cfRule type="expression" priority="1" dxfId="0">
      <formula>AND(COUNT(C11:G11)=5,C11=18)</formula>
    </cfRule>
    <cfRule type="expression" priority="2" dxfId="1">
      <formula>AND(COUNT(C11:G11)=5,C11&lt;18*0.4)</formula>
    </cfRule>
    <cfRule type="expression" priority="3" dxfId="2">
      <formula>AND(COUNT(C11:G11)=5,C11&gt;=18*0.4,C11&lt;18)</formula>
    </cfRule>
  </conditionalFormatting>
  <conditionalFormatting sqref="C12">
    <cfRule type="expression" priority="4" dxfId="0">
      <formula>AND(COUNT(C12:G12)=5,C12=18)</formula>
    </cfRule>
    <cfRule type="expression" priority="5" dxfId="1">
      <formula>AND(COUNT(C12:G12)=5,C12&lt;18*0.4)</formula>
    </cfRule>
    <cfRule type="expression" priority="6" dxfId="2">
      <formula>AND(COUNT(C12:G12)=5,C12&gt;=18*0.4,C12&lt;18)</formula>
    </cfRule>
  </conditionalFormatting>
  <conditionalFormatting sqref="C13">
    <cfRule type="expression" priority="7" dxfId="0">
      <formula>AND(COUNT(C13:G13)=5,C13=18)</formula>
    </cfRule>
    <cfRule type="expression" priority="8" dxfId="1">
      <formula>AND(COUNT(C13:G13)=5,C13&lt;18*0.4)</formula>
    </cfRule>
    <cfRule type="expression" priority="9" dxfId="2">
      <formula>AND(COUNT(C13:G13)=5,C13&gt;=18*0.4,C13&lt;18)</formula>
    </cfRule>
  </conditionalFormatting>
  <conditionalFormatting sqref="C14">
    <cfRule type="expression" priority="10" dxfId="0">
      <formula>AND(COUNT(C14:G14)=5,C14=18)</formula>
    </cfRule>
    <cfRule type="expression" priority="11" dxfId="1">
      <formula>AND(COUNT(C14:G14)=5,C14&lt;18*0.4)</formula>
    </cfRule>
    <cfRule type="expression" priority="12" dxfId="2">
      <formula>AND(COUNT(C14:G14)=5,C14&gt;=18*0.4,C14&lt;18)</formula>
    </cfRule>
  </conditionalFormatting>
  <conditionalFormatting sqref="C15">
    <cfRule type="expression" priority="13" dxfId="0">
      <formula>AND(COUNT(C15:G15)=5,C15=18)</formula>
    </cfRule>
    <cfRule type="expression" priority="14" dxfId="1">
      <formula>AND(COUNT(C15:G15)=5,C15&lt;18*0.4)</formula>
    </cfRule>
    <cfRule type="expression" priority="15" dxfId="2">
      <formula>AND(COUNT(C15:G15)=5,C15&gt;=18*0.4,C15&lt;18)</formula>
    </cfRule>
  </conditionalFormatting>
  <conditionalFormatting sqref="C16">
    <cfRule type="expression" priority="16" dxfId="0">
      <formula>AND(COUNT(C16:G16)=5,C16=18)</formula>
    </cfRule>
    <cfRule type="expression" priority="17" dxfId="1">
      <formula>AND(COUNT(C16:G16)=5,C16&lt;18*0.4)</formula>
    </cfRule>
    <cfRule type="expression" priority="18" dxfId="2">
      <formula>AND(COUNT(C16:G16)=5,C16&gt;=18*0.4,C16&lt;18)</formula>
    </cfRule>
  </conditionalFormatting>
  <conditionalFormatting sqref="C17">
    <cfRule type="expression" priority="19" dxfId="0">
      <formula>AND(COUNT(C17:G17)=5,C17=18)</formula>
    </cfRule>
    <cfRule type="expression" priority="20" dxfId="1">
      <formula>AND(COUNT(C17:G17)=5,C17&lt;18*0.4)</formula>
    </cfRule>
    <cfRule type="expression" priority="21" dxfId="2">
      <formula>AND(COUNT(C17:G17)=5,C17&gt;=18*0.4,C17&lt;18)</formula>
    </cfRule>
  </conditionalFormatting>
  <conditionalFormatting sqref="C18">
    <cfRule type="expression" priority="22" dxfId="0">
      <formula>AND(COUNT(C18:G18)=5,C18=18)</formula>
    </cfRule>
    <cfRule type="expression" priority="23" dxfId="1">
      <formula>AND(COUNT(C18:G18)=5,C18&lt;18*0.4)</formula>
    </cfRule>
    <cfRule type="expression" priority="24" dxfId="2">
      <formula>AND(COUNT(C18:G18)=5,C18&gt;=18*0.4,C18&lt;18)</formula>
    </cfRule>
  </conditionalFormatting>
  <conditionalFormatting sqref="C19">
    <cfRule type="expression" priority="25" dxfId="0">
      <formula>AND(COUNT(C19:G19)=5,C19=18)</formula>
    </cfRule>
    <cfRule type="expression" priority="26" dxfId="1">
      <formula>AND(COUNT(C19:G19)=5,C19&lt;18*0.4)</formula>
    </cfRule>
    <cfRule type="expression" priority="27" dxfId="2">
      <formula>AND(COUNT(C19:G19)=5,C19&gt;=18*0.4,C19&lt;18)</formula>
    </cfRule>
  </conditionalFormatting>
  <conditionalFormatting sqref="C20">
    <cfRule type="expression" priority="28" dxfId="0">
      <formula>AND(COUNT(C20:G20)=5,C20=18)</formula>
    </cfRule>
    <cfRule type="expression" priority="29" dxfId="1">
      <formula>AND(COUNT(C20:G20)=5,C20&lt;18*0.4)</formula>
    </cfRule>
    <cfRule type="expression" priority="30" dxfId="2">
      <formula>AND(COUNT(C20:G20)=5,C20&gt;=18*0.4,C20&lt;18)</formula>
    </cfRule>
  </conditionalFormatting>
  <conditionalFormatting sqref="C21">
    <cfRule type="expression" priority="31" dxfId="0">
      <formula>AND(COUNT(C21:G21)=5,C21=18)</formula>
    </cfRule>
    <cfRule type="expression" priority="32" dxfId="1">
      <formula>AND(COUNT(C21:G21)=5,C21&lt;18*0.4)</formula>
    </cfRule>
    <cfRule type="expression" priority="33" dxfId="2">
      <formula>AND(COUNT(C21:G21)=5,C21&gt;=18*0.4,C21&lt;18)</formula>
    </cfRule>
  </conditionalFormatting>
  <conditionalFormatting sqref="C22">
    <cfRule type="expression" priority="34" dxfId="0">
      <formula>AND(COUNT(C22:G22)=5,C22=18)</formula>
    </cfRule>
    <cfRule type="expression" priority="35" dxfId="1">
      <formula>AND(COUNT(C22:G22)=5,C22&lt;18*0.4)</formula>
    </cfRule>
    <cfRule type="expression" priority="36" dxfId="2">
      <formula>AND(COUNT(C22:G22)=5,C22&gt;=18*0.4,C22&lt;18)</formula>
    </cfRule>
  </conditionalFormatting>
  <conditionalFormatting sqref="C23">
    <cfRule type="expression" priority="37" dxfId="0">
      <formula>AND(COUNT(C23:G23)=5,C23=18)</formula>
    </cfRule>
    <cfRule type="expression" priority="38" dxfId="1">
      <formula>AND(COUNT(C23:G23)=5,C23&lt;18*0.4)</formula>
    </cfRule>
    <cfRule type="expression" priority="39" dxfId="2">
      <formula>AND(COUNT(C23:G23)=5,C23&gt;=18*0.4,C23&lt;18)</formula>
    </cfRule>
  </conditionalFormatting>
  <conditionalFormatting sqref="C24">
    <cfRule type="expression" priority="40" dxfId="0">
      <formula>AND(COUNT(C24:G24)=5,C24=18)</formula>
    </cfRule>
    <cfRule type="expression" priority="41" dxfId="1">
      <formula>AND(COUNT(C24:G24)=5,C24&lt;18*0.4)</formula>
    </cfRule>
    <cfRule type="expression" priority="42" dxfId="2">
      <formula>AND(COUNT(C24:G24)=5,C24&gt;=18*0.4,C24&lt;18)</formula>
    </cfRule>
  </conditionalFormatting>
  <conditionalFormatting sqref="C25">
    <cfRule type="expression" priority="43" dxfId="0">
      <formula>AND(COUNT(C25:G25)=5,C25=18)</formula>
    </cfRule>
    <cfRule type="expression" priority="44" dxfId="1">
      <formula>AND(COUNT(C25:G25)=5,C25&lt;18*0.4)</formula>
    </cfRule>
    <cfRule type="expression" priority="45" dxfId="2">
      <formula>AND(COUNT(C25:G25)=5,C25&gt;=18*0.4,C25&lt;18)</formula>
    </cfRule>
  </conditionalFormatting>
  <conditionalFormatting sqref="C26">
    <cfRule type="expression" priority="46" dxfId="0">
      <formula>AND(COUNT(C26:G26)=5,C26=18)</formula>
    </cfRule>
    <cfRule type="expression" priority="47" dxfId="1">
      <formula>AND(COUNT(C26:G26)=5,C26&lt;18*0.4)</formula>
    </cfRule>
    <cfRule type="expression" priority="48" dxfId="2">
      <formula>AND(COUNT(C26:G26)=5,C26&gt;=18*0.4,C26&lt;18)</formula>
    </cfRule>
  </conditionalFormatting>
  <conditionalFormatting sqref="C27">
    <cfRule type="expression" priority="49" dxfId="0">
      <formula>AND(COUNT(C27:G27)=5,C27=18)</formula>
    </cfRule>
    <cfRule type="expression" priority="50" dxfId="1">
      <formula>AND(COUNT(C27:G27)=5,C27&lt;18*0.4)</formula>
    </cfRule>
    <cfRule type="expression" priority="51" dxfId="2">
      <formula>AND(COUNT(C27:G27)=5,C27&gt;=18*0.4,C27&lt;18)</formula>
    </cfRule>
  </conditionalFormatting>
  <conditionalFormatting sqref="C28">
    <cfRule type="expression" priority="52" dxfId="0">
      <formula>AND(COUNT(C28:G28)=5,C28=18)</formula>
    </cfRule>
    <cfRule type="expression" priority="53" dxfId="1">
      <formula>AND(COUNT(C28:G28)=5,C28&lt;18*0.4)</formula>
    </cfRule>
    <cfRule type="expression" priority="54" dxfId="2">
      <formula>AND(COUNT(C28:G28)=5,C28&gt;=18*0.4,C28&lt;18)</formula>
    </cfRule>
  </conditionalFormatting>
  <conditionalFormatting sqref="C29">
    <cfRule type="expression" priority="55" dxfId="0">
      <formula>AND(COUNT(C29:G29)=5,C29=18)</formula>
    </cfRule>
    <cfRule type="expression" priority="56" dxfId="1">
      <formula>AND(COUNT(C29:G29)=5,C29&lt;18*0.4)</formula>
    </cfRule>
    <cfRule type="expression" priority="57" dxfId="2">
      <formula>AND(COUNT(C29:G29)=5,C29&gt;=18*0.4,C29&lt;18)</formula>
    </cfRule>
  </conditionalFormatting>
  <conditionalFormatting sqref="C30">
    <cfRule type="expression" priority="58" dxfId="0">
      <formula>AND(COUNT(C30:G30)=5,C30=18)</formula>
    </cfRule>
    <cfRule type="expression" priority="59" dxfId="1">
      <formula>AND(COUNT(C30:G30)=5,C30&lt;18*0.4)</formula>
    </cfRule>
    <cfRule type="expression" priority="60" dxfId="2">
      <formula>AND(COUNT(C30:G30)=5,C30&gt;=18*0.4,C30&lt;18)</formula>
    </cfRule>
  </conditionalFormatting>
  <conditionalFormatting sqref="C31">
    <cfRule type="expression" priority="61" dxfId="0">
      <formula>AND(COUNT(C31:G31)=5,C31=18)</formula>
    </cfRule>
    <cfRule type="expression" priority="62" dxfId="1">
      <formula>AND(COUNT(C31:G31)=5,C31&lt;18*0.4)</formula>
    </cfRule>
    <cfRule type="expression" priority="63" dxfId="2">
      <formula>AND(COUNT(C31:G31)=5,C31&gt;=18*0.4,C31&lt;18)</formula>
    </cfRule>
  </conditionalFormatting>
  <conditionalFormatting sqref="C32">
    <cfRule type="expression" priority="64" dxfId="0">
      <formula>AND(COUNT(C32:G32)=5,C32=18)</formula>
    </cfRule>
    <cfRule type="expression" priority="65" dxfId="1">
      <formula>AND(COUNT(C32:G32)=5,C32&lt;18*0.4)</formula>
    </cfRule>
    <cfRule type="expression" priority="66" dxfId="2">
      <formula>AND(COUNT(C32:G32)=5,C32&gt;=18*0.4,C32&lt;18)</formula>
    </cfRule>
  </conditionalFormatting>
  <conditionalFormatting sqref="C33">
    <cfRule type="expression" priority="67" dxfId="0">
      <formula>AND(COUNT(C33:G33)=5,C33=18)</formula>
    </cfRule>
    <cfRule type="expression" priority="68" dxfId="1">
      <formula>AND(COUNT(C33:G33)=5,C33&lt;18*0.4)</formula>
    </cfRule>
    <cfRule type="expression" priority="69" dxfId="2">
      <formula>AND(COUNT(C33:G33)=5,C33&gt;=18*0.4,C33&lt;18)</formula>
    </cfRule>
  </conditionalFormatting>
  <conditionalFormatting sqref="C34">
    <cfRule type="expression" priority="70" dxfId="0">
      <formula>AND(COUNT(C34:G34)=5,C34=18)</formula>
    </cfRule>
    <cfRule type="expression" priority="71" dxfId="1">
      <formula>AND(COUNT(C34:G34)=5,C34&lt;18*0.4)</formula>
    </cfRule>
    <cfRule type="expression" priority="72" dxfId="2">
      <formula>AND(COUNT(C34:G34)=5,C34&gt;=18*0.4,C34&lt;18)</formula>
    </cfRule>
  </conditionalFormatting>
  <conditionalFormatting sqref="C35">
    <cfRule type="expression" priority="73" dxfId="0">
      <formula>AND(COUNT(C35:G35)=5,C35=18)</formula>
    </cfRule>
    <cfRule type="expression" priority="74" dxfId="1">
      <formula>AND(COUNT(C35:G35)=5,C35&lt;18*0.4)</formula>
    </cfRule>
    <cfRule type="expression" priority="75" dxfId="2">
      <formula>AND(COUNT(C35:G35)=5,C35&gt;=18*0.4,C35&lt;18)</formula>
    </cfRule>
  </conditionalFormatting>
  <conditionalFormatting sqref="C36">
    <cfRule type="expression" priority="76" dxfId="0">
      <formula>AND(COUNT(C36:G36)=5,C36=18)</formula>
    </cfRule>
    <cfRule type="expression" priority="77" dxfId="1">
      <formula>AND(COUNT(C36:G36)=5,C36&lt;18*0.4)</formula>
    </cfRule>
    <cfRule type="expression" priority="78" dxfId="2">
      <formula>AND(COUNT(C36:G36)=5,C36&gt;=18*0.4,C36&lt;18)</formula>
    </cfRule>
  </conditionalFormatting>
  <conditionalFormatting sqref="C37">
    <cfRule type="expression" priority="79" dxfId="0">
      <formula>AND(COUNT(C37:G37)=5,C37=18)</formula>
    </cfRule>
    <cfRule type="expression" priority="80" dxfId="1">
      <formula>AND(COUNT(C37:G37)=5,C37&lt;18*0.4)</formula>
    </cfRule>
    <cfRule type="expression" priority="81" dxfId="2">
      <formula>AND(COUNT(C37:G37)=5,C37&gt;=18*0.4,C37&lt;18)</formula>
    </cfRule>
  </conditionalFormatting>
  <conditionalFormatting sqref="C38">
    <cfRule type="expression" priority="82" dxfId="0">
      <formula>AND(COUNT(C38:G38)=5,C38=18)</formula>
    </cfRule>
    <cfRule type="expression" priority="83" dxfId="1">
      <formula>AND(COUNT(C38:G38)=5,C38&lt;18*0.4)</formula>
    </cfRule>
    <cfRule type="expression" priority="84" dxfId="2">
      <formula>AND(COUNT(C38:G38)=5,C38&gt;=18*0.4,C38&lt;18)</formula>
    </cfRule>
  </conditionalFormatting>
  <conditionalFormatting sqref="C39">
    <cfRule type="expression" priority="85" dxfId="0">
      <formula>AND(COUNT(C39:G39)=5,C39=18)</formula>
    </cfRule>
    <cfRule type="expression" priority="86" dxfId="1">
      <formula>AND(COUNT(C39:G39)=5,C39&lt;18*0.4)</formula>
    </cfRule>
    <cfRule type="expression" priority="87" dxfId="2">
      <formula>AND(COUNT(C39:G39)=5,C39&gt;=18*0.4,C39&lt;18)</formula>
    </cfRule>
  </conditionalFormatting>
  <conditionalFormatting sqref="C40">
    <cfRule type="expression" priority="88" dxfId="0">
      <formula>AND(COUNT(C40:G40)=5,C40=18)</formula>
    </cfRule>
    <cfRule type="expression" priority="89" dxfId="1">
      <formula>AND(COUNT(C40:G40)=5,C40&lt;18*0.4)</formula>
    </cfRule>
    <cfRule type="expression" priority="90" dxfId="2">
      <formula>AND(COUNT(C40:G40)=5,C40&gt;=18*0.4,C40&lt;18)</formula>
    </cfRule>
  </conditionalFormatting>
  <conditionalFormatting sqref="C41">
    <cfRule type="expression" priority="91" dxfId="0">
      <formula>AND(COUNT(C41:G41)=5,C41=18)</formula>
    </cfRule>
    <cfRule type="expression" priority="92" dxfId="1">
      <formula>AND(COUNT(C41:G41)=5,C41&lt;18*0.4)</formula>
    </cfRule>
    <cfRule type="expression" priority="93" dxfId="2">
      <formula>AND(COUNT(C41:G41)=5,C41&gt;=18*0.4,C41&lt;18)</formula>
    </cfRule>
  </conditionalFormatting>
  <conditionalFormatting sqref="D11">
    <cfRule type="expression" priority="94" dxfId="0">
      <formula>AND(COUNT(C11:G11)=5,D11=22)</formula>
    </cfRule>
    <cfRule type="expression" priority="95" dxfId="1">
      <formula>AND(COUNT(C11:G11)=5,D11&lt;22*0.4)</formula>
    </cfRule>
    <cfRule type="expression" priority="96" dxfId="2">
      <formula>AND(COUNT(C11:G11)=5,D11&gt;=22*0.4,D11&lt;22)</formula>
    </cfRule>
  </conditionalFormatting>
  <conditionalFormatting sqref="D12">
    <cfRule type="expression" priority="97" dxfId="0">
      <formula>AND(COUNT(C12:G12)=5,D12=22)</formula>
    </cfRule>
    <cfRule type="expression" priority="98" dxfId="1">
      <formula>AND(COUNT(C12:G12)=5,D12&lt;22*0.4)</formula>
    </cfRule>
    <cfRule type="expression" priority="99" dxfId="2">
      <formula>AND(COUNT(C12:G12)=5,D12&gt;=22*0.4,D12&lt;22)</formula>
    </cfRule>
  </conditionalFormatting>
  <conditionalFormatting sqref="D13">
    <cfRule type="expression" priority="100" dxfId="0">
      <formula>AND(COUNT(C13:G13)=5,D13=22)</formula>
    </cfRule>
    <cfRule type="expression" priority="101" dxfId="1">
      <formula>AND(COUNT(C13:G13)=5,D13&lt;22*0.4)</formula>
    </cfRule>
    <cfRule type="expression" priority="102" dxfId="2">
      <formula>AND(COUNT(C13:G13)=5,D13&gt;=22*0.4,D13&lt;22)</formula>
    </cfRule>
  </conditionalFormatting>
  <conditionalFormatting sqref="D14">
    <cfRule type="expression" priority="103" dxfId="0">
      <formula>AND(COUNT(C14:G14)=5,D14=22)</formula>
    </cfRule>
    <cfRule type="expression" priority="104" dxfId="1">
      <formula>AND(COUNT(C14:G14)=5,D14&lt;22*0.4)</formula>
    </cfRule>
    <cfRule type="expression" priority="105" dxfId="2">
      <formula>AND(COUNT(C14:G14)=5,D14&gt;=22*0.4,D14&lt;22)</formula>
    </cfRule>
  </conditionalFormatting>
  <conditionalFormatting sqref="D15">
    <cfRule type="expression" priority="106" dxfId="0">
      <formula>AND(COUNT(C15:G15)=5,D15=22)</formula>
    </cfRule>
    <cfRule type="expression" priority="107" dxfId="1">
      <formula>AND(COUNT(C15:G15)=5,D15&lt;22*0.4)</formula>
    </cfRule>
    <cfRule type="expression" priority="108" dxfId="2">
      <formula>AND(COUNT(C15:G15)=5,D15&gt;=22*0.4,D15&lt;22)</formula>
    </cfRule>
  </conditionalFormatting>
  <conditionalFormatting sqref="D16">
    <cfRule type="expression" priority="109" dxfId="0">
      <formula>AND(COUNT(C16:G16)=5,D16=22)</formula>
    </cfRule>
    <cfRule type="expression" priority="110" dxfId="1">
      <formula>AND(COUNT(C16:G16)=5,D16&lt;22*0.4)</formula>
    </cfRule>
    <cfRule type="expression" priority="111" dxfId="2">
      <formula>AND(COUNT(C16:G16)=5,D16&gt;=22*0.4,D16&lt;22)</formula>
    </cfRule>
  </conditionalFormatting>
  <conditionalFormatting sqref="D17">
    <cfRule type="expression" priority="112" dxfId="0">
      <formula>AND(COUNT(C17:G17)=5,D17=22)</formula>
    </cfRule>
    <cfRule type="expression" priority="113" dxfId="1">
      <formula>AND(COUNT(C17:G17)=5,D17&lt;22*0.4)</formula>
    </cfRule>
    <cfRule type="expression" priority="114" dxfId="2">
      <formula>AND(COUNT(C17:G17)=5,D17&gt;=22*0.4,D17&lt;22)</formula>
    </cfRule>
  </conditionalFormatting>
  <conditionalFormatting sqref="D18">
    <cfRule type="expression" priority="115" dxfId="0">
      <formula>AND(COUNT(C18:G18)=5,D18=22)</formula>
    </cfRule>
    <cfRule type="expression" priority="116" dxfId="1">
      <formula>AND(COUNT(C18:G18)=5,D18&lt;22*0.4)</formula>
    </cfRule>
    <cfRule type="expression" priority="117" dxfId="2">
      <formula>AND(COUNT(C18:G18)=5,D18&gt;=22*0.4,D18&lt;22)</formula>
    </cfRule>
  </conditionalFormatting>
  <conditionalFormatting sqref="D19">
    <cfRule type="expression" priority="118" dxfId="0">
      <formula>AND(COUNT(C19:G19)=5,D19=22)</formula>
    </cfRule>
    <cfRule type="expression" priority="119" dxfId="1">
      <formula>AND(COUNT(C19:G19)=5,D19&lt;22*0.4)</formula>
    </cfRule>
    <cfRule type="expression" priority="120" dxfId="2">
      <formula>AND(COUNT(C19:G19)=5,D19&gt;=22*0.4,D19&lt;22)</formula>
    </cfRule>
  </conditionalFormatting>
  <conditionalFormatting sqref="D20">
    <cfRule type="expression" priority="121" dxfId="0">
      <formula>AND(COUNT(C20:G20)=5,D20=22)</formula>
    </cfRule>
    <cfRule type="expression" priority="122" dxfId="1">
      <formula>AND(COUNT(C20:G20)=5,D20&lt;22*0.4)</formula>
    </cfRule>
    <cfRule type="expression" priority="123" dxfId="2">
      <formula>AND(COUNT(C20:G20)=5,D20&gt;=22*0.4,D20&lt;22)</formula>
    </cfRule>
  </conditionalFormatting>
  <conditionalFormatting sqref="D21">
    <cfRule type="expression" priority="124" dxfId="0">
      <formula>AND(COUNT(C21:G21)=5,D21=22)</formula>
    </cfRule>
    <cfRule type="expression" priority="125" dxfId="1">
      <formula>AND(COUNT(C21:G21)=5,D21&lt;22*0.4)</formula>
    </cfRule>
    <cfRule type="expression" priority="126" dxfId="2">
      <formula>AND(COUNT(C21:G21)=5,D21&gt;=22*0.4,D21&lt;22)</formula>
    </cfRule>
  </conditionalFormatting>
  <conditionalFormatting sqref="D22">
    <cfRule type="expression" priority="127" dxfId="0">
      <formula>AND(COUNT(C22:G22)=5,D22=22)</formula>
    </cfRule>
    <cfRule type="expression" priority="128" dxfId="1">
      <formula>AND(COUNT(C22:G22)=5,D22&lt;22*0.4)</formula>
    </cfRule>
    <cfRule type="expression" priority="129" dxfId="2">
      <formula>AND(COUNT(C22:G22)=5,D22&gt;=22*0.4,D22&lt;22)</formula>
    </cfRule>
  </conditionalFormatting>
  <conditionalFormatting sqref="D23">
    <cfRule type="expression" priority="130" dxfId="0">
      <formula>AND(COUNT(C23:G23)=5,D23=22)</formula>
    </cfRule>
    <cfRule type="expression" priority="131" dxfId="1">
      <formula>AND(COUNT(C23:G23)=5,D23&lt;22*0.4)</formula>
    </cfRule>
    <cfRule type="expression" priority="132" dxfId="2">
      <formula>AND(COUNT(C23:G23)=5,D23&gt;=22*0.4,D23&lt;22)</formula>
    </cfRule>
  </conditionalFormatting>
  <conditionalFormatting sqref="D24">
    <cfRule type="expression" priority="133" dxfId="0">
      <formula>AND(COUNT(C24:G24)=5,D24=22)</formula>
    </cfRule>
    <cfRule type="expression" priority="134" dxfId="1">
      <formula>AND(COUNT(C24:G24)=5,D24&lt;22*0.4)</formula>
    </cfRule>
    <cfRule type="expression" priority="135" dxfId="2">
      <formula>AND(COUNT(C24:G24)=5,D24&gt;=22*0.4,D24&lt;22)</formula>
    </cfRule>
  </conditionalFormatting>
  <conditionalFormatting sqref="D25">
    <cfRule type="expression" priority="136" dxfId="0">
      <formula>AND(COUNT(C25:G25)=5,D25=22)</formula>
    </cfRule>
    <cfRule type="expression" priority="137" dxfId="1">
      <formula>AND(COUNT(C25:G25)=5,D25&lt;22*0.4)</formula>
    </cfRule>
    <cfRule type="expression" priority="138" dxfId="2">
      <formula>AND(COUNT(C25:G25)=5,D25&gt;=22*0.4,D25&lt;22)</formula>
    </cfRule>
  </conditionalFormatting>
  <conditionalFormatting sqref="D26">
    <cfRule type="expression" priority="139" dxfId="0">
      <formula>AND(COUNT(C26:G26)=5,D26=22)</formula>
    </cfRule>
    <cfRule type="expression" priority="140" dxfId="1">
      <formula>AND(COUNT(C26:G26)=5,D26&lt;22*0.4)</formula>
    </cfRule>
    <cfRule type="expression" priority="141" dxfId="2">
      <formula>AND(COUNT(C26:G26)=5,D26&gt;=22*0.4,D26&lt;22)</formula>
    </cfRule>
  </conditionalFormatting>
  <conditionalFormatting sqref="D27">
    <cfRule type="expression" priority="142" dxfId="0">
      <formula>AND(COUNT(C27:G27)=5,D27=22)</formula>
    </cfRule>
    <cfRule type="expression" priority="143" dxfId="1">
      <formula>AND(COUNT(C27:G27)=5,D27&lt;22*0.4)</formula>
    </cfRule>
    <cfRule type="expression" priority="144" dxfId="2">
      <formula>AND(COUNT(C27:G27)=5,D27&gt;=22*0.4,D27&lt;22)</formula>
    </cfRule>
  </conditionalFormatting>
  <conditionalFormatting sqref="D28">
    <cfRule type="expression" priority="145" dxfId="0">
      <formula>AND(COUNT(C28:G28)=5,D28=22)</formula>
    </cfRule>
    <cfRule type="expression" priority="146" dxfId="1">
      <formula>AND(COUNT(C28:G28)=5,D28&lt;22*0.4)</formula>
    </cfRule>
    <cfRule type="expression" priority="147" dxfId="2">
      <formula>AND(COUNT(C28:G28)=5,D28&gt;=22*0.4,D28&lt;22)</formula>
    </cfRule>
  </conditionalFormatting>
  <conditionalFormatting sqref="D29">
    <cfRule type="expression" priority="148" dxfId="0">
      <formula>AND(COUNT(C29:G29)=5,D29=22)</formula>
    </cfRule>
    <cfRule type="expression" priority="149" dxfId="1">
      <formula>AND(COUNT(C29:G29)=5,D29&lt;22*0.4)</formula>
    </cfRule>
    <cfRule type="expression" priority="150" dxfId="2">
      <formula>AND(COUNT(C29:G29)=5,D29&gt;=22*0.4,D29&lt;22)</formula>
    </cfRule>
  </conditionalFormatting>
  <conditionalFormatting sqref="D30">
    <cfRule type="expression" priority="151" dxfId="0">
      <formula>AND(COUNT(C30:G30)=5,D30=22)</formula>
    </cfRule>
    <cfRule type="expression" priority="152" dxfId="1">
      <formula>AND(COUNT(C30:G30)=5,D30&lt;22*0.4)</formula>
    </cfRule>
    <cfRule type="expression" priority="153" dxfId="2">
      <formula>AND(COUNT(C30:G30)=5,D30&gt;=22*0.4,D30&lt;22)</formula>
    </cfRule>
  </conditionalFormatting>
  <conditionalFormatting sqref="D31">
    <cfRule type="expression" priority="154" dxfId="0">
      <formula>AND(COUNT(C31:G31)=5,D31=22)</formula>
    </cfRule>
    <cfRule type="expression" priority="155" dxfId="1">
      <formula>AND(COUNT(C31:G31)=5,D31&lt;22*0.4)</formula>
    </cfRule>
    <cfRule type="expression" priority="156" dxfId="2">
      <formula>AND(COUNT(C31:G31)=5,D31&gt;=22*0.4,D31&lt;22)</formula>
    </cfRule>
  </conditionalFormatting>
  <conditionalFormatting sqref="D32">
    <cfRule type="expression" priority="157" dxfId="0">
      <formula>AND(COUNT(C32:G32)=5,D32=22)</formula>
    </cfRule>
    <cfRule type="expression" priority="158" dxfId="1">
      <formula>AND(COUNT(C32:G32)=5,D32&lt;22*0.4)</formula>
    </cfRule>
    <cfRule type="expression" priority="159" dxfId="2">
      <formula>AND(COUNT(C32:G32)=5,D32&gt;=22*0.4,D32&lt;22)</formula>
    </cfRule>
  </conditionalFormatting>
  <conditionalFormatting sqref="D33">
    <cfRule type="expression" priority="160" dxfId="0">
      <formula>AND(COUNT(C33:G33)=5,D33=22)</formula>
    </cfRule>
    <cfRule type="expression" priority="161" dxfId="1">
      <formula>AND(COUNT(C33:G33)=5,D33&lt;22*0.4)</formula>
    </cfRule>
    <cfRule type="expression" priority="162" dxfId="2">
      <formula>AND(COUNT(C33:G33)=5,D33&gt;=22*0.4,D33&lt;22)</formula>
    </cfRule>
  </conditionalFormatting>
  <conditionalFormatting sqref="D34">
    <cfRule type="expression" priority="163" dxfId="0">
      <formula>AND(COUNT(C34:G34)=5,D34=22)</formula>
    </cfRule>
    <cfRule type="expression" priority="164" dxfId="1">
      <formula>AND(COUNT(C34:G34)=5,D34&lt;22*0.4)</formula>
    </cfRule>
    <cfRule type="expression" priority="165" dxfId="2">
      <formula>AND(COUNT(C34:G34)=5,D34&gt;=22*0.4,D34&lt;22)</formula>
    </cfRule>
  </conditionalFormatting>
  <conditionalFormatting sqref="D35">
    <cfRule type="expression" priority="166" dxfId="0">
      <formula>AND(COUNT(C35:G35)=5,D35=22)</formula>
    </cfRule>
    <cfRule type="expression" priority="167" dxfId="1">
      <formula>AND(COUNT(C35:G35)=5,D35&lt;22*0.4)</formula>
    </cfRule>
    <cfRule type="expression" priority="168" dxfId="2">
      <formula>AND(COUNT(C35:G35)=5,D35&gt;=22*0.4,D35&lt;22)</formula>
    </cfRule>
  </conditionalFormatting>
  <conditionalFormatting sqref="D36">
    <cfRule type="expression" priority="169" dxfId="0">
      <formula>AND(COUNT(C36:G36)=5,D36=22)</formula>
    </cfRule>
    <cfRule type="expression" priority="170" dxfId="1">
      <formula>AND(COUNT(C36:G36)=5,D36&lt;22*0.4)</formula>
    </cfRule>
    <cfRule type="expression" priority="171" dxfId="2">
      <formula>AND(COUNT(C36:G36)=5,D36&gt;=22*0.4,D36&lt;22)</formula>
    </cfRule>
  </conditionalFormatting>
  <conditionalFormatting sqref="D37">
    <cfRule type="expression" priority="172" dxfId="0">
      <formula>AND(COUNT(C37:G37)=5,D37=22)</formula>
    </cfRule>
    <cfRule type="expression" priority="173" dxfId="1">
      <formula>AND(COUNT(C37:G37)=5,D37&lt;22*0.4)</formula>
    </cfRule>
    <cfRule type="expression" priority="174" dxfId="2">
      <formula>AND(COUNT(C37:G37)=5,D37&gt;=22*0.4,D37&lt;22)</formula>
    </cfRule>
  </conditionalFormatting>
  <conditionalFormatting sqref="D38">
    <cfRule type="expression" priority="175" dxfId="0">
      <formula>AND(COUNT(C38:G38)=5,D38=22)</formula>
    </cfRule>
    <cfRule type="expression" priority="176" dxfId="1">
      <formula>AND(COUNT(C38:G38)=5,D38&lt;22*0.4)</formula>
    </cfRule>
    <cfRule type="expression" priority="177" dxfId="2">
      <formula>AND(COUNT(C38:G38)=5,D38&gt;=22*0.4,D38&lt;22)</formula>
    </cfRule>
  </conditionalFormatting>
  <conditionalFormatting sqref="D39">
    <cfRule type="expression" priority="178" dxfId="0">
      <formula>AND(COUNT(C39:G39)=5,D39=22)</formula>
    </cfRule>
    <cfRule type="expression" priority="179" dxfId="1">
      <formula>AND(COUNT(C39:G39)=5,D39&lt;22*0.4)</formula>
    </cfRule>
    <cfRule type="expression" priority="180" dxfId="2">
      <formula>AND(COUNT(C39:G39)=5,D39&gt;=22*0.4,D39&lt;22)</formula>
    </cfRule>
  </conditionalFormatting>
  <conditionalFormatting sqref="D40">
    <cfRule type="expression" priority="181" dxfId="0">
      <formula>AND(COUNT(C40:G40)=5,D40=22)</formula>
    </cfRule>
    <cfRule type="expression" priority="182" dxfId="1">
      <formula>AND(COUNT(C40:G40)=5,D40&lt;22*0.4)</formula>
    </cfRule>
    <cfRule type="expression" priority="183" dxfId="2">
      <formula>AND(COUNT(C40:G40)=5,D40&gt;=22*0.4,D40&lt;22)</formula>
    </cfRule>
  </conditionalFormatting>
  <conditionalFormatting sqref="D41">
    <cfRule type="expression" priority="184" dxfId="0">
      <formula>AND(COUNT(C41:G41)=5,D41=22)</formula>
    </cfRule>
    <cfRule type="expression" priority="185" dxfId="1">
      <formula>AND(COUNT(C41:G41)=5,D41&lt;22*0.4)</formula>
    </cfRule>
    <cfRule type="expression" priority="186" dxfId="2">
      <formula>AND(COUNT(C41:G41)=5,D41&gt;=22*0.4,D41&lt;22)</formula>
    </cfRule>
  </conditionalFormatting>
  <conditionalFormatting sqref="E11">
    <cfRule type="expression" priority="187" dxfId="0">
      <formula>AND(COUNT(C11:G11)=5,E11=23)</formula>
    </cfRule>
    <cfRule type="expression" priority="188" dxfId="1">
      <formula>AND(COUNT(C11:G11)=5,E11&lt;23*0.4)</formula>
    </cfRule>
    <cfRule type="expression" priority="189" dxfId="2">
      <formula>AND(COUNT(C11:G11)=5,E11&gt;=23*0.4,E11&lt;23)</formula>
    </cfRule>
  </conditionalFormatting>
  <conditionalFormatting sqref="E12">
    <cfRule type="expression" priority="190" dxfId="0">
      <formula>AND(COUNT(C12:G12)=5,E12=23)</formula>
    </cfRule>
    <cfRule type="expression" priority="191" dxfId="1">
      <formula>AND(COUNT(C12:G12)=5,E12&lt;23*0.4)</formula>
    </cfRule>
    <cfRule type="expression" priority="192" dxfId="2">
      <formula>AND(COUNT(C12:G12)=5,E12&gt;=23*0.4,E12&lt;23)</formula>
    </cfRule>
  </conditionalFormatting>
  <conditionalFormatting sqref="E13">
    <cfRule type="expression" priority="193" dxfId="0">
      <formula>AND(COUNT(C13:G13)=5,E13=23)</formula>
    </cfRule>
    <cfRule type="expression" priority="194" dxfId="1">
      <formula>AND(COUNT(C13:G13)=5,E13&lt;23*0.4)</formula>
    </cfRule>
    <cfRule type="expression" priority="195" dxfId="2">
      <formula>AND(COUNT(C13:G13)=5,E13&gt;=23*0.4,E13&lt;23)</formula>
    </cfRule>
  </conditionalFormatting>
  <conditionalFormatting sqref="E14">
    <cfRule type="expression" priority="196" dxfId="0">
      <formula>AND(COUNT(C14:G14)=5,E14=23)</formula>
    </cfRule>
    <cfRule type="expression" priority="197" dxfId="1">
      <formula>AND(COUNT(C14:G14)=5,E14&lt;23*0.4)</formula>
    </cfRule>
    <cfRule type="expression" priority="198" dxfId="2">
      <formula>AND(COUNT(C14:G14)=5,E14&gt;=23*0.4,E14&lt;23)</formula>
    </cfRule>
  </conditionalFormatting>
  <conditionalFormatting sqref="E15">
    <cfRule type="expression" priority="199" dxfId="0">
      <formula>AND(COUNT(C15:G15)=5,E15=23)</formula>
    </cfRule>
    <cfRule type="expression" priority="200" dxfId="1">
      <formula>AND(COUNT(C15:G15)=5,E15&lt;23*0.4)</formula>
    </cfRule>
    <cfRule type="expression" priority="201" dxfId="2">
      <formula>AND(COUNT(C15:G15)=5,E15&gt;=23*0.4,E15&lt;23)</formula>
    </cfRule>
  </conditionalFormatting>
  <conditionalFormatting sqref="E16">
    <cfRule type="expression" priority="202" dxfId="0">
      <formula>AND(COUNT(C16:G16)=5,E16=23)</formula>
    </cfRule>
    <cfRule type="expression" priority="203" dxfId="1">
      <formula>AND(COUNT(C16:G16)=5,E16&lt;23*0.4)</formula>
    </cfRule>
    <cfRule type="expression" priority="204" dxfId="2">
      <formula>AND(COUNT(C16:G16)=5,E16&gt;=23*0.4,E16&lt;23)</formula>
    </cfRule>
  </conditionalFormatting>
  <conditionalFormatting sqref="E17">
    <cfRule type="expression" priority="205" dxfId="0">
      <formula>AND(COUNT(C17:G17)=5,E17=23)</formula>
    </cfRule>
    <cfRule type="expression" priority="206" dxfId="1">
      <formula>AND(COUNT(C17:G17)=5,E17&lt;23*0.4)</formula>
    </cfRule>
    <cfRule type="expression" priority="207" dxfId="2">
      <formula>AND(COUNT(C17:G17)=5,E17&gt;=23*0.4,E17&lt;23)</formula>
    </cfRule>
  </conditionalFormatting>
  <conditionalFormatting sqref="E18">
    <cfRule type="expression" priority="208" dxfId="0">
      <formula>AND(COUNT(C18:G18)=5,E18=23)</formula>
    </cfRule>
    <cfRule type="expression" priority="209" dxfId="1">
      <formula>AND(COUNT(C18:G18)=5,E18&lt;23*0.4)</formula>
    </cfRule>
    <cfRule type="expression" priority="210" dxfId="2">
      <formula>AND(COUNT(C18:G18)=5,E18&gt;=23*0.4,E18&lt;23)</formula>
    </cfRule>
  </conditionalFormatting>
  <conditionalFormatting sqref="E19">
    <cfRule type="expression" priority="211" dxfId="0">
      <formula>AND(COUNT(C19:G19)=5,E19=23)</formula>
    </cfRule>
    <cfRule type="expression" priority="212" dxfId="1">
      <formula>AND(COUNT(C19:G19)=5,E19&lt;23*0.4)</formula>
    </cfRule>
    <cfRule type="expression" priority="213" dxfId="2">
      <formula>AND(COUNT(C19:G19)=5,E19&gt;=23*0.4,E19&lt;23)</formula>
    </cfRule>
  </conditionalFormatting>
  <conditionalFormatting sqref="E20">
    <cfRule type="expression" priority="214" dxfId="0">
      <formula>AND(COUNT(C20:G20)=5,E20=23)</formula>
    </cfRule>
    <cfRule type="expression" priority="215" dxfId="1">
      <formula>AND(COUNT(C20:G20)=5,E20&lt;23*0.4)</formula>
    </cfRule>
    <cfRule type="expression" priority="216" dxfId="2">
      <formula>AND(COUNT(C20:G20)=5,E20&gt;=23*0.4,E20&lt;23)</formula>
    </cfRule>
  </conditionalFormatting>
  <conditionalFormatting sqref="E21">
    <cfRule type="expression" priority="217" dxfId="0">
      <formula>AND(COUNT(C21:G21)=5,E21=23)</formula>
    </cfRule>
    <cfRule type="expression" priority="218" dxfId="1">
      <formula>AND(COUNT(C21:G21)=5,E21&lt;23*0.4)</formula>
    </cfRule>
    <cfRule type="expression" priority="219" dxfId="2">
      <formula>AND(COUNT(C21:G21)=5,E21&gt;=23*0.4,E21&lt;23)</formula>
    </cfRule>
  </conditionalFormatting>
  <conditionalFormatting sqref="E22">
    <cfRule type="expression" priority="220" dxfId="0">
      <formula>AND(COUNT(C22:G22)=5,E22=23)</formula>
    </cfRule>
    <cfRule type="expression" priority="221" dxfId="1">
      <formula>AND(COUNT(C22:G22)=5,E22&lt;23*0.4)</formula>
    </cfRule>
    <cfRule type="expression" priority="222" dxfId="2">
      <formula>AND(COUNT(C22:G22)=5,E22&gt;=23*0.4,E22&lt;23)</formula>
    </cfRule>
  </conditionalFormatting>
  <conditionalFormatting sqref="E23">
    <cfRule type="expression" priority="223" dxfId="0">
      <formula>AND(COUNT(C23:G23)=5,E23=23)</formula>
    </cfRule>
    <cfRule type="expression" priority="224" dxfId="1">
      <formula>AND(COUNT(C23:G23)=5,E23&lt;23*0.4)</formula>
    </cfRule>
    <cfRule type="expression" priority="225" dxfId="2">
      <formula>AND(COUNT(C23:G23)=5,E23&gt;=23*0.4,E23&lt;23)</formula>
    </cfRule>
  </conditionalFormatting>
  <conditionalFormatting sqref="E24">
    <cfRule type="expression" priority="226" dxfId="0">
      <formula>AND(COUNT(C24:G24)=5,E24=23)</formula>
    </cfRule>
    <cfRule type="expression" priority="227" dxfId="1">
      <formula>AND(COUNT(C24:G24)=5,E24&lt;23*0.4)</formula>
    </cfRule>
    <cfRule type="expression" priority="228" dxfId="2">
      <formula>AND(COUNT(C24:G24)=5,E24&gt;=23*0.4,E24&lt;23)</formula>
    </cfRule>
  </conditionalFormatting>
  <conditionalFormatting sqref="E25">
    <cfRule type="expression" priority="229" dxfId="0">
      <formula>AND(COUNT(C25:G25)=5,E25=23)</formula>
    </cfRule>
    <cfRule type="expression" priority="230" dxfId="1">
      <formula>AND(COUNT(C25:G25)=5,E25&lt;23*0.4)</formula>
    </cfRule>
    <cfRule type="expression" priority="231" dxfId="2">
      <formula>AND(COUNT(C25:G25)=5,E25&gt;=23*0.4,E25&lt;23)</formula>
    </cfRule>
  </conditionalFormatting>
  <conditionalFormatting sqref="E26">
    <cfRule type="expression" priority="232" dxfId="0">
      <formula>AND(COUNT(C26:G26)=5,E26=23)</formula>
    </cfRule>
    <cfRule type="expression" priority="233" dxfId="1">
      <formula>AND(COUNT(C26:G26)=5,E26&lt;23*0.4)</formula>
    </cfRule>
    <cfRule type="expression" priority="234" dxfId="2">
      <formula>AND(COUNT(C26:G26)=5,E26&gt;=23*0.4,E26&lt;23)</formula>
    </cfRule>
  </conditionalFormatting>
  <conditionalFormatting sqref="E27">
    <cfRule type="expression" priority="235" dxfId="0">
      <formula>AND(COUNT(C27:G27)=5,E27=23)</formula>
    </cfRule>
    <cfRule type="expression" priority="236" dxfId="1">
      <formula>AND(COUNT(C27:G27)=5,E27&lt;23*0.4)</formula>
    </cfRule>
    <cfRule type="expression" priority="237" dxfId="2">
      <formula>AND(COUNT(C27:G27)=5,E27&gt;=23*0.4,E27&lt;23)</formula>
    </cfRule>
  </conditionalFormatting>
  <conditionalFormatting sqref="E28">
    <cfRule type="expression" priority="238" dxfId="0">
      <formula>AND(COUNT(C28:G28)=5,E28=23)</formula>
    </cfRule>
    <cfRule type="expression" priority="239" dxfId="1">
      <formula>AND(COUNT(C28:G28)=5,E28&lt;23*0.4)</formula>
    </cfRule>
    <cfRule type="expression" priority="240" dxfId="2">
      <formula>AND(COUNT(C28:G28)=5,E28&gt;=23*0.4,E28&lt;23)</formula>
    </cfRule>
  </conditionalFormatting>
  <conditionalFormatting sqref="E29">
    <cfRule type="expression" priority="241" dxfId="0">
      <formula>AND(COUNT(C29:G29)=5,E29=23)</formula>
    </cfRule>
    <cfRule type="expression" priority="242" dxfId="1">
      <formula>AND(COUNT(C29:G29)=5,E29&lt;23*0.4)</formula>
    </cfRule>
    <cfRule type="expression" priority="243" dxfId="2">
      <formula>AND(COUNT(C29:G29)=5,E29&gt;=23*0.4,E29&lt;23)</formula>
    </cfRule>
  </conditionalFormatting>
  <conditionalFormatting sqref="E30">
    <cfRule type="expression" priority="244" dxfId="0">
      <formula>AND(COUNT(C30:G30)=5,E30=23)</formula>
    </cfRule>
    <cfRule type="expression" priority="245" dxfId="1">
      <formula>AND(COUNT(C30:G30)=5,E30&lt;23*0.4)</formula>
    </cfRule>
    <cfRule type="expression" priority="246" dxfId="2">
      <formula>AND(COUNT(C30:G30)=5,E30&gt;=23*0.4,E30&lt;23)</formula>
    </cfRule>
  </conditionalFormatting>
  <conditionalFormatting sqref="E31">
    <cfRule type="expression" priority="247" dxfId="0">
      <formula>AND(COUNT(C31:G31)=5,E31=23)</formula>
    </cfRule>
    <cfRule type="expression" priority="248" dxfId="1">
      <formula>AND(COUNT(C31:G31)=5,E31&lt;23*0.4)</formula>
    </cfRule>
    <cfRule type="expression" priority="249" dxfId="2">
      <formula>AND(COUNT(C31:G31)=5,E31&gt;=23*0.4,E31&lt;23)</formula>
    </cfRule>
  </conditionalFormatting>
  <conditionalFormatting sqref="E32">
    <cfRule type="expression" priority="250" dxfId="0">
      <formula>AND(COUNT(C32:G32)=5,E32=23)</formula>
    </cfRule>
    <cfRule type="expression" priority="251" dxfId="1">
      <formula>AND(COUNT(C32:G32)=5,E32&lt;23*0.4)</formula>
    </cfRule>
    <cfRule type="expression" priority="252" dxfId="2">
      <formula>AND(COUNT(C32:G32)=5,E32&gt;=23*0.4,E32&lt;23)</formula>
    </cfRule>
  </conditionalFormatting>
  <conditionalFormatting sqref="E33">
    <cfRule type="expression" priority="253" dxfId="0">
      <formula>AND(COUNT(C33:G33)=5,E33=23)</formula>
    </cfRule>
    <cfRule type="expression" priority="254" dxfId="1">
      <formula>AND(COUNT(C33:G33)=5,E33&lt;23*0.4)</formula>
    </cfRule>
    <cfRule type="expression" priority="255" dxfId="2">
      <formula>AND(COUNT(C33:G33)=5,E33&gt;=23*0.4,E33&lt;23)</formula>
    </cfRule>
  </conditionalFormatting>
  <conditionalFormatting sqref="E34">
    <cfRule type="expression" priority="256" dxfId="0">
      <formula>AND(COUNT(C34:G34)=5,E34=23)</formula>
    </cfRule>
    <cfRule type="expression" priority="257" dxfId="1">
      <formula>AND(COUNT(C34:G34)=5,E34&lt;23*0.4)</formula>
    </cfRule>
    <cfRule type="expression" priority="258" dxfId="2">
      <formula>AND(COUNT(C34:G34)=5,E34&gt;=23*0.4,E34&lt;23)</formula>
    </cfRule>
  </conditionalFormatting>
  <conditionalFormatting sqref="E35">
    <cfRule type="expression" priority="259" dxfId="0">
      <formula>AND(COUNT(C35:G35)=5,E35=23)</formula>
    </cfRule>
    <cfRule type="expression" priority="260" dxfId="1">
      <formula>AND(COUNT(C35:G35)=5,E35&lt;23*0.4)</formula>
    </cfRule>
    <cfRule type="expression" priority="261" dxfId="2">
      <formula>AND(COUNT(C35:G35)=5,E35&gt;=23*0.4,E35&lt;23)</formula>
    </cfRule>
  </conditionalFormatting>
  <conditionalFormatting sqref="E36">
    <cfRule type="expression" priority="262" dxfId="0">
      <formula>AND(COUNT(C36:G36)=5,E36=23)</formula>
    </cfRule>
    <cfRule type="expression" priority="263" dxfId="1">
      <formula>AND(COUNT(C36:G36)=5,E36&lt;23*0.4)</formula>
    </cfRule>
    <cfRule type="expression" priority="264" dxfId="2">
      <formula>AND(COUNT(C36:G36)=5,E36&gt;=23*0.4,E36&lt;23)</formula>
    </cfRule>
  </conditionalFormatting>
  <conditionalFormatting sqref="E37">
    <cfRule type="expression" priority="265" dxfId="0">
      <formula>AND(COUNT(C37:G37)=5,E37=23)</formula>
    </cfRule>
    <cfRule type="expression" priority="266" dxfId="1">
      <formula>AND(COUNT(C37:G37)=5,E37&lt;23*0.4)</formula>
    </cfRule>
    <cfRule type="expression" priority="267" dxfId="2">
      <formula>AND(COUNT(C37:G37)=5,E37&gt;=23*0.4,E37&lt;23)</formula>
    </cfRule>
  </conditionalFormatting>
  <conditionalFormatting sqref="E38">
    <cfRule type="expression" priority="268" dxfId="0">
      <formula>AND(COUNT(C38:G38)=5,E38=23)</formula>
    </cfRule>
    <cfRule type="expression" priority="269" dxfId="1">
      <formula>AND(COUNT(C38:G38)=5,E38&lt;23*0.4)</formula>
    </cfRule>
    <cfRule type="expression" priority="270" dxfId="2">
      <formula>AND(COUNT(C38:G38)=5,E38&gt;=23*0.4,E38&lt;23)</formula>
    </cfRule>
  </conditionalFormatting>
  <conditionalFormatting sqref="E39">
    <cfRule type="expression" priority="271" dxfId="0">
      <formula>AND(COUNT(C39:G39)=5,E39=23)</formula>
    </cfRule>
    <cfRule type="expression" priority="272" dxfId="1">
      <formula>AND(COUNT(C39:G39)=5,E39&lt;23*0.4)</formula>
    </cfRule>
    <cfRule type="expression" priority="273" dxfId="2">
      <formula>AND(COUNT(C39:G39)=5,E39&gt;=23*0.4,E39&lt;23)</formula>
    </cfRule>
  </conditionalFormatting>
  <conditionalFormatting sqref="E40">
    <cfRule type="expression" priority="274" dxfId="0">
      <formula>AND(COUNT(C40:G40)=5,E40=23)</formula>
    </cfRule>
    <cfRule type="expression" priority="275" dxfId="1">
      <formula>AND(COUNT(C40:G40)=5,E40&lt;23*0.4)</formula>
    </cfRule>
    <cfRule type="expression" priority="276" dxfId="2">
      <formula>AND(COUNT(C40:G40)=5,E40&gt;=23*0.4,E40&lt;23)</formula>
    </cfRule>
  </conditionalFormatting>
  <conditionalFormatting sqref="E41">
    <cfRule type="expression" priority="277" dxfId="0">
      <formula>AND(COUNT(C41:G41)=5,E41=23)</formula>
    </cfRule>
    <cfRule type="expression" priority="278" dxfId="1">
      <formula>AND(COUNT(C41:G41)=5,E41&lt;23*0.4)</formula>
    </cfRule>
    <cfRule type="expression" priority="279" dxfId="2">
      <formula>AND(COUNT(C41:G41)=5,E41&gt;=23*0.4,E41&lt;23)</formula>
    </cfRule>
  </conditionalFormatting>
  <conditionalFormatting sqref="F11">
    <cfRule type="expression" priority="280" dxfId="0">
      <formula>AND(COUNT(C11:G11)=5,F11=15)</formula>
    </cfRule>
    <cfRule type="expression" priority="281" dxfId="1">
      <formula>AND(COUNT(C11:G11)=5,F11&lt;15*0.4)</formula>
    </cfRule>
    <cfRule type="expression" priority="282" dxfId="2">
      <formula>AND(COUNT(C11:G11)=5,F11&gt;=15*0.4,F11&lt;15)</formula>
    </cfRule>
  </conditionalFormatting>
  <conditionalFormatting sqref="F12">
    <cfRule type="expression" priority="283" dxfId="0">
      <formula>AND(COUNT(C12:G12)=5,F12=15)</formula>
    </cfRule>
    <cfRule type="expression" priority="284" dxfId="1">
      <formula>AND(COUNT(C12:G12)=5,F12&lt;15*0.4)</formula>
    </cfRule>
    <cfRule type="expression" priority="285" dxfId="2">
      <formula>AND(COUNT(C12:G12)=5,F12&gt;=15*0.4,F12&lt;15)</formula>
    </cfRule>
  </conditionalFormatting>
  <conditionalFormatting sqref="F13">
    <cfRule type="expression" priority="286" dxfId="0">
      <formula>AND(COUNT(C13:G13)=5,F13=15)</formula>
    </cfRule>
    <cfRule type="expression" priority="287" dxfId="1">
      <formula>AND(COUNT(C13:G13)=5,F13&lt;15*0.4)</formula>
    </cfRule>
    <cfRule type="expression" priority="288" dxfId="2">
      <formula>AND(COUNT(C13:G13)=5,F13&gt;=15*0.4,F13&lt;15)</formula>
    </cfRule>
  </conditionalFormatting>
  <conditionalFormatting sqref="F14">
    <cfRule type="expression" priority="289" dxfId="0">
      <formula>AND(COUNT(C14:G14)=5,F14=15)</formula>
    </cfRule>
    <cfRule type="expression" priority="290" dxfId="1">
      <formula>AND(COUNT(C14:G14)=5,F14&lt;15*0.4)</formula>
    </cfRule>
    <cfRule type="expression" priority="291" dxfId="2">
      <formula>AND(COUNT(C14:G14)=5,F14&gt;=15*0.4,F14&lt;15)</formula>
    </cfRule>
  </conditionalFormatting>
  <conditionalFormatting sqref="F15">
    <cfRule type="expression" priority="292" dxfId="0">
      <formula>AND(COUNT(C15:G15)=5,F15=15)</formula>
    </cfRule>
    <cfRule type="expression" priority="293" dxfId="1">
      <formula>AND(COUNT(C15:G15)=5,F15&lt;15*0.4)</formula>
    </cfRule>
    <cfRule type="expression" priority="294" dxfId="2">
      <formula>AND(COUNT(C15:G15)=5,F15&gt;=15*0.4,F15&lt;15)</formula>
    </cfRule>
  </conditionalFormatting>
  <conditionalFormatting sqref="F16">
    <cfRule type="expression" priority="295" dxfId="0">
      <formula>AND(COUNT(C16:G16)=5,F16=15)</formula>
    </cfRule>
    <cfRule type="expression" priority="296" dxfId="1">
      <formula>AND(COUNT(C16:G16)=5,F16&lt;15*0.4)</formula>
    </cfRule>
    <cfRule type="expression" priority="297" dxfId="2">
      <formula>AND(COUNT(C16:G16)=5,F16&gt;=15*0.4,F16&lt;15)</formula>
    </cfRule>
  </conditionalFormatting>
  <conditionalFormatting sqref="F17">
    <cfRule type="expression" priority="298" dxfId="0">
      <formula>AND(COUNT(C17:G17)=5,F17=15)</formula>
    </cfRule>
    <cfRule type="expression" priority="299" dxfId="1">
      <formula>AND(COUNT(C17:G17)=5,F17&lt;15*0.4)</formula>
    </cfRule>
    <cfRule type="expression" priority="300" dxfId="2">
      <formula>AND(COUNT(C17:G17)=5,F17&gt;=15*0.4,F17&lt;15)</formula>
    </cfRule>
  </conditionalFormatting>
  <conditionalFormatting sqref="F18">
    <cfRule type="expression" priority="301" dxfId="0">
      <formula>AND(COUNT(C18:G18)=5,F18=15)</formula>
    </cfRule>
    <cfRule type="expression" priority="302" dxfId="1">
      <formula>AND(COUNT(C18:G18)=5,F18&lt;15*0.4)</formula>
    </cfRule>
    <cfRule type="expression" priority="303" dxfId="2">
      <formula>AND(COUNT(C18:G18)=5,F18&gt;=15*0.4,F18&lt;15)</formula>
    </cfRule>
  </conditionalFormatting>
  <conditionalFormatting sqref="F19">
    <cfRule type="expression" priority="304" dxfId="0">
      <formula>AND(COUNT(C19:G19)=5,F19=15)</formula>
    </cfRule>
    <cfRule type="expression" priority="305" dxfId="1">
      <formula>AND(COUNT(C19:G19)=5,F19&lt;15*0.4)</formula>
    </cfRule>
    <cfRule type="expression" priority="306" dxfId="2">
      <formula>AND(COUNT(C19:G19)=5,F19&gt;=15*0.4,F19&lt;15)</formula>
    </cfRule>
  </conditionalFormatting>
  <conditionalFormatting sqref="F20">
    <cfRule type="expression" priority="307" dxfId="0">
      <formula>AND(COUNT(C20:G20)=5,F20=15)</formula>
    </cfRule>
    <cfRule type="expression" priority="308" dxfId="1">
      <formula>AND(COUNT(C20:G20)=5,F20&lt;15*0.4)</formula>
    </cfRule>
    <cfRule type="expression" priority="309" dxfId="2">
      <formula>AND(COUNT(C20:G20)=5,F20&gt;=15*0.4,F20&lt;15)</formula>
    </cfRule>
  </conditionalFormatting>
  <conditionalFormatting sqref="F21">
    <cfRule type="expression" priority="310" dxfId="0">
      <formula>AND(COUNT(C21:G21)=5,F21=15)</formula>
    </cfRule>
    <cfRule type="expression" priority="311" dxfId="1">
      <formula>AND(COUNT(C21:G21)=5,F21&lt;15*0.4)</formula>
    </cfRule>
    <cfRule type="expression" priority="312" dxfId="2">
      <formula>AND(COUNT(C21:G21)=5,F21&gt;=15*0.4,F21&lt;15)</formula>
    </cfRule>
  </conditionalFormatting>
  <conditionalFormatting sqref="F22">
    <cfRule type="expression" priority="313" dxfId="0">
      <formula>AND(COUNT(C22:G22)=5,F22=15)</formula>
    </cfRule>
    <cfRule type="expression" priority="314" dxfId="1">
      <formula>AND(COUNT(C22:G22)=5,F22&lt;15*0.4)</formula>
    </cfRule>
    <cfRule type="expression" priority="315" dxfId="2">
      <formula>AND(COUNT(C22:G22)=5,F22&gt;=15*0.4,F22&lt;15)</formula>
    </cfRule>
  </conditionalFormatting>
  <conditionalFormatting sqref="F23">
    <cfRule type="expression" priority="316" dxfId="0">
      <formula>AND(COUNT(C23:G23)=5,F23=15)</formula>
    </cfRule>
    <cfRule type="expression" priority="317" dxfId="1">
      <formula>AND(COUNT(C23:G23)=5,F23&lt;15*0.4)</formula>
    </cfRule>
    <cfRule type="expression" priority="318" dxfId="2">
      <formula>AND(COUNT(C23:G23)=5,F23&gt;=15*0.4,F23&lt;15)</formula>
    </cfRule>
  </conditionalFormatting>
  <conditionalFormatting sqref="F24">
    <cfRule type="expression" priority="319" dxfId="0">
      <formula>AND(COUNT(C24:G24)=5,F24=15)</formula>
    </cfRule>
    <cfRule type="expression" priority="320" dxfId="1">
      <formula>AND(COUNT(C24:G24)=5,F24&lt;15*0.4)</formula>
    </cfRule>
    <cfRule type="expression" priority="321" dxfId="2">
      <formula>AND(COUNT(C24:G24)=5,F24&gt;=15*0.4,F24&lt;15)</formula>
    </cfRule>
  </conditionalFormatting>
  <conditionalFormatting sqref="F25">
    <cfRule type="expression" priority="322" dxfId="0">
      <formula>AND(COUNT(C25:G25)=5,F25=15)</formula>
    </cfRule>
    <cfRule type="expression" priority="323" dxfId="1">
      <formula>AND(COUNT(C25:G25)=5,F25&lt;15*0.4)</formula>
    </cfRule>
    <cfRule type="expression" priority="324" dxfId="2">
      <formula>AND(COUNT(C25:G25)=5,F25&gt;=15*0.4,F25&lt;15)</formula>
    </cfRule>
  </conditionalFormatting>
  <conditionalFormatting sqref="F26">
    <cfRule type="expression" priority="325" dxfId="0">
      <formula>AND(COUNT(C26:G26)=5,F26=15)</formula>
    </cfRule>
    <cfRule type="expression" priority="326" dxfId="1">
      <formula>AND(COUNT(C26:G26)=5,F26&lt;15*0.4)</formula>
    </cfRule>
    <cfRule type="expression" priority="327" dxfId="2">
      <formula>AND(COUNT(C26:G26)=5,F26&gt;=15*0.4,F26&lt;15)</formula>
    </cfRule>
  </conditionalFormatting>
  <conditionalFormatting sqref="F27">
    <cfRule type="expression" priority="328" dxfId="0">
      <formula>AND(COUNT(C27:G27)=5,F27=15)</formula>
    </cfRule>
    <cfRule type="expression" priority="329" dxfId="1">
      <formula>AND(COUNT(C27:G27)=5,F27&lt;15*0.4)</formula>
    </cfRule>
    <cfRule type="expression" priority="330" dxfId="2">
      <formula>AND(COUNT(C27:G27)=5,F27&gt;=15*0.4,F27&lt;15)</formula>
    </cfRule>
  </conditionalFormatting>
  <conditionalFormatting sqref="F28">
    <cfRule type="expression" priority="331" dxfId="0">
      <formula>AND(COUNT(C28:G28)=5,F28=15)</formula>
    </cfRule>
    <cfRule type="expression" priority="332" dxfId="1">
      <formula>AND(COUNT(C28:G28)=5,F28&lt;15*0.4)</formula>
    </cfRule>
    <cfRule type="expression" priority="333" dxfId="2">
      <formula>AND(COUNT(C28:G28)=5,F28&gt;=15*0.4,F28&lt;15)</formula>
    </cfRule>
  </conditionalFormatting>
  <conditionalFormatting sqref="F29">
    <cfRule type="expression" priority="334" dxfId="0">
      <formula>AND(COUNT(C29:G29)=5,F29=15)</formula>
    </cfRule>
    <cfRule type="expression" priority="335" dxfId="1">
      <formula>AND(COUNT(C29:G29)=5,F29&lt;15*0.4)</formula>
    </cfRule>
    <cfRule type="expression" priority="336" dxfId="2">
      <formula>AND(COUNT(C29:G29)=5,F29&gt;=15*0.4,F29&lt;15)</formula>
    </cfRule>
  </conditionalFormatting>
  <conditionalFormatting sqref="F30">
    <cfRule type="expression" priority="337" dxfId="0">
      <formula>AND(COUNT(C30:G30)=5,F30=15)</formula>
    </cfRule>
    <cfRule type="expression" priority="338" dxfId="1">
      <formula>AND(COUNT(C30:G30)=5,F30&lt;15*0.4)</formula>
    </cfRule>
    <cfRule type="expression" priority="339" dxfId="2">
      <formula>AND(COUNT(C30:G30)=5,F30&gt;=15*0.4,F30&lt;15)</formula>
    </cfRule>
  </conditionalFormatting>
  <conditionalFormatting sqref="F31">
    <cfRule type="expression" priority="340" dxfId="0">
      <formula>AND(COUNT(C31:G31)=5,F31=15)</formula>
    </cfRule>
    <cfRule type="expression" priority="341" dxfId="1">
      <formula>AND(COUNT(C31:G31)=5,F31&lt;15*0.4)</formula>
    </cfRule>
    <cfRule type="expression" priority="342" dxfId="2">
      <formula>AND(COUNT(C31:G31)=5,F31&gt;=15*0.4,F31&lt;15)</formula>
    </cfRule>
  </conditionalFormatting>
  <conditionalFormatting sqref="F32">
    <cfRule type="expression" priority="343" dxfId="0">
      <formula>AND(COUNT(C32:G32)=5,F32=15)</formula>
    </cfRule>
    <cfRule type="expression" priority="344" dxfId="1">
      <formula>AND(COUNT(C32:G32)=5,F32&lt;15*0.4)</formula>
    </cfRule>
    <cfRule type="expression" priority="345" dxfId="2">
      <formula>AND(COUNT(C32:G32)=5,F32&gt;=15*0.4,F32&lt;15)</formula>
    </cfRule>
  </conditionalFormatting>
  <conditionalFormatting sqref="F33">
    <cfRule type="expression" priority="346" dxfId="0">
      <formula>AND(COUNT(C33:G33)=5,F33=15)</formula>
    </cfRule>
    <cfRule type="expression" priority="347" dxfId="1">
      <formula>AND(COUNT(C33:G33)=5,F33&lt;15*0.4)</formula>
    </cfRule>
    <cfRule type="expression" priority="348" dxfId="2">
      <formula>AND(COUNT(C33:G33)=5,F33&gt;=15*0.4,F33&lt;15)</formula>
    </cfRule>
  </conditionalFormatting>
  <conditionalFormatting sqref="F34">
    <cfRule type="expression" priority="349" dxfId="0">
      <formula>AND(COUNT(C34:G34)=5,F34=15)</formula>
    </cfRule>
    <cfRule type="expression" priority="350" dxfId="1">
      <formula>AND(COUNT(C34:G34)=5,F34&lt;15*0.4)</formula>
    </cfRule>
    <cfRule type="expression" priority="351" dxfId="2">
      <formula>AND(COUNT(C34:G34)=5,F34&gt;=15*0.4,F34&lt;15)</formula>
    </cfRule>
  </conditionalFormatting>
  <conditionalFormatting sqref="F35">
    <cfRule type="expression" priority="352" dxfId="0">
      <formula>AND(COUNT(C35:G35)=5,F35=15)</formula>
    </cfRule>
    <cfRule type="expression" priority="353" dxfId="1">
      <formula>AND(COUNT(C35:G35)=5,F35&lt;15*0.4)</formula>
    </cfRule>
    <cfRule type="expression" priority="354" dxfId="2">
      <formula>AND(COUNT(C35:G35)=5,F35&gt;=15*0.4,F35&lt;15)</formula>
    </cfRule>
  </conditionalFormatting>
  <conditionalFormatting sqref="F36">
    <cfRule type="expression" priority="355" dxfId="0">
      <formula>AND(COUNT(C36:G36)=5,F36=15)</formula>
    </cfRule>
    <cfRule type="expression" priority="356" dxfId="1">
      <formula>AND(COUNT(C36:G36)=5,F36&lt;15*0.4)</formula>
    </cfRule>
    <cfRule type="expression" priority="357" dxfId="2">
      <formula>AND(COUNT(C36:G36)=5,F36&gt;=15*0.4,F36&lt;15)</formula>
    </cfRule>
  </conditionalFormatting>
  <conditionalFormatting sqref="F37">
    <cfRule type="expression" priority="358" dxfId="0">
      <formula>AND(COUNT(C37:G37)=5,F37=15)</formula>
    </cfRule>
    <cfRule type="expression" priority="359" dxfId="1">
      <formula>AND(COUNT(C37:G37)=5,F37&lt;15*0.4)</formula>
    </cfRule>
    <cfRule type="expression" priority="360" dxfId="2">
      <formula>AND(COUNT(C37:G37)=5,F37&gt;=15*0.4,F37&lt;15)</formula>
    </cfRule>
  </conditionalFormatting>
  <conditionalFormatting sqref="F38">
    <cfRule type="expression" priority="361" dxfId="0">
      <formula>AND(COUNT(C38:G38)=5,F38=15)</formula>
    </cfRule>
    <cfRule type="expression" priority="362" dxfId="1">
      <formula>AND(COUNT(C38:G38)=5,F38&lt;15*0.4)</formula>
    </cfRule>
    <cfRule type="expression" priority="363" dxfId="2">
      <formula>AND(COUNT(C38:G38)=5,F38&gt;=15*0.4,F38&lt;15)</formula>
    </cfRule>
  </conditionalFormatting>
  <conditionalFormatting sqref="F39">
    <cfRule type="expression" priority="364" dxfId="0">
      <formula>AND(COUNT(C39:G39)=5,F39=15)</formula>
    </cfRule>
    <cfRule type="expression" priority="365" dxfId="1">
      <formula>AND(COUNT(C39:G39)=5,F39&lt;15*0.4)</formula>
    </cfRule>
    <cfRule type="expression" priority="366" dxfId="2">
      <formula>AND(COUNT(C39:G39)=5,F39&gt;=15*0.4,F39&lt;15)</formula>
    </cfRule>
  </conditionalFormatting>
  <conditionalFormatting sqref="F40">
    <cfRule type="expression" priority="367" dxfId="0">
      <formula>AND(COUNT(C40:G40)=5,F40=15)</formula>
    </cfRule>
    <cfRule type="expression" priority="368" dxfId="1">
      <formula>AND(COUNT(C40:G40)=5,F40&lt;15*0.4)</formula>
    </cfRule>
    <cfRule type="expression" priority="369" dxfId="2">
      <formula>AND(COUNT(C40:G40)=5,F40&gt;=15*0.4,F40&lt;15)</formula>
    </cfRule>
  </conditionalFormatting>
  <conditionalFormatting sqref="F41">
    <cfRule type="expression" priority="370" dxfId="0">
      <formula>AND(COUNT(C41:G41)=5,F41=15)</formula>
    </cfRule>
    <cfRule type="expression" priority="371" dxfId="1">
      <formula>AND(COUNT(C41:G41)=5,F41&lt;15*0.4)</formula>
    </cfRule>
    <cfRule type="expression" priority="372" dxfId="2">
      <formula>AND(COUNT(C41:G41)=5,F41&gt;=15*0.4,F41&lt;15)</formula>
    </cfRule>
  </conditionalFormatting>
  <conditionalFormatting sqref="G11">
    <cfRule type="expression" priority="373" dxfId="0">
      <formula>AND(COUNT(C11:G11)=5,G11=14)</formula>
    </cfRule>
    <cfRule type="expression" priority="374" dxfId="1">
      <formula>AND(COUNT(C11:G11)=5,G11&lt;14*0.4)</formula>
    </cfRule>
    <cfRule type="expression" priority="375" dxfId="2">
      <formula>AND(COUNT(C11:G11)=5,G11&gt;=14*0.4,G11&lt;14)</formula>
    </cfRule>
  </conditionalFormatting>
  <conditionalFormatting sqref="G12">
    <cfRule type="expression" priority="376" dxfId="0">
      <formula>AND(COUNT(C12:G12)=5,G12=14)</formula>
    </cfRule>
    <cfRule type="expression" priority="377" dxfId="1">
      <formula>AND(COUNT(C12:G12)=5,G12&lt;14*0.4)</formula>
    </cfRule>
    <cfRule type="expression" priority="378" dxfId="2">
      <formula>AND(COUNT(C12:G12)=5,G12&gt;=14*0.4,G12&lt;14)</formula>
    </cfRule>
  </conditionalFormatting>
  <conditionalFormatting sqref="G13">
    <cfRule type="expression" priority="379" dxfId="0">
      <formula>AND(COUNT(C13:G13)=5,G13=14)</formula>
    </cfRule>
    <cfRule type="expression" priority="380" dxfId="1">
      <formula>AND(COUNT(C13:G13)=5,G13&lt;14*0.4)</formula>
    </cfRule>
    <cfRule type="expression" priority="381" dxfId="2">
      <formula>AND(COUNT(C13:G13)=5,G13&gt;=14*0.4,G13&lt;14)</formula>
    </cfRule>
  </conditionalFormatting>
  <conditionalFormatting sqref="G14">
    <cfRule type="expression" priority="382" dxfId="0">
      <formula>AND(COUNT(C14:G14)=5,G14=14)</formula>
    </cfRule>
    <cfRule type="expression" priority="383" dxfId="1">
      <formula>AND(COUNT(C14:G14)=5,G14&lt;14*0.4)</formula>
    </cfRule>
    <cfRule type="expression" priority="384" dxfId="2">
      <formula>AND(COUNT(C14:G14)=5,G14&gt;=14*0.4,G14&lt;14)</formula>
    </cfRule>
  </conditionalFormatting>
  <conditionalFormatting sqref="G15">
    <cfRule type="expression" priority="385" dxfId="0">
      <formula>AND(COUNT(C15:G15)=5,G15=14)</formula>
    </cfRule>
    <cfRule type="expression" priority="386" dxfId="1">
      <formula>AND(COUNT(C15:G15)=5,G15&lt;14*0.4)</formula>
    </cfRule>
    <cfRule type="expression" priority="387" dxfId="2">
      <formula>AND(COUNT(C15:G15)=5,G15&gt;=14*0.4,G15&lt;14)</formula>
    </cfRule>
  </conditionalFormatting>
  <conditionalFormatting sqref="G16">
    <cfRule type="expression" priority="388" dxfId="0">
      <formula>AND(COUNT(C16:G16)=5,G16=14)</formula>
    </cfRule>
    <cfRule type="expression" priority="389" dxfId="1">
      <formula>AND(COUNT(C16:G16)=5,G16&lt;14*0.4)</formula>
    </cfRule>
    <cfRule type="expression" priority="390" dxfId="2">
      <formula>AND(COUNT(C16:G16)=5,G16&gt;=14*0.4,G16&lt;14)</formula>
    </cfRule>
  </conditionalFormatting>
  <conditionalFormatting sqref="G17">
    <cfRule type="expression" priority="391" dxfId="0">
      <formula>AND(COUNT(C17:G17)=5,G17=14)</formula>
    </cfRule>
    <cfRule type="expression" priority="392" dxfId="1">
      <formula>AND(COUNT(C17:G17)=5,G17&lt;14*0.4)</formula>
    </cfRule>
    <cfRule type="expression" priority="393" dxfId="2">
      <formula>AND(COUNT(C17:G17)=5,G17&gt;=14*0.4,G17&lt;14)</formula>
    </cfRule>
  </conditionalFormatting>
  <conditionalFormatting sqref="G18">
    <cfRule type="expression" priority="394" dxfId="0">
      <formula>AND(COUNT(C18:G18)=5,G18=14)</formula>
    </cfRule>
    <cfRule type="expression" priority="395" dxfId="1">
      <formula>AND(COUNT(C18:G18)=5,G18&lt;14*0.4)</formula>
    </cfRule>
    <cfRule type="expression" priority="396" dxfId="2">
      <formula>AND(COUNT(C18:G18)=5,G18&gt;=14*0.4,G18&lt;14)</formula>
    </cfRule>
  </conditionalFormatting>
  <conditionalFormatting sqref="G19">
    <cfRule type="expression" priority="397" dxfId="0">
      <formula>AND(COUNT(C19:G19)=5,G19=14)</formula>
    </cfRule>
    <cfRule type="expression" priority="398" dxfId="1">
      <formula>AND(COUNT(C19:G19)=5,G19&lt;14*0.4)</formula>
    </cfRule>
    <cfRule type="expression" priority="399" dxfId="2">
      <formula>AND(COUNT(C19:G19)=5,G19&gt;=14*0.4,G19&lt;14)</formula>
    </cfRule>
  </conditionalFormatting>
  <conditionalFormatting sqref="G20">
    <cfRule type="expression" priority="400" dxfId="0">
      <formula>AND(COUNT(C20:G20)=5,G20=14)</formula>
    </cfRule>
    <cfRule type="expression" priority="401" dxfId="1">
      <formula>AND(COUNT(C20:G20)=5,G20&lt;14*0.4)</formula>
    </cfRule>
    <cfRule type="expression" priority="402" dxfId="2">
      <formula>AND(COUNT(C20:G20)=5,G20&gt;=14*0.4,G20&lt;14)</formula>
    </cfRule>
  </conditionalFormatting>
  <conditionalFormatting sqref="G21">
    <cfRule type="expression" priority="403" dxfId="0">
      <formula>AND(COUNT(C21:G21)=5,G21=14)</formula>
    </cfRule>
    <cfRule type="expression" priority="404" dxfId="1">
      <formula>AND(COUNT(C21:G21)=5,G21&lt;14*0.4)</formula>
    </cfRule>
    <cfRule type="expression" priority="405" dxfId="2">
      <formula>AND(COUNT(C21:G21)=5,G21&gt;=14*0.4,G21&lt;14)</formula>
    </cfRule>
  </conditionalFormatting>
  <conditionalFormatting sqref="G22">
    <cfRule type="expression" priority="406" dxfId="0">
      <formula>AND(COUNT(C22:G22)=5,G22=14)</formula>
    </cfRule>
    <cfRule type="expression" priority="407" dxfId="1">
      <formula>AND(COUNT(C22:G22)=5,G22&lt;14*0.4)</formula>
    </cfRule>
    <cfRule type="expression" priority="408" dxfId="2">
      <formula>AND(COUNT(C22:G22)=5,G22&gt;=14*0.4,G22&lt;14)</formula>
    </cfRule>
  </conditionalFormatting>
  <conditionalFormatting sqref="G23">
    <cfRule type="expression" priority="409" dxfId="0">
      <formula>AND(COUNT(C23:G23)=5,G23=14)</formula>
    </cfRule>
    <cfRule type="expression" priority="410" dxfId="1">
      <formula>AND(COUNT(C23:G23)=5,G23&lt;14*0.4)</formula>
    </cfRule>
    <cfRule type="expression" priority="411" dxfId="2">
      <formula>AND(COUNT(C23:G23)=5,G23&gt;=14*0.4,G23&lt;14)</formula>
    </cfRule>
  </conditionalFormatting>
  <conditionalFormatting sqref="G24">
    <cfRule type="expression" priority="412" dxfId="0">
      <formula>AND(COUNT(C24:G24)=5,G24=14)</formula>
    </cfRule>
    <cfRule type="expression" priority="413" dxfId="1">
      <formula>AND(COUNT(C24:G24)=5,G24&lt;14*0.4)</formula>
    </cfRule>
    <cfRule type="expression" priority="414" dxfId="2">
      <formula>AND(COUNT(C24:G24)=5,G24&gt;=14*0.4,G24&lt;14)</formula>
    </cfRule>
  </conditionalFormatting>
  <conditionalFormatting sqref="G25">
    <cfRule type="expression" priority="415" dxfId="0">
      <formula>AND(COUNT(C25:G25)=5,G25=14)</formula>
    </cfRule>
    <cfRule type="expression" priority="416" dxfId="1">
      <formula>AND(COUNT(C25:G25)=5,G25&lt;14*0.4)</formula>
    </cfRule>
    <cfRule type="expression" priority="417" dxfId="2">
      <formula>AND(COUNT(C25:G25)=5,G25&gt;=14*0.4,G25&lt;14)</formula>
    </cfRule>
  </conditionalFormatting>
  <conditionalFormatting sqref="G26">
    <cfRule type="expression" priority="418" dxfId="0">
      <formula>AND(COUNT(C26:G26)=5,G26=14)</formula>
    </cfRule>
    <cfRule type="expression" priority="419" dxfId="1">
      <formula>AND(COUNT(C26:G26)=5,G26&lt;14*0.4)</formula>
    </cfRule>
    <cfRule type="expression" priority="420" dxfId="2">
      <formula>AND(COUNT(C26:G26)=5,G26&gt;=14*0.4,G26&lt;14)</formula>
    </cfRule>
  </conditionalFormatting>
  <conditionalFormatting sqref="G27">
    <cfRule type="expression" priority="421" dxfId="0">
      <formula>AND(COUNT(C27:G27)=5,G27=14)</formula>
    </cfRule>
    <cfRule type="expression" priority="422" dxfId="1">
      <formula>AND(COUNT(C27:G27)=5,G27&lt;14*0.4)</formula>
    </cfRule>
    <cfRule type="expression" priority="423" dxfId="2">
      <formula>AND(COUNT(C27:G27)=5,G27&gt;=14*0.4,G27&lt;14)</formula>
    </cfRule>
  </conditionalFormatting>
  <conditionalFormatting sqref="G28">
    <cfRule type="expression" priority="424" dxfId="0">
      <formula>AND(COUNT(C28:G28)=5,G28=14)</formula>
    </cfRule>
    <cfRule type="expression" priority="425" dxfId="1">
      <formula>AND(COUNT(C28:G28)=5,G28&lt;14*0.4)</formula>
    </cfRule>
    <cfRule type="expression" priority="426" dxfId="2">
      <formula>AND(COUNT(C28:G28)=5,G28&gt;=14*0.4,G28&lt;14)</formula>
    </cfRule>
  </conditionalFormatting>
  <conditionalFormatting sqref="G29">
    <cfRule type="expression" priority="427" dxfId="0">
      <formula>AND(COUNT(C29:G29)=5,G29=14)</formula>
    </cfRule>
    <cfRule type="expression" priority="428" dxfId="1">
      <formula>AND(COUNT(C29:G29)=5,G29&lt;14*0.4)</formula>
    </cfRule>
    <cfRule type="expression" priority="429" dxfId="2">
      <formula>AND(COUNT(C29:G29)=5,G29&gt;=14*0.4,G29&lt;14)</formula>
    </cfRule>
  </conditionalFormatting>
  <conditionalFormatting sqref="G30">
    <cfRule type="expression" priority="430" dxfId="0">
      <formula>AND(COUNT(C30:G30)=5,G30=14)</formula>
    </cfRule>
    <cfRule type="expression" priority="431" dxfId="1">
      <formula>AND(COUNT(C30:G30)=5,G30&lt;14*0.4)</formula>
    </cfRule>
    <cfRule type="expression" priority="432" dxfId="2">
      <formula>AND(COUNT(C30:G30)=5,G30&gt;=14*0.4,G30&lt;14)</formula>
    </cfRule>
  </conditionalFormatting>
  <conditionalFormatting sqref="G31">
    <cfRule type="expression" priority="433" dxfId="0">
      <formula>AND(COUNT(C31:G31)=5,G31=14)</formula>
    </cfRule>
    <cfRule type="expression" priority="434" dxfId="1">
      <formula>AND(COUNT(C31:G31)=5,G31&lt;14*0.4)</formula>
    </cfRule>
    <cfRule type="expression" priority="435" dxfId="2">
      <formula>AND(COUNT(C31:G31)=5,G31&gt;=14*0.4,G31&lt;14)</formula>
    </cfRule>
  </conditionalFormatting>
  <conditionalFormatting sqref="G32">
    <cfRule type="expression" priority="436" dxfId="0">
      <formula>AND(COUNT(C32:G32)=5,G32=14)</formula>
    </cfRule>
    <cfRule type="expression" priority="437" dxfId="1">
      <formula>AND(COUNT(C32:G32)=5,G32&lt;14*0.4)</formula>
    </cfRule>
    <cfRule type="expression" priority="438" dxfId="2">
      <formula>AND(COUNT(C32:G32)=5,G32&gt;=14*0.4,G32&lt;14)</formula>
    </cfRule>
  </conditionalFormatting>
  <conditionalFormatting sqref="G33">
    <cfRule type="expression" priority="439" dxfId="0">
      <formula>AND(COUNT(C33:G33)=5,G33=14)</formula>
    </cfRule>
    <cfRule type="expression" priority="440" dxfId="1">
      <formula>AND(COUNT(C33:G33)=5,G33&lt;14*0.4)</formula>
    </cfRule>
    <cfRule type="expression" priority="441" dxfId="2">
      <formula>AND(COUNT(C33:G33)=5,G33&gt;=14*0.4,G33&lt;14)</formula>
    </cfRule>
  </conditionalFormatting>
  <conditionalFormatting sqref="G34">
    <cfRule type="expression" priority="442" dxfId="0">
      <formula>AND(COUNT(C34:G34)=5,G34=14)</formula>
    </cfRule>
    <cfRule type="expression" priority="443" dxfId="1">
      <formula>AND(COUNT(C34:G34)=5,G34&lt;14*0.4)</formula>
    </cfRule>
    <cfRule type="expression" priority="444" dxfId="2">
      <formula>AND(COUNT(C34:G34)=5,G34&gt;=14*0.4,G34&lt;14)</formula>
    </cfRule>
  </conditionalFormatting>
  <conditionalFormatting sqref="G35">
    <cfRule type="expression" priority="445" dxfId="0">
      <formula>AND(COUNT(C35:G35)=5,G35=14)</formula>
    </cfRule>
    <cfRule type="expression" priority="446" dxfId="1">
      <formula>AND(COUNT(C35:G35)=5,G35&lt;14*0.4)</formula>
    </cfRule>
    <cfRule type="expression" priority="447" dxfId="2">
      <formula>AND(COUNT(C35:G35)=5,G35&gt;=14*0.4,G35&lt;14)</formula>
    </cfRule>
  </conditionalFormatting>
  <conditionalFormatting sqref="G36">
    <cfRule type="expression" priority="448" dxfId="0">
      <formula>AND(COUNT(C36:G36)=5,G36=14)</formula>
    </cfRule>
    <cfRule type="expression" priority="449" dxfId="1">
      <formula>AND(COUNT(C36:G36)=5,G36&lt;14*0.4)</formula>
    </cfRule>
    <cfRule type="expression" priority="450" dxfId="2">
      <formula>AND(COUNT(C36:G36)=5,G36&gt;=14*0.4,G36&lt;14)</formula>
    </cfRule>
  </conditionalFormatting>
  <conditionalFormatting sqref="G37">
    <cfRule type="expression" priority="451" dxfId="0">
      <formula>AND(COUNT(C37:G37)=5,G37=14)</formula>
    </cfRule>
    <cfRule type="expression" priority="452" dxfId="1">
      <formula>AND(COUNT(C37:G37)=5,G37&lt;14*0.4)</formula>
    </cfRule>
    <cfRule type="expression" priority="453" dxfId="2">
      <formula>AND(COUNT(C37:G37)=5,G37&gt;=14*0.4,G37&lt;14)</formula>
    </cfRule>
  </conditionalFormatting>
  <conditionalFormatting sqref="G38">
    <cfRule type="expression" priority="454" dxfId="0">
      <formula>AND(COUNT(C38:G38)=5,G38=14)</formula>
    </cfRule>
    <cfRule type="expression" priority="455" dxfId="1">
      <formula>AND(COUNT(C38:G38)=5,G38&lt;14*0.4)</formula>
    </cfRule>
    <cfRule type="expression" priority="456" dxfId="2">
      <formula>AND(COUNT(C38:G38)=5,G38&gt;=14*0.4,G38&lt;14)</formula>
    </cfRule>
  </conditionalFormatting>
  <conditionalFormatting sqref="G39">
    <cfRule type="expression" priority="457" dxfId="0">
      <formula>AND(COUNT(C39:G39)=5,G39=14)</formula>
    </cfRule>
    <cfRule type="expression" priority="458" dxfId="1">
      <formula>AND(COUNT(C39:G39)=5,G39&lt;14*0.4)</formula>
    </cfRule>
    <cfRule type="expression" priority="459" dxfId="2">
      <formula>AND(COUNT(C39:G39)=5,G39&gt;=14*0.4,G39&lt;14)</formula>
    </cfRule>
  </conditionalFormatting>
  <conditionalFormatting sqref="G40">
    <cfRule type="expression" priority="460" dxfId="0">
      <formula>AND(COUNT(C40:G40)=5,G40=14)</formula>
    </cfRule>
    <cfRule type="expression" priority="461" dxfId="1">
      <formula>AND(COUNT(C40:G40)=5,G40&lt;14*0.4)</formula>
    </cfRule>
    <cfRule type="expression" priority="462" dxfId="2">
      <formula>AND(COUNT(C40:G40)=5,G40&gt;=14*0.4,G40&lt;14)</formula>
    </cfRule>
  </conditionalFormatting>
  <conditionalFormatting sqref="G41">
    <cfRule type="expression" priority="463" dxfId="0">
      <formula>AND(COUNT(C41:G41)=5,G41=14)</formula>
    </cfRule>
    <cfRule type="expression" priority="464" dxfId="1">
      <formula>AND(COUNT(C41:G41)=5,G41&lt;14*0.4)</formula>
    </cfRule>
    <cfRule type="expression" priority="465" dxfId="2">
      <formula>AND(COUNT(C41:G41)=5,G41&gt;=14*0.4,G41&lt;14)</formula>
    </cfRule>
  </conditionalFormatting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24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Chapter 7 End of Topic Test — Correlation and Regression</t>
        </is>
      </c>
    </row>
    <row r="2">
      <c r="A2" s="2" t="inlineStr">
        <is>
          <t>Every block below pulls live from 'Ch7 EOT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SUMPRODUCT(--ISNUMBER('Ch7 EOT Results'!J12:J41))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IF('Ch7 EOT Results'!J12="","","Chapter 7 End of Topic Test — Correlation and Regression")</f>
        <v/>
      </c>
      <c r="K5">
        <f>IF('Ch7 EOT Results'!J13="","","Chapter 7 End of Topic Test — Correlation and Regression")</f>
        <v/>
      </c>
    </row>
    <row r="6">
      <c r="A6">
        <f>IF('Ch7 EOT Results'!J12="","","Name: "&amp;'Ch7 EOT Results'!B12&amp;"   Class: "&amp;'Ch7 EOT Results'!$B$3&amp;"   Date: "&amp;TEXT('Ch7 EOT Results'!$B$5,"DD/MM/YY"))</f>
        <v/>
      </c>
      <c r="K6">
        <f>IF('Ch7 EOT Results'!J13="","","Name: "&amp;'Ch7 EOT Results'!B13&amp;"   Class: "&amp;'Ch7 EOT Results'!$B$3&amp;"   Date: "&amp;TEXT('Ch7 EOT Results'!$B$5,"DD/MM/YY"))</f>
        <v/>
      </c>
    </row>
    <row r="7">
      <c r="A7">
        <f>IF('Ch7 EOT Results'!J12="","","Total: "&amp;'Ch7 EOT Results'!H12&amp;"/92 ("&amp;TEXT('Ch7 EOT Results'!I12,"0%")&amp;")   Overall: "&amp;'Ch7 EOT Results'!J12)</f>
        <v/>
      </c>
      <c r="K7">
        <f>IF('Ch7 EOT Results'!J13="","","Total: "&amp;'Ch7 EOT Results'!H13&amp;"/92 ("&amp;TEXT('Ch7 EOT Results'!I13,"0%")&amp;")   Overall: "&amp;'Ch7 EOT Results'!J13)</f>
        <v/>
      </c>
    </row>
    <row r="8">
      <c r="A8">
        <f>IF('Ch7 EOT Results'!J12="","",IF('Ch7 EOT Results'!J12="Green",Parameters!$C$448,IF('Ch7 EOT Results'!J12="Yellow",Parameters!$C$447,Parameters!$C$446)))</f>
        <v/>
      </c>
      <c r="K8">
        <f>IF('Ch7 EOT Results'!J13="","",IF('Ch7 EOT Results'!J13="Green",Parameters!$C$448,IF('Ch7 EOT Results'!J13="Yellow",Parameters!$C$447,Parameters!$C$446)))</f>
        <v/>
      </c>
    </row>
    <row r="10">
      <c r="A10">
        <f>IF('Ch7 EOT Results'!J12="","","Breakdown:")</f>
        <v/>
      </c>
      <c r="K10">
        <f>IF('Ch7 EOT Results'!J13="","","Breakdown:")</f>
        <v/>
      </c>
    </row>
    <row r="11">
      <c r="A11">
        <f>IF('Ch7 EOT Results'!J12="","","Q1 Scatter, PMCC &amp; regression prediction: "&amp;'Ch7 EOT Results'!C12&amp;"/18")</f>
        <v/>
      </c>
      <c r="K11">
        <f>IF('Ch7 EOT Results'!J13="","","Q1 Scatter, PMCC &amp; regression prediction: "&amp;'Ch7 EOT Results'!C13&amp;"/18")</f>
        <v/>
      </c>
    </row>
    <row r="12">
      <c r="A12">
        <f>IF('Ch7 EOT Results'!J12="","","Q2 Scatter graphs &amp; comparing PMCC values: "&amp;'Ch7 EOT Results'!D12&amp;"/22")</f>
        <v/>
      </c>
      <c r="K12">
        <f>IF('Ch7 EOT Results'!J13="","","Q2 Scatter graphs &amp; comparing PMCC values: "&amp;'Ch7 EOT Results'!D13&amp;"/22")</f>
        <v/>
      </c>
    </row>
    <row r="13">
      <c r="A13">
        <f>IF('Ch7 EOT Results'!J12="","","Q3 Outliers, PMCC &amp; regression: "&amp;'Ch7 EOT Results'!E12&amp;"/23")</f>
        <v/>
      </c>
      <c r="K13">
        <f>IF('Ch7 EOT Results'!J13="","","Q3 Outliers, PMCC &amp; regression: "&amp;'Ch7 EOT Results'!E13&amp;"/23")</f>
        <v/>
      </c>
    </row>
    <row r="14">
      <c r="A14">
        <f>IF('Ch7 EOT Results'!J12="","","Q4 Interpreting regression lines &amp; residuals: "&amp;'Ch7 EOT Results'!F12&amp;"/15")</f>
        <v/>
      </c>
      <c r="K14">
        <f>IF('Ch7 EOT Results'!J13="","","Q4 Interpreting regression lines &amp; residuals: "&amp;'Ch7 EOT Results'!F13&amp;"/15")</f>
        <v/>
      </c>
    </row>
    <row r="15">
      <c r="A15">
        <f>IF('Ch7 EOT Results'!J12="","","Q5 Extrapolation &amp; model limitations: "&amp;'Ch7 EOT Results'!G12&amp;"/14")</f>
        <v/>
      </c>
      <c r="K15">
        <f>IF('Ch7 EOT Results'!J13="","","Q5 Extrapolation &amp; model limitations: "&amp;'Ch7 EOT Results'!G13&amp;"/14")</f>
        <v/>
      </c>
    </row>
    <row r="16">
      <c r="A16">
        <f>IF(OR('Ch7 EOT Results'!J12="",'Ch7 EOT Results'!K12=""),"",'Ch7 EOT Results'!K12)</f>
        <v/>
      </c>
      <c r="K16">
        <f>IF(OR('Ch7 EOT Results'!J13="",'Ch7 EOT Results'!K13=""),"",'Ch7 EOT Results'!K13)</f>
        <v/>
      </c>
    </row>
    <row r="18">
      <c r="A18">
        <f>IF('Ch7 EOT Results'!J12="","","Comments:")</f>
        <v/>
      </c>
      <c r="K18">
        <f>IF('Ch7 EOT Results'!J13="","","Comments:")</f>
        <v/>
      </c>
    </row>
    <row r="21">
      <c r="A21">
        <f>IF('Ch7 EOT Results'!J14="","","Chapter 7 End of Topic Test — Correlation and Regression")</f>
        <v/>
      </c>
      <c r="K21">
        <f>IF('Ch7 EOT Results'!J15="","","Chapter 7 End of Topic Test — Correlation and Regression")</f>
        <v/>
      </c>
    </row>
    <row r="22">
      <c r="A22">
        <f>IF('Ch7 EOT Results'!J14="","","Name: "&amp;'Ch7 EOT Results'!B14&amp;"   Class: "&amp;'Ch7 EOT Results'!$B$3&amp;"   Date: "&amp;TEXT('Ch7 EOT Results'!$B$5,"DD/MM/YY"))</f>
        <v/>
      </c>
      <c r="K22">
        <f>IF('Ch7 EOT Results'!J15="","","Name: "&amp;'Ch7 EOT Results'!B15&amp;"   Class: "&amp;'Ch7 EOT Results'!$B$3&amp;"   Date: "&amp;TEXT('Ch7 EOT Results'!$B$5,"DD/MM/YY"))</f>
        <v/>
      </c>
    </row>
    <row r="23">
      <c r="A23">
        <f>IF('Ch7 EOT Results'!J14="","","Total: "&amp;'Ch7 EOT Results'!H14&amp;"/92 ("&amp;TEXT('Ch7 EOT Results'!I14,"0%")&amp;")   Overall: "&amp;'Ch7 EOT Results'!J14)</f>
        <v/>
      </c>
      <c r="K23">
        <f>IF('Ch7 EOT Results'!J15="","","Total: "&amp;'Ch7 EOT Results'!H15&amp;"/92 ("&amp;TEXT('Ch7 EOT Results'!I15,"0%")&amp;")   Overall: "&amp;'Ch7 EOT Results'!J15)</f>
        <v/>
      </c>
    </row>
    <row r="24">
      <c r="A24">
        <f>IF('Ch7 EOT Results'!J14="","",IF('Ch7 EOT Results'!J14="Green",Parameters!$C$448,IF('Ch7 EOT Results'!J14="Yellow",Parameters!$C$447,Parameters!$C$446)))</f>
        <v/>
      </c>
      <c r="K24">
        <f>IF('Ch7 EOT Results'!J15="","",IF('Ch7 EOT Results'!J15="Green",Parameters!$C$448,IF('Ch7 EOT Results'!J15="Yellow",Parameters!$C$447,Parameters!$C$446)))</f>
        <v/>
      </c>
    </row>
    <row r="26">
      <c r="A26">
        <f>IF('Ch7 EOT Results'!J14="","","Breakdown:")</f>
        <v/>
      </c>
      <c r="K26">
        <f>IF('Ch7 EOT Results'!J15="","","Breakdown:")</f>
        <v/>
      </c>
    </row>
    <row r="27">
      <c r="A27">
        <f>IF('Ch7 EOT Results'!J14="","","Q1 Scatter, PMCC &amp; regression prediction: "&amp;'Ch7 EOT Results'!C14&amp;"/18")</f>
        <v/>
      </c>
      <c r="K27">
        <f>IF('Ch7 EOT Results'!J15="","","Q1 Scatter, PMCC &amp; regression prediction: "&amp;'Ch7 EOT Results'!C15&amp;"/18")</f>
        <v/>
      </c>
    </row>
    <row r="28">
      <c r="A28">
        <f>IF('Ch7 EOT Results'!J14="","","Q2 Scatter graphs &amp; comparing PMCC values: "&amp;'Ch7 EOT Results'!D14&amp;"/22")</f>
        <v/>
      </c>
      <c r="K28">
        <f>IF('Ch7 EOT Results'!J15="","","Q2 Scatter graphs &amp; comparing PMCC values: "&amp;'Ch7 EOT Results'!D15&amp;"/22")</f>
        <v/>
      </c>
    </row>
    <row r="29">
      <c r="A29">
        <f>IF('Ch7 EOT Results'!J14="","","Q3 Outliers, PMCC &amp; regression: "&amp;'Ch7 EOT Results'!E14&amp;"/23")</f>
        <v/>
      </c>
      <c r="K29">
        <f>IF('Ch7 EOT Results'!J15="","","Q3 Outliers, PMCC &amp; regression: "&amp;'Ch7 EOT Results'!E15&amp;"/23")</f>
        <v/>
      </c>
    </row>
    <row r="30">
      <c r="A30">
        <f>IF('Ch7 EOT Results'!J14="","","Q4 Interpreting regression lines &amp; residuals: "&amp;'Ch7 EOT Results'!F14&amp;"/15")</f>
        <v/>
      </c>
      <c r="K30">
        <f>IF('Ch7 EOT Results'!J15="","","Q4 Interpreting regression lines &amp; residuals: "&amp;'Ch7 EOT Results'!F15&amp;"/15")</f>
        <v/>
      </c>
    </row>
    <row r="31">
      <c r="A31">
        <f>IF('Ch7 EOT Results'!J14="","","Q5 Extrapolation &amp; model limitations: "&amp;'Ch7 EOT Results'!G14&amp;"/14")</f>
        <v/>
      </c>
      <c r="K31">
        <f>IF('Ch7 EOT Results'!J15="","","Q5 Extrapolation &amp; model limitations: "&amp;'Ch7 EOT Results'!G15&amp;"/14")</f>
        <v/>
      </c>
    </row>
    <row r="32">
      <c r="A32">
        <f>IF(OR('Ch7 EOT Results'!J14="",'Ch7 EOT Results'!K14=""),"",'Ch7 EOT Results'!K14)</f>
        <v/>
      </c>
      <c r="K32">
        <f>IF(OR('Ch7 EOT Results'!J15="",'Ch7 EOT Results'!K15=""),"",'Ch7 EOT Results'!K15)</f>
        <v/>
      </c>
    </row>
    <row r="34">
      <c r="A34">
        <f>IF('Ch7 EOT Results'!J14="","","Comments:")</f>
        <v/>
      </c>
      <c r="K34">
        <f>IF('Ch7 EOT Results'!J15="","","Comments:")</f>
        <v/>
      </c>
    </row>
    <row r="37">
      <c r="A37">
        <f>IF('Ch7 EOT Results'!J16="","","Chapter 7 End of Topic Test — Correlation and Regression")</f>
        <v/>
      </c>
      <c r="K37">
        <f>IF('Ch7 EOT Results'!J17="","","Chapter 7 End of Topic Test — Correlation and Regression")</f>
        <v/>
      </c>
    </row>
    <row r="38">
      <c r="A38">
        <f>IF('Ch7 EOT Results'!J16="","","Name: "&amp;'Ch7 EOT Results'!B16&amp;"   Class: "&amp;'Ch7 EOT Results'!$B$3&amp;"   Date: "&amp;TEXT('Ch7 EOT Results'!$B$5,"DD/MM/YY"))</f>
        <v/>
      </c>
      <c r="K38">
        <f>IF('Ch7 EOT Results'!J17="","","Name: "&amp;'Ch7 EOT Results'!B17&amp;"   Class: "&amp;'Ch7 EOT Results'!$B$3&amp;"   Date: "&amp;TEXT('Ch7 EOT Results'!$B$5,"DD/MM/YY"))</f>
        <v/>
      </c>
    </row>
    <row r="39">
      <c r="A39">
        <f>IF('Ch7 EOT Results'!J16="","","Total: "&amp;'Ch7 EOT Results'!H16&amp;"/92 ("&amp;TEXT('Ch7 EOT Results'!I16,"0%")&amp;")   Overall: "&amp;'Ch7 EOT Results'!J16)</f>
        <v/>
      </c>
      <c r="K39">
        <f>IF('Ch7 EOT Results'!J17="","","Total: "&amp;'Ch7 EOT Results'!H17&amp;"/92 ("&amp;TEXT('Ch7 EOT Results'!I17,"0%")&amp;")   Overall: "&amp;'Ch7 EOT Results'!J17)</f>
        <v/>
      </c>
    </row>
    <row r="40">
      <c r="A40">
        <f>IF('Ch7 EOT Results'!J16="","",IF('Ch7 EOT Results'!J16="Green",Parameters!$C$448,IF('Ch7 EOT Results'!J16="Yellow",Parameters!$C$447,Parameters!$C$446)))</f>
        <v/>
      </c>
      <c r="K40">
        <f>IF('Ch7 EOT Results'!J17="","",IF('Ch7 EOT Results'!J17="Green",Parameters!$C$448,IF('Ch7 EOT Results'!J17="Yellow",Parameters!$C$447,Parameters!$C$446)))</f>
        <v/>
      </c>
    </row>
    <row r="42">
      <c r="A42">
        <f>IF('Ch7 EOT Results'!J16="","","Breakdown:")</f>
        <v/>
      </c>
      <c r="K42">
        <f>IF('Ch7 EOT Results'!J17="","","Breakdown:")</f>
        <v/>
      </c>
    </row>
    <row r="43">
      <c r="A43">
        <f>IF('Ch7 EOT Results'!J16="","","Q1 Scatter, PMCC &amp; regression prediction: "&amp;'Ch7 EOT Results'!C16&amp;"/18")</f>
        <v/>
      </c>
      <c r="K43">
        <f>IF('Ch7 EOT Results'!J17="","","Q1 Scatter, PMCC &amp; regression prediction: "&amp;'Ch7 EOT Results'!C17&amp;"/18")</f>
        <v/>
      </c>
    </row>
    <row r="44">
      <c r="A44">
        <f>IF('Ch7 EOT Results'!J16="","","Q2 Scatter graphs &amp; comparing PMCC values: "&amp;'Ch7 EOT Results'!D16&amp;"/22")</f>
        <v/>
      </c>
      <c r="K44">
        <f>IF('Ch7 EOT Results'!J17="","","Q2 Scatter graphs &amp; comparing PMCC values: "&amp;'Ch7 EOT Results'!D17&amp;"/22")</f>
        <v/>
      </c>
    </row>
    <row r="45">
      <c r="A45">
        <f>IF('Ch7 EOT Results'!J16="","","Q3 Outliers, PMCC &amp; regression: "&amp;'Ch7 EOT Results'!E16&amp;"/23")</f>
        <v/>
      </c>
      <c r="K45">
        <f>IF('Ch7 EOT Results'!J17="","","Q3 Outliers, PMCC &amp; regression: "&amp;'Ch7 EOT Results'!E17&amp;"/23")</f>
        <v/>
      </c>
    </row>
    <row r="46">
      <c r="A46">
        <f>IF('Ch7 EOT Results'!J16="","","Q4 Interpreting regression lines &amp; residuals: "&amp;'Ch7 EOT Results'!F16&amp;"/15")</f>
        <v/>
      </c>
      <c r="K46">
        <f>IF('Ch7 EOT Results'!J17="","","Q4 Interpreting regression lines &amp; residuals: "&amp;'Ch7 EOT Results'!F17&amp;"/15")</f>
        <v/>
      </c>
    </row>
    <row r="47">
      <c r="A47">
        <f>IF('Ch7 EOT Results'!J16="","","Q5 Extrapolation &amp; model limitations: "&amp;'Ch7 EOT Results'!G16&amp;"/14")</f>
        <v/>
      </c>
      <c r="K47">
        <f>IF('Ch7 EOT Results'!J17="","","Q5 Extrapolation &amp; model limitations: "&amp;'Ch7 EOT Results'!G17&amp;"/14")</f>
        <v/>
      </c>
    </row>
    <row r="48">
      <c r="A48">
        <f>IF(OR('Ch7 EOT Results'!J16="",'Ch7 EOT Results'!K16=""),"",'Ch7 EOT Results'!K16)</f>
        <v/>
      </c>
      <c r="K48">
        <f>IF(OR('Ch7 EOT Results'!J17="",'Ch7 EOT Results'!K17=""),"",'Ch7 EOT Results'!K17)</f>
        <v/>
      </c>
    </row>
    <row r="50">
      <c r="A50">
        <f>IF('Ch7 EOT Results'!J16="","","Comments:")</f>
        <v/>
      </c>
      <c r="K50">
        <f>IF('Ch7 EOT Results'!J17="","","Comments:")</f>
        <v/>
      </c>
    </row>
    <row r="53">
      <c r="A53">
        <f>IF('Ch7 EOT Results'!J18="","","Chapter 7 End of Topic Test — Correlation and Regression")</f>
        <v/>
      </c>
      <c r="K53">
        <f>IF('Ch7 EOT Results'!J19="","","Chapter 7 End of Topic Test — Correlation and Regression")</f>
        <v/>
      </c>
    </row>
    <row r="54">
      <c r="A54">
        <f>IF('Ch7 EOT Results'!J18="","","Name: "&amp;'Ch7 EOT Results'!B18&amp;"   Class: "&amp;'Ch7 EOT Results'!$B$3&amp;"   Date: "&amp;TEXT('Ch7 EOT Results'!$B$5,"DD/MM/YY"))</f>
        <v/>
      </c>
      <c r="K54">
        <f>IF('Ch7 EOT Results'!J19="","","Name: "&amp;'Ch7 EOT Results'!B19&amp;"   Class: "&amp;'Ch7 EOT Results'!$B$3&amp;"   Date: "&amp;TEXT('Ch7 EOT Results'!$B$5,"DD/MM/YY"))</f>
        <v/>
      </c>
    </row>
    <row r="55">
      <c r="A55">
        <f>IF('Ch7 EOT Results'!J18="","","Total: "&amp;'Ch7 EOT Results'!H18&amp;"/92 ("&amp;TEXT('Ch7 EOT Results'!I18,"0%")&amp;")   Overall: "&amp;'Ch7 EOT Results'!J18)</f>
        <v/>
      </c>
      <c r="K55">
        <f>IF('Ch7 EOT Results'!J19="","","Total: "&amp;'Ch7 EOT Results'!H19&amp;"/92 ("&amp;TEXT('Ch7 EOT Results'!I19,"0%")&amp;")   Overall: "&amp;'Ch7 EOT Results'!J19)</f>
        <v/>
      </c>
    </row>
    <row r="56">
      <c r="A56">
        <f>IF('Ch7 EOT Results'!J18="","",IF('Ch7 EOT Results'!J18="Green",Parameters!$C$448,IF('Ch7 EOT Results'!J18="Yellow",Parameters!$C$447,Parameters!$C$446)))</f>
        <v/>
      </c>
      <c r="K56">
        <f>IF('Ch7 EOT Results'!J19="","",IF('Ch7 EOT Results'!J19="Green",Parameters!$C$448,IF('Ch7 EOT Results'!J19="Yellow",Parameters!$C$447,Parameters!$C$446)))</f>
        <v/>
      </c>
    </row>
    <row r="58">
      <c r="A58">
        <f>IF('Ch7 EOT Results'!J18="","","Breakdown:")</f>
        <v/>
      </c>
      <c r="K58">
        <f>IF('Ch7 EOT Results'!J19="","","Breakdown:")</f>
        <v/>
      </c>
    </row>
    <row r="59">
      <c r="A59">
        <f>IF('Ch7 EOT Results'!J18="","","Q1 Scatter, PMCC &amp; regression prediction: "&amp;'Ch7 EOT Results'!C18&amp;"/18")</f>
        <v/>
      </c>
      <c r="K59">
        <f>IF('Ch7 EOT Results'!J19="","","Q1 Scatter, PMCC &amp; regression prediction: "&amp;'Ch7 EOT Results'!C19&amp;"/18")</f>
        <v/>
      </c>
    </row>
    <row r="60">
      <c r="A60">
        <f>IF('Ch7 EOT Results'!J18="","","Q2 Scatter graphs &amp; comparing PMCC values: "&amp;'Ch7 EOT Results'!D18&amp;"/22")</f>
        <v/>
      </c>
      <c r="K60">
        <f>IF('Ch7 EOT Results'!J19="","","Q2 Scatter graphs &amp; comparing PMCC values: "&amp;'Ch7 EOT Results'!D19&amp;"/22")</f>
        <v/>
      </c>
    </row>
    <row r="61">
      <c r="A61">
        <f>IF('Ch7 EOT Results'!J18="","","Q3 Outliers, PMCC &amp; regression: "&amp;'Ch7 EOT Results'!E18&amp;"/23")</f>
        <v/>
      </c>
      <c r="K61">
        <f>IF('Ch7 EOT Results'!J19="","","Q3 Outliers, PMCC &amp; regression: "&amp;'Ch7 EOT Results'!E19&amp;"/23")</f>
        <v/>
      </c>
    </row>
    <row r="62">
      <c r="A62">
        <f>IF('Ch7 EOT Results'!J18="","","Q4 Interpreting regression lines &amp; residuals: "&amp;'Ch7 EOT Results'!F18&amp;"/15")</f>
        <v/>
      </c>
      <c r="K62">
        <f>IF('Ch7 EOT Results'!J19="","","Q4 Interpreting regression lines &amp; residuals: "&amp;'Ch7 EOT Results'!F19&amp;"/15")</f>
        <v/>
      </c>
    </row>
    <row r="63">
      <c r="A63">
        <f>IF('Ch7 EOT Results'!J18="","","Q5 Extrapolation &amp; model limitations: "&amp;'Ch7 EOT Results'!G18&amp;"/14")</f>
        <v/>
      </c>
      <c r="K63">
        <f>IF('Ch7 EOT Results'!J19="","","Q5 Extrapolation &amp; model limitations: "&amp;'Ch7 EOT Results'!G19&amp;"/14")</f>
        <v/>
      </c>
    </row>
    <row r="64">
      <c r="A64">
        <f>IF(OR('Ch7 EOT Results'!J18="",'Ch7 EOT Results'!K18=""),"",'Ch7 EOT Results'!K18)</f>
        <v/>
      </c>
      <c r="K64">
        <f>IF(OR('Ch7 EOT Results'!J19="",'Ch7 EOT Results'!K19=""),"",'Ch7 EOT Results'!K19)</f>
        <v/>
      </c>
    </row>
    <row r="66">
      <c r="A66">
        <f>IF('Ch7 EOT Results'!J18="","","Comments:")</f>
        <v/>
      </c>
      <c r="K66">
        <f>IF('Ch7 EOT Results'!J19="","","Comments:")</f>
        <v/>
      </c>
    </row>
    <row r="69">
      <c r="A69">
        <f>IF('Ch7 EOT Results'!J20="","","Chapter 7 End of Topic Test — Correlation and Regression")</f>
        <v/>
      </c>
      <c r="K69">
        <f>IF('Ch7 EOT Results'!J21="","","Chapter 7 End of Topic Test — Correlation and Regression")</f>
        <v/>
      </c>
    </row>
    <row r="70">
      <c r="A70">
        <f>IF('Ch7 EOT Results'!J20="","","Name: "&amp;'Ch7 EOT Results'!B20&amp;"   Class: "&amp;'Ch7 EOT Results'!$B$3&amp;"   Date: "&amp;TEXT('Ch7 EOT Results'!$B$5,"DD/MM/YY"))</f>
        <v/>
      </c>
      <c r="K70">
        <f>IF('Ch7 EOT Results'!J21="","","Name: "&amp;'Ch7 EOT Results'!B21&amp;"   Class: "&amp;'Ch7 EOT Results'!$B$3&amp;"   Date: "&amp;TEXT('Ch7 EOT Results'!$B$5,"DD/MM/YY"))</f>
        <v/>
      </c>
    </row>
    <row r="71">
      <c r="A71">
        <f>IF('Ch7 EOT Results'!J20="","","Total: "&amp;'Ch7 EOT Results'!H20&amp;"/92 ("&amp;TEXT('Ch7 EOT Results'!I20,"0%")&amp;")   Overall: "&amp;'Ch7 EOT Results'!J20)</f>
        <v/>
      </c>
      <c r="K71">
        <f>IF('Ch7 EOT Results'!J21="","","Total: "&amp;'Ch7 EOT Results'!H21&amp;"/92 ("&amp;TEXT('Ch7 EOT Results'!I21,"0%")&amp;")   Overall: "&amp;'Ch7 EOT Results'!J21)</f>
        <v/>
      </c>
    </row>
    <row r="72">
      <c r="A72">
        <f>IF('Ch7 EOT Results'!J20="","",IF('Ch7 EOT Results'!J20="Green",Parameters!$C$448,IF('Ch7 EOT Results'!J20="Yellow",Parameters!$C$447,Parameters!$C$446)))</f>
        <v/>
      </c>
      <c r="K72">
        <f>IF('Ch7 EOT Results'!J21="","",IF('Ch7 EOT Results'!J21="Green",Parameters!$C$448,IF('Ch7 EOT Results'!J21="Yellow",Parameters!$C$447,Parameters!$C$446)))</f>
        <v/>
      </c>
    </row>
    <row r="74">
      <c r="A74">
        <f>IF('Ch7 EOT Results'!J20="","","Breakdown:")</f>
        <v/>
      </c>
      <c r="K74">
        <f>IF('Ch7 EOT Results'!J21="","","Breakdown:")</f>
        <v/>
      </c>
    </row>
    <row r="75">
      <c r="A75">
        <f>IF('Ch7 EOT Results'!J20="","","Q1 Scatter, PMCC &amp; regression prediction: "&amp;'Ch7 EOT Results'!C20&amp;"/18")</f>
        <v/>
      </c>
      <c r="K75">
        <f>IF('Ch7 EOT Results'!J21="","","Q1 Scatter, PMCC &amp; regression prediction: "&amp;'Ch7 EOT Results'!C21&amp;"/18")</f>
        <v/>
      </c>
    </row>
    <row r="76">
      <c r="A76">
        <f>IF('Ch7 EOT Results'!J20="","","Q2 Scatter graphs &amp; comparing PMCC values: "&amp;'Ch7 EOT Results'!D20&amp;"/22")</f>
        <v/>
      </c>
      <c r="K76">
        <f>IF('Ch7 EOT Results'!J21="","","Q2 Scatter graphs &amp; comparing PMCC values: "&amp;'Ch7 EOT Results'!D21&amp;"/22")</f>
        <v/>
      </c>
    </row>
    <row r="77">
      <c r="A77">
        <f>IF('Ch7 EOT Results'!J20="","","Q3 Outliers, PMCC &amp; regression: "&amp;'Ch7 EOT Results'!E20&amp;"/23")</f>
        <v/>
      </c>
      <c r="K77">
        <f>IF('Ch7 EOT Results'!J21="","","Q3 Outliers, PMCC &amp; regression: "&amp;'Ch7 EOT Results'!E21&amp;"/23")</f>
        <v/>
      </c>
    </row>
    <row r="78">
      <c r="A78">
        <f>IF('Ch7 EOT Results'!J20="","","Q4 Interpreting regression lines &amp; residuals: "&amp;'Ch7 EOT Results'!F20&amp;"/15")</f>
        <v/>
      </c>
      <c r="K78">
        <f>IF('Ch7 EOT Results'!J21="","","Q4 Interpreting regression lines &amp; residuals: "&amp;'Ch7 EOT Results'!F21&amp;"/15")</f>
        <v/>
      </c>
    </row>
    <row r="79">
      <c r="A79">
        <f>IF('Ch7 EOT Results'!J20="","","Q5 Extrapolation &amp; model limitations: "&amp;'Ch7 EOT Results'!G20&amp;"/14")</f>
        <v/>
      </c>
      <c r="K79">
        <f>IF('Ch7 EOT Results'!J21="","","Q5 Extrapolation &amp; model limitations: "&amp;'Ch7 EOT Results'!G21&amp;"/14")</f>
        <v/>
      </c>
    </row>
    <row r="80">
      <c r="A80">
        <f>IF(OR('Ch7 EOT Results'!J20="",'Ch7 EOT Results'!K20=""),"",'Ch7 EOT Results'!K20)</f>
        <v/>
      </c>
      <c r="K80">
        <f>IF(OR('Ch7 EOT Results'!J21="",'Ch7 EOT Results'!K21=""),"",'Ch7 EOT Results'!K21)</f>
        <v/>
      </c>
    </row>
    <row r="82">
      <c r="A82">
        <f>IF('Ch7 EOT Results'!J20="","","Comments:")</f>
        <v/>
      </c>
      <c r="K82">
        <f>IF('Ch7 EOT Results'!J21="","","Comments:")</f>
        <v/>
      </c>
    </row>
    <row r="85">
      <c r="A85">
        <f>IF('Ch7 EOT Results'!J22="","","Chapter 7 End of Topic Test — Correlation and Regression")</f>
        <v/>
      </c>
      <c r="K85">
        <f>IF('Ch7 EOT Results'!J23="","","Chapter 7 End of Topic Test — Correlation and Regression")</f>
        <v/>
      </c>
    </row>
    <row r="86">
      <c r="A86">
        <f>IF('Ch7 EOT Results'!J22="","","Name: "&amp;'Ch7 EOT Results'!B22&amp;"   Class: "&amp;'Ch7 EOT Results'!$B$3&amp;"   Date: "&amp;TEXT('Ch7 EOT Results'!$B$5,"DD/MM/YY"))</f>
        <v/>
      </c>
      <c r="K86">
        <f>IF('Ch7 EOT Results'!J23="","","Name: "&amp;'Ch7 EOT Results'!B23&amp;"   Class: "&amp;'Ch7 EOT Results'!$B$3&amp;"   Date: "&amp;TEXT('Ch7 EOT Results'!$B$5,"DD/MM/YY"))</f>
        <v/>
      </c>
    </row>
    <row r="87">
      <c r="A87">
        <f>IF('Ch7 EOT Results'!J22="","","Total: "&amp;'Ch7 EOT Results'!H22&amp;"/92 ("&amp;TEXT('Ch7 EOT Results'!I22,"0%")&amp;")   Overall: "&amp;'Ch7 EOT Results'!J22)</f>
        <v/>
      </c>
      <c r="K87">
        <f>IF('Ch7 EOT Results'!J23="","","Total: "&amp;'Ch7 EOT Results'!H23&amp;"/92 ("&amp;TEXT('Ch7 EOT Results'!I23,"0%")&amp;")   Overall: "&amp;'Ch7 EOT Results'!J23)</f>
        <v/>
      </c>
    </row>
    <row r="88">
      <c r="A88">
        <f>IF('Ch7 EOT Results'!J22="","",IF('Ch7 EOT Results'!J22="Green",Parameters!$C$448,IF('Ch7 EOT Results'!J22="Yellow",Parameters!$C$447,Parameters!$C$446)))</f>
        <v/>
      </c>
      <c r="K88">
        <f>IF('Ch7 EOT Results'!J23="","",IF('Ch7 EOT Results'!J23="Green",Parameters!$C$448,IF('Ch7 EOT Results'!J23="Yellow",Parameters!$C$447,Parameters!$C$446)))</f>
        <v/>
      </c>
    </row>
    <row r="90">
      <c r="A90">
        <f>IF('Ch7 EOT Results'!J22="","","Breakdown:")</f>
        <v/>
      </c>
      <c r="K90">
        <f>IF('Ch7 EOT Results'!J23="","","Breakdown:")</f>
        <v/>
      </c>
    </row>
    <row r="91">
      <c r="A91">
        <f>IF('Ch7 EOT Results'!J22="","","Q1 Scatter, PMCC &amp; regression prediction: "&amp;'Ch7 EOT Results'!C22&amp;"/18")</f>
        <v/>
      </c>
      <c r="K91">
        <f>IF('Ch7 EOT Results'!J23="","","Q1 Scatter, PMCC &amp; regression prediction: "&amp;'Ch7 EOT Results'!C23&amp;"/18")</f>
        <v/>
      </c>
    </row>
    <row r="92">
      <c r="A92">
        <f>IF('Ch7 EOT Results'!J22="","","Q2 Scatter graphs &amp; comparing PMCC values: "&amp;'Ch7 EOT Results'!D22&amp;"/22")</f>
        <v/>
      </c>
      <c r="K92">
        <f>IF('Ch7 EOT Results'!J23="","","Q2 Scatter graphs &amp; comparing PMCC values: "&amp;'Ch7 EOT Results'!D23&amp;"/22")</f>
        <v/>
      </c>
    </row>
    <row r="93">
      <c r="A93">
        <f>IF('Ch7 EOT Results'!J22="","","Q3 Outliers, PMCC &amp; regression: "&amp;'Ch7 EOT Results'!E22&amp;"/23")</f>
        <v/>
      </c>
      <c r="K93">
        <f>IF('Ch7 EOT Results'!J23="","","Q3 Outliers, PMCC &amp; regression: "&amp;'Ch7 EOT Results'!E23&amp;"/23")</f>
        <v/>
      </c>
    </row>
    <row r="94">
      <c r="A94">
        <f>IF('Ch7 EOT Results'!J22="","","Q4 Interpreting regression lines &amp; residuals: "&amp;'Ch7 EOT Results'!F22&amp;"/15")</f>
        <v/>
      </c>
      <c r="K94">
        <f>IF('Ch7 EOT Results'!J23="","","Q4 Interpreting regression lines &amp; residuals: "&amp;'Ch7 EOT Results'!F23&amp;"/15")</f>
        <v/>
      </c>
    </row>
    <row r="95">
      <c r="A95">
        <f>IF('Ch7 EOT Results'!J22="","","Q5 Extrapolation &amp; model limitations: "&amp;'Ch7 EOT Results'!G22&amp;"/14")</f>
        <v/>
      </c>
      <c r="K95">
        <f>IF('Ch7 EOT Results'!J23="","","Q5 Extrapolation &amp; model limitations: "&amp;'Ch7 EOT Results'!G23&amp;"/14")</f>
        <v/>
      </c>
    </row>
    <row r="96">
      <c r="A96">
        <f>IF(OR('Ch7 EOT Results'!J22="",'Ch7 EOT Results'!K22=""),"",'Ch7 EOT Results'!K22)</f>
        <v/>
      </c>
      <c r="K96">
        <f>IF(OR('Ch7 EOT Results'!J23="",'Ch7 EOT Results'!K23=""),"",'Ch7 EOT Results'!K23)</f>
        <v/>
      </c>
    </row>
    <row r="98">
      <c r="A98">
        <f>IF('Ch7 EOT Results'!J22="","","Comments:")</f>
        <v/>
      </c>
      <c r="K98">
        <f>IF('Ch7 EOT Results'!J23="","","Comments:")</f>
        <v/>
      </c>
    </row>
    <row r="101">
      <c r="A101">
        <f>IF('Ch7 EOT Results'!J24="","","Chapter 7 End of Topic Test — Correlation and Regression")</f>
        <v/>
      </c>
      <c r="K101">
        <f>IF('Ch7 EOT Results'!J25="","","Chapter 7 End of Topic Test — Correlation and Regression")</f>
        <v/>
      </c>
    </row>
    <row r="102">
      <c r="A102">
        <f>IF('Ch7 EOT Results'!J24="","","Name: "&amp;'Ch7 EOT Results'!B24&amp;"   Class: "&amp;'Ch7 EOT Results'!$B$3&amp;"   Date: "&amp;TEXT('Ch7 EOT Results'!$B$5,"DD/MM/YY"))</f>
        <v/>
      </c>
      <c r="K102">
        <f>IF('Ch7 EOT Results'!J25="","","Name: "&amp;'Ch7 EOT Results'!B25&amp;"   Class: "&amp;'Ch7 EOT Results'!$B$3&amp;"   Date: "&amp;TEXT('Ch7 EOT Results'!$B$5,"DD/MM/YY"))</f>
        <v/>
      </c>
    </row>
    <row r="103">
      <c r="A103">
        <f>IF('Ch7 EOT Results'!J24="","","Total: "&amp;'Ch7 EOT Results'!H24&amp;"/92 ("&amp;TEXT('Ch7 EOT Results'!I24,"0%")&amp;")   Overall: "&amp;'Ch7 EOT Results'!J24)</f>
        <v/>
      </c>
      <c r="K103">
        <f>IF('Ch7 EOT Results'!J25="","","Total: "&amp;'Ch7 EOT Results'!H25&amp;"/92 ("&amp;TEXT('Ch7 EOT Results'!I25,"0%")&amp;")   Overall: "&amp;'Ch7 EOT Results'!J25)</f>
        <v/>
      </c>
    </row>
    <row r="104">
      <c r="A104">
        <f>IF('Ch7 EOT Results'!J24="","",IF('Ch7 EOT Results'!J24="Green",Parameters!$C$448,IF('Ch7 EOT Results'!J24="Yellow",Parameters!$C$447,Parameters!$C$446)))</f>
        <v/>
      </c>
      <c r="K104">
        <f>IF('Ch7 EOT Results'!J25="","",IF('Ch7 EOT Results'!J25="Green",Parameters!$C$448,IF('Ch7 EOT Results'!J25="Yellow",Parameters!$C$447,Parameters!$C$446)))</f>
        <v/>
      </c>
    </row>
    <row r="106">
      <c r="A106">
        <f>IF('Ch7 EOT Results'!J24="","","Breakdown:")</f>
        <v/>
      </c>
      <c r="K106">
        <f>IF('Ch7 EOT Results'!J25="","","Breakdown:")</f>
        <v/>
      </c>
    </row>
    <row r="107">
      <c r="A107">
        <f>IF('Ch7 EOT Results'!J24="","","Q1 Scatter, PMCC &amp; regression prediction: "&amp;'Ch7 EOT Results'!C24&amp;"/18")</f>
        <v/>
      </c>
      <c r="K107">
        <f>IF('Ch7 EOT Results'!J25="","","Q1 Scatter, PMCC &amp; regression prediction: "&amp;'Ch7 EOT Results'!C25&amp;"/18")</f>
        <v/>
      </c>
    </row>
    <row r="108">
      <c r="A108">
        <f>IF('Ch7 EOT Results'!J24="","","Q2 Scatter graphs &amp; comparing PMCC values: "&amp;'Ch7 EOT Results'!D24&amp;"/22")</f>
        <v/>
      </c>
      <c r="K108">
        <f>IF('Ch7 EOT Results'!J25="","","Q2 Scatter graphs &amp; comparing PMCC values: "&amp;'Ch7 EOT Results'!D25&amp;"/22")</f>
        <v/>
      </c>
    </row>
    <row r="109">
      <c r="A109">
        <f>IF('Ch7 EOT Results'!J24="","","Q3 Outliers, PMCC &amp; regression: "&amp;'Ch7 EOT Results'!E24&amp;"/23")</f>
        <v/>
      </c>
      <c r="K109">
        <f>IF('Ch7 EOT Results'!J25="","","Q3 Outliers, PMCC &amp; regression: "&amp;'Ch7 EOT Results'!E25&amp;"/23")</f>
        <v/>
      </c>
    </row>
    <row r="110">
      <c r="A110">
        <f>IF('Ch7 EOT Results'!J24="","","Q4 Interpreting regression lines &amp; residuals: "&amp;'Ch7 EOT Results'!F24&amp;"/15")</f>
        <v/>
      </c>
      <c r="K110">
        <f>IF('Ch7 EOT Results'!J25="","","Q4 Interpreting regression lines &amp; residuals: "&amp;'Ch7 EOT Results'!F25&amp;"/15")</f>
        <v/>
      </c>
    </row>
    <row r="111">
      <c r="A111">
        <f>IF('Ch7 EOT Results'!J24="","","Q5 Extrapolation &amp; model limitations: "&amp;'Ch7 EOT Results'!G24&amp;"/14")</f>
        <v/>
      </c>
      <c r="K111">
        <f>IF('Ch7 EOT Results'!J25="","","Q5 Extrapolation &amp; model limitations: "&amp;'Ch7 EOT Results'!G25&amp;"/14")</f>
        <v/>
      </c>
    </row>
    <row r="112">
      <c r="A112">
        <f>IF(OR('Ch7 EOT Results'!J24="",'Ch7 EOT Results'!K24=""),"",'Ch7 EOT Results'!K24)</f>
        <v/>
      </c>
      <c r="K112">
        <f>IF(OR('Ch7 EOT Results'!J25="",'Ch7 EOT Results'!K25=""),"",'Ch7 EOT Results'!K25)</f>
        <v/>
      </c>
    </row>
    <row r="114">
      <c r="A114">
        <f>IF('Ch7 EOT Results'!J24="","","Comments:")</f>
        <v/>
      </c>
      <c r="K114">
        <f>IF('Ch7 EOT Results'!J25="","","Comments:")</f>
        <v/>
      </c>
    </row>
    <row r="117">
      <c r="A117">
        <f>IF('Ch7 EOT Results'!J26="","","Chapter 7 End of Topic Test — Correlation and Regression")</f>
        <v/>
      </c>
      <c r="K117">
        <f>IF('Ch7 EOT Results'!J27="","","Chapter 7 End of Topic Test — Correlation and Regression")</f>
        <v/>
      </c>
    </row>
    <row r="118">
      <c r="A118">
        <f>IF('Ch7 EOT Results'!J26="","","Name: "&amp;'Ch7 EOT Results'!B26&amp;"   Class: "&amp;'Ch7 EOT Results'!$B$3&amp;"   Date: "&amp;TEXT('Ch7 EOT Results'!$B$5,"DD/MM/YY"))</f>
        <v/>
      </c>
      <c r="K118">
        <f>IF('Ch7 EOT Results'!J27="","","Name: "&amp;'Ch7 EOT Results'!B27&amp;"   Class: "&amp;'Ch7 EOT Results'!$B$3&amp;"   Date: "&amp;TEXT('Ch7 EOT Results'!$B$5,"DD/MM/YY"))</f>
        <v/>
      </c>
    </row>
    <row r="119">
      <c r="A119">
        <f>IF('Ch7 EOT Results'!J26="","","Total: "&amp;'Ch7 EOT Results'!H26&amp;"/92 ("&amp;TEXT('Ch7 EOT Results'!I26,"0%")&amp;")   Overall: "&amp;'Ch7 EOT Results'!J26)</f>
        <v/>
      </c>
      <c r="K119">
        <f>IF('Ch7 EOT Results'!J27="","","Total: "&amp;'Ch7 EOT Results'!H27&amp;"/92 ("&amp;TEXT('Ch7 EOT Results'!I27,"0%")&amp;")   Overall: "&amp;'Ch7 EOT Results'!J27)</f>
        <v/>
      </c>
    </row>
    <row r="120">
      <c r="A120">
        <f>IF('Ch7 EOT Results'!J26="","",IF('Ch7 EOT Results'!J26="Green",Parameters!$C$448,IF('Ch7 EOT Results'!J26="Yellow",Parameters!$C$447,Parameters!$C$446)))</f>
        <v/>
      </c>
      <c r="K120">
        <f>IF('Ch7 EOT Results'!J27="","",IF('Ch7 EOT Results'!J27="Green",Parameters!$C$448,IF('Ch7 EOT Results'!J27="Yellow",Parameters!$C$447,Parameters!$C$446)))</f>
        <v/>
      </c>
    </row>
    <row r="122">
      <c r="A122">
        <f>IF('Ch7 EOT Results'!J26="","","Breakdown:")</f>
        <v/>
      </c>
      <c r="K122">
        <f>IF('Ch7 EOT Results'!J27="","","Breakdown:")</f>
        <v/>
      </c>
    </row>
    <row r="123">
      <c r="A123">
        <f>IF('Ch7 EOT Results'!J26="","","Q1 Scatter, PMCC &amp; regression prediction: "&amp;'Ch7 EOT Results'!C26&amp;"/18")</f>
        <v/>
      </c>
      <c r="K123">
        <f>IF('Ch7 EOT Results'!J27="","","Q1 Scatter, PMCC &amp; regression prediction: "&amp;'Ch7 EOT Results'!C27&amp;"/18")</f>
        <v/>
      </c>
    </row>
    <row r="124">
      <c r="A124">
        <f>IF('Ch7 EOT Results'!J26="","","Q2 Scatter graphs &amp; comparing PMCC values: "&amp;'Ch7 EOT Results'!D26&amp;"/22")</f>
        <v/>
      </c>
      <c r="K124">
        <f>IF('Ch7 EOT Results'!J27="","","Q2 Scatter graphs &amp; comparing PMCC values: "&amp;'Ch7 EOT Results'!D27&amp;"/22")</f>
        <v/>
      </c>
    </row>
    <row r="125">
      <c r="A125">
        <f>IF('Ch7 EOT Results'!J26="","","Q3 Outliers, PMCC &amp; regression: "&amp;'Ch7 EOT Results'!E26&amp;"/23")</f>
        <v/>
      </c>
      <c r="K125">
        <f>IF('Ch7 EOT Results'!J27="","","Q3 Outliers, PMCC &amp; regression: "&amp;'Ch7 EOT Results'!E27&amp;"/23")</f>
        <v/>
      </c>
    </row>
    <row r="126">
      <c r="A126">
        <f>IF('Ch7 EOT Results'!J26="","","Q4 Interpreting regression lines &amp; residuals: "&amp;'Ch7 EOT Results'!F26&amp;"/15")</f>
        <v/>
      </c>
      <c r="K126">
        <f>IF('Ch7 EOT Results'!J27="","","Q4 Interpreting regression lines &amp; residuals: "&amp;'Ch7 EOT Results'!F27&amp;"/15")</f>
        <v/>
      </c>
    </row>
    <row r="127">
      <c r="A127">
        <f>IF('Ch7 EOT Results'!J26="","","Q5 Extrapolation &amp; model limitations: "&amp;'Ch7 EOT Results'!G26&amp;"/14")</f>
        <v/>
      </c>
      <c r="K127">
        <f>IF('Ch7 EOT Results'!J27="","","Q5 Extrapolation &amp; model limitations: "&amp;'Ch7 EOT Results'!G27&amp;"/14")</f>
        <v/>
      </c>
    </row>
    <row r="128">
      <c r="A128">
        <f>IF(OR('Ch7 EOT Results'!J26="",'Ch7 EOT Results'!K26=""),"",'Ch7 EOT Results'!K26)</f>
        <v/>
      </c>
      <c r="K128">
        <f>IF(OR('Ch7 EOT Results'!J27="",'Ch7 EOT Results'!K27=""),"",'Ch7 EOT Results'!K27)</f>
        <v/>
      </c>
    </row>
    <row r="130">
      <c r="A130">
        <f>IF('Ch7 EOT Results'!J26="","","Comments:")</f>
        <v/>
      </c>
      <c r="K130">
        <f>IF('Ch7 EOT Results'!J27="","","Comments:")</f>
        <v/>
      </c>
    </row>
    <row r="133">
      <c r="A133">
        <f>IF('Ch7 EOT Results'!J28="","","Chapter 7 End of Topic Test — Correlation and Regression")</f>
        <v/>
      </c>
      <c r="K133">
        <f>IF('Ch7 EOT Results'!J29="","","Chapter 7 End of Topic Test — Correlation and Regression")</f>
        <v/>
      </c>
    </row>
    <row r="134">
      <c r="A134">
        <f>IF('Ch7 EOT Results'!J28="","","Name: "&amp;'Ch7 EOT Results'!B28&amp;"   Class: "&amp;'Ch7 EOT Results'!$B$3&amp;"   Date: "&amp;TEXT('Ch7 EOT Results'!$B$5,"DD/MM/YY"))</f>
        <v/>
      </c>
      <c r="K134">
        <f>IF('Ch7 EOT Results'!J29="","","Name: "&amp;'Ch7 EOT Results'!B29&amp;"   Class: "&amp;'Ch7 EOT Results'!$B$3&amp;"   Date: "&amp;TEXT('Ch7 EOT Results'!$B$5,"DD/MM/YY"))</f>
        <v/>
      </c>
    </row>
    <row r="135">
      <c r="A135">
        <f>IF('Ch7 EOT Results'!J28="","","Total: "&amp;'Ch7 EOT Results'!H28&amp;"/92 ("&amp;TEXT('Ch7 EOT Results'!I28,"0%")&amp;")   Overall: "&amp;'Ch7 EOT Results'!J28)</f>
        <v/>
      </c>
      <c r="K135">
        <f>IF('Ch7 EOT Results'!J29="","","Total: "&amp;'Ch7 EOT Results'!H29&amp;"/92 ("&amp;TEXT('Ch7 EOT Results'!I29,"0%")&amp;")   Overall: "&amp;'Ch7 EOT Results'!J29)</f>
        <v/>
      </c>
    </row>
    <row r="136">
      <c r="A136">
        <f>IF('Ch7 EOT Results'!J28="","",IF('Ch7 EOT Results'!J28="Green",Parameters!$C$448,IF('Ch7 EOT Results'!J28="Yellow",Parameters!$C$447,Parameters!$C$446)))</f>
        <v/>
      </c>
      <c r="K136">
        <f>IF('Ch7 EOT Results'!J29="","",IF('Ch7 EOT Results'!J29="Green",Parameters!$C$448,IF('Ch7 EOT Results'!J29="Yellow",Parameters!$C$447,Parameters!$C$446)))</f>
        <v/>
      </c>
    </row>
    <row r="138">
      <c r="A138">
        <f>IF('Ch7 EOT Results'!J28="","","Breakdown:")</f>
        <v/>
      </c>
      <c r="K138">
        <f>IF('Ch7 EOT Results'!J29="","","Breakdown:")</f>
        <v/>
      </c>
    </row>
    <row r="139">
      <c r="A139">
        <f>IF('Ch7 EOT Results'!J28="","","Q1 Scatter, PMCC &amp; regression prediction: "&amp;'Ch7 EOT Results'!C28&amp;"/18")</f>
        <v/>
      </c>
      <c r="K139">
        <f>IF('Ch7 EOT Results'!J29="","","Q1 Scatter, PMCC &amp; regression prediction: "&amp;'Ch7 EOT Results'!C29&amp;"/18")</f>
        <v/>
      </c>
    </row>
    <row r="140">
      <c r="A140">
        <f>IF('Ch7 EOT Results'!J28="","","Q2 Scatter graphs &amp; comparing PMCC values: "&amp;'Ch7 EOT Results'!D28&amp;"/22")</f>
        <v/>
      </c>
      <c r="K140">
        <f>IF('Ch7 EOT Results'!J29="","","Q2 Scatter graphs &amp; comparing PMCC values: "&amp;'Ch7 EOT Results'!D29&amp;"/22")</f>
        <v/>
      </c>
    </row>
    <row r="141">
      <c r="A141">
        <f>IF('Ch7 EOT Results'!J28="","","Q3 Outliers, PMCC &amp; regression: "&amp;'Ch7 EOT Results'!E28&amp;"/23")</f>
        <v/>
      </c>
      <c r="K141">
        <f>IF('Ch7 EOT Results'!J29="","","Q3 Outliers, PMCC &amp; regression: "&amp;'Ch7 EOT Results'!E29&amp;"/23")</f>
        <v/>
      </c>
    </row>
    <row r="142">
      <c r="A142">
        <f>IF('Ch7 EOT Results'!J28="","","Q4 Interpreting regression lines &amp; residuals: "&amp;'Ch7 EOT Results'!F28&amp;"/15")</f>
        <v/>
      </c>
      <c r="K142">
        <f>IF('Ch7 EOT Results'!J29="","","Q4 Interpreting regression lines &amp; residuals: "&amp;'Ch7 EOT Results'!F29&amp;"/15")</f>
        <v/>
      </c>
    </row>
    <row r="143">
      <c r="A143">
        <f>IF('Ch7 EOT Results'!J28="","","Q5 Extrapolation &amp; model limitations: "&amp;'Ch7 EOT Results'!G28&amp;"/14")</f>
        <v/>
      </c>
      <c r="K143">
        <f>IF('Ch7 EOT Results'!J29="","","Q5 Extrapolation &amp; model limitations: "&amp;'Ch7 EOT Results'!G29&amp;"/14")</f>
        <v/>
      </c>
    </row>
    <row r="144">
      <c r="A144">
        <f>IF(OR('Ch7 EOT Results'!J28="",'Ch7 EOT Results'!K28=""),"",'Ch7 EOT Results'!K28)</f>
        <v/>
      </c>
      <c r="K144">
        <f>IF(OR('Ch7 EOT Results'!J29="",'Ch7 EOT Results'!K29=""),"",'Ch7 EOT Results'!K29)</f>
        <v/>
      </c>
    </row>
    <row r="146">
      <c r="A146">
        <f>IF('Ch7 EOT Results'!J28="","","Comments:")</f>
        <v/>
      </c>
      <c r="K146">
        <f>IF('Ch7 EOT Results'!J29="","","Comments:")</f>
        <v/>
      </c>
    </row>
    <row r="149">
      <c r="A149">
        <f>IF('Ch7 EOT Results'!J30="","","Chapter 7 End of Topic Test — Correlation and Regression")</f>
        <v/>
      </c>
      <c r="K149">
        <f>IF('Ch7 EOT Results'!J31="","","Chapter 7 End of Topic Test — Correlation and Regression")</f>
        <v/>
      </c>
    </row>
    <row r="150">
      <c r="A150">
        <f>IF('Ch7 EOT Results'!J30="","","Name: "&amp;'Ch7 EOT Results'!B30&amp;"   Class: "&amp;'Ch7 EOT Results'!$B$3&amp;"   Date: "&amp;TEXT('Ch7 EOT Results'!$B$5,"DD/MM/YY"))</f>
        <v/>
      </c>
      <c r="K150">
        <f>IF('Ch7 EOT Results'!J31="","","Name: "&amp;'Ch7 EOT Results'!B31&amp;"   Class: "&amp;'Ch7 EOT Results'!$B$3&amp;"   Date: "&amp;TEXT('Ch7 EOT Results'!$B$5,"DD/MM/YY"))</f>
        <v/>
      </c>
    </row>
    <row r="151">
      <c r="A151">
        <f>IF('Ch7 EOT Results'!J30="","","Total: "&amp;'Ch7 EOT Results'!H30&amp;"/92 ("&amp;TEXT('Ch7 EOT Results'!I30,"0%")&amp;")   Overall: "&amp;'Ch7 EOT Results'!J30)</f>
        <v/>
      </c>
      <c r="K151">
        <f>IF('Ch7 EOT Results'!J31="","","Total: "&amp;'Ch7 EOT Results'!H31&amp;"/92 ("&amp;TEXT('Ch7 EOT Results'!I31,"0%")&amp;")   Overall: "&amp;'Ch7 EOT Results'!J31)</f>
        <v/>
      </c>
    </row>
    <row r="152">
      <c r="A152">
        <f>IF('Ch7 EOT Results'!J30="","",IF('Ch7 EOT Results'!J30="Green",Parameters!$C$448,IF('Ch7 EOT Results'!J30="Yellow",Parameters!$C$447,Parameters!$C$446)))</f>
        <v/>
      </c>
      <c r="K152">
        <f>IF('Ch7 EOT Results'!J31="","",IF('Ch7 EOT Results'!J31="Green",Parameters!$C$448,IF('Ch7 EOT Results'!J31="Yellow",Parameters!$C$447,Parameters!$C$446)))</f>
        <v/>
      </c>
    </row>
    <row r="154">
      <c r="A154">
        <f>IF('Ch7 EOT Results'!J30="","","Breakdown:")</f>
        <v/>
      </c>
      <c r="K154">
        <f>IF('Ch7 EOT Results'!J31="","","Breakdown:")</f>
        <v/>
      </c>
    </row>
    <row r="155">
      <c r="A155">
        <f>IF('Ch7 EOT Results'!J30="","","Q1 Scatter, PMCC &amp; regression prediction: "&amp;'Ch7 EOT Results'!C30&amp;"/18")</f>
        <v/>
      </c>
      <c r="K155">
        <f>IF('Ch7 EOT Results'!J31="","","Q1 Scatter, PMCC &amp; regression prediction: "&amp;'Ch7 EOT Results'!C31&amp;"/18")</f>
        <v/>
      </c>
    </row>
    <row r="156">
      <c r="A156">
        <f>IF('Ch7 EOT Results'!J30="","","Q2 Scatter graphs &amp; comparing PMCC values: "&amp;'Ch7 EOT Results'!D30&amp;"/22")</f>
        <v/>
      </c>
      <c r="K156">
        <f>IF('Ch7 EOT Results'!J31="","","Q2 Scatter graphs &amp; comparing PMCC values: "&amp;'Ch7 EOT Results'!D31&amp;"/22")</f>
        <v/>
      </c>
    </row>
    <row r="157">
      <c r="A157">
        <f>IF('Ch7 EOT Results'!J30="","","Q3 Outliers, PMCC &amp; regression: "&amp;'Ch7 EOT Results'!E30&amp;"/23")</f>
        <v/>
      </c>
      <c r="K157">
        <f>IF('Ch7 EOT Results'!J31="","","Q3 Outliers, PMCC &amp; regression: "&amp;'Ch7 EOT Results'!E31&amp;"/23")</f>
        <v/>
      </c>
    </row>
    <row r="158">
      <c r="A158">
        <f>IF('Ch7 EOT Results'!J30="","","Q4 Interpreting regression lines &amp; residuals: "&amp;'Ch7 EOT Results'!F30&amp;"/15")</f>
        <v/>
      </c>
      <c r="K158">
        <f>IF('Ch7 EOT Results'!J31="","","Q4 Interpreting regression lines &amp; residuals: "&amp;'Ch7 EOT Results'!F31&amp;"/15")</f>
        <v/>
      </c>
    </row>
    <row r="159">
      <c r="A159">
        <f>IF('Ch7 EOT Results'!J30="","","Q5 Extrapolation &amp; model limitations: "&amp;'Ch7 EOT Results'!G30&amp;"/14")</f>
        <v/>
      </c>
      <c r="K159">
        <f>IF('Ch7 EOT Results'!J31="","","Q5 Extrapolation &amp; model limitations: "&amp;'Ch7 EOT Results'!G31&amp;"/14")</f>
        <v/>
      </c>
    </row>
    <row r="160">
      <c r="A160">
        <f>IF(OR('Ch7 EOT Results'!J30="",'Ch7 EOT Results'!K30=""),"",'Ch7 EOT Results'!K30)</f>
        <v/>
      </c>
      <c r="K160">
        <f>IF(OR('Ch7 EOT Results'!J31="",'Ch7 EOT Results'!K31=""),"",'Ch7 EOT Results'!K31)</f>
        <v/>
      </c>
    </row>
    <row r="162">
      <c r="A162">
        <f>IF('Ch7 EOT Results'!J30="","","Comments:")</f>
        <v/>
      </c>
      <c r="K162">
        <f>IF('Ch7 EOT Results'!J31="","","Comments:")</f>
        <v/>
      </c>
    </row>
    <row r="165">
      <c r="A165">
        <f>IF('Ch7 EOT Results'!J32="","","Chapter 7 End of Topic Test — Correlation and Regression")</f>
        <v/>
      </c>
      <c r="K165">
        <f>IF('Ch7 EOT Results'!J33="","","Chapter 7 End of Topic Test — Correlation and Regression")</f>
        <v/>
      </c>
    </row>
    <row r="166">
      <c r="A166">
        <f>IF('Ch7 EOT Results'!J32="","","Name: "&amp;'Ch7 EOT Results'!B32&amp;"   Class: "&amp;'Ch7 EOT Results'!$B$3&amp;"   Date: "&amp;TEXT('Ch7 EOT Results'!$B$5,"DD/MM/YY"))</f>
        <v/>
      </c>
      <c r="K166">
        <f>IF('Ch7 EOT Results'!J33="","","Name: "&amp;'Ch7 EOT Results'!B33&amp;"   Class: "&amp;'Ch7 EOT Results'!$B$3&amp;"   Date: "&amp;TEXT('Ch7 EOT Results'!$B$5,"DD/MM/YY"))</f>
        <v/>
      </c>
    </row>
    <row r="167">
      <c r="A167">
        <f>IF('Ch7 EOT Results'!J32="","","Total: "&amp;'Ch7 EOT Results'!H32&amp;"/92 ("&amp;TEXT('Ch7 EOT Results'!I32,"0%")&amp;")   Overall: "&amp;'Ch7 EOT Results'!J32)</f>
        <v/>
      </c>
      <c r="K167">
        <f>IF('Ch7 EOT Results'!J33="","","Total: "&amp;'Ch7 EOT Results'!H33&amp;"/92 ("&amp;TEXT('Ch7 EOT Results'!I33,"0%")&amp;")   Overall: "&amp;'Ch7 EOT Results'!J33)</f>
        <v/>
      </c>
    </row>
    <row r="168">
      <c r="A168">
        <f>IF('Ch7 EOT Results'!J32="","",IF('Ch7 EOT Results'!J32="Green",Parameters!$C$448,IF('Ch7 EOT Results'!J32="Yellow",Parameters!$C$447,Parameters!$C$446)))</f>
        <v/>
      </c>
      <c r="K168">
        <f>IF('Ch7 EOT Results'!J33="","",IF('Ch7 EOT Results'!J33="Green",Parameters!$C$448,IF('Ch7 EOT Results'!J33="Yellow",Parameters!$C$447,Parameters!$C$446)))</f>
        <v/>
      </c>
    </row>
    <row r="170">
      <c r="A170">
        <f>IF('Ch7 EOT Results'!J32="","","Breakdown:")</f>
        <v/>
      </c>
      <c r="K170">
        <f>IF('Ch7 EOT Results'!J33="","","Breakdown:")</f>
        <v/>
      </c>
    </row>
    <row r="171">
      <c r="A171">
        <f>IF('Ch7 EOT Results'!J32="","","Q1 Scatter, PMCC &amp; regression prediction: "&amp;'Ch7 EOT Results'!C32&amp;"/18")</f>
        <v/>
      </c>
      <c r="K171">
        <f>IF('Ch7 EOT Results'!J33="","","Q1 Scatter, PMCC &amp; regression prediction: "&amp;'Ch7 EOT Results'!C33&amp;"/18")</f>
        <v/>
      </c>
    </row>
    <row r="172">
      <c r="A172">
        <f>IF('Ch7 EOT Results'!J32="","","Q2 Scatter graphs &amp; comparing PMCC values: "&amp;'Ch7 EOT Results'!D32&amp;"/22")</f>
        <v/>
      </c>
      <c r="K172">
        <f>IF('Ch7 EOT Results'!J33="","","Q2 Scatter graphs &amp; comparing PMCC values: "&amp;'Ch7 EOT Results'!D33&amp;"/22")</f>
        <v/>
      </c>
    </row>
    <row r="173">
      <c r="A173">
        <f>IF('Ch7 EOT Results'!J32="","","Q3 Outliers, PMCC &amp; regression: "&amp;'Ch7 EOT Results'!E32&amp;"/23")</f>
        <v/>
      </c>
      <c r="K173">
        <f>IF('Ch7 EOT Results'!J33="","","Q3 Outliers, PMCC &amp; regression: "&amp;'Ch7 EOT Results'!E33&amp;"/23")</f>
        <v/>
      </c>
    </row>
    <row r="174">
      <c r="A174">
        <f>IF('Ch7 EOT Results'!J32="","","Q4 Interpreting regression lines &amp; residuals: "&amp;'Ch7 EOT Results'!F32&amp;"/15")</f>
        <v/>
      </c>
      <c r="K174">
        <f>IF('Ch7 EOT Results'!J33="","","Q4 Interpreting regression lines &amp; residuals: "&amp;'Ch7 EOT Results'!F33&amp;"/15")</f>
        <v/>
      </c>
    </row>
    <row r="175">
      <c r="A175">
        <f>IF('Ch7 EOT Results'!J32="","","Q5 Extrapolation &amp; model limitations: "&amp;'Ch7 EOT Results'!G32&amp;"/14")</f>
        <v/>
      </c>
      <c r="K175">
        <f>IF('Ch7 EOT Results'!J33="","","Q5 Extrapolation &amp; model limitations: "&amp;'Ch7 EOT Results'!G33&amp;"/14")</f>
        <v/>
      </c>
    </row>
    <row r="176">
      <c r="A176">
        <f>IF(OR('Ch7 EOT Results'!J32="",'Ch7 EOT Results'!K32=""),"",'Ch7 EOT Results'!K32)</f>
        <v/>
      </c>
      <c r="K176">
        <f>IF(OR('Ch7 EOT Results'!J33="",'Ch7 EOT Results'!K33=""),"",'Ch7 EOT Results'!K33)</f>
        <v/>
      </c>
    </row>
    <row r="178">
      <c r="A178">
        <f>IF('Ch7 EOT Results'!J32="","","Comments:")</f>
        <v/>
      </c>
      <c r="K178">
        <f>IF('Ch7 EOT Results'!J33="","","Comments:")</f>
        <v/>
      </c>
    </row>
    <row r="181">
      <c r="A181">
        <f>IF('Ch7 EOT Results'!J34="","","Chapter 7 End of Topic Test — Correlation and Regression")</f>
        <v/>
      </c>
      <c r="K181">
        <f>IF('Ch7 EOT Results'!J35="","","Chapter 7 End of Topic Test — Correlation and Regression")</f>
        <v/>
      </c>
    </row>
    <row r="182">
      <c r="A182">
        <f>IF('Ch7 EOT Results'!J34="","","Name: "&amp;'Ch7 EOT Results'!B34&amp;"   Class: "&amp;'Ch7 EOT Results'!$B$3&amp;"   Date: "&amp;TEXT('Ch7 EOT Results'!$B$5,"DD/MM/YY"))</f>
        <v/>
      </c>
      <c r="K182">
        <f>IF('Ch7 EOT Results'!J35="","","Name: "&amp;'Ch7 EOT Results'!B35&amp;"   Class: "&amp;'Ch7 EOT Results'!$B$3&amp;"   Date: "&amp;TEXT('Ch7 EOT Results'!$B$5,"DD/MM/YY"))</f>
        <v/>
      </c>
    </row>
    <row r="183">
      <c r="A183">
        <f>IF('Ch7 EOT Results'!J34="","","Total: "&amp;'Ch7 EOT Results'!H34&amp;"/92 ("&amp;TEXT('Ch7 EOT Results'!I34,"0%")&amp;")   Overall: "&amp;'Ch7 EOT Results'!J34)</f>
        <v/>
      </c>
      <c r="K183">
        <f>IF('Ch7 EOT Results'!J35="","","Total: "&amp;'Ch7 EOT Results'!H35&amp;"/92 ("&amp;TEXT('Ch7 EOT Results'!I35,"0%")&amp;")   Overall: "&amp;'Ch7 EOT Results'!J35)</f>
        <v/>
      </c>
    </row>
    <row r="184">
      <c r="A184">
        <f>IF('Ch7 EOT Results'!J34="","",IF('Ch7 EOT Results'!J34="Green",Parameters!$C$448,IF('Ch7 EOT Results'!J34="Yellow",Parameters!$C$447,Parameters!$C$446)))</f>
        <v/>
      </c>
      <c r="K184">
        <f>IF('Ch7 EOT Results'!J35="","",IF('Ch7 EOT Results'!J35="Green",Parameters!$C$448,IF('Ch7 EOT Results'!J35="Yellow",Parameters!$C$447,Parameters!$C$446)))</f>
        <v/>
      </c>
    </row>
    <row r="186">
      <c r="A186">
        <f>IF('Ch7 EOT Results'!J34="","","Breakdown:")</f>
        <v/>
      </c>
      <c r="K186">
        <f>IF('Ch7 EOT Results'!J35="","","Breakdown:")</f>
        <v/>
      </c>
    </row>
    <row r="187">
      <c r="A187">
        <f>IF('Ch7 EOT Results'!J34="","","Q1 Scatter, PMCC &amp; regression prediction: "&amp;'Ch7 EOT Results'!C34&amp;"/18")</f>
        <v/>
      </c>
      <c r="K187">
        <f>IF('Ch7 EOT Results'!J35="","","Q1 Scatter, PMCC &amp; regression prediction: "&amp;'Ch7 EOT Results'!C35&amp;"/18")</f>
        <v/>
      </c>
    </row>
    <row r="188">
      <c r="A188">
        <f>IF('Ch7 EOT Results'!J34="","","Q2 Scatter graphs &amp; comparing PMCC values: "&amp;'Ch7 EOT Results'!D34&amp;"/22")</f>
        <v/>
      </c>
      <c r="K188">
        <f>IF('Ch7 EOT Results'!J35="","","Q2 Scatter graphs &amp; comparing PMCC values: "&amp;'Ch7 EOT Results'!D35&amp;"/22")</f>
        <v/>
      </c>
    </row>
    <row r="189">
      <c r="A189">
        <f>IF('Ch7 EOT Results'!J34="","","Q3 Outliers, PMCC &amp; regression: "&amp;'Ch7 EOT Results'!E34&amp;"/23")</f>
        <v/>
      </c>
      <c r="K189">
        <f>IF('Ch7 EOT Results'!J35="","","Q3 Outliers, PMCC &amp; regression: "&amp;'Ch7 EOT Results'!E35&amp;"/23")</f>
        <v/>
      </c>
    </row>
    <row r="190">
      <c r="A190">
        <f>IF('Ch7 EOT Results'!J34="","","Q4 Interpreting regression lines &amp; residuals: "&amp;'Ch7 EOT Results'!F34&amp;"/15")</f>
        <v/>
      </c>
      <c r="K190">
        <f>IF('Ch7 EOT Results'!J35="","","Q4 Interpreting regression lines &amp; residuals: "&amp;'Ch7 EOT Results'!F35&amp;"/15")</f>
        <v/>
      </c>
    </row>
    <row r="191">
      <c r="A191">
        <f>IF('Ch7 EOT Results'!J34="","","Q5 Extrapolation &amp; model limitations: "&amp;'Ch7 EOT Results'!G34&amp;"/14")</f>
        <v/>
      </c>
      <c r="K191">
        <f>IF('Ch7 EOT Results'!J35="","","Q5 Extrapolation &amp; model limitations: "&amp;'Ch7 EOT Results'!G35&amp;"/14")</f>
        <v/>
      </c>
    </row>
    <row r="192">
      <c r="A192">
        <f>IF(OR('Ch7 EOT Results'!J34="",'Ch7 EOT Results'!K34=""),"",'Ch7 EOT Results'!K34)</f>
        <v/>
      </c>
      <c r="K192">
        <f>IF(OR('Ch7 EOT Results'!J35="",'Ch7 EOT Results'!K35=""),"",'Ch7 EOT Results'!K35)</f>
        <v/>
      </c>
    </row>
    <row r="194">
      <c r="A194">
        <f>IF('Ch7 EOT Results'!J34="","","Comments:")</f>
        <v/>
      </c>
      <c r="K194">
        <f>IF('Ch7 EOT Results'!J35="","","Comments:")</f>
        <v/>
      </c>
    </row>
    <row r="197">
      <c r="A197">
        <f>IF('Ch7 EOT Results'!J36="","","Chapter 7 End of Topic Test — Correlation and Regression")</f>
        <v/>
      </c>
      <c r="K197">
        <f>IF('Ch7 EOT Results'!J37="","","Chapter 7 End of Topic Test — Correlation and Regression")</f>
        <v/>
      </c>
    </row>
    <row r="198">
      <c r="A198">
        <f>IF('Ch7 EOT Results'!J36="","","Name: "&amp;'Ch7 EOT Results'!B36&amp;"   Class: "&amp;'Ch7 EOT Results'!$B$3&amp;"   Date: "&amp;TEXT('Ch7 EOT Results'!$B$5,"DD/MM/YY"))</f>
        <v/>
      </c>
      <c r="K198">
        <f>IF('Ch7 EOT Results'!J37="","","Name: "&amp;'Ch7 EOT Results'!B37&amp;"   Class: "&amp;'Ch7 EOT Results'!$B$3&amp;"   Date: "&amp;TEXT('Ch7 EOT Results'!$B$5,"DD/MM/YY"))</f>
        <v/>
      </c>
    </row>
    <row r="199">
      <c r="A199">
        <f>IF('Ch7 EOT Results'!J36="","","Total: "&amp;'Ch7 EOT Results'!H36&amp;"/92 ("&amp;TEXT('Ch7 EOT Results'!I36,"0%")&amp;")   Overall: "&amp;'Ch7 EOT Results'!J36)</f>
        <v/>
      </c>
      <c r="K199">
        <f>IF('Ch7 EOT Results'!J37="","","Total: "&amp;'Ch7 EOT Results'!H37&amp;"/92 ("&amp;TEXT('Ch7 EOT Results'!I37,"0%")&amp;")   Overall: "&amp;'Ch7 EOT Results'!J37)</f>
        <v/>
      </c>
    </row>
    <row r="200">
      <c r="A200">
        <f>IF('Ch7 EOT Results'!J36="","",IF('Ch7 EOT Results'!J36="Green",Parameters!$C$448,IF('Ch7 EOT Results'!J36="Yellow",Parameters!$C$447,Parameters!$C$446)))</f>
        <v/>
      </c>
      <c r="K200">
        <f>IF('Ch7 EOT Results'!J37="","",IF('Ch7 EOT Results'!J37="Green",Parameters!$C$448,IF('Ch7 EOT Results'!J37="Yellow",Parameters!$C$447,Parameters!$C$446)))</f>
        <v/>
      </c>
    </row>
    <row r="202">
      <c r="A202">
        <f>IF('Ch7 EOT Results'!J36="","","Breakdown:")</f>
        <v/>
      </c>
      <c r="K202">
        <f>IF('Ch7 EOT Results'!J37="","","Breakdown:")</f>
        <v/>
      </c>
    </row>
    <row r="203">
      <c r="A203">
        <f>IF('Ch7 EOT Results'!J36="","","Q1 Scatter, PMCC &amp; regression prediction: "&amp;'Ch7 EOT Results'!C36&amp;"/18")</f>
        <v/>
      </c>
      <c r="K203">
        <f>IF('Ch7 EOT Results'!J37="","","Q1 Scatter, PMCC &amp; regression prediction: "&amp;'Ch7 EOT Results'!C37&amp;"/18")</f>
        <v/>
      </c>
    </row>
    <row r="204">
      <c r="A204">
        <f>IF('Ch7 EOT Results'!J36="","","Q2 Scatter graphs &amp; comparing PMCC values: "&amp;'Ch7 EOT Results'!D36&amp;"/22")</f>
        <v/>
      </c>
      <c r="K204">
        <f>IF('Ch7 EOT Results'!J37="","","Q2 Scatter graphs &amp; comparing PMCC values: "&amp;'Ch7 EOT Results'!D37&amp;"/22")</f>
        <v/>
      </c>
    </row>
    <row r="205">
      <c r="A205">
        <f>IF('Ch7 EOT Results'!J36="","","Q3 Outliers, PMCC &amp; regression: "&amp;'Ch7 EOT Results'!E36&amp;"/23")</f>
        <v/>
      </c>
      <c r="K205">
        <f>IF('Ch7 EOT Results'!J37="","","Q3 Outliers, PMCC &amp; regression: "&amp;'Ch7 EOT Results'!E37&amp;"/23")</f>
        <v/>
      </c>
    </row>
    <row r="206">
      <c r="A206">
        <f>IF('Ch7 EOT Results'!J36="","","Q4 Interpreting regression lines &amp; residuals: "&amp;'Ch7 EOT Results'!F36&amp;"/15")</f>
        <v/>
      </c>
      <c r="K206">
        <f>IF('Ch7 EOT Results'!J37="","","Q4 Interpreting regression lines &amp; residuals: "&amp;'Ch7 EOT Results'!F37&amp;"/15")</f>
        <v/>
      </c>
    </row>
    <row r="207">
      <c r="A207">
        <f>IF('Ch7 EOT Results'!J36="","","Q5 Extrapolation &amp; model limitations: "&amp;'Ch7 EOT Results'!G36&amp;"/14")</f>
        <v/>
      </c>
      <c r="K207">
        <f>IF('Ch7 EOT Results'!J37="","","Q5 Extrapolation &amp; model limitations: "&amp;'Ch7 EOT Results'!G37&amp;"/14")</f>
        <v/>
      </c>
    </row>
    <row r="208">
      <c r="A208">
        <f>IF(OR('Ch7 EOT Results'!J36="",'Ch7 EOT Results'!K36=""),"",'Ch7 EOT Results'!K36)</f>
        <v/>
      </c>
      <c r="K208">
        <f>IF(OR('Ch7 EOT Results'!J37="",'Ch7 EOT Results'!K37=""),"",'Ch7 EOT Results'!K37)</f>
        <v/>
      </c>
    </row>
    <row r="210">
      <c r="A210">
        <f>IF('Ch7 EOT Results'!J36="","","Comments:")</f>
        <v/>
      </c>
      <c r="K210">
        <f>IF('Ch7 EOT Results'!J37="","","Comments:")</f>
        <v/>
      </c>
    </row>
    <row r="213">
      <c r="A213">
        <f>IF('Ch7 EOT Results'!J38="","","Chapter 7 End of Topic Test — Correlation and Regression")</f>
        <v/>
      </c>
      <c r="K213">
        <f>IF('Ch7 EOT Results'!J39="","","Chapter 7 End of Topic Test — Correlation and Regression")</f>
        <v/>
      </c>
    </row>
    <row r="214">
      <c r="A214">
        <f>IF('Ch7 EOT Results'!J38="","","Name: "&amp;'Ch7 EOT Results'!B38&amp;"   Class: "&amp;'Ch7 EOT Results'!$B$3&amp;"   Date: "&amp;TEXT('Ch7 EOT Results'!$B$5,"DD/MM/YY"))</f>
        <v/>
      </c>
      <c r="K214">
        <f>IF('Ch7 EOT Results'!J39="","","Name: "&amp;'Ch7 EOT Results'!B39&amp;"   Class: "&amp;'Ch7 EOT Results'!$B$3&amp;"   Date: "&amp;TEXT('Ch7 EOT Results'!$B$5,"DD/MM/YY"))</f>
        <v/>
      </c>
    </row>
    <row r="215">
      <c r="A215">
        <f>IF('Ch7 EOT Results'!J38="","","Total: "&amp;'Ch7 EOT Results'!H38&amp;"/92 ("&amp;TEXT('Ch7 EOT Results'!I38,"0%")&amp;")   Overall: "&amp;'Ch7 EOT Results'!J38)</f>
        <v/>
      </c>
      <c r="K215">
        <f>IF('Ch7 EOT Results'!J39="","","Total: "&amp;'Ch7 EOT Results'!H39&amp;"/92 ("&amp;TEXT('Ch7 EOT Results'!I39,"0%")&amp;")   Overall: "&amp;'Ch7 EOT Results'!J39)</f>
        <v/>
      </c>
    </row>
    <row r="216">
      <c r="A216">
        <f>IF('Ch7 EOT Results'!J38="","",IF('Ch7 EOT Results'!J38="Green",Parameters!$C$448,IF('Ch7 EOT Results'!J38="Yellow",Parameters!$C$447,Parameters!$C$446)))</f>
        <v/>
      </c>
      <c r="K216">
        <f>IF('Ch7 EOT Results'!J39="","",IF('Ch7 EOT Results'!J39="Green",Parameters!$C$448,IF('Ch7 EOT Results'!J39="Yellow",Parameters!$C$447,Parameters!$C$446)))</f>
        <v/>
      </c>
    </row>
    <row r="218">
      <c r="A218">
        <f>IF('Ch7 EOT Results'!J38="","","Breakdown:")</f>
        <v/>
      </c>
      <c r="K218">
        <f>IF('Ch7 EOT Results'!J39="","","Breakdown:")</f>
        <v/>
      </c>
    </row>
    <row r="219">
      <c r="A219">
        <f>IF('Ch7 EOT Results'!J38="","","Q1 Scatter, PMCC &amp; regression prediction: "&amp;'Ch7 EOT Results'!C38&amp;"/18")</f>
        <v/>
      </c>
      <c r="K219">
        <f>IF('Ch7 EOT Results'!J39="","","Q1 Scatter, PMCC &amp; regression prediction: "&amp;'Ch7 EOT Results'!C39&amp;"/18")</f>
        <v/>
      </c>
    </row>
    <row r="220">
      <c r="A220">
        <f>IF('Ch7 EOT Results'!J38="","","Q2 Scatter graphs &amp; comparing PMCC values: "&amp;'Ch7 EOT Results'!D38&amp;"/22")</f>
        <v/>
      </c>
      <c r="K220">
        <f>IF('Ch7 EOT Results'!J39="","","Q2 Scatter graphs &amp; comparing PMCC values: "&amp;'Ch7 EOT Results'!D39&amp;"/22")</f>
        <v/>
      </c>
    </row>
    <row r="221">
      <c r="A221">
        <f>IF('Ch7 EOT Results'!J38="","","Q3 Outliers, PMCC &amp; regression: "&amp;'Ch7 EOT Results'!E38&amp;"/23")</f>
        <v/>
      </c>
      <c r="K221">
        <f>IF('Ch7 EOT Results'!J39="","","Q3 Outliers, PMCC &amp; regression: "&amp;'Ch7 EOT Results'!E39&amp;"/23")</f>
        <v/>
      </c>
    </row>
    <row r="222">
      <c r="A222">
        <f>IF('Ch7 EOT Results'!J38="","","Q4 Interpreting regression lines &amp; residuals: "&amp;'Ch7 EOT Results'!F38&amp;"/15")</f>
        <v/>
      </c>
      <c r="K222">
        <f>IF('Ch7 EOT Results'!J39="","","Q4 Interpreting regression lines &amp; residuals: "&amp;'Ch7 EOT Results'!F39&amp;"/15")</f>
        <v/>
      </c>
    </row>
    <row r="223">
      <c r="A223">
        <f>IF('Ch7 EOT Results'!J38="","","Q5 Extrapolation &amp; model limitations: "&amp;'Ch7 EOT Results'!G38&amp;"/14")</f>
        <v/>
      </c>
      <c r="K223">
        <f>IF('Ch7 EOT Results'!J39="","","Q5 Extrapolation &amp; model limitations: "&amp;'Ch7 EOT Results'!G39&amp;"/14")</f>
        <v/>
      </c>
    </row>
    <row r="224">
      <c r="A224">
        <f>IF(OR('Ch7 EOT Results'!J38="",'Ch7 EOT Results'!K38=""),"",'Ch7 EOT Results'!K38)</f>
        <v/>
      </c>
      <c r="K224">
        <f>IF(OR('Ch7 EOT Results'!J39="",'Ch7 EOT Results'!K39=""),"",'Ch7 EOT Results'!K39)</f>
        <v/>
      </c>
    </row>
    <row r="226">
      <c r="A226">
        <f>IF('Ch7 EOT Results'!J38="","","Comments:")</f>
        <v/>
      </c>
      <c r="K226">
        <f>IF('Ch7 EOT Results'!J39="","","Comments:")</f>
        <v/>
      </c>
    </row>
    <row r="229">
      <c r="A229">
        <f>IF('Ch7 EOT Results'!J40="","","Chapter 7 End of Topic Test — Correlation and Regression")</f>
        <v/>
      </c>
      <c r="K229">
        <f>IF('Ch7 EOT Results'!J41="","","Chapter 7 End of Topic Test — Correlation and Regression")</f>
        <v/>
      </c>
    </row>
    <row r="230">
      <c r="A230">
        <f>IF('Ch7 EOT Results'!J40="","","Name: "&amp;'Ch7 EOT Results'!B40&amp;"   Class: "&amp;'Ch7 EOT Results'!$B$3&amp;"   Date: "&amp;TEXT('Ch7 EOT Results'!$B$5,"DD/MM/YY"))</f>
        <v/>
      </c>
      <c r="K230">
        <f>IF('Ch7 EOT Results'!J41="","","Name: "&amp;'Ch7 EOT Results'!B41&amp;"   Class: "&amp;'Ch7 EOT Results'!$B$3&amp;"   Date: "&amp;TEXT('Ch7 EOT Results'!$B$5,"DD/MM/YY"))</f>
        <v/>
      </c>
    </row>
    <row r="231">
      <c r="A231">
        <f>IF('Ch7 EOT Results'!J40="","","Total: "&amp;'Ch7 EOT Results'!H40&amp;"/92 ("&amp;TEXT('Ch7 EOT Results'!I40,"0%")&amp;")   Overall: "&amp;'Ch7 EOT Results'!J40)</f>
        <v/>
      </c>
      <c r="K231">
        <f>IF('Ch7 EOT Results'!J41="","","Total: "&amp;'Ch7 EOT Results'!H41&amp;"/92 ("&amp;TEXT('Ch7 EOT Results'!I41,"0%")&amp;")   Overall: "&amp;'Ch7 EOT Results'!J41)</f>
        <v/>
      </c>
    </row>
    <row r="232">
      <c r="A232">
        <f>IF('Ch7 EOT Results'!J40="","",IF('Ch7 EOT Results'!J40="Green",Parameters!$C$448,IF('Ch7 EOT Results'!J40="Yellow",Parameters!$C$447,Parameters!$C$446)))</f>
        <v/>
      </c>
      <c r="K232">
        <f>IF('Ch7 EOT Results'!J41="","",IF('Ch7 EOT Results'!J41="Green",Parameters!$C$448,IF('Ch7 EOT Results'!J41="Yellow",Parameters!$C$447,Parameters!$C$446)))</f>
        <v/>
      </c>
    </row>
    <row r="234">
      <c r="A234">
        <f>IF('Ch7 EOT Results'!J40="","","Breakdown:")</f>
        <v/>
      </c>
      <c r="K234">
        <f>IF('Ch7 EOT Results'!J41="","","Breakdown:")</f>
        <v/>
      </c>
    </row>
    <row r="235">
      <c r="A235">
        <f>IF('Ch7 EOT Results'!J40="","","Q1 Scatter, PMCC &amp; regression prediction: "&amp;'Ch7 EOT Results'!C40&amp;"/18")</f>
        <v/>
      </c>
      <c r="K235">
        <f>IF('Ch7 EOT Results'!J41="","","Q1 Scatter, PMCC &amp; regression prediction: "&amp;'Ch7 EOT Results'!C41&amp;"/18")</f>
        <v/>
      </c>
    </row>
    <row r="236">
      <c r="A236">
        <f>IF('Ch7 EOT Results'!J40="","","Q2 Scatter graphs &amp; comparing PMCC values: "&amp;'Ch7 EOT Results'!D40&amp;"/22")</f>
        <v/>
      </c>
      <c r="K236">
        <f>IF('Ch7 EOT Results'!J41="","","Q2 Scatter graphs &amp; comparing PMCC values: "&amp;'Ch7 EOT Results'!D41&amp;"/22")</f>
        <v/>
      </c>
    </row>
    <row r="237">
      <c r="A237">
        <f>IF('Ch7 EOT Results'!J40="","","Q3 Outliers, PMCC &amp; regression: "&amp;'Ch7 EOT Results'!E40&amp;"/23")</f>
        <v/>
      </c>
      <c r="K237">
        <f>IF('Ch7 EOT Results'!J41="","","Q3 Outliers, PMCC &amp; regression: "&amp;'Ch7 EOT Results'!E41&amp;"/23")</f>
        <v/>
      </c>
    </row>
    <row r="238">
      <c r="A238">
        <f>IF('Ch7 EOT Results'!J40="","","Q4 Interpreting regression lines &amp; residuals: "&amp;'Ch7 EOT Results'!F40&amp;"/15")</f>
        <v/>
      </c>
      <c r="K238">
        <f>IF('Ch7 EOT Results'!J41="","","Q4 Interpreting regression lines &amp; residuals: "&amp;'Ch7 EOT Results'!F41&amp;"/15")</f>
        <v/>
      </c>
    </row>
    <row r="239">
      <c r="A239">
        <f>IF('Ch7 EOT Results'!J40="","","Q5 Extrapolation &amp; model limitations: "&amp;'Ch7 EOT Results'!G40&amp;"/14")</f>
        <v/>
      </c>
      <c r="K239">
        <f>IF('Ch7 EOT Results'!J41="","","Q5 Extrapolation &amp; model limitations: "&amp;'Ch7 EOT Results'!G41&amp;"/14")</f>
        <v/>
      </c>
    </row>
    <row r="240">
      <c r="A240">
        <f>IF(OR('Ch7 EOT Results'!J40="",'Ch7 EOT Results'!K40=""),"",'Ch7 EOT Results'!K40)</f>
        <v/>
      </c>
      <c r="K240">
        <f>IF(OR('Ch7 EOT Results'!J41="",'Ch7 EOT Results'!K41=""),"",'Ch7 EOT Results'!K41)</f>
        <v/>
      </c>
    </row>
    <row r="242">
      <c r="A242">
        <f>IF('Ch7 EOT Results'!J40="","","Comments:")</f>
        <v/>
      </c>
      <c r="K242">
        <f>IF('Ch7 EOT Results'!J41="","","Comments:")</f>
        <v/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0" customWidth="1" min="7" max="7"/>
    <col width="8" customWidth="1" min="8" max="8"/>
    <col width="10" customWidth="1" min="9" max="9"/>
    <col width="45" customWidth="1" min="10" max="10"/>
  </cols>
  <sheetData>
    <row r="1">
      <c r="A1" s="11" t="inlineStr">
        <is>
          <t>Chapter 7 End of Topic Test 2 — Correlation and Regression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PMCC &amp; prediction
(/18)</t>
        </is>
      </c>
      <c r="D9" s="12" t="inlineStr">
        <is>
          <t>Q2
Correlation vs causation
(/14)</t>
        </is>
      </c>
      <c r="E9" s="12" t="inlineStr">
        <is>
          <t>Q3
Comparing regression lines
(/14)</t>
        </is>
      </c>
      <c r="F9" s="12" t="inlineStr">
        <is>
          <t>Q4
Outliers &amp; extrapolation
(/12)</t>
        </is>
      </c>
      <c r="G9" s="12" t="inlineStr">
        <is>
          <t>Total
(/58)</t>
        </is>
      </c>
      <c r="H9" s="12" t="inlineStr">
        <is>
          <t>%</t>
        </is>
      </c>
      <c r="I9" s="12" t="inlineStr">
        <is>
          <t>Overall</t>
        </is>
      </c>
      <c r="J9" s="12" t="inlineStr">
        <is>
          <t>Focus for next steps</t>
        </is>
      </c>
      <c r="K9" s="12" t="inlineStr">
        <is>
          <t>Q1%</t>
        </is>
      </c>
      <c r="L9" s="12" t="inlineStr">
        <is>
          <t>Q2%</t>
        </is>
      </c>
      <c r="M9" s="12" t="inlineStr">
        <is>
          <t>Q3%</t>
        </is>
      </c>
      <c r="N9" s="12" t="inlineStr">
        <is>
          <t>Q4%</t>
        </is>
      </c>
    </row>
    <row r="10">
      <c r="A10" s="3" t="n"/>
      <c r="B10" s="3" t="inlineStr">
        <is>
          <t>Max marks</t>
        </is>
      </c>
      <c r="C10" s="3" t="n">
        <v>18</v>
      </c>
      <c r="D10" s="3" t="n">
        <v>14</v>
      </c>
      <c r="E10" s="3" t="n">
        <v>14</v>
      </c>
      <c r="F10" s="3" t="n">
        <v>12</v>
      </c>
      <c r="G10" s="3" t="n">
        <v>58</v>
      </c>
      <c r="H10" s="3" t="inlineStr">
        <is>
          <t>100%</t>
        </is>
      </c>
      <c r="I10" s="3" t="n"/>
      <c r="J10" s="3" t="n"/>
      <c r="K10" s="3" t="n"/>
      <c r="L10" s="3" t="n"/>
      <c r="M10" s="3" t="n"/>
      <c r="N10" s="3" t="n"/>
    </row>
    <row r="11">
      <c r="A11" s="13" t="n">
        <v>1</v>
      </c>
      <c r="B11" s="13" t="inlineStr">
        <is>
          <t>Example pupil (edit me)</t>
        </is>
      </c>
      <c r="C11" s="13" t="n">
        <v>14</v>
      </c>
      <c r="D11" s="13" t="n">
        <v>11</v>
      </c>
      <c r="E11" s="13" t="n">
        <v>11</v>
      </c>
      <c r="F11" s="13" t="n">
        <v>10</v>
      </c>
      <c r="G11" s="13">
        <f>IF(COUNT(C11:F11)&lt;4,"",SUM(C11:F11))</f>
        <v/>
      </c>
      <c r="H11" s="13">
        <f>IF(COUNT(C11:F11)&lt;4,"",G11/58)</f>
        <v/>
      </c>
      <c r="I11" s="13">
        <f>IF(COUNT(C11:F11)&lt;4,"",IF(H11&gt;=0.8,"Green",IF(H11&gt;=0.5,"Yellow","Red")))</f>
        <v/>
      </c>
      <c r="J11" s="13">
        <f>IF(COUNT(C11:F11)&lt;4,"",IF(I11="Green","Well done! "&amp;Parameters!$C$463,"Revise: "&amp;_xlfn.TEXTJOIN(", ",TRUE(),IF(K11&lt;1,Parameters!$A$454,""),IF(L11&lt;1,Parameters!$A$455,""),IF(M11&lt;1,Parameters!$A$456,""),IF(N11&lt;1,Parameters!$A$457,""))))</f>
        <v/>
      </c>
      <c r="K11" s="13">
        <f>IF(C11="","",C11/18)</f>
        <v/>
      </c>
      <c r="L11" s="13">
        <f>IF(D11="","",D11/14)</f>
        <v/>
      </c>
      <c r="M11" s="13">
        <f>IF(E11="","",E11/14)</f>
        <v/>
      </c>
      <c r="N11" s="13">
        <f>IF(F11="","",F11/12)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3">
        <f>IF(COUNT(C12:F12)&lt;4,"",SUM(C12:F12))</f>
        <v/>
      </c>
      <c r="H12" s="13">
        <f>IF(COUNT(C12:F12)&lt;4,"",G12/58)</f>
        <v/>
      </c>
      <c r="I12" s="13">
        <f>IF(COUNT(C12:F12)&lt;4,"",IF(H12&gt;=0.8,"Green",IF(H12&gt;=0.5,"Yellow","Red")))</f>
        <v/>
      </c>
      <c r="J12" s="13">
        <f>IF(COUNT(C12:F12)&lt;4,"",IF(I12="Green","Well done! "&amp;Parameters!$C$463,"Revise: "&amp;_xlfn.TEXTJOIN(", ",TRUE(),IF(K12&lt;1,Parameters!$A$454,""),IF(L12&lt;1,Parameters!$A$455,""),IF(M12&lt;1,Parameters!$A$456,""),IF(N12&lt;1,Parameters!$A$457,""))))</f>
        <v/>
      </c>
      <c r="K12" s="13">
        <f>IF(C12="","",C12/18)</f>
        <v/>
      </c>
      <c r="L12" s="13">
        <f>IF(D12="","",D12/14)</f>
        <v/>
      </c>
      <c r="M12" s="13">
        <f>IF(E12="","",E12/14)</f>
        <v/>
      </c>
      <c r="N12" s="13">
        <f>IF(F12="","",F12/12)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3">
        <f>IF(COUNT(C13:F13)&lt;4,"",SUM(C13:F13))</f>
        <v/>
      </c>
      <c r="H13" s="13">
        <f>IF(COUNT(C13:F13)&lt;4,"",G13/58)</f>
        <v/>
      </c>
      <c r="I13" s="13">
        <f>IF(COUNT(C13:F13)&lt;4,"",IF(H13&gt;=0.8,"Green",IF(H13&gt;=0.5,"Yellow","Red")))</f>
        <v/>
      </c>
      <c r="J13" s="13">
        <f>IF(COUNT(C13:F13)&lt;4,"",IF(I13="Green","Well done! "&amp;Parameters!$C$463,"Revise: "&amp;_xlfn.TEXTJOIN(", ",TRUE(),IF(K13&lt;1,Parameters!$A$454,""),IF(L13&lt;1,Parameters!$A$455,""),IF(M13&lt;1,Parameters!$A$456,""),IF(N13&lt;1,Parameters!$A$457,""))))</f>
        <v/>
      </c>
      <c r="K13" s="13">
        <f>IF(C13="","",C13/18)</f>
        <v/>
      </c>
      <c r="L13" s="13">
        <f>IF(D13="","",D13/14)</f>
        <v/>
      </c>
      <c r="M13" s="13">
        <f>IF(E13="","",E13/14)</f>
        <v/>
      </c>
      <c r="N13" s="13">
        <f>IF(F13="","",F13/12)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3">
        <f>IF(COUNT(C14:F14)&lt;4,"",SUM(C14:F14))</f>
        <v/>
      </c>
      <c r="H14" s="13">
        <f>IF(COUNT(C14:F14)&lt;4,"",G14/58)</f>
        <v/>
      </c>
      <c r="I14" s="13">
        <f>IF(COUNT(C14:F14)&lt;4,"",IF(H14&gt;=0.8,"Green",IF(H14&gt;=0.5,"Yellow","Red")))</f>
        <v/>
      </c>
      <c r="J14" s="13">
        <f>IF(COUNT(C14:F14)&lt;4,"",IF(I14="Green","Well done! "&amp;Parameters!$C$463,"Revise: "&amp;_xlfn.TEXTJOIN(", ",TRUE(),IF(K14&lt;1,Parameters!$A$454,""),IF(L14&lt;1,Parameters!$A$455,""),IF(M14&lt;1,Parameters!$A$456,""),IF(N14&lt;1,Parameters!$A$457,""))))</f>
        <v/>
      </c>
      <c r="K14" s="13">
        <f>IF(C14="","",C14/18)</f>
        <v/>
      </c>
      <c r="L14" s="13">
        <f>IF(D14="","",D14/14)</f>
        <v/>
      </c>
      <c r="M14" s="13">
        <f>IF(E14="","",E14/14)</f>
        <v/>
      </c>
      <c r="N14" s="13">
        <f>IF(F14="","",F14/12)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3">
        <f>IF(COUNT(C15:F15)&lt;4,"",SUM(C15:F15))</f>
        <v/>
      </c>
      <c r="H15" s="13">
        <f>IF(COUNT(C15:F15)&lt;4,"",G15/58)</f>
        <v/>
      </c>
      <c r="I15" s="13">
        <f>IF(COUNT(C15:F15)&lt;4,"",IF(H15&gt;=0.8,"Green",IF(H15&gt;=0.5,"Yellow","Red")))</f>
        <v/>
      </c>
      <c r="J15" s="13">
        <f>IF(COUNT(C15:F15)&lt;4,"",IF(I15="Green","Well done! "&amp;Parameters!$C$463,"Revise: "&amp;_xlfn.TEXTJOIN(", ",TRUE(),IF(K15&lt;1,Parameters!$A$454,""),IF(L15&lt;1,Parameters!$A$455,""),IF(M15&lt;1,Parameters!$A$456,""),IF(N15&lt;1,Parameters!$A$457,""))))</f>
        <v/>
      </c>
      <c r="K15" s="13">
        <f>IF(C15="","",C15/18)</f>
        <v/>
      </c>
      <c r="L15" s="13">
        <f>IF(D15="","",D15/14)</f>
        <v/>
      </c>
      <c r="M15" s="13">
        <f>IF(E15="","",E15/14)</f>
        <v/>
      </c>
      <c r="N15" s="13">
        <f>IF(F15="","",F15/12)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3">
        <f>IF(COUNT(C16:F16)&lt;4,"",SUM(C16:F16))</f>
        <v/>
      </c>
      <c r="H16" s="13">
        <f>IF(COUNT(C16:F16)&lt;4,"",G16/58)</f>
        <v/>
      </c>
      <c r="I16" s="13">
        <f>IF(COUNT(C16:F16)&lt;4,"",IF(H16&gt;=0.8,"Green",IF(H16&gt;=0.5,"Yellow","Red")))</f>
        <v/>
      </c>
      <c r="J16" s="13">
        <f>IF(COUNT(C16:F16)&lt;4,"",IF(I16="Green","Well done! "&amp;Parameters!$C$463,"Revise: "&amp;_xlfn.TEXTJOIN(", ",TRUE(),IF(K16&lt;1,Parameters!$A$454,""),IF(L16&lt;1,Parameters!$A$455,""),IF(M16&lt;1,Parameters!$A$456,""),IF(N16&lt;1,Parameters!$A$457,""))))</f>
        <v/>
      </c>
      <c r="K16" s="13">
        <f>IF(C16="","",C16/18)</f>
        <v/>
      </c>
      <c r="L16" s="13">
        <f>IF(D16="","",D16/14)</f>
        <v/>
      </c>
      <c r="M16" s="13">
        <f>IF(E16="","",E16/14)</f>
        <v/>
      </c>
      <c r="N16" s="13">
        <f>IF(F16="","",F16/12)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3">
        <f>IF(COUNT(C17:F17)&lt;4,"",SUM(C17:F17))</f>
        <v/>
      </c>
      <c r="H17" s="13">
        <f>IF(COUNT(C17:F17)&lt;4,"",G17/58)</f>
        <v/>
      </c>
      <c r="I17" s="13">
        <f>IF(COUNT(C17:F17)&lt;4,"",IF(H17&gt;=0.8,"Green",IF(H17&gt;=0.5,"Yellow","Red")))</f>
        <v/>
      </c>
      <c r="J17" s="13">
        <f>IF(COUNT(C17:F17)&lt;4,"",IF(I17="Green","Well done! "&amp;Parameters!$C$463,"Revise: "&amp;_xlfn.TEXTJOIN(", ",TRUE(),IF(K17&lt;1,Parameters!$A$454,""),IF(L17&lt;1,Parameters!$A$455,""),IF(M17&lt;1,Parameters!$A$456,""),IF(N17&lt;1,Parameters!$A$457,""))))</f>
        <v/>
      </c>
      <c r="K17" s="13">
        <f>IF(C17="","",C17/18)</f>
        <v/>
      </c>
      <c r="L17" s="13">
        <f>IF(D17="","",D17/14)</f>
        <v/>
      </c>
      <c r="M17" s="13">
        <f>IF(E17="","",E17/14)</f>
        <v/>
      </c>
      <c r="N17" s="13">
        <f>IF(F17="","",F17/12)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3">
        <f>IF(COUNT(C18:F18)&lt;4,"",SUM(C18:F18))</f>
        <v/>
      </c>
      <c r="H18" s="13">
        <f>IF(COUNT(C18:F18)&lt;4,"",G18/58)</f>
        <v/>
      </c>
      <c r="I18" s="13">
        <f>IF(COUNT(C18:F18)&lt;4,"",IF(H18&gt;=0.8,"Green",IF(H18&gt;=0.5,"Yellow","Red")))</f>
        <v/>
      </c>
      <c r="J18" s="13">
        <f>IF(COUNT(C18:F18)&lt;4,"",IF(I18="Green","Well done! "&amp;Parameters!$C$463,"Revise: "&amp;_xlfn.TEXTJOIN(", ",TRUE(),IF(K18&lt;1,Parameters!$A$454,""),IF(L18&lt;1,Parameters!$A$455,""),IF(M18&lt;1,Parameters!$A$456,""),IF(N18&lt;1,Parameters!$A$457,""))))</f>
        <v/>
      </c>
      <c r="K18" s="13">
        <f>IF(C18="","",C18/18)</f>
        <v/>
      </c>
      <c r="L18" s="13">
        <f>IF(D18="","",D18/14)</f>
        <v/>
      </c>
      <c r="M18" s="13">
        <f>IF(E18="","",E18/14)</f>
        <v/>
      </c>
      <c r="N18" s="13">
        <f>IF(F18="","",F18/12)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3">
        <f>IF(COUNT(C19:F19)&lt;4,"",SUM(C19:F19))</f>
        <v/>
      </c>
      <c r="H19" s="13">
        <f>IF(COUNT(C19:F19)&lt;4,"",G19/58)</f>
        <v/>
      </c>
      <c r="I19" s="13">
        <f>IF(COUNT(C19:F19)&lt;4,"",IF(H19&gt;=0.8,"Green",IF(H19&gt;=0.5,"Yellow","Red")))</f>
        <v/>
      </c>
      <c r="J19" s="13">
        <f>IF(COUNT(C19:F19)&lt;4,"",IF(I19="Green","Well done! "&amp;Parameters!$C$463,"Revise: "&amp;_xlfn.TEXTJOIN(", ",TRUE(),IF(K19&lt;1,Parameters!$A$454,""),IF(L19&lt;1,Parameters!$A$455,""),IF(M19&lt;1,Parameters!$A$456,""),IF(N19&lt;1,Parameters!$A$457,""))))</f>
        <v/>
      </c>
      <c r="K19" s="13">
        <f>IF(C19="","",C19/18)</f>
        <v/>
      </c>
      <c r="L19" s="13">
        <f>IF(D19="","",D19/14)</f>
        <v/>
      </c>
      <c r="M19" s="13">
        <f>IF(E19="","",E19/14)</f>
        <v/>
      </c>
      <c r="N19" s="13">
        <f>IF(F19="","",F19/12)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3">
        <f>IF(COUNT(C20:F20)&lt;4,"",SUM(C20:F20))</f>
        <v/>
      </c>
      <c r="H20" s="13">
        <f>IF(COUNT(C20:F20)&lt;4,"",G20/58)</f>
        <v/>
      </c>
      <c r="I20" s="13">
        <f>IF(COUNT(C20:F20)&lt;4,"",IF(H20&gt;=0.8,"Green",IF(H20&gt;=0.5,"Yellow","Red")))</f>
        <v/>
      </c>
      <c r="J20" s="13">
        <f>IF(COUNT(C20:F20)&lt;4,"",IF(I20="Green","Well done! "&amp;Parameters!$C$463,"Revise: "&amp;_xlfn.TEXTJOIN(", ",TRUE(),IF(K20&lt;1,Parameters!$A$454,""),IF(L20&lt;1,Parameters!$A$455,""),IF(M20&lt;1,Parameters!$A$456,""),IF(N20&lt;1,Parameters!$A$457,""))))</f>
        <v/>
      </c>
      <c r="K20" s="13">
        <f>IF(C20="","",C20/18)</f>
        <v/>
      </c>
      <c r="L20" s="13">
        <f>IF(D20="","",D20/14)</f>
        <v/>
      </c>
      <c r="M20" s="13">
        <f>IF(E20="","",E20/14)</f>
        <v/>
      </c>
      <c r="N20" s="13">
        <f>IF(F20="","",F20/12)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3">
        <f>IF(COUNT(C21:F21)&lt;4,"",SUM(C21:F21))</f>
        <v/>
      </c>
      <c r="H21" s="13">
        <f>IF(COUNT(C21:F21)&lt;4,"",G21/58)</f>
        <v/>
      </c>
      <c r="I21" s="13">
        <f>IF(COUNT(C21:F21)&lt;4,"",IF(H21&gt;=0.8,"Green",IF(H21&gt;=0.5,"Yellow","Red")))</f>
        <v/>
      </c>
      <c r="J21" s="13">
        <f>IF(COUNT(C21:F21)&lt;4,"",IF(I21="Green","Well done! "&amp;Parameters!$C$463,"Revise: "&amp;_xlfn.TEXTJOIN(", ",TRUE(),IF(K21&lt;1,Parameters!$A$454,""),IF(L21&lt;1,Parameters!$A$455,""),IF(M21&lt;1,Parameters!$A$456,""),IF(N21&lt;1,Parameters!$A$457,""))))</f>
        <v/>
      </c>
      <c r="K21" s="13">
        <f>IF(C21="","",C21/18)</f>
        <v/>
      </c>
      <c r="L21" s="13">
        <f>IF(D21="","",D21/14)</f>
        <v/>
      </c>
      <c r="M21" s="13">
        <f>IF(E21="","",E21/14)</f>
        <v/>
      </c>
      <c r="N21" s="13">
        <f>IF(F21="","",F21/12)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3">
        <f>IF(COUNT(C22:F22)&lt;4,"",SUM(C22:F22))</f>
        <v/>
      </c>
      <c r="H22" s="13">
        <f>IF(COUNT(C22:F22)&lt;4,"",G22/58)</f>
        <v/>
      </c>
      <c r="I22" s="13">
        <f>IF(COUNT(C22:F22)&lt;4,"",IF(H22&gt;=0.8,"Green",IF(H22&gt;=0.5,"Yellow","Red")))</f>
        <v/>
      </c>
      <c r="J22" s="13">
        <f>IF(COUNT(C22:F22)&lt;4,"",IF(I22="Green","Well done! "&amp;Parameters!$C$463,"Revise: "&amp;_xlfn.TEXTJOIN(", ",TRUE(),IF(K22&lt;1,Parameters!$A$454,""),IF(L22&lt;1,Parameters!$A$455,""),IF(M22&lt;1,Parameters!$A$456,""),IF(N22&lt;1,Parameters!$A$457,""))))</f>
        <v/>
      </c>
      <c r="K22" s="13">
        <f>IF(C22="","",C22/18)</f>
        <v/>
      </c>
      <c r="L22" s="13">
        <f>IF(D22="","",D22/14)</f>
        <v/>
      </c>
      <c r="M22" s="13">
        <f>IF(E22="","",E22/14)</f>
        <v/>
      </c>
      <c r="N22" s="13">
        <f>IF(F22="","",F22/12)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3">
        <f>IF(COUNT(C23:F23)&lt;4,"",SUM(C23:F23))</f>
        <v/>
      </c>
      <c r="H23" s="13">
        <f>IF(COUNT(C23:F23)&lt;4,"",G23/58)</f>
        <v/>
      </c>
      <c r="I23" s="13">
        <f>IF(COUNT(C23:F23)&lt;4,"",IF(H23&gt;=0.8,"Green",IF(H23&gt;=0.5,"Yellow","Red")))</f>
        <v/>
      </c>
      <c r="J23" s="13">
        <f>IF(COUNT(C23:F23)&lt;4,"",IF(I23="Green","Well done! "&amp;Parameters!$C$463,"Revise: "&amp;_xlfn.TEXTJOIN(", ",TRUE(),IF(K23&lt;1,Parameters!$A$454,""),IF(L23&lt;1,Parameters!$A$455,""),IF(M23&lt;1,Parameters!$A$456,""),IF(N23&lt;1,Parameters!$A$457,""))))</f>
        <v/>
      </c>
      <c r="K23" s="13">
        <f>IF(C23="","",C23/18)</f>
        <v/>
      </c>
      <c r="L23" s="13">
        <f>IF(D23="","",D23/14)</f>
        <v/>
      </c>
      <c r="M23" s="13">
        <f>IF(E23="","",E23/14)</f>
        <v/>
      </c>
      <c r="N23" s="13">
        <f>IF(F23="","",F23/12)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3">
        <f>IF(COUNT(C24:F24)&lt;4,"",SUM(C24:F24))</f>
        <v/>
      </c>
      <c r="H24" s="13">
        <f>IF(COUNT(C24:F24)&lt;4,"",G24/58)</f>
        <v/>
      </c>
      <c r="I24" s="13">
        <f>IF(COUNT(C24:F24)&lt;4,"",IF(H24&gt;=0.8,"Green",IF(H24&gt;=0.5,"Yellow","Red")))</f>
        <v/>
      </c>
      <c r="J24" s="13">
        <f>IF(COUNT(C24:F24)&lt;4,"",IF(I24="Green","Well done! "&amp;Parameters!$C$463,"Revise: "&amp;_xlfn.TEXTJOIN(", ",TRUE(),IF(K24&lt;1,Parameters!$A$454,""),IF(L24&lt;1,Parameters!$A$455,""),IF(M24&lt;1,Parameters!$A$456,""),IF(N24&lt;1,Parameters!$A$457,""))))</f>
        <v/>
      </c>
      <c r="K24" s="13">
        <f>IF(C24="","",C24/18)</f>
        <v/>
      </c>
      <c r="L24" s="13">
        <f>IF(D24="","",D24/14)</f>
        <v/>
      </c>
      <c r="M24" s="13">
        <f>IF(E24="","",E24/14)</f>
        <v/>
      </c>
      <c r="N24" s="13">
        <f>IF(F24="","",F24/12)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3">
        <f>IF(COUNT(C25:F25)&lt;4,"",SUM(C25:F25))</f>
        <v/>
      </c>
      <c r="H25" s="13">
        <f>IF(COUNT(C25:F25)&lt;4,"",G25/58)</f>
        <v/>
      </c>
      <c r="I25" s="13">
        <f>IF(COUNT(C25:F25)&lt;4,"",IF(H25&gt;=0.8,"Green",IF(H25&gt;=0.5,"Yellow","Red")))</f>
        <v/>
      </c>
      <c r="J25" s="13">
        <f>IF(COUNT(C25:F25)&lt;4,"",IF(I25="Green","Well done! "&amp;Parameters!$C$463,"Revise: "&amp;_xlfn.TEXTJOIN(", ",TRUE(),IF(K25&lt;1,Parameters!$A$454,""),IF(L25&lt;1,Parameters!$A$455,""),IF(M25&lt;1,Parameters!$A$456,""),IF(N25&lt;1,Parameters!$A$457,""))))</f>
        <v/>
      </c>
      <c r="K25" s="13">
        <f>IF(C25="","",C25/18)</f>
        <v/>
      </c>
      <c r="L25" s="13">
        <f>IF(D25="","",D25/14)</f>
        <v/>
      </c>
      <c r="M25" s="13">
        <f>IF(E25="","",E25/14)</f>
        <v/>
      </c>
      <c r="N25" s="13">
        <f>IF(F25="","",F25/12)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3">
        <f>IF(COUNT(C26:F26)&lt;4,"",SUM(C26:F26))</f>
        <v/>
      </c>
      <c r="H26" s="13">
        <f>IF(COUNT(C26:F26)&lt;4,"",G26/58)</f>
        <v/>
      </c>
      <c r="I26" s="13">
        <f>IF(COUNT(C26:F26)&lt;4,"",IF(H26&gt;=0.8,"Green",IF(H26&gt;=0.5,"Yellow","Red")))</f>
        <v/>
      </c>
      <c r="J26" s="13">
        <f>IF(COUNT(C26:F26)&lt;4,"",IF(I26="Green","Well done! "&amp;Parameters!$C$463,"Revise: "&amp;_xlfn.TEXTJOIN(", ",TRUE(),IF(K26&lt;1,Parameters!$A$454,""),IF(L26&lt;1,Parameters!$A$455,""),IF(M26&lt;1,Parameters!$A$456,""),IF(N26&lt;1,Parameters!$A$457,""))))</f>
        <v/>
      </c>
      <c r="K26" s="13">
        <f>IF(C26="","",C26/18)</f>
        <v/>
      </c>
      <c r="L26" s="13">
        <f>IF(D26="","",D26/14)</f>
        <v/>
      </c>
      <c r="M26" s="13">
        <f>IF(E26="","",E26/14)</f>
        <v/>
      </c>
      <c r="N26" s="13">
        <f>IF(F26="","",F26/12)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3">
        <f>IF(COUNT(C27:F27)&lt;4,"",SUM(C27:F27))</f>
        <v/>
      </c>
      <c r="H27" s="13">
        <f>IF(COUNT(C27:F27)&lt;4,"",G27/58)</f>
        <v/>
      </c>
      <c r="I27" s="13">
        <f>IF(COUNT(C27:F27)&lt;4,"",IF(H27&gt;=0.8,"Green",IF(H27&gt;=0.5,"Yellow","Red")))</f>
        <v/>
      </c>
      <c r="J27" s="13">
        <f>IF(COUNT(C27:F27)&lt;4,"",IF(I27="Green","Well done! "&amp;Parameters!$C$463,"Revise: "&amp;_xlfn.TEXTJOIN(", ",TRUE(),IF(K27&lt;1,Parameters!$A$454,""),IF(L27&lt;1,Parameters!$A$455,""),IF(M27&lt;1,Parameters!$A$456,""),IF(N27&lt;1,Parameters!$A$457,""))))</f>
        <v/>
      </c>
      <c r="K27" s="13">
        <f>IF(C27="","",C27/18)</f>
        <v/>
      </c>
      <c r="L27" s="13">
        <f>IF(D27="","",D27/14)</f>
        <v/>
      </c>
      <c r="M27" s="13">
        <f>IF(E27="","",E27/14)</f>
        <v/>
      </c>
      <c r="N27" s="13">
        <f>IF(F27="","",F27/12)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3">
        <f>IF(COUNT(C28:F28)&lt;4,"",SUM(C28:F28))</f>
        <v/>
      </c>
      <c r="H28" s="13">
        <f>IF(COUNT(C28:F28)&lt;4,"",G28/58)</f>
        <v/>
      </c>
      <c r="I28" s="13">
        <f>IF(COUNT(C28:F28)&lt;4,"",IF(H28&gt;=0.8,"Green",IF(H28&gt;=0.5,"Yellow","Red")))</f>
        <v/>
      </c>
      <c r="J28" s="13">
        <f>IF(COUNT(C28:F28)&lt;4,"",IF(I28="Green","Well done! "&amp;Parameters!$C$463,"Revise: "&amp;_xlfn.TEXTJOIN(", ",TRUE(),IF(K28&lt;1,Parameters!$A$454,""),IF(L28&lt;1,Parameters!$A$455,""),IF(M28&lt;1,Parameters!$A$456,""),IF(N28&lt;1,Parameters!$A$457,""))))</f>
        <v/>
      </c>
      <c r="K28" s="13">
        <f>IF(C28="","",C28/18)</f>
        <v/>
      </c>
      <c r="L28" s="13">
        <f>IF(D28="","",D28/14)</f>
        <v/>
      </c>
      <c r="M28" s="13">
        <f>IF(E28="","",E28/14)</f>
        <v/>
      </c>
      <c r="N28" s="13">
        <f>IF(F28="","",F28/12)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3">
        <f>IF(COUNT(C29:F29)&lt;4,"",SUM(C29:F29))</f>
        <v/>
      </c>
      <c r="H29" s="13">
        <f>IF(COUNT(C29:F29)&lt;4,"",G29/58)</f>
        <v/>
      </c>
      <c r="I29" s="13">
        <f>IF(COUNT(C29:F29)&lt;4,"",IF(H29&gt;=0.8,"Green",IF(H29&gt;=0.5,"Yellow","Red")))</f>
        <v/>
      </c>
      <c r="J29" s="13">
        <f>IF(COUNT(C29:F29)&lt;4,"",IF(I29="Green","Well done! "&amp;Parameters!$C$463,"Revise: "&amp;_xlfn.TEXTJOIN(", ",TRUE(),IF(K29&lt;1,Parameters!$A$454,""),IF(L29&lt;1,Parameters!$A$455,""),IF(M29&lt;1,Parameters!$A$456,""),IF(N29&lt;1,Parameters!$A$457,""))))</f>
        <v/>
      </c>
      <c r="K29" s="13">
        <f>IF(C29="","",C29/18)</f>
        <v/>
      </c>
      <c r="L29" s="13">
        <f>IF(D29="","",D29/14)</f>
        <v/>
      </c>
      <c r="M29" s="13">
        <f>IF(E29="","",E29/14)</f>
        <v/>
      </c>
      <c r="N29" s="13">
        <f>IF(F29="","",F29/12)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3">
        <f>IF(COUNT(C30:F30)&lt;4,"",SUM(C30:F30))</f>
        <v/>
      </c>
      <c r="H30" s="13">
        <f>IF(COUNT(C30:F30)&lt;4,"",G30/58)</f>
        <v/>
      </c>
      <c r="I30" s="13">
        <f>IF(COUNT(C30:F30)&lt;4,"",IF(H30&gt;=0.8,"Green",IF(H30&gt;=0.5,"Yellow","Red")))</f>
        <v/>
      </c>
      <c r="J30" s="13">
        <f>IF(COUNT(C30:F30)&lt;4,"",IF(I30="Green","Well done! "&amp;Parameters!$C$463,"Revise: "&amp;_xlfn.TEXTJOIN(", ",TRUE(),IF(K30&lt;1,Parameters!$A$454,""),IF(L30&lt;1,Parameters!$A$455,""),IF(M30&lt;1,Parameters!$A$456,""),IF(N30&lt;1,Parameters!$A$457,""))))</f>
        <v/>
      </c>
      <c r="K30" s="13">
        <f>IF(C30="","",C30/18)</f>
        <v/>
      </c>
      <c r="L30" s="13">
        <f>IF(D30="","",D30/14)</f>
        <v/>
      </c>
      <c r="M30" s="13">
        <f>IF(E30="","",E30/14)</f>
        <v/>
      </c>
      <c r="N30" s="13">
        <f>IF(F30="","",F30/12)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3">
        <f>IF(COUNT(C31:F31)&lt;4,"",SUM(C31:F31))</f>
        <v/>
      </c>
      <c r="H31" s="13">
        <f>IF(COUNT(C31:F31)&lt;4,"",G31/58)</f>
        <v/>
      </c>
      <c r="I31" s="13">
        <f>IF(COUNT(C31:F31)&lt;4,"",IF(H31&gt;=0.8,"Green",IF(H31&gt;=0.5,"Yellow","Red")))</f>
        <v/>
      </c>
      <c r="J31" s="13">
        <f>IF(COUNT(C31:F31)&lt;4,"",IF(I31="Green","Well done! "&amp;Parameters!$C$463,"Revise: "&amp;_xlfn.TEXTJOIN(", ",TRUE(),IF(K31&lt;1,Parameters!$A$454,""),IF(L31&lt;1,Parameters!$A$455,""),IF(M31&lt;1,Parameters!$A$456,""),IF(N31&lt;1,Parameters!$A$457,""))))</f>
        <v/>
      </c>
      <c r="K31" s="13">
        <f>IF(C31="","",C31/18)</f>
        <v/>
      </c>
      <c r="L31" s="13">
        <f>IF(D31="","",D31/14)</f>
        <v/>
      </c>
      <c r="M31" s="13">
        <f>IF(E31="","",E31/14)</f>
        <v/>
      </c>
      <c r="N31" s="13">
        <f>IF(F31="","",F31/12)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3">
        <f>IF(COUNT(C32:F32)&lt;4,"",SUM(C32:F32))</f>
        <v/>
      </c>
      <c r="H32" s="13">
        <f>IF(COUNT(C32:F32)&lt;4,"",G32/58)</f>
        <v/>
      </c>
      <c r="I32" s="13">
        <f>IF(COUNT(C32:F32)&lt;4,"",IF(H32&gt;=0.8,"Green",IF(H32&gt;=0.5,"Yellow","Red")))</f>
        <v/>
      </c>
      <c r="J32" s="13">
        <f>IF(COUNT(C32:F32)&lt;4,"",IF(I32="Green","Well done! "&amp;Parameters!$C$463,"Revise: "&amp;_xlfn.TEXTJOIN(", ",TRUE(),IF(K32&lt;1,Parameters!$A$454,""),IF(L32&lt;1,Parameters!$A$455,""),IF(M32&lt;1,Parameters!$A$456,""),IF(N32&lt;1,Parameters!$A$457,""))))</f>
        <v/>
      </c>
      <c r="K32" s="13">
        <f>IF(C32="","",C32/18)</f>
        <v/>
      </c>
      <c r="L32" s="13">
        <f>IF(D32="","",D32/14)</f>
        <v/>
      </c>
      <c r="M32" s="13">
        <f>IF(E32="","",E32/14)</f>
        <v/>
      </c>
      <c r="N32" s="13">
        <f>IF(F32="","",F32/12)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3">
        <f>IF(COUNT(C33:F33)&lt;4,"",SUM(C33:F33))</f>
        <v/>
      </c>
      <c r="H33" s="13">
        <f>IF(COUNT(C33:F33)&lt;4,"",G33/58)</f>
        <v/>
      </c>
      <c r="I33" s="13">
        <f>IF(COUNT(C33:F33)&lt;4,"",IF(H33&gt;=0.8,"Green",IF(H33&gt;=0.5,"Yellow","Red")))</f>
        <v/>
      </c>
      <c r="J33" s="13">
        <f>IF(COUNT(C33:F33)&lt;4,"",IF(I33="Green","Well done! "&amp;Parameters!$C$463,"Revise: "&amp;_xlfn.TEXTJOIN(", ",TRUE(),IF(K33&lt;1,Parameters!$A$454,""),IF(L33&lt;1,Parameters!$A$455,""),IF(M33&lt;1,Parameters!$A$456,""),IF(N33&lt;1,Parameters!$A$457,""))))</f>
        <v/>
      </c>
      <c r="K33" s="13">
        <f>IF(C33="","",C33/18)</f>
        <v/>
      </c>
      <c r="L33" s="13">
        <f>IF(D33="","",D33/14)</f>
        <v/>
      </c>
      <c r="M33" s="13">
        <f>IF(E33="","",E33/14)</f>
        <v/>
      </c>
      <c r="N33" s="13">
        <f>IF(F33="","",F33/12)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3">
        <f>IF(COUNT(C34:F34)&lt;4,"",SUM(C34:F34))</f>
        <v/>
      </c>
      <c r="H34" s="13">
        <f>IF(COUNT(C34:F34)&lt;4,"",G34/58)</f>
        <v/>
      </c>
      <c r="I34" s="13">
        <f>IF(COUNT(C34:F34)&lt;4,"",IF(H34&gt;=0.8,"Green",IF(H34&gt;=0.5,"Yellow","Red")))</f>
        <v/>
      </c>
      <c r="J34" s="13">
        <f>IF(COUNT(C34:F34)&lt;4,"",IF(I34="Green","Well done! "&amp;Parameters!$C$463,"Revise: "&amp;_xlfn.TEXTJOIN(", ",TRUE(),IF(K34&lt;1,Parameters!$A$454,""),IF(L34&lt;1,Parameters!$A$455,""),IF(M34&lt;1,Parameters!$A$456,""),IF(N34&lt;1,Parameters!$A$457,""))))</f>
        <v/>
      </c>
      <c r="K34" s="13">
        <f>IF(C34="","",C34/18)</f>
        <v/>
      </c>
      <c r="L34" s="13">
        <f>IF(D34="","",D34/14)</f>
        <v/>
      </c>
      <c r="M34" s="13">
        <f>IF(E34="","",E34/14)</f>
        <v/>
      </c>
      <c r="N34" s="13">
        <f>IF(F34="","",F34/12)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3">
        <f>IF(COUNT(C35:F35)&lt;4,"",SUM(C35:F35))</f>
        <v/>
      </c>
      <c r="H35" s="13">
        <f>IF(COUNT(C35:F35)&lt;4,"",G35/58)</f>
        <v/>
      </c>
      <c r="I35" s="13">
        <f>IF(COUNT(C35:F35)&lt;4,"",IF(H35&gt;=0.8,"Green",IF(H35&gt;=0.5,"Yellow","Red")))</f>
        <v/>
      </c>
      <c r="J35" s="13">
        <f>IF(COUNT(C35:F35)&lt;4,"",IF(I35="Green","Well done! "&amp;Parameters!$C$463,"Revise: "&amp;_xlfn.TEXTJOIN(", ",TRUE(),IF(K35&lt;1,Parameters!$A$454,""),IF(L35&lt;1,Parameters!$A$455,""),IF(M35&lt;1,Parameters!$A$456,""),IF(N35&lt;1,Parameters!$A$457,""))))</f>
        <v/>
      </c>
      <c r="K35" s="13">
        <f>IF(C35="","",C35/18)</f>
        <v/>
      </c>
      <c r="L35" s="13">
        <f>IF(D35="","",D35/14)</f>
        <v/>
      </c>
      <c r="M35" s="13">
        <f>IF(E35="","",E35/14)</f>
        <v/>
      </c>
      <c r="N35" s="13">
        <f>IF(F35="","",F35/12)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3">
        <f>IF(COUNT(C36:F36)&lt;4,"",SUM(C36:F36))</f>
        <v/>
      </c>
      <c r="H36" s="13">
        <f>IF(COUNT(C36:F36)&lt;4,"",G36/58)</f>
        <v/>
      </c>
      <c r="I36" s="13">
        <f>IF(COUNT(C36:F36)&lt;4,"",IF(H36&gt;=0.8,"Green",IF(H36&gt;=0.5,"Yellow","Red")))</f>
        <v/>
      </c>
      <c r="J36" s="13">
        <f>IF(COUNT(C36:F36)&lt;4,"",IF(I36="Green","Well done! "&amp;Parameters!$C$463,"Revise: "&amp;_xlfn.TEXTJOIN(", ",TRUE(),IF(K36&lt;1,Parameters!$A$454,""),IF(L36&lt;1,Parameters!$A$455,""),IF(M36&lt;1,Parameters!$A$456,""),IF(N36&lt;1,Parameters!$A$457,""))))</f>
        <v/>
      </c>
      <c r="K36" s="13">
        <f>IF(C36="","",C36/18)</f>
        <v/>
      </c>
      <c r="L36" s="13">
        <f>IF(D36="","",D36/14)</f>
        <v/>
      </c>
      <c r="M36" s="13">
        <f>IF(E36="","",E36/14)</f>
        <v/>
      </c>
      <c r="N36" s="13">
        <f>IF(F36="","",F36/12)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3">
        <f>IF(COUNT(C37:F37)&lt;4,"",SUM(C37:F37))</f>
        <v/>
      </c>
      <c r="H37" s="13">
        <f>IF(COUNT(C37:F37)&lt;4,"",G37/58)</f>
        <v/>
      </c>
      <c r="I37" s="13">
        <f>IF(COUNT(C37:F37)&lt;4,"",IF(H37&gt;=0.8,"Green",IF(H37&gt;=0.5,"Yellow","Red")))</f>
        <v/>
      </c>
      <c r="J37" s="13">
        <f>IF(COUNT(C37:F37)&lt;4,"",IF(I37="Green","Well done! "&amp;Parameters!$C$463,"Revise: "&amp;_xlfn.TEXTJOIN(", ",TRUE(),IF(K37&lt;1,Parameters!$A$454,""),IF(L37&lt;1,Parameters!$A$455,""),IF(M37&lt;1,Parameters!$A$456,""),IF(N37&lt;1,Parameters!$A$457,""))))</f>
        <v/>
      </c>
      <c r="K37" s="13">
        <f>IF(C37="","",C37/18)</f>
        <v/>
      </c>
      <c r="L37" s="13">
        <f>IF(D37="","",D37/14)</f>
        <v/>
      </c>
      <c r="M37" s="13">
        <f>IF(E37="","",E37/14)</f>
        <v/>
      </c>
      <c r="N37" s="13">
        <f>IF(F37="","",F37/12)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3">
        <f>IF(COUNT(C38:F38)&lt;4,"",SUM(C38:F38))</f>
        <v/>
      </c>
      <c r="H38" s="13">
        <f>IF(COUNT(C38:F38)&lt;4,"",G38/58)</f>
        <v/>
      </c>
      <c r="I38" s="13">
        <f>IF(COUNT(C38:F38)&lt;4,"",IF(H38&gt;=0.8,"Green",IF(H38&gt;=0.5,"Yellow","Red")))</f>
        <v/>
      </c>
      <c r="J38" s="13">
        <f>IF(COUNT(C38:F38)&lt;4,"",IF(I38="Green","Well done! "&amp;Parameters!$C$463,"Revise: "&amp;_xlfn.TEXTJOIN(", ",TRUE(),IF(K38&lt;1,Parameters!$A$454,""),IF(L38&lt;1,Parameters!$A$455,""),IF(M38&lt;1,Parameters!$A$456,""),IF(N38&lt;1,Parameters!$A$457,""))))</f>
        <v/>
      </c>
      <c r="K38" s="13">
        <f>IF(C38="","",C38/18)</f>
        <v/>
      </c>
      <c r="L38" s="13">
        <f>IF(D38="","",D38/14)</f>
        <v/>
      </c>
      <c r="M38" s="13">
        <f>IF(E38="","",E38/14)</f>
        <v/>
      </c>
      <c r="N38" s="13">
        <f>IF(F38="","",F38/12)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3">
        <f>IF(COUNT(C39:F39)&lt;4,"",SUM(C39:F39))</f>
        <v/>
      </c>
      <c r="H39" s="13">
        <f>IF(COUNT(C39:F39)&lt;4,"",G39/58)</f>
        <v/>
      </c>
      <c r="I39" s="13">
        <f>IF(COUNT(C39:F39)&lt;4,"",IF(H39&gt;=0.8,"Green",IF(H39&gt;=0.5,"Yellow","Red")))</f>
        <v/>
      </c>
      <c r="J39" s="13">
        <f>IF(COUNT(C39:F39)&lt;4,"",IF(I39="Green","Well done! "&amp;Parameters!$C$463,"Revise: "&amp;_xlfn.TEXTJOIN(", ",TRUE(),IF(K39&lt;1,Parameters!$A$454,""),IF(L39&lt;1,Parameters!$A$455,""),IF(M39&lt;1,Parameters!$A$456,""),IF(N39&lt;1,Parameters!$A$457,""))))</f>
        <v/>
      </c>
      <c r="K39" s="13">
        <f>IF(C39="","",C39/18)</f>
        <v/>
      </c>
      <c r="L39" s="13">
        <f>IF(D39="","",D39/14)</f>
        <v/>
      </c>
      <c r="M39" s="13">
        <f>IF(E39="","",E39/14)</f>
        <v/>
      </c>
      <c r="N39" s="13">
        <f>IF(F39="","",F39/12)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3">
        <f>IF(COUNT(C40:F40)&lt;4,"",SUM(C40:F40))</f>
        <v/>
      </c>
      <c r="H40" s="13">
        <f>IF(COUNT(C40:F40)&lt;4,"",G40/58)</f>
        <v/>
      </c>
      <c r="I40" s="13">
        <f>IF(COUNT(C40:F40)&lt;4,"",IF(H40&gt;=0.8,"Green",IF(H40&gt;=0.5,"Yellow","Red")))</f>
        <v/>
      </c>
      <c r="J40" s="13">
        <f>IF(COUNT(C40:F40)&lt;4,"",IF(I40="Green","Well done! "&amp;Parameters!$C$463,"Revise: "&amp;_xlfn.TEXTJOIN(", ",TRUE(),IF(K40&lt;1,Parameters!$A$454,""),IF(L40&lt;1,Parameters!$A$455,""),IF(M40&lt;1,Parameters!$A$456,""),IF(N40&lt;1,Parameters!$A$457,""))))</f>
        <v/>
      </c>
      <c r="K40" s="13">
        <f>IF(C40="","",C40/18)</f>
        <v/>
      </c>
      <c r="L40" s="13">
        <f>IF(D40="","",D40/14)</f>
        <v/>
      </c>
      <c r="M40" s="13">
        <f>IF(E40="","",E40/14)</f>
        <v/>
      </c>
      <c r="N40" s="13">
        <f>IF(F40="","",F40/12)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3">
        <f>IF(COUNT(C41:F41)&lt;4,"",SUM(C41:F41))</f>
        <v/>
      </c>
      <c r="H41" s="13">
        <f>IF(COUNT(C41:F41)&lt;4,"",G41/58)</f>
        <v/>
      </c>
      <c r="I41" s="13">
        <f>IF(COUNT(C41:F41)&lt;4,"",IF(H41&gt;=0.8,"Green",IF(H41&gt;=0.5,"Yellow","Red")))</f>
        <v/>
      </c>
      <c r="J41" s="13">
        <f>IF(COUNT(C41:F41)&lt;4,"",IF(I41="Green","Well done! "&amp;Parameters!$C$463,"Revise: "&amp;_xlfn.TEXTJOIN(", ",TRUE(),IF(K41&lt;1,Parameters!$A$454,""),IF(L41&lt;1,Parameters!$A$455,""),IF(M41&lt;1,Parameters!$A$456,""),IF(N41&lt;1,Parameters!$A$457,""))))</f>
        <v/>
      </c>
      <c r="K41" s="13">
        <f>IF(C41="","",C41/18)</f>
        <v/>
      </c>
      <c r="L41" s="13">
        <f>IF(D41="","",D41/14)</f>
        <v/>
      </c>
      <c r="M41" s="13">
        <f>IF(E41="","",E41/14)</f>
        <v/>
      </c>
      <c r="N41" s="13">
        <f>IF(F41="","",F41/12)</f>
        <v/>
      </c>
    </row>
  </sheetData>
  <conditionalFormatting sqref="C11">
    <cfRule type="expression" priority="1" dxfId="0">
      <formula>AND(COUNT(C11:F11)=4,C11=18)</formula>
    </cfRule>
    <cfRule type="expression" priority="2" dxfId="1">
      <formula>AND(COUNT(C11:F11)=4,C11&lt;18*0.4)</formula>
    </cfRule>
    <cfRule type="expression" priority="3" dxfId="2">
      <formula>AND(COUNT(C11:F11)=4,C11&gt;=18*0.4,C11&lt;18)</formula>
    </cfRule>
  </conditionalFormatting>
  <conditionalFormatting sqref="C12">
    <cfRule type="expression" priority="4" dxfId="0">
      <formula>AND(COUNT(C12:F12)=4,C12=18)</formula>
    </cfRule>
    <cfRule type="expression" priority="5" dxfId="1">
      <formula>AND(COUNT(C12:F12)=4,C12&lt;18*0.4)</formula>
    </cfRule>
    <cfRule type="expression" priority="6" dxfId="2">
      <formula>AND(COUNT(C12:F12)=4,C12&gt;=18*0.4,C12&lt;18)</formula>
    </cfRule>
  </conditionalFormatting>
  <conditionalFormatting sqref="C13">
    <cfRule type="expression" priority="7" dxfId="0">
      <formula>AND(COUNT(C13:F13)=4,C13=18)</formula>
    </cfRule>
    <cfRule type="expression" priority="8" dxfId="1">
      <formula>AND(COUNT(C13:F13)=4,C13&lt;18*0.4)</formula>
    </cfRule>
    <cfRule type="expression" priority="9" dxfId="2">
      <formula>AND(COUNT(C13:F13)=4,C13&gt;=18*0.4,C13&lt;18)</formula>
    </cfRule>
  </conditionalFormatting>
  <conditionalFormatting sqref="C14">
    <cfRule type="expression" priority="10" dxfId="0">
      <formula>AND(COUNT(C14:F14)=4,C14=18)</formula>
    </cfRule>
    <cfRule type="expression" priority="11" dxfId="1">
      <formula>AND(COUNT(C14:F14)=4,C14&lt;18*0.4)</formula>
    </cfRule>
    <cfRule type="expression" priority="12" dxfId="2">
      <formula>AND(COUNT(C14:F14)=4,C14&gt;=18*0.4,C14&lt;18)</formula>
    </cfRule>
  </conditionalFormatting>
  <conditionalFormatting sqref="C15">
    <cfRule type="expression" priority="13" dxfId="0">
      <formula>AND(COUNT(C15:F15)=4,C15=18)</formula>
    </cfRule>
    <cfRule type="expression" priority="14" dxfId="1">
      <formula>AND(COUNT(C15:F15)=4,C15&lt;18*0.4)</formula>
    </cfRule>
    <cfRule type="expression" priority="15" dxfId="2">
      <formula>AND(COUNT(C15:F15)=4,C15&gt;=18*0.4,C15&lt;18)</formula>
    </cfRule>
  </conditionalFormatting>
  <conditionalFormatting sqref="C16">
    <cfRule type="expression" priority="16" dxfId="0">
      <formula>AND(COUNT(C16:F16)=4,C16=18)</formula>
    </cfRule>
    <cfRule type="expression" priority="17" dxfId="1">
      <formula>AND(COUNT(C16:F16)=4,C16&lt;18*0.4)</formula>
    </cfRule>
    <cfRule type="expression" priority="18" dxfId="2">
      <formula>AND(COUNT(C16:F16)=4,C16&gt;=18*0.4,C16&lt;18)</formula>
    </cfRule>
  </conditionalFormatting>
  <conditionalFormatting sqref="C17">
    <cfRule type="expression" priority="19" dxfId="0">
      <formula>AND(COUNT(C17:F17)=4,C17=18)</formula>
    </cfRule>
    <cfRule type="expression" priority="20" dxfId="1">
      <formula>AND(COUNT(C17:F17)=4,C17&lt;18*0.4)</formula>
    </cfRule>
    <cfRule type="expression" priority="21" dxfId="2">
      <formula>AND(COUNT(C17:F17)=4,C17&gt;=18*0.4,C17&lt;18)</formula>
    </cfRule>
  </conditionalFormatting>
  <conditionalFormatting sqref="C18">
    <cfRule type="expression" priority="22" dxfId="0">
      <formula>AND(COUNT(C18:F18)=4,C18=18)</formula>
    </cfRule>
    <cfRule type="expression" priority="23" dxfId="1">
      <formula>AND(COUNT(C18:F18)=4,C18&lt;18*0.4)</formula>
    </cfRule>
    <cfRule type="expression" priority="24" dxfId="2">
      <formula>AND(COUNT(C18:F18)=4,C18&gt;=18*0.4,C18&lt;18)</formula>
    </cfRule>
  </conditionalFormatting>
  <conditionalFormatting sqref="C19">
    <cfRule type="expression" priority="25" dxfId="0">
      <formula>AND(COUNT(C19:F19)=4,C19=18)</formula>
    </cfRule>
    <cfRule type="expression" priority="26" dxfId="1">
      <formula>AND(COUNT(C19:F19)=4,C19&lt;18*0.4)</formula>
    </cfRule>
    <cfRule type="expression" priority="27" dxfId="2">
      <formula>AND(COUNT(C19:F19)=4,C19&gt;=18*0.4,C19&lt;18)</formula>
    </cfRule>
  </conditionalFormatting>
  <conditionalFormatting sqref="C20">
    <cfRule type="expression" priority="28" dxfId="0">
      <formula>AND(COUNT(C20:F20)=4,C20=18)</formula>
    </cfRule>
    <cfRule type="expression" priority="29" dxfId="1">
      <formula>AND(COUNT(C20:F20)=4,C20&lt;18*0.4)</formula>
    </cfRule>
    <cfRule type="expression" priority="30" dxfId="2">
      <formula>AND(COUNT(C20:F20)=4,C20&gt;=18*0.4,C20&lt;18)</formula>
    </cfRule>
  </conditionalFormatting>
  <conditionalFormatting sqref="C21">
    <cfRule type="expression" priority="31" dxfId="0">
      <formula>AND(COUNT(C21:F21)=4,C21=18)</formula>
    </cfRule>
    <cfRule type="expression" priority="32" dxfId="1">
      <formula>AND(COUNT(C21:F21)=4,C21&lt;18*0.4)</formula>
    </cfRule>
    <cfRule type="expression" priority="33" dxfId="2">
      <formula>AND(COUNT(C21:F21)=4,C21&gt;=18*0.4,C21&lt;18)</formula>
    </cfRule>
  </conditionalFormatting>
  <conditionalFormatting sqref="C22">
    <cfRule type="expression" priority="34" dxfId="0">
      <formula>AND(COUNT(C22:F22)=4,C22=18)</formula>
    </cfRule>
    <cfRule type="expression" priority="35" dxfId="1">
      <formula>AND(COUNT(C22:F22)=4,C22&lt;18*0.4)</formula>
    </cfRule>
    <cfRule type="expression" priority="36" dxfId="2">
      <formula>AND(COUNT(C22:F22)=4,C22&gt;=18*0.4,C22&lt;18)</formula>
    </cfRule>
  </conditionalFormatting>
  <conditionalFormatting sqref="C23">
    <cfRule type="expression" priority="37" dxfId="0">
      <formula>AND(COUNT(C23:F23)=4,C23=18)</formula>
    </cfRule>
    <cfRule type="expression" priority="38" dxfId="1">
      <formula>AND(COUNT(C23:F23)=4,C23&lt;18*0.4)</formula>
    </cfRule>
    <cfRule type="expression" priority="39" dxfId="2">
      <formula>AND(COUNT(C23:F23)=4,C23&gt;=18*0.4,C23&lt;18)</formula>
    </cfRule>
  </conditionalFormatting>
  <conditionalFormatting sqref="C24">
    <cfRule type="expression" priority="40" dxfId="0">
      <formula>AND(COUNT(C24:F24)=4,C24=18)</formula>
    </cfRule>
    <cfRule type="expression" priority="41" dxfId="1">
      <formula>AND(COUNT(C24:F24)=4,C24&lt;18*0.4)</formula>
    </cfRule>
    <cfRule type="expression" priority="42" dxfId="2">
      <formula>AND(COUNT(C24:F24)=4,C24&gt;=18*0.4,C24&lt;18)</formula>
    </cfRule>
  </conditionalFormatting>
  <conditionalFormatting sqref="C25">
    <cfRule type="expression" priority="43" dxfId="0">
      <formula>AND(COUNT(C25:F25)=4,C25=18)</formula>
    </cfRule>
    <cfRule type="expression" priority="44" dxfId="1">
      <formula>AND(COUNT(C25:F25)=4,C25&lt;18*0.4)</formula>
    </cfRule>
    <cfRule type="expression" priority="45" dxfId="2">
      <formula>AND(COUNT(C25:F25)=4,C25&gt;=18*0.4,C25&lt;18)</formula>
    </cfRule>
  </conditionalFormatting>
  <conditionalFormatting sqref="C26">
    <cfRule type="expression" priority="46" dxfId="0">
      <formula>AND(COUNT(C26:F26)=4,C26=18)</formula>
    </cfRule>
    <cfRule type="expression" priority="47" dxfId="1">
      <formula>AND(COUNT(C26:F26)=4,C26&lt;18*0.4)</formula>
    </cfRule>
    <cfRule type="expression" priority="48" dxfId="2">
      <formula>AND(COUNT(C26:F26)=4,C26&gt;=18*0.4,C26&lt;18)</formula>
    </cfRule>
  </conditionalFormatting>
  <conditionalFormatting sqref="C27">
    <cfRule type="expression" priority="49" dxfId="0">
      <formula>AND(COUNT(C27:F27)=4,C27=18)</formula>
    </cfRule>
    <cfRule type="expression" priority="50" dxfId="1">
      <formula>AND(COUNT(C27:F27)=4,C27&lt;18*0.4)</formula>
    </cfRule>
    <cfRule type="expression" priority="51" dxfId="2">
      <formula>AND(COUNT(C27:F27)=4,C27&gt;=18*0.4,C27&lt;18)</formula>
    </cfRule>
  </conditionalFormatting>
  <conditionalFormatting sqref="C28">
    <cfRule type="expression" priority="52" dxfId="0">
      <formula>AND(COUNT(C28:F28)=4,C28=18)</formula>
    </cfRule>
    <cfRule type="expression" priority="53" dxfId="1">
      <formula>AND(COUNT(C28:F28)=4,C28&lt;18*0.4)</formula>
    </cfRule>
    <cfRule type="expression" priority="54" dxfId="2">
      <formula>AND(COUNT(C28:F28)=4,C28&gt;=18*0.4,C28&lt;18)</formula>
    </cfRule>
  </conditionalFormatting>
  <conditionalFormatting sqref="C29">
    <cfRule type="expression" priority="55" dxfId="0">
      <formula>AND(COUNT(C29:F29)=4,C29=18)</formula>
    </cfRule>
    <cfRule type="expression" priority="56" dxfId="1">
      <formula>AND(COUNT(C29:F29)=4,C29&lt;18*0.4)</formula>
    </cfRule>
    <cfRule type="expression" priority="57" dxfId="2">
      <formula>AND(COUNT(C29:F29)=4,C29&gt;=18*0.4,C29&lt;18)</formula>
    </cfRule>
  </conditionalFormatting>
  <conditionalFormatting sqref="C30">
    <cfRule type="expression" priority="58" dxfId="0">
      <formula>AND(COUNT(C30:F30)=4,C30=18)</formula>
    </cfRule>
    <cfRule type="expression" priority="59" dxfId="1">
      <formula>AND(COUNT(C30:F30)=4,C30&lt;18*0.4)</formula>
    </cfRule>
    <cfRule type="expression" priority="60" dxfId="2">
      <formula>AND(COUNT(C30:F30)=4,C30&gt;=18*0.4,C30&lt;18)</formula>
    </cfRule>
  </conditionalFormatting>
  <conditionalFormatting sqref="C31">
    <cfRule type="expression" priority="61" dxfId="0">
      <formula>AND(COUNT(C31:F31)=4,C31=18)</formula>
    </cfRule>
    <cfRule type="expression" priority="62" dxfId="1">
      <formula>AND(COUNT(C31:F31)=4,C31&lt;18*0.4)</formula>
    </cfRule>
    <cfRule type="expression" priority="63" dxfId="2">
      <formula>AND(COUNT(C31:F31)=4,C31&gt;=18*0.4,C31&lt;18)</formula>
    </cfRule>
  </conditionalFormatting>
  <conditionalFormatting sqref="C32">
    <cfRule type="expression" priority="64" dxfId="0">
      <formula>AND(COUNT(C32:F32)=4,C32=18)</formula>
    </cfRule>
    <cfRule type="expression" priority="65" dxfId="1">
      <formula>AND(COUNT(C32:F32)=4,C32&lt;18*0.4)</formula>
    </cfRule>
    <cfRule type="expression" priority="66" dxfId="2">
      <formula>AND(COUNT(C32:F32)=4,C32&gt;=18*0.4,C32&lt;18)</formula>
    </cfRule>
  </conditionalFormatting>
  <conditionalFormatting sqref="C33">
    <cfRule type="expression" priority="67" dxfId="0">
      <formula>AND(COUNT(C33:F33)=4,C33=18)</formula>
    </cfRule>
    <cfRule type="expression" priority="68" dxfId="1">
      <formula>AND(COUNT(C33:F33)=4,C33&lt;18*0.4)</formula>
    </cfRule>
    <cfRule type="expression" priority="69" dxfId="2">
      <formula>AND(COUNT(C33:F33)=4,C33&gt;=18*0.4,C33&lt;18)</formula>
    </cfRule>
  </conditionalFormatting>
  <conditionalFormatting sqref="C34">
    <cfRule type="expression" priority="70" dxfId="0">
      <formula>AND(COUNT(C34:F34)=4,C34=18)</formula>
    </cfRule>
    <cfRule type="expression" priority="71" dxfId="1">
      <formula>AND(COUNT(C34:F34)=4,C34&lt;18*0.4)</formula>
    </cfRule>
    <cfRule type="expression" priority="72" dxfId="2">
      <formula>AND(COUNT(C34:F34)=4,C34&gt;=18*0.4,C34&lt;18)</formula>
    </cfRule>
  </conditionalFormatting>
  <conditionalFormatting sqref="C35">
    <cfRule type="expression" priority="73" dxfId="0">
      <formula>AND(COUNT(C35:F35)=4,C35=18)</formula>
    </cfRule>
    <cfRule type="expression" priority="74" dxfId="1">
      <formula>AND(COUNT(C35:F35)=4,C35&lt;18*0.4)</formula>
    </cfRule>
    <cfRule type="expression" priority="75" dxfId="2">
      <formula>AND(COUNT(C35:F35)=4,C35&gt;=18*0.4,C35&lt;18)</formula>
    </cfRule>
  </conditionalFormatting>
  <conditionalFormatting sqref="C36">
    <cfRule type="expression" priority="76" dxfId="0">
      <formula>AND(COUNT(C36:F36)=4,C36=18)</formula>
    </cfRule>
    <cfRule type="expression" priority="77" dxfId="1">
      <formula>AND(COUNT(C36:F36)=4,C36&lt;18*0.4)</formula>
    </cfRule>
    <cfRule type="expression" priority="78" dxfId="2">
      <formula>AND(COUNT(C36:F36)=4,C36&gt;=18*0.4,C36&lt;18)</formula>
    </cfRule>
  </conditionalFormatting>
  <conditionalFormatting sqref="C37">
    <cfRule type="expression" priority="79" dxfId="0">
      <formula>AND(COUNT(C37:F37)=4,C37=18)</formula>
    </cfRule>
    <cfRule type="expression" priority="80" dxfId="1">
      <formula>AND(COUNT(C37:F37)=4,C37&lt;18*0.4)</formula>
    </cfRule>
    <cfRule type="expression" priority="81" dxfId="2">
      <formula>AND(COUNT(C37:F37)=4,C37&gt;=18*0.4,C37&lt;18)</formula>
    </cfRule>
  </conditionalFormatting>
  <conditionalFormatting sqref="C38">
    <cfRule type="expression" priority="82" dxfId="0">
      <formula>AND(COUNT(C38:F38)=4,C38=18)</formula>
    </cfRule>
    <cfRule type="expression" priority="83" dxfId="1">
      <formula>AND(COUNT(C38:F38)=4,C38&lt;18*0.4)</formula>
    </cfRule>
    <cfRule type="expression" priority="84" dxfId="2">
      <formula>AND(COUNT(C38:F38)=4,C38&gt;=18*0.4,C38&lt;18)</formula>
    </cfRule>
  </conditionalFormatting>
  <conditionalFormatting sqref="C39">
    <cfRule type="expression" priority="85" dxfId="0">
      <formula>AND(COUNT(C39:F39)=4,C39=18)</formula>
    </cfRule>
    <cfRule type="expression" priority="86" dxfId="1">
      <formula>AND(COUNT(C39:F39)=4,C39&lt;18*0.4)</formula>
    </cfRule>
    <cfRule type="expression" priority="87" dxfId="2">
      <formula>AND(COUNT(C39:F39)=4,C39&gt;=18*0.4,C39&lt;18)</formula>
    </cfRule>
  </conditionalFormatting>
  <conditionalFormatting sqref="C40">
    <cfRule type="expression" priority="88" dxfId="0">
      <formula>AND(COUNT(C40:F40)=4,C40=18)</formula>
    </cfRule>
    <cfRule type="expression" priority="89" dxfId="1">
      <formula>AND(COUNT(C40:F40)=4,C40&lt;18*0.4)</formula>
    </cfRule>
    <cfRule type="expression" priority="90" dxfId="2">
      <formula>AND(COUNT(C40:F40)=4,C40&gt;=18*0.4,C40&lt;18)</formula>
    </cfRule>
  </conditionalFormatting>
  <conditionalFormatting sqref="C41">
    <cfRule type="expression" priority="91" dxfId="0">
      <formula>AND(COUNT(C41:F41)=4,C41=18)</formula>
    </cfRule>
    <cfRule type="expression" priority="92" dxfId="1">
      <formula>AND(COUNT(C41:F41)=4,C41&lt;18*0.4)</formula>
    </cfRule>
    <cfRule type="expression" priority="93" dxfId="2">
      <formula>AND(COUNT(C41:F41)=4,C41&gt;=18*0.4,C41&lt;18)</formula>
    </cfRule>
  </conditionalFormatting>
  <conditionalFormatting sqref="D11">
    <cfRule type="expression" priority="94" dxfId="0">
      <formula>AND(COUNT(C11:F11)=4,D11=14)</formula>
    </cfRule>
    <cfRule type="expression" priority="95" dxfId="1">
      <formula>AND(COUNT(C11:F11)=4,D11&lt;14*0.4)</formula>
    </cfRule>
    <cfRule type="expression" priority="96" dxfId="2">
      <formula>AND(COUNT(C11:F11)=4,D11&gt;=14*0.4,D11&lt;14)</formula>
    </cfRule>
  </conditionalFormatting>
  <conditionalFormatting sqref="D12">
    <cfRule type="expression" priority="97" dxfId="0">
      <formula>AND(COUNT(C12:F12)=4,D12=14)</formula>
    </cfRule>
    <cfRule type="expression" priority="98" dxfId="1">
      <formula>AND(COUNT(C12:F12)=4,D12&lt;14*0.4)</formula>
    </cfRule>
    <cfRule type="expression" priority="99" dxfId="2">
      <formula>AND(COUNT(C12:F12)=4,D12&gt;=14*0.4,D12&lt;14)</formula>
    </cfRule>
  </conditionalFormatting>
  <conditionalFormatting sqref="D13">
    <cfRule type="expression" priority="100" dxfId="0">
      <formula>AND(COUNT(C13:F13)=4,D13=14)</formula>
    </cfRule>
    <cfRule type="expression" priority="101" dxfId="1">
      <formula>AND(COUNT(C13:F13)=4,D13&lt;14*0.4)</formula>
    </cfRule>
    <cfRule type="expression" priority="102" dxfId="2">
      <formula>AND(COUNT(C13:F13)=4,D13&gt;=14*0.4,D13&lt;14)</formula>
    </cfRule>
  </conditionalFormatting>
  <conditionalFormatting sqref="D14">
    <cfRule type="expression" priority="103" dxfId="0">
      <formula>AND(COUNT(C14:F14)=4,D14=14)</formula>
    </cfRule>
    <cfRule type="expression" priority="104" dxfId="1">
      <formula>AND(COUNT(C14:F14)=4,D14&lt;14*0.4)</formula>
    </cfRule>
    <cfRule type="expression" priority="105" dxfId="2">
      <formula>AND(COUNT(C14:F14)=4,D14&gt;=14*0.4,D14&lt;14)</formula>
    </cfRule>
  </conditionalFormatting>
  <conditionalFormatting sqref="D15">
    <cfRule type="expression" priority="106" dxfId="0">
      <formula>AND(COUNT(C15:F15)=4,D15=14)</formula>
    </cfRule>
    <cfRule type="expression" priority="107" dxfId="1">
      <formula>AND(COUNT(C15:F15)=4,D15&lt;14*0.4)</formula>
    </cfRule>
    <cfRule type="expression" priority="108" dxfId="2">
      <formula>AND(COUNT(C15:F15)=4,D15&gt;=14*0.4,D15&lt;14)</formula>
    </cfRule>
  </conditionalFormatting>
  <conditionalFormatting sqref="D16">
    <cfRule type="expression" priority="109" dxfId="0">
      <formula>AND(COUNT(C16:F16)=4,D16=14)</formula>
    </cfRule>
    <cfRule type="expression" priority="110" dxfId="1">
      <formula>AND(COUNT(C16:F16)=4,D16&lt;14*0.4)</formula>
    </cfRule>
    <cfRule type="expression" priority="111" dxfId="2">
      <formula>AND(COUNT(C16:F16)=4,D16&gt;=14*0.4,D16&lt;14)</formula>
    </cfRule>
  </conditionalFormatting>
  <conditionalFormatting sqref="D17">
    <cfRule type="expression" priority="112" dxfId="0">
      <formula>AND(COUNT(C17:F17)=4,D17=14)</formula>
    </cfRule>
    <cfRule type="expression" priority="113" dxfId="1">
      <formula>AND(COUNT(C17:F17)=4,D17&lt;14*0.4)</formula>
    </cfRule>
    <cfRule type="expression" priority="114" dxfId="2">
      <formula>AND(COUNT(C17:F17)=4,D17&gt;=14*0.4,D17&lt;14)</formula>
    </cfRule>
  </conditionalFormatting>
  <conditionalFormatting sqref="D18">
    <cfRule type="expression" priority="115" dxfId="0">
      <formula>AND(COUNT(C18:F18)=4,D18=14)</formula>
    </cfRule>
    <cfRule type="expression" priority="116" dxfId="1">
      <formula>AND(COUNT(C18:F18)=4,D18&lt;14*0.4)</formula>
    </cfRule>
    <cfRule type="expression" priority="117" dxfId="2">
      <formula>AND(COUNT(C18:F18)=4,D18&gt;=14*0.4,D18&lt;14)</formula>
    </cfRule>
  </conditionalFormatting>
  <conditionalFormatting sqref="D19">
    <cfRule type="expression" priority="118" dxfId="0">
      <formula>AND(COUNT(C19:F19)=4,D19=14)</formula>
    </cfRule>
    <cfRule type="expression" priority="119" dxfId="1">
      <formula>AND(COUNT(C19:F19)=4,D19&lt;14*0.4)</formula>
    </cfRule>
    <cfRule type="expression" priority="120" dxfId="2">
      <formula>AND(COUNT(C19:F19)=4,D19&gt;=14*0.4,D19&lt;14)</formula>
    </cfRule>
  </conditionalFormatting>
  <conditionalFormatting sqref="D20">
    <cfRule type="expression" priority="121" dxfId="0">
      <formula>AND(COUNT(C20:F20)=4,D20=14)</formula>
    </cfRule>
    <cfRule type="expression" priority="122" dxfId="1">
      <formula>AND(COUNT(C20:F20)=4,D20&lt;14*0.4)</formula>
    </cfRule>
    <cfRule type="expression" priority="123" dxfId="2">
      <formula>AND(COUNT(C20:F20)=4,D20&gt;=14*0.4,D20&lt;14)</formula>
    </cfRule>
  </conditionalFormatting>
  <conditionalFormatting sqref="D21">
    <cfRule type="expression" priority="124" dxfId="0">
      <formula>AND(COUNT(C21:F21)=4,D21=14)</formula>
    </cfRule>
    <cfRule type="expression" priority="125" dxfId="1">
      <formula>AND(COUNT(C21:F21)=4,D21&lt;14*0.4)</formula>
    </cfRule>
    <cfRule type="expression" priority="126" dxfId="2">
      <formula>AND(COUNT(C21:F21)=4,D21&gt;=14*0.4,D21&lt;14)</formula>
    </cfRule>
  </conditionalFormatting>
  <conditionalFormatting sqref="D22">
    <cfRule type="expression" priority="127" dxfId="0">
      <formula>AND(COUNT(C22:F22)=4,D22=14)</formula>
    </cfRule>
    <cfRule type="expression" priority="128" dxfId="1">
      <formula>AND(COUNT(C22:F22)=4,D22&lt;14*0.4)</formula>
    </cfRule>
    <cfRule type="expression" priority="129" dxfId="2">
      <formula>AND(COUNT(C22:F22)=4,D22&gt;=14*0.4,D22&lt;14)</formula>
    </cfRule>
  </conditionalFormatting>
  <conditionalFormatting sqref="D23">
    <cfRule type="expression" priority="130" dxfId="0">
      <formula>AND(COUNT(C23:F23)=4,D23=14)</formula>
    </cfRule>
    <cfRule type="expression" priority="131" dxfId="1">
      <formula>AND(COUNT(C23:F23)=4,D23&lt;14*0.4)</formula>
    </cfRule>
    <cfRule type="expression" priority="132" dxfId="2">
      <formula>AND(COUNT(C23:F23)=4,D23&gt;=14*0.4,D23&lt;14)</formula>
    </cfRule>
  </conditionalFormatting>
  <conditionalFormatting sqref="D24">
    <cfRule type="expression" priority="133" dxfId="0">
      <formula>AND(COUNT(C24:F24)=4,D24=14)</formula>
    </cfRule>
    <cfRule type="expression" priority="134" dxfId="1">
      <formula>AND(COUNT(C24:F24)=4,D24&lt;14*0.4)</formula>
    </cfRule>
    <cfRule type="expression" priority="135" dxfId="2">
      <formula>AND(COUNT(C24:F24)=4,D24&gt;=14*0.4,D24&lt;14)</formula>
    </cfRule>
  </conditionalFormatting>
  <conditionalFormatting sqref="D25">
    <cfRule type="expression" priority="136" dxfId="0">
      <formula>AND(COUNT(C25:F25)=4,D25=14)</formula>
    </cfRule>
    <cfRule type="expression" priority="137" dxfId="1">
      <formula>AND(COUNT(C25:F25)=4,D25&lt;14*0.4)</formula>
    </cfRule>
    <cfRule type="expression" priority="138" dxfId="2">
      <formula>AND(COUNT(C25:F25)=4,D25&gt;=14*0.4,D25&lt;14)</formula>
    </cfRule>
  </conditionalFormatting>
  <conditionalFormatting sqref="D26">
    <cfRule type="expression" priority="139" dxfId="0">
      <formula>AND(COUNT(C26:F26)=4,D26=14)</formula>
    </cfRule>
    <cfRule type="expression" priority="140" dxfId="1">
      <formula>AND(COUNT(C26:F26)=4,D26&lt;14*0.4)</formula>
    </cfRule>
    <cfRule type="expression" priority="141" dxfId="2">
      <formula>AND(COUNT(C26:F26)=4,D26&gt;=14*0.4,D26&lt;14)</formula>
    </cfRule>
  </conditionalFormatting>
  <conditionalFormatting sqref="D27">
    <cfRule type="expression" priority="142" dxfId="0">
      <formula>AND(COUNT(C27:F27)=4,D27=14)</formula>
    </cfRule>
    <cfRule type="expression" priority="143" dxfId="1">
      <formula>AND(COUNT(C27:F27)=4,D27&lt;14*0.4)</formula>
    </cfRule>
    <cfRule type="expression" priority="144" dxfId="2">
      <formula>AND(COUNT(C27:F27)=4,D27&gt;=14*0.4,D27&lt;14)</formula>
    </cfRule>
  </conditionalFormatting>
  <conditionalFormatting sqref="D28">
    <cfRule type="expression" priority="145" dxfId="0">
      <formula>AND(COUNT(C28:F28)=4,D28=14)</formula>
    </cfRule>
    <cfRule type="expression" priority="146" dxfId="1">
      <formula>AND(COUNT(C28:F28)=4,D28&lt;14*0.4)</formula>
    </cfRule>
    <cfRule type="expression" priority="147" dxfId="2">
      <formula>AND(COUNT(C28:F28)=4,D28&gt;=14*0.4,D28&lt;14)</formula>
    </cfRule>
  </conditionalFormatting>
  <conditionalFormatting sqref="D29">
    <cfRule type="expression" priority="148" dxfId="0">
      <formula>AND(COUNT(C29:F29)=4,D29=14)</formula>
    </cfRule>
    <cfRule type="expression" priority="149" dxfId="1">
      <formula>AND(COUNT(C29:F29)=4,D29&lt;14*0.4)</formula>
    </cfRule>
    <cfRule type="expression" priority="150" dxfId="2">
      <formula>AND(COUNT(C29:F29)=4,D29&gt;=14*0.4,D29&lt;14)</formula>
    </cfRule>
  </conditionalFormatting>
  <conditionalFormatting sqref="D30">
    <cfRule type="expression" priority="151" dxfId="0">
      <formula>AND(COUNT(C30:F30)=4,D30=14)</formula>
    </cfRule>
    <cfRule type="expression" priority="152" dxfId="1">
      <formula>AND(COUNT(C30:F30)=4,D30&lt;14*0.4)</formula>
    </cfRule>
    <cfRule type="expression" priority="153" dxfId="2">
      <formula>AND(COUNT(C30:F30)=4,D30&gt;=14*0.4,D30&lt;14)</formula>
    </cfRule>
  </conditionalFormatting>
  <conditionalFormatting sqref="D31">
    <cfRule type="expression" priority="154" dxfId="0">
      <formula>AND(COUNT(C31:F31)=4,D31=14)</formula>
    </cfRule>
    <cfRule type="expression" priority="155" dxfId="1">
      <formula>AND(COUNT(C31:F31)=4,D31&lt;14*0.4)</formula>
    </cfRule>
    <cfRule type="expression" priority="156" dxfId="2">
      <formula>AND(COUNT(C31:F31)=4,D31&gt;=14*0.4,D31&lt;14)</formula>
    </cfRule>
  </conditionalFormatting>
  <conditionalFormatting sqref="D32">
    <cfRule type="expression" priority="157" dxfId="0">
      <formula>AND(COUNT(C32:F32)=4,D32=14)</formula>
    </cfRule>
    <cfRule type="expression" priority="158" dxfId="1">
      <formula>AND(COUNT(C32:F32)=4,D32&lt;14*0.4)</formula>
    </cfRule>
    <cfRule type="expression" priority="159" dxfId="2">
      <formula>AND(COUNT(C32:F32)=4,D32&gt;=14*0.4,D32&lt;14)</formula>
    </cfRule>
  </conditionalFormatting>
  <conditionalFormatting sqref="D33">
    <cfRule type="expression" priority="160" dxfId="0">
      <formula>AND(COUNT(C33:F33)=4,D33=14)</formula>
    </cfRule>
    <cfRule type="expression" priority="161" dxfId="1">
      <formula>AND(COUNT(C33:F33)=4,D33&lt;14*0.4)</formula>
    </cfRule>
    <cfRule type="expression" priority="162" dxfId="2">
      <formula>AND(COUNT(C33:F33)=4,D33&gt;=14*0.4,D33&lt;14)</formula>
    </cfRule>
  </conditionalFormatting>
  <conditionalFormatting sqref="D34">
    <cfRule type="expression" priority="163" dxfId="0">
      <formula>AND(COUNT(C34:F34)=4,D34=14)</formula>
    </cfRule>
    <cfRule type="expression" priority="164" dxfId="1">
      <formula>AND(COUNT(C34:F34)=4,D34&lt;14*0.4)</formula>
    </cfRule>
    <cfRule type="expression" priority="165" dxfId="2">
      <formula>AND(COUNT(C34:F34)=4,D34&gt;=14*0.4,D34&lt;14)</formula>
    </cfRule>
  </conditionalFormatting>
  <conditionalFormatting sqref="D35">
    <cfRule type="expression" priority="166" dxfId="0">
      <formula>AND(COUNT(C35:F35)=4,D35=14)</formula>
    </cfRule>
    <cfRule type="expression" priority="167" dxfId="1">
      <formula>AND(COUNT(C35:F35)=4,D35&lt;14*0.4)</formula>
    </cfRule>
    <cfRule type="expression" priority="168" dxfId="2">
      <formula>AND(COUNT(C35:F35)=4,D35&gt;=14*0.4,D35&lt;14)</formula>
    </cfRule>
  </conditionalFormatting>
  <conditionalFormatting sqref="D36">
    <cfRule type="expression" priority="169" dxfId="0">
      <formula>AND(COUNT(C36:F36)=4,D36=14)</formula>
    </cfRule>
    <cfRule type="expression" priority="170" dxfId="1">
      <formula>AND(COUNT(C36:F36)=4,D36&lt;14*0.4)</formula>
    </cfRule>
    <cfRule type="expression" priority="171" dxfId="2">
      <formula>AND(COUNT(C36:F36)=4,D36&gt;=14*0.4,D36&lt;14)</formula>
    </cfRule>
  </conditionalFormatting>
  <conditionalFormatting sqref="D37">
    <cfRule type="expression" priority="172" dxfId="0">
      <formula>AND(COUNT(C37:F37)=4,D37=14)</formula>
    </cfRule>
    <cfRule type="expression" priority="173" dxfId="1">
      <formula>AND(COUNT(C37:F37)=4,D37&lt;14*0.4)</formula>
    </cfRule>
    <cfRule type="expression" priority="174" dxfId="2">
      <formula>AND(COUNT(C37:F37)=4,D37&gt;=14*0.4,D37&lt;14)</formula>
    </cfRule>
  </conditionalFormatting>
  <conditionalFormatting sqref="D38">
    <cfRule type="expression" priority="175" dxfId="0">
      <formula>AND(COUNT(C38:F38)=4,D38=14)</formula>
    </cfRule>
    <cfRule type="expression" priority="176" dxfId="1">
      <formula>AND(COUNT(C38:F38)=4,D38&lt;14*0.4)</formula>
    </cfRule>
    <cfRule type="expression" priority="177" dxfId="2">
      <formula>AND(COUNT(C38:F38)=4,D38&gt;=14*0.4,D38&lt;14)</formula>
    </cfRule>
  </conditionalFormatting>
  <conditionalFormatting sqref="D39">
    <cfRule type="expression" priority="178" dxfId="0">
      <formula>AND(COUNT(C39:F39)=4,D39=14)</formula>
    </cfRule>
    <cfRule type="expression" priority="179" dxfId="1">
      <formula>AND(COUNT(C39:F39)=4,D39&lt;14*0.4)</formula>
    </cfRule>
    <cfRule type="expression" priority="180" dxfId="2">
      <formula>AND(COUNT(C39:F39)=4,D39&gt;=14*0.4,D39&lt;14)</formula>
    </cfRule>
  </conditionalFormatting>
  <conditionalFormatting sqref="D40">
    <cfRule type="expression" priority="181" dxfId="0">
      <formula>AND(COUNT(C40:F40)=4,D40=14)</formula>
    </cfRule>
    <cfRule type="expression" priority="182" dxfId="1">
      <formula>AND(COUNT(C40:F40)=4,D40&lt;14*0.4)</formula>
    </cfRule>
    <cfRule type="expression" priority="183" dxfId="2">
      <formula>AND(COUNT(C40:F40)=4,D40&gt;=14*0.4,D40&lt;14)</formula>
    </cfRule>
  </conditionalFormatting>
  <conditionalFormatting sqref="D41">
    <cfRule type="expression" priority="184" dxfId="0">
      <formula>AND(COUNT(C41:F41)=4,D41=14)</formula>
    </cfRule>
    <cfRule type="expression" priority="185" dxfId="1">
      <formula>AND(COUNT(C41:F41)=4,D41&lt;14*0.4)</formula>
    </cfRule>
    <cfRule type="expression" priority="186" dxfId="2">
      <formula>AND(COUNT(C41:F41)=4,D41&gt;=14*0.4,D41&lt;14)</formula>
    </cfRule>
  </conditionalFormatting>
  <conditionalFormatting sqref="E11">
    <cfRule type="expression" priority="187" dxfId="0">
      <formula>AND(COUNT(C11:F11)=4,E11=14)</formula>
    </cfRule>
    <cfRule type="expression" priority="188" dxfId="1">
      <formula>AND(COUNT(C11:F11)=4,E11&lt;14*0.4)</formula>
    </cfRule>
    <cfRule type="expression" priority="189" dxfId="2">
      <formula>AND(COUNT(C11:F11)=4,E11&gt;=14*0.4,E11&lt;14)</formula>
    </cfRule>
  </conditionalFormatting>
  <conditionalFormatting sqref="E12">
    <cfRule type="expression" priority="190" dxfId="0">
      <formula>AND(COUNT(C12:F12)=4,E12=14)</formula>
    </cfRule>
    <cfRule type="expression" priority="191" dxfId="1">
      <formula>AND(COUNT(C12:F12)=4,E12&lt;14*0.4)</formula>
    </cfRule>
    <cfRule type="expression" priority="192" dxfId="2">
      <formula>AND(COUNT(C12:F12)=4,E12&gt;=14*0.4,E12&lt;14)</formula>
    </cfRule>
  </conditionalFormatting>
  <conditionalFormatting sqref="E13">
    <cfRule type="expression" priority="193" dxfId="0">
      <formula>AND(COUNT(C13:F13)=4,E13=14)</formula>
    </cfRule>
    <cfRule type="expression" priority="194" dxfId="1">
      <formula>AND(COUNT(C13:F13)=4,E13&lt;14*0.4)</formula>
    </cfRule>
    <cfRule type="expression" priority="195" dxfId="2">
      <formula>AND(COUNT(C13:F13)=4,E13&gt;=14*0.4,E13&lt;14)</formula>
    </cfRule>
  </conditionalFormatting>
  <conditionalFormatting sqref="E14">
    <cfRule type="expression" priority="196" dxfId="0">
      <formula>AND(COUNT(C14:F14)=4,E14=14)</formula>
    </cfRule>
    <cfRule type="expression" priority="197" dxfId="1">
      <formula>AND(COUNT(C14:F14)=4,E14&lt;14*0.4)</formula>
    </cfRule>
    <cfRule type="expression" priority="198" dxfId="2">
      <formula>AND(COUNT(C14:F14)=4,E14&gt;=14*0.4,E14&lt;14)</formula>
    </cfRule>
  </conditionalFormatting>
  <conditionalFormatting sqref="E15">
    <cfRule type="expression" priority="199" dxfId="0">
      <formula>AND(COUNT(C15:F15)=4,E15=14)</formula>
    </cfRule>
    <cfRule type="expression" priority="200" dxfId="1">
      <formula>AND(COUNT(C15:F15)=4,E15&lt;14*0.4)</formula>
    </cfRule>
    <cfRule type="expression" priority="201" dxfId="2">
      <formula>AND(COUNT(C15:F15)=4,E15&gt;=14*0.4,E15&lt;14)</formula>
    </cfRule>
  </conditionalFormatting>
  <conditionalFormatting sqref="E16">
    <cfRule type="expression" priority="202" dxfId="0">
      <formula>AND(COUNT(C16:F16)=4,E16=14)</formula>
    </cfRule>
    <cfRule type="expression" priority="203" dxfId="1">
      <formula>AND(COUNT(C16:F16)=4,E16&lt;14*0.4)</formula>
    </cfRule>
    <cfRule type="expression" priority="204" dxfId="2">
      <formula>AND(COUNT(C16:F16)=4,E16&gt;=14*0.4,E16&lt;14)</formula>
    </cfRule>
  </conditionalFormatting>
  <conditionalFormatting sqref="E17">
    <cfRule type="expression" priority="205" dxfId="0">
      <formula>AND(COUNT(C17:F17)=4,E17=14)</formula>
    </cfRule>
    <cfRule type="expression" priority="206" dxfId="1">
      <formula>AND(COUNT(C17:F17)=4,E17&lt;14*0.4)</formula>
    </cfRule>
    <cfRule type="expression" priority="207" dxfId="2">
      <formula>AND(COUNT(C17:F17)=4,E17&gt;=14*0.4,E17&lt;14)</formula>
    </cfRule>
  </conditionalFormatting>
  <conditionalFormatting sqref="E18">
    <cfRule type="expression" priority="208" dxfId="0">
      <formula>AND(COUNT(C18:F18)=4,E18=14)</formula>
    </cfRule>
    <cfRule type="expression" priority="209" dxfId="1">
      <formula>AND(COUNT(C18:F18)=4,E18&lt;14*0.4)</formula>
    </cfRule>
    <cfRule type="expression" priority="210" dxfId="2">
      <formula>AND(COUNT(C18:F18)=4,E18&gt;=14*0.4,E18&lt;14)</formula>
    </cfRule>
  </conditionalFormatting>
  <conditionalFormatting sqref="E19">
    <cfRule type="expression" priority="211" dxfId="0">
      <formula>AND(COUNT(C19:F19)=4,E19=14)</formula>
    </cfRule>
    <cfRule type="expression" priority="212" dxfId="1">
      <formula>AND(COUNT(C19:F19)=4,E19&lt;14*0.4)</formula>
    </cfRule>
    <cfRule type="expression" priority="213" dxfId="2">
      <formula>AND(COUNT(C19:F19)=4,E19&gt;=14*0.4,E19&lt;14)</formula>
    </cfRule>
  </conditionalFormatting>
  <conditionalFormatting sqref="E20">
    <cfRule type="expression" priority="214" dxfId="0">
      <formula>AND(COUNT(C20:F20)=4,E20=14)</formula>
    </cfRule>
    <cfRule type="expression" priority="215" dxfId="1">
      <formula>AND(COUNT(C20:F20)=4,E20&lt;14*0.4)</formula>
    </cfRule>
    <cfRule type="expression" priority="216" dxfId="2">
      <formula>AND(COUNT(C20:F20)=4,E20&gt;=14*0.4,E20&lt;14)</formula>
    </cfRule>
  </conditionalFormatting>
  <conditionalFormatting sqref="E21">
    <cfRule type="expression" priority="217" dxfId="0">
      <formula>AND(COUNT(C21:F21)=4,E21=14)</formula>
    </cfRule>
    <cfRule type="expression" priority="218" dxfId="1">
      <formula>AND(COUNT(C21:F21)=4,E21&lt;14*0.4)</formula>
    </cfRule>
    <cfRule type="expression" priority="219" dxfId="2">
      <formula>AND(COUNT(C21:F21)=4,E21&gt;=14*0.4,E21&lt;14)</formula>
    </cfRule>
  </conditionalFormatting>
  <conditionalFormatting sqref="E22">
    <cfRule type="expression" priority="220" dxfId="0">
      <formula>AND(COUNT(C22:F22)=4,E22=14)</formula>
    </cfRule>
    <cfRule type="expression" priority="221" dxfId="1">
      <formula>AND(COUNT(C22:F22)=4,E22&lt;14*0.4)</formula>
    </cfRule>
    <cfRule type="expression" priority="222" dxfId="2">
      <formula>AND(COUNT(C22:F22)=4,E22&gt;=14*0.4,E22&lt;14)</formula>
    </cfRule>
  </conditionalFormatting>
  <conditionalFormatting sqref="E23">
    <cfRule type="expression" priority="223" dxfId="0">
      <formula>AND(COUNT(C23:F23)=4,E23=14)</formula>
    </cfRule>
    <cfRule type="expression" priority="224" dxfId="1">
      <formula>AND(COUNT(C23:F23)=4,E23&lt;14*0.4)</formula>
    </cfRule>
    <cfRule type="expression" priority="225" dxfId="2">
      <formula>AND(COUNT(C23:F23)=4,E23&gt;=14*0.4,E23&lt;14)</formula>
    </cfRule>
  </conditionalFormatting>
  <conditionalFormatting sqref="E24">
    <cfRule type="expression" priority="226" dxfId="0">
      <formula>AND(COUNT(C24:F24)=4,E24=14)</formula>
    </cfRule>
    <cfRule type="expression" priority="227" dxfId="1">
      <formula>AND(COUNT(C24:F24)=4,E24&lt;14*0.4)</formula>
    </cfRule>
    <cfRule type="expression" priority="228" dxfId="2">
      <formula>AND(COUNT(C24:F24)=4,E24&gt;=14*0.4,E24&lt;14)</formula>
    </cfRule>
  </conditionalFormatting>
  <conditionalFormatting sqref="E25">
    <cfRule type="expression" priority="229" dxfId="0">
      <formula>AND(COUNT(C25:F25)=4,E25=14)</formula>
    </cfRule>
    <cfRule type="expression" priority="230" dxfId="1">
      <formula>AND(COUNT(C25:F25)=4,E25&lt;14*0.4)</formula>
    </cfRule>
    <cfRule type="expression" priority="231" dxfId="2">
      <formula>AND(COUNT(C25:F25)=4,E25&gt;=14*0.4,E25&lt;14)</formula>
    </cfRule>
  </conditionalFormatting>
  <conditionalFormatting sqref="E26">
    <cfRule type="expression" priority="232" dxfId="0">
      <formula>AND(COUNT(C26:F26)=4,E26=14)</formula>
    </cfRule>
    <cfRule type="expression" priority="233" dxfId="1">
      <formula>AND(COUNT(C26:F26)=4,E26&lt;14*0.4)</formula>
    </cfRule>
    <cfRule type="expression" priority="234" dxfId="2">
      <formula>AND(COUNT(C26:F26)=4,E26&gt;=14*0.4,E26&lt;14)</formula>
    </cfRule>
  </conditionalFormatting>
  <conditionalFormatting sqref="E27">
    <cfRule type="expression" priority="235" dxfId="0">
      <formula>AND(COUNT(C27:F27)=4,E27=14)</formula>
    </cfRule>
    <cfRule type="expression" priority="236" dxfId="1">
      <formula>AND(COUNT(C27:F27)=4,E27&lt;14*0.4)</formula>
    </cfRule>
    <cfRule type="expression" priority="237" dxfId="2">
      <formula>AND(COUNT(C27:F27)=4,E27&gt;=14*0.4,E27&lt;14)</formula>
    </cfRule>
  </conditionalFormatting>
  <conditionalFormatting sqref="E28">
    <cfRule type="expression" priority="238" dxfId="0">
      <formula>AND(COUNT(C28:F28)=4,E28=14)</formula>
    </cfRule>
    <cfRule type="expression" priority="239" dxfId="1">
      <formula>AND(COUNT(C28:F28)=4,E28&lt;14*0.4)</formula>
    </cfRule>
    <cfRule type="expression" priority="240" dxfId="2">
      <formula>AND(COUNT(C28:F28)=4,E28&gt;=14*0.4,E28&lt;14)</formula>
    </cfRule>
  </conditionalFormatting>
  <conditionalFormatting sqref="E29">
    <cfRule type="expression" priority="241" dxfId="0">
      <formula>AND(COUNT(C29:F29)=4,E29=14)</formula>
    </cfRule>
    <cfRule type="expression" priority="242" dxfId="1">
      <formula>AND(COUNT(C29:F29)=4,E29&lt;14*0.4)</formula>
    </cfRule>
    <cfRule type="expression" priority="243" dxfId="2">
      <formula>AND(COUNT(C29:F29)=4,E29&gt;=14*0.4,E29&lt;14)</formula>
    </cfRule>
  </conditionalFormatting>
  <conditionalFormatting sqref="E30">
    <cfRule type="expression" priority="244" dxfId="0">
      <formula>AND(COUNT(C30:F30)=4,E30=14)</formula>
    </cfRule>
    <cfRule type="expression" priority="245" dxfId="1">
      <formula>AND(COUNT(C30:F30)=4,E30&lt;14*0.4)</formula>
    </cfRule>
    <cfRule type="expression" priority="246" dxfId="2">
      <formula>AND(COUNT(C30:F30)=4,E30&gt;=14*0.4,E30&lt;14)</formula>
    </cfRule>
  </conditionalFormatting>
  <conditionalFormatting sqref="E31">
    <cfRule type="expression" priority="247" dxfId="0">
      <formula>AND(COUNT(C31:F31)=4,E31=14)</formula>
    </cfRule>
    <cfRule type="expression" priority="248" dxfId="1">
      <formula>AND(COUNT(C31:F31)=4,E31&lt;14*0.4)</formula>
    </cfRule>
    <cfRule type="expression" priority="249" dxfId="2">
      <formula>AND(COUNT(C31:F31)=4,E31&gt;=14*0.4,E31&lt;14)</formula>
    </cfRule>
  </conditionalFormatting>
  <conditionalFormatting sqref="E32">
    <cfRule type="expression" priority="250" dxfId="0">
      <formula>AND(COUNT(C32:F32)=4,E32=14)</formula>
    </cfRule>
    <cfRule type="expression" priority="251" dxfId="1">
      <formula>AND(COUNT(C32:F32)=4,E32&lt;14*0.4)</formula>
    </cfRule>
    <cfRule type="expression" priority="252" dxfId="2">
      <formula>AND(COUNT(C32:F32)=4,E32&gt;=14*0.4,E32&lt;14)</formula>
    </cfRule>
  </conditionalFormatting>
  <conditionalFormatting sqref="E33">
    <cfRule type="expression" priority="253" dxfId="0">
      <formula>AND(COUNT(C33:F33)=4,E33=14)</formula>
    </cfRule>
    <cfRule type="expression" priority="254" dxfId="1">
      <formula>AND(COUNT(C33:F33)=4,E33&lt;14*0.4)</formula>
    </cfRule>
    <cfRule type="expression" priority="255" dxfId="2">
      <formula>AND(COUNT(C33:F33)=4,E33&gt;=14*0.4,E33&lt;14)</formula>
    </cfRule>
  </conditionalFormatting>
  <conditionalFormatting sqref="E34">
    <cfRule type="expression" priority="256" dxfId="0">
      <formula>AND(COUNT(C34:F34)=4,E34=14)</formula>
    </cfRule>
    <cfRule type="expression" priority="257" dxfId="1">
      <formula>AND(COUNT(C34:F34)=4,E34&lt;14*0.4)</formula>
    </cfRule>
    <cfRule type="expression" priority="258" dxfId="2">
      <formula>AND(COUNT(C34:F34)=4,E34&gt;=14*0.4,E34&lt;14)</formula>
    </cfRule>
  </conditionalFormatting>
  <conditionalFormatting sqref="E35">
    <cfRule type="expression" priority="259" dxfId="0">
      <formula>AND(COUNT(C35:F35)=4,E35=14)</formula>
    </cfRule>
    <cfRule type="expression" priority="260" dxfId="1">
      <formula>AND(COUNT(C35:F35)=4,E35&lt;14*0.4)</formula>
    </cfRule>
    <cfRule type="expression" priority="261" dxfId="2">
      <formula>AND(COUNT(C35:F35)=4,E35&gt;=14*0.4,E35&lt;14)</formula>
    </cfRule>
  </conditionalFormatting>
  <conditionalFormatting sqref="E36">
    <cfRule type="expression" priority="262" dxfId="0">
      <formula>AND(COUNT(C36:F36)=4,E36=14)</formula>
    </cfRule>
    <cfRule type="expression" priority="263" dxfId="1">
      <formula>AND(COUNT(C36:F36)=4,E36&lt;14*0.4)</formula>
    </cfRule>
    <cfRule type="expression" priority="264" dxfId="2">
      <formula>AND(COUNT(C36:F36)=4,E36&gt;=14*0.4,E36&lt;14)</formula>
    </cfRule>
  </conditionalFormatting>
  <conditionalFormatting sqref="E37">
    <cfRule type="expression" priority="265" dxfId="0">
      <formula>AND(COUNT(C37:F37)=4,E37=14)</formula>
    </cfRule>
    <cfRule type="expression" priority="266" dxfId="1">
      <formula>AND(COUNT(C37:F37)=4,E37&lt;14*0.4)</formula>
    </cfRule>
    <cfRule type="expression" priority="267" dxfId="2">
      <formula>AND(COUNT(C37:F37)=4,E37&gt;=14*0.4,E37&lt;14)</formula>
    </cfRule>
  </conditionalFormatting>
  <conditionalFormatting sqref="E38">
    <cfRule type="expression" priority="268" dxfId="0">
      <formula>AND(COUNT(C38:F38)=4,E38=14)</formula>
    </cfRule>
    <cfRule type="expression" priority="269" dxfId="1">
      <formula>AND(COUNT(C38:F38)=4,E38&lt;14*0.4)</formula>
    </cfRule>
    <cfRule type="expression" priority="270" dxfId="2">
      <formula>AND(COUNT(C38:F38)=4,E38&gt;=14*0.4,E38&lt;14)</formula>
    </cfRule>
  </conditionalFormatting>
  <conditionalFormatting sqref="E39">
    <cfRule type="expression" priority="271" dxfId="0">
      <formula>AND(COUNT(C39:F39)=4,E39=14)</formula>
    </cfRule>
    <cfRule type="expression" priority="272" dxfId="1">
      <formula>AND(COUNT(C39:F39)=4,E39&lt;14*0.4)</formula>
    </cfRule>
    <cfRule type="expression" priority="273" dxfId="2">
      <formula>AND(COUNT(C39:F39)=4,E39&gt;=14*0.4,E39&lt;14)</formula>
    </cfRule>
  </conditionalFormatting>
  <conditionalFormatting sqref="E40">
    <cfRule type="expression" priority="274" dxfId="0">
      <formula>AND(COUNT(C40:F40)=4,E40=14)</formula>
    </cfRule>
    <cfRule type="expression" priority="275" dxfId="1">
      <formula>AND(COUNT(C40:F40)=4,E40&lt;14*0.4)</formula>
    </cfRule>
    <cfRule type="expression" priority="276" dxfId="2">
      <formula>AND(COUNT(C40:F40)=4,E40&gt;=14*0.4,E40&lt;14)</formula>
    </cfRule>
  </conditionalFormatting>
  <conditionalFormatting sqref="E41">
    <cfRule type="expression" priority="277" dxfId="0">
      <formula>AND(COUNT(C41:F41)=4,E41=14)</formula>
    </cfRule>
    <cfRule type="expression" priority="278" dxfId="1">
      <formula>AND(COUNT(C41:F41)=4,E41&lt;14*0.4)</formula>
    </cfRule>
    <cfRule type="expression" priority="279" dxfId="2">
      <formula>AND(COUNT(C41:F41)=4,E41&gt;=14*0.4,E41&lt;14)</formula>
    </cfRule>
  </conditionalFormatting>
  <conditionalFormatting sqref="F11">
    <cfRule type="expression" priority="280" dxfId="0">
      <formula>AND(COUNT(C11:F11)=4,F11=12)</formula>
    </cfRule>
    <cfRule type="expression" priority="281" dxfId="1">
      <formula>AND(COUNT(C11:F11)=4,F11&lt;12*0.4)</formula>
    </cfRule>
    <cfRule type="expression" priority="282" dxfId="2">
      <formula>AND(COUNT(C11:F11)=4,F11&gt;=12*0.4,F11&lt;12)</formula>
    </cfRule>
  </conditionalFormatting>
  <conditionalFormatting sqref="F12">
    <cfRule type="expression" priority="283" dxfId="0">
      <formula>AND(COUNT(C12:F12)=4,F12=12)</formula>
    </cfRule>
    <cfRule type="expression" priority="284" dxfId="1">
      <formula>AND(COUNT(C12:F12)=4,F12&lt;12*0.4)</formula>
    </cfRule>
    <cfRule type="expression" priority="285" dxfId="2">
      <formula>AND(COUNT(C12:F12)=4,F12&gt;=12*0.4,F12&lt;12)</formula>
    </cfRule>
  </conditionalFormatting>
  <conditionalFormatting sqref="F13">
    <cfRule type="expression" priority="286" dxfId="0">
      <formula>AND(COUNT(C13:F13)=4,F13=12)</formula>
    </cfRule>
    <cfRule type="expression" priority="287" dxfId="1">
      <formula>AND(COUNT(C13:F13)=4,F13&lt;12*0.4)</formula>
    </cfRule>
    <cfRule type="expression" priority="288" dxfId="2">
      <formula>AND(COUNT(C13:F13)=4,F13&gt;=12*0.4,F13&lt;12)</formula>
    </cfRule>
  </conditionalFormatting>
  <conditionalFormatting sqref="F14">
    <cfRule type="expression" priority="289" dxfId="0">
      <formula>AND(COUNT(C14:F14)=4,F14=12)</formula>
    </cfRule>
    <cfRule type="expression" priority="290" dxfId="1">
      <formula>AND(COUNT(C14:F14)=4,F14&lt;12*0.4)</formula>
    </cfRule>
    <cfRule type="expression" priority="291" dxfId="2">
      <formula>AND(COUNT(C14:F14)=4,F14&gt;=12*0.4,F14&lt;12)</formula>
    </cfRule>
  </conditionalFormatting>
  <conditionalFormatting sqref="F15">
    <cfRule type="expression" priority="292" dxfId="0">
      <formula>AND(COUNT(C15:F15)=4,F15=12)</formula>
    </cfRule>
    <cfRule type="expression" priority="293" dxfId="1">
      <formula>AND(COUNT(C15:F15)=4,F15&lt;12*0.4)</formula>
    </cfRule>
    <cfRule type="expression" priority="294" dxfId="2">
      <formula>AND(COUNT(C15:F15)=4,F15&gt;=12*0.4,F15&lt;12)</formula>
    </cfRule>
  </conditionalFormatting>
  <conditionalFormatting sqref="F16">
    <cfRule type="expression" priority="295" dxfId="0">
      <formula>AND(COUNT(C16:F16)=4,F16=12)</formula>
    </cfRule>
    <cfRule type="expression" priority="296" dxfId="1">
      <formula>AND(COUNT(C16:F16)=4,F16&lt;12*0.4)</formula>
    </cfRule>
    <cfRule type="expression" priority="297" dxfId="2">
      <formula>AND(COUNT(C16:F16)=4,F16&gt;=12*0.4,F16&lt;12)</formula>
    </cfRule>
  </conditionalFormatting>
  <conditionalFormatting sqref="F17">
    <cfRule type="expression" priority="298" dxfId="0">
      <formula>AND(COUNT(C17:F17)=4,F17=12)</formula>
    </cfRule>
    <cfRule type="expression" priority="299" dxfId="1">
      <formula>AND(COUNT(C17:F17)=4,F17&lt;12*0.4)</formula>
    </cfRule>
    <cfRule type="expression" priority="300" dxfId="2">
      <formula>AND(COUNT(C17:F17)=4,F17&gt;=12*0.4,F17&lt;12)</formula>
    </cfRule>
  </conditionalFormatting>
  <conditionalFormatting sqref="F18">
    <cfRule type="expression" priority="301" dxfId="0">
      <formula>AND(COUNT(C18:F18)=4,F18=12)</formula>
    </cfRule>
    <cfRule type="expression" priority="302" dxfId="1">
      <formula>AND(COUNT(C18:F18)=4,F18&lt;12*0.4)</formula>
    </cfRule>
    <cfRule type="expression" priority="303" dxfId="2">
      <formula>AND(COUNT(C18:F18)=4,F18&gt;=12*0.4,F18&lt;12)</formula>
    </cfRule>
  </conditionalFormatting>
  <conditionalFormatting sqref="F19">
    <cfRule type="expression" priority="304" dxfId="0">
      <formula>AND(COUNT(C19:F19)=4,F19=12)</formula>
    </cfRule>
    <cfRule type="expression" priority="305" dxfId="1">
      <formula>AND(COUNT(C19:F19)=4,F19&lt;12*0.4)</formula>
    </cfRule>
    <cfRule type="expression" priority="306" dxfId="2">
      <formula>AND(COUNT(C19:F19)=4,F19&gt;=12*0.4,F19&lt;12)</formula>
    </cfRule>
  </conditionalFormatting>
  <conditionalFormatting sqref="F20">
    <cfRule type="expression" priority="307" dxfId="0">
      <formula>AND(COUNT(C20:F20)=4,F20=12)</formula>
    </cfRule>
    <cfRule type="expression" priority="308" dxfId="1">
      <formula>AND(COUNT(C20:F20)=4,F20&lt;12*0.4)</formula>
    </cfRule>
    <cfRule type="expression" priority="309" dxfId="2">
      <formula>AND(COUNT(C20:F20)=4,F20&gt;=12*0.4,F20&lt;12)</formula>
    </cfRule>
  </conditionalFormatting>
  <conditionalFormatting sqref="F21">
    <cfRule type="expression" priority="310" dxfId="0">
      <formula>AND(COUNT(C21:F21)=4,F21=12)</formula>
    </cfRule>
    <cfRule type="expression" priority="311" dxfId="1">
      <formula>AND(COUNT(C21:F21)=4,F21&lt;12*0.4)</formula>
    </cfRule>
    <cfRule type="expression" priority="312" dxfId="2">
      <formula>AND(COUNT(C21:F21)=4,F21&gt;=12*0.4,F21&lt;12)</formula>
    </cfRule>
  </conditionalFormatting>
  <conditionalFormatting sqref="F22">
    <cfRule type="expression" priority="313" dxfId="0">
      <formula>AND(COUNT(C22:F22)=4,F22=12)</formula>
    </cfRule>
    <cfRule type="expression" priority="314" dxfId="1">
      <formula>AND(COUNT(C22:F22)=4,F22&lt;12*0.4)</formula>
    </cfRule>
    <cfRule type="expression" priority="315" dxfId="2">
      <formula>AND(COUNT(C22:F22)=4,F22&gt;=12*0.4,F22&lt;12)</formula>
    </cfRule>
  </conditionalFormatting>
  <conditionalFormatting sqref="F23">
    <cfRule type="expression" priority="316" dxfId="0">
      <formula>AND(COUNT(C23:F23)=4,F23=12)</formula>
    </cfRule>
    <cfRule type="expression" priority="317" dxfId="1">
      <formula>AND(COUNT(C23:F23)=4,F23&lt;12*0.4)</formula>
    </cfRule>
    <cfRule type="expression" priority="318" dxfId="2">
      <formula>AND(COUNT(C23:F23)=4,F23&gt;=12*0.4,F23&lt;12)</formula>
    </cfRule>
  </conditionalFormatting>
  <conditionalFormatting sqref="F24">
    <cfRule type="expression" priority="319" dxfId="0">
      <formula>AND(COUNT(C24:F24)=4,F24=12)</formula>
    </cfRule>
    <cfRule type="expression" priority="320" dxfId="1">
      <formula>AND(COUNT(C24:F24)=4,F24&lt;12*0.4)</formula>
    </cfRule>
    <cfRule type="expression" priority="321" dxfId="2">
      <formula>AND(COUNT(C24:F24)=4,F24&gt;=12*0.4,F24&lt;12)</formula>
    </cfRule>
  </conditionalFormatting>
  <conditionalFormatting sqref="F25">
    <cfRule type="expression" priority="322" dxfId="0">
      <formula>AND(COUNT(C25:F25)=4,F25=12)</formula>
    </cfRule>
    <cfRule type="expression" priority="323" dxfId="1">
      <formula>AND(COUNT(C25:F25)=4,F25&lt;12*0.4)</formula>
    </cfRule>
    <cfRule type="expression" priority="324" dxfId="2">
      <formula>AND(COUNT(C25:F25)=4,F25&gt;=12*0.4,F25&lt;12)</formula>
    </cfRule>
  </conditionalFormatting>
  <conditionalFormatting sqref="F26">
    <cfRule type="expression" priority="325" dxfId="0">
      <formula>AND(COUNT(C26:F26)=4,F26=12)</formula>
    </cfRule>
    <cfRule type="expression" priority="326" dxfId="1">
      <formula>AND(COUNT(C26:F26)=4,F26&lt;12*0.4)</formula>
    </cfRule>
    <cfRule type="expression" priority="327" dxfId="2">
      <formula>AND(COUNT(C26:F26)=4,F26&gt;=12*0.4,F26&lt;12)</formula>
    </cfRule>
  </conditionalFormatting>
  <conditionalFormatting sqref="F27">
    <cfRule type="expression" priority="328" dxfId="0">
      <formula>AND(COUNT(C27:F27)=4,F27=12)</formula>
    </cfRule>
    <cfRule type="expression" priority="329" dxfId="1">
      <formula>AND(COUNT(C27:F27)=4,F27&lt;12*0.4)</formula>
    </cfRule>
    <cfRule type="expression" priority="330" dxfId="2">
      <formula>AND(COUNT(C27:F27)=4,F27&gt;=12*0.4,F27&lt;12)</formula>
    </cfRule>
  </conditionalFormatting>
  <conditionalFormatting sqref="F28">
    <cfRule type="expression" priority="331" dxfId="0">
      <formula>AND(COUNT(C28:F28)=4,F28=12)</formula>
    </cfRule>
    <cfRule type="expression" priority="332" dxfId="1">
      <formula>AND(COUNT(C28:F28)=4,F28&lt;12*0.4)</formula>
    </cfRule>
    <cfRule type="expression" priority="333" dxfId="2">
      <formula>AND(COUNT(C28:F28)=4,F28&gt;=12*0.4,F28&lt;12)</formula>
    </cfRule>
  </conditionalFormatting>
  <conditionalFormatting sqref="F29">
    <cfRule type="expression" priority="334" dxfId="0">
      <formula>AND(COUNT(C29:F29)=4,F29=12)</formula>
    </cfRule>
    <cfRule type="expression" priority="335" dxfId="1">
      <formula>AND(COUNT(C29:F29)=4,F29&lt;12*0.4)</formula>
    </cfRule>
    <cfRule type="expression" priority="336" dxfId="2">
      <formula>AND(COUNT(C29:F29)=4,F29&gt;=12*0.4,F29&lt;12)</formula>
    </cfRule>
  </conditionalFormatting>
  <conditionalFormatting sqref="F30">
    <cfRule type="expression" priority="337" dxfId="0">
      <formula>AND(COUNT(C30:F30)=4,F30=12)</formula>
    </cfRule>
    <cfRule type="expression" priority="338" dxfId="1">
      <formula>AND(COUNT(C30:F30)=4,F30&lt;12*0.4)</formula>
    </cfRule>
    <cfRule type="expression" priority="339" dxfId="2">
      <formula>AND(COUNT(C30:F30)=4,F30&gt;=12*0.4,F30&lt;12)</formula>
    </cfRule>
  </conditionalFormatting>
  <conditionalFormatting sqref="F31">
    <cfRule type="expression" priority="340" dxfId="0">
      <formula>AND(COUNT(C31:F31)=4,F31=12)</formula>
    </cfRule>
    <cfRule type="expression" priority="341" dxfId="1">
      <formula>AND(COUNT(C31:F31)=4,F31&lt;12*0.4)</formula>
    </cfRule>
    <cfRule type="expression" priority="342" dxfId="2">
      <formula>AND(COUNT(C31:F31)=4,F31&gt;=12*0.4,F31&lt;12)</formula>
    </cfRule>
  </conditionalFormatting>
  <conditionalFormatting sqref="F32">
    <cfRule type="expression" priority="343" dxfId="0">
      <formula>AND(COUNT(C32:F32)=4,F32=12)</formula>
    </cfRule>
    <cfRule type="expression" priority="344" dxfId="1">
      <formula>AND(COUNT(C32:F32)=4,F32&lt;12*0.4)</formula>
    </cfRule>
    <cfRule type="expression" priority="345" dxfId="2">
      <formula>AND(COUNT(C32:F32)=4,F32&gt;=12*0.4,F32&lt;12)</formula>
    </cfRule>
  </conditionalFormatting>
  <conditionalFormatting sqref="F33">
    <cfRule type="expression" priority="346" dxfId="0">
      <formula>AND(COUNT(C33:F33)=4,F33=12)</formula>
    </cfRule>
    <cfRule type="expression" priority="347" dxfId="1">
      <formula>AND(COUNT(C33:F33)=4,F33&lt;12*0.4)</formula>
    </cfRule>
    <cfRule type="expression" priority="348" dxfId="2">
      <formula>AND(COUNT(C33:F33)=4,F33&gt;=12*0.4,F33&lt;12)</formula>
    </cfRule>
  </conditionalFormatting>
  <conditionalFormatting sqref="F34">
    <cfRule type="expression" priority="349" dxfId="0">
      <formula>AND(COUNT(C34:F34)=4,F34=12)</formula>
    </cfRule>
    <cfRule type="expression" priority="350" dxfId="1">
      <formula>AND(COUNT(C34:F34)=4,F34&lt;12*0.4)</formula>
    </cfRule>
    <cfRule type="expression" priority="351" dxfId="2">
      <formula>AND(COUNT(C34:F34)=4,F34&gt;=12*0.4,F34&lt;12)</formula>
    </cfRule>
  </conditionalFormatting>
  <conditionalFormatting sqref="F35">
    <cfRule type="expression" priority="352" dxfId="0">
      <formula>AND(COUNT(C35:F35)=4,F35=12)</formula>
    </cfRule>
    <cfRule type="expression" priority="353" dxfId="1">
      <formula>AND(COUNT(C35:F35)=4,F35&lt;12*0.4)</formula>
    </cfRule>
    <cfRule type="expression" priority="354" dxfId="2">
      <formula>AND(COUNT(C35:F35)=4,F35&gt;=12*0.4,F35&lt;12)</formula>
    </cfRule>
  </conditionalFormatting>
  <conditionalFormatting sqref="F36">
    <cfRule type="expression" priority="355" dxfId="0">
      <formula>AND(COUNT(C36:F36)=4,F36=12)</formula>
    </cfRule>
    <cfRule type="expression" priority="356" dxfId="1">
      <formula>AND(COUNT(C36:F36)=4,F36&lt;12*0.4)</formula>
    </cfRule>
    <cfRule type="expression" priority="357" dxfId="2">
      <formula>AND(COUNT(C36:F36)=4,F36&gt;=12*0.4,F36&lt;12)</formula>
    </cfRule>
  </conditionalFormatting>
  <conditionalFormatting sqref="F37">
    <cfRule type="expression" priority="358" dxfId="0">
      <formula>AND(COUNT(C37:F37)=4,F37=12)</formula>
    </cfRule>
    <cfRule type="expression" priority="359" dxfId="1">
      <formula>AND(COUNT(C37:F37)=4,F37&lt;12*0.4)</formula>
    </cfRule>
    <cfRule type="expression" priority="360" dxfId="2">
      <formula>AND(COUNT(C37:F37)=4,F37&gt;=12*0.4,F37&lt;12)</formula>
    </cfRule>
  </conditionalFormatting>
  <conditionalFormatting sqref="F38">
    <cfRule type="expression" priority="361" dxfId="0">
      <formula>AND(COUNT(C38:F38)=4,F38=12)</formula>
    </cfRule>
    <cfRule type="expression" priority="362" dxfId="1">
      <formula>AND(COUNT(C38:F38)=4,F38&lt;12*0.4)</formula>
    </cfRule>
    <cfRule type="expression" priority="363" dxfId="2">
      <formula>AND(COUNT(C38:F38)=4,F38&gt;=12*0.4,F38&lt;12)</formula>
    </cfRule>
  </conditionalFormatting>
  <conditionalFormatting sqref="F39">
    <cfRule type="expression" priority="364" dxfId="0">
      <formula>AND(COUNT(C39:F39)=4,F39=12)</formula>
    </cfRule>
    <cfRule type="expression" priority="365" dxfId="1">
      <formula>AND(COUNT(C39:F39)=4,F39&lt;12*0.4)</formula>
    </cfRule>
    <cfRule type="expression" priority="366" dxfId="2">
      <formula>AND(COUNT(C39:F39)=4,F39&gt;=12*0.4,F39&lt;12)</formula>
    </cfRule>
  </conditionalFormatting>
  <conditionalFormatting sqref="F40">
    <cfRule type="expression" priority="367" dxfId="0">
      <formula>AND(COUNT(C40:F40)=4,F40=12)</formula>
    </cfRule>
    <cfRule type="expression" priority="368" dxfId="1">
      <formula>AND(COUNT(C40:F40)=4,F40&lt;12*0.4)</formula>
    </cfRule>
    <cfRule type="expression" priority="369" dxfId="2">
      <formula>AND(COUNT(C40:F40)=4,F40&gt;=12*0.4,F40&lt;12)</formula>
    </cfRule>
  </conditionalFormatting>
  <conditionalFormatting sqref="F41">
    <cfRule type="expression" priority="370" dxfId="0">
      <formula>AND(COUNT(C41:F41)=4,F41=12)</formula>
    </cfRule>
    <cfRule type="expression" priority="371" dxfId="1">
      <formula>AND(COUNT(C41:F41)=4,F41&lt;12*0.4)</formula>
    </cfRule>
    <cfRule type="expression" priority="372" dxfId="2">
      <formula>AND(COUNT(C41:F41)=4,F41&gt;=12*0.4,F41&lt;12)</formula>
    </cfRule>
  </conditionalFormatting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Chapter 7 End of Topic Test 2 — Correlation and Regression</t>
        </is>
      </c>
    </row>
    <row r="2">
      <c r="A2" s="2" t="inlineStr">
        <is>
          <t>Every block below pulls live from 'Ch7 EOT2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SUMPRODUCT(--ISNUMBER('Ch7 EOT2 Results'!I12:I41))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IF('Ch7 EOT2 Results'!I12="","","Chapter 7 End of Topic Test 2 — Correlation and Regression")</f>
        <v/>
      </c>
      <c r="K5">
        <f>IF('Ch7 EOT2 Results'!I13="","","Chapter 7 End of Topic Test 2 — Correlation and Regression")</f>
        <v/>
      </c>
    </row>
    <row r="6">
      <c r="A6">
        <f>IF('Ch7 EOT2 Results'!I12="","","Name: "&amp;'Ch7 EOT2 Results'!B12&amp;"   Class: "&amp;'Ch7 EOT2 Results'!$B$3&amp;"   Date: "&amp;TEXT('Ch7 EOT2 Results'!$B$5,"DD/MM/YY"))</f>
        <v/>
      </c>
      <c r="K6">
        <f>IF('Ch7 EOT2 Results'!I13="","","Name: "&amp;'Ch7 EOT2 Results'!B13&amp;"   Class: "&amp;'Ch7 EOT2 Results'!$B$3&amp;"   Date: "&amp;TEXT('Ch7 EOT2 Results'!$B$5,"DD/MM/YY"))</f>
        <v/>
      </c>
    </row>
    <row r="7">
      <c r="A7">
        <f>IF('Ch7 EOT2 Results'!I12="","","Total: "&amp;'Ch7 EOT2 Results'!G12&amp;"/58 ("&amp;TEXT('Ch7 EOT2 Results'!H12,"0%")&amp;")   Overall: "&amp;'Ch7 EOT2 Results'!I12)</f>
        <v/>
      </c>
      <c r="K7">
        <f>IF('Ch7 EOT2 Results'!I13="","","Total: "&amp;'Ch7 EOT2 Results'!G13&amp;"/58 ("&amp;TEXT('Ch7 EOT2 Results'!H13,"0%")&amp;")   Overall: "&amp;'Ch7 EOT2 Results'!I13)</f>
        <v/>
      </c>
    </row>
    <row r="8">
      <c r="A8">
        <f>IF('Ch7 EOT2 Results'!I12="","",IF('Ch7 EOT2 Results'!I12="Green",Parameters!$C$463,IF('Ch7 EOT2 Results'!I12="Yellow",Parameters!$C$462,Parameters!$C$461)))</f>
        <v/>
      </c>
      <c r="K8">
        <f>IF('Ch7 EOT2 Results'!I13="","",IF('Ch7 EOT2 Results'!I13="Green",Parameters!$C$463,IF('Ch7 EOT2 Results'!I13="Yellow",Parameters!$C$462,Parameters!$C$461)))</f>
        <v/>
      </c>
    </row>
    <row r="10">
      <c r="A10">
        <f>IF('Ch7 EOT2 Results'!I12="","","Breakdown:")</f>
        <v/>
      </c>
      <c r="K10">
        <f>IF('Ch7 EOT2 Results'!I13="","","Breakdown:")</f>
        <v/>
      </c>
    </row>
    <row r="11">
      <c r="A11">
        <f>IF('Ch7 EOT2 Results'!I12="","","Q1 Scatter, PMCC &amp; regression prediction: "&amp;'Ch7 EOT2 Results'!C12&amp;"/18")</f>
        <v/>
      </c>
      <c r="K11">
        <f>IF('Ch7 EOT2 Results'!I13="","","Q1 Scatter, PMCC &amp; regression prediction: "&amp;'Ch7 EOT2 Results'!C13&amp;"/18")</f>
        <v/>
      </c>
    </row>
    <row r="12">
      <c r="A12">
        <f>IF('Ch7 EOT2 Results'!I12="","","Q2 Correlation vs causation: "&amp;'Ch7 EOT2 Results'!D12&amp;"/14")</f>
        <v/>
      </c>
      <c r="K12">
        <f>IF('Ch7 EOT2 Results'!I13="","","Q2 Correlation vs causation: "&amp;'Ch7 EOT2 Results'!D13&amp;"/14")</f>
        <v/>
      </c>
    </row>
    <row r="13">
      <c r="A13">
        <f>IF('Ch7 EOT2 Results'!I12="","","Q3 Interpreting &amp; comparing regression lines: "&amp;'Ch7 EOT2 Results'!E12&amp;"/14")</f>
        <v/>
      </c>
      <c r="K13">
        <f>IF('Ch7 EOT2 Results'!I13="","","Q3 Interpreting &amp; comparing regression lines: "&amp;'Ch7 EOT2 Results'!E13&amp;"/14")</f>
        <v/>
      </c>
    </row>
    <row r="14">
      <c r="A14">
        <f>IF('Ch7 EOT2 Results'!I12="","","Q4 Outliers, extrapolation &amp; causation: "&amp;'Ch7 EOT2 Results'!F12&amp;"/12")</f>
        <v/>
      </c>
      <c r="K14">
        <f>IF('Ch7 EOT2 Results'!I13="","","Q4 Outliers, extrapolation &amp; causation: "&amp;'Ch7 EOT2 Results'!F13&amp;"/12")</f>
        <v/>
      </c>
    </row>
    <row r="15">
      <c r="A15">
        <f>IF(OR('Ch7 EOT2 Results'!I12="",'Ch7 EOT2 Results'!J12=""),"",'Ch7 EOT2 Results'!J12)</f>
        <v/>
      </c>
      <c r="K15">
        <f>IF(OR('Ch7 EOT2 Results'!I13="",'Ch7 EOT2 Results'!J13=""),"",'Ch7 EOT2 Results'!J13)</f>
        <v/>
      </c>
    </row>
    <row r="17">
      <c r="A17">
        <f>IF('Ch7 EOT2 Results'!I12="","","Comments:")</f>
        <v/>
      </c>
      <c r="K17">
        <f>IF('Ch7 EOT2 Results'!I13="","","Comments:")</f>
        <v/>
      </c>
    </row>
    <row r="21">
      <c r="A21">
        <f>IF('Ch7 EOT2 Results'!I14="","","Chapter 7 End of Topic Test 2 — Correlation and Regression")</f>
        <v/>
      </c>
      <c r="K21">
        <f>IF('Ch7 EOT2 Results'!I15="","","Chapter 7 End of Topic Test 2 — Correlation and Regression")</f>
        <v/>
      </c>
    </row>
    <row r="22">
      <c r="A22">
        <f>IF('Ch7 EOT2 Results'!I14="","","Name: "&amp;'Ch7 EOT2 Results'!B14&amp;"   Class: "&amp;'Ch7 EOT2 Results'!$B$3&amp;"   Date: "&amp;TEXT('Ch7 EOT2 Results'!$B$5,"DD/MM/YY"))</f>
        <v/>
      </c>
      <c r="K22">
        <f>IF('Ch7 EOT2 Results'!I15="","","Name: "&amp;'Ch7 EOT2 Results'!B15&amp;"   Class: "&amp;'Ch7 EOT2 Results'!$B$3&amp;"   Date: "&amp;TEXT('Ch7 EOT2 Results'!$B$5,"DD/MM/YY"))</f>
        <v/>
      </c>
    </row>
    <row r="23">
      <c r="A23">
        <f>IF('Ch7 EOT2 Results'!I14="","","Total: "&amp;'Ch7 EOT2 Results'!G14&amp;"/58 ("&amp;TEXT('Ch7 EOT2 Results'!H14,"0%")&amp;")   Overall: "&amp;'Ch7 EOT2 Results'!I14)</f>
        <v/>
      </c>
      <c r="K23">
        <f>IF('Ch7 EOT2 Results'!I15="","","Total: "&amp;'Ch7 EOT2 Results'!G15&amp;"/58 ("&amp;TEXT('Ch7 EOT2 Results'!H15,"0%")&amp;")   Overall: "&amp;'Ch7 EOT2 Results'!I15)</f>
        <v/>
      </c>
    </row>
    <row r="24">
      <c r="A24">
        <f>IF('Ch7 EOT2 Results'!I14="","",IF('Ch7 EOT2 Results'!I14="Green",Parameters!$C$463,IF('Ch7 EOT2 Results'!I14="Yellow",Parameters!$C$462,Parameters!$C$461)))</f>
        <v/>
      </c>
      <c r="K24">
        <f>IF('Ch7 EOT2 Results'!I15="","",IF('Ch7 EOT2 Results'!I15="Green",Parameters!$C$463,IF('Ch7 EOT2 Results'!I15="Yellow",Parameters!$C$462,Parameters!$C$461)))</f>
        <v/>
      </c>
    </row>
    <row r="26">
      <c r="A26">
        <f>IF('Ch7 EOT2 Results'!I14="","","Breakdown:")</f>
        <v/>
      </c>
      <c r="K26">
        <f>IF('Ch7 EOT2 Results'!I15="","","Breakdown:")</f>
        <v/>
      </c>
    </row>
    <row r="27">
      <c r="A27">
        <f>IF('Ch7 EOT2 Results'!I14="","","Q1 Scatter, PMCC &amp; regression prediction: "&amp;'Ch7 EOT2 Results'!C14&amp;"/18")</f>
        <v/>
      </c>
      <c r="K27">
        <f>IF('Ch7 EOT2 Results'!I15="","","Q1 Scatter, PMCC &amp; regression prediction: "&amp;'Ch7 EOT2 Results'!C15&amp;"/18")</f>
        <v/>
      </c>
    </row>
    <row r="28">
      <c r="A28">
        <f>IF('Ch7 EOT2 Results'!I14="","","Q2 Correlation vs causation: "&amp;'Ch7 EOT2 Results'!D14&amp;"/14")</f>
        <v/>
      </c>
      <c r="K28">
        <f>IF('Ch7 EOT2 Results'!I15="","","Q2 Correlation vs causation: "&amp;'Ch7 EOT2 Results'!D15&amp;"/14")</f>
        <v/>
      </c>
    </row>
    <row r="29">
      <c r="A29">
        <f>IF('Ch7 EOT2 Results'!I14="","","Q3 Interpreting &amp; comparing regression lines: "&amp;'Ch7 EOT2 Results'!E14&amp;"/14")</f>
        <v/>
      </c>
      <c r="K29">
        <f>IF('Ch7 EOT2 Results'!I15="","","Q3 Interpreting &amp; comparing regression lines: "&amp;'Ch7 EOT2 Results'!E15&amp;"/14")</f>
        <v/>
      </c>
    </row>
    <row r="30">
      <c r="A30">
        <f>IF('Ch7 EOT2 Results'!I14="","","Q4 Outliers, extrapolation &amp; causation: "&amp;'Ch7 EOT2 Results'!F14&amp;"/12")</f>
        <v/>
      </c>
      <c r="K30">
        <f>IF('Ch7 EOT2 Results'!I15="","","Q4 Outliers, extrapolation &amp; causation: "&amp;'Ch7 EOT2 Results'!F15&amp;"/12")</f>
        <v/>
      </c>
    </row>
    <row r="31">
      <c r="A31">
        <f>IF(OR('Ch7 EOT2 Results'!I14="",'Ch7 EOT2 Results'!J14=""),"",'Ch7 EOT2 Results'!J14)</f>
        <v/>
      </c>
      <c r="K31">
        <f>IF(OR('Ch7 EOT2 Results'!I15="",'Ch7 EOT2 Results'!J15=""),"",'Ch7 EOT2 Results'!J15)</f>
        <v/>
      </c>
    </row>
    <row r="33">
      <c r="A33">
        <f>IF('Ch7 EOT2 Results'!I14="","","Comments:")</f>
        <v/>
      </c>
      <c r="K33">
        <f>IF('Ch7 EOT2 Results'!I15="","","Comments:")</f>
        <v/>
      </c>
    </row>
    <row r="37">
      <c r="A37">
        <f>IF('Ch7 EOT2 Results'!I16="","","Chapter 7 End of Topic Test 2 — Correlation and Regression")</f>
        <v/>
      </c>
      <c r="K37">
        <f>IF('Ch7 EOT2 Results'!I17="","","Chapter 7 End of Topic Test 2 — Correlation and Regression")</f>
        <v/>
      </c>
    </row>
    <row r="38">
      <c r="A38">
        <f>IF('Ch7 EOT2 Results'!I16="","","Name: "&amp;'Ch7 EOT2 Results'!B16&amp;"   Class: "&amp;'Ch7 EOT2 Results'!$B$3&amp;"   Date: "&amp;TEXT('Ch7 EOT2 Results'!$B$5,"DD/MM/YY"))</f>
        <v/>
      </c>
      <c r="K38">
        <f>IF('Ch7 EOT2 Results'!I17="","","Name: "&amp;'Ch7 EOT2 Results'!B17&amp;"   Class: "&amp;'Ch7 EOT2 Results'!$B$3&amp;"   Date: "&amp;TEXT('Ch7 EOT2 Results'!$B$5,"DD/MM/YY"))</f>
        <v/>
      </c>
    </row>
    <row r="39">
      <c r="A39">
        <f>IF('Ch7 EOT2 Results'!I16="","","Total: "&amp;'Ch7 EOT2 Results'!G16&amp;"/58 ("&amp;TEXT('Ch7 EOT2 Results'!H16,"0%")&amp;")   Overall: "&amp;'Ch7 EOT2 Results'!I16)</f>
        <v/>
      </c>
      <c r="K39">
        <f>IF('Ch7 EOT2 Results'!I17="","","Total: "&amp;'Ch7 EOT2 Results'!G17&amp;"/58 ("&amp;TEXT('Ch7 EOT2 Results'!H17,"0%")&amp;")   Overall: "&amp;'Ch7 EOT2 Results'!I17)</f>
        <v/>
      </c>
    </row>
    <row r="40">
      <c r="A40">
        <f>IF('Ch7 EOT2 Results'!I16="","",IF('Ch7 EOT2 Results'!I16="Green",Parameters!$C$463,IF('Ch7 EOT2 Results'!I16="Yellow",Parameters!$C$462,Parameters!$C$461)))</f>
        <v/>
      </c>
      <c r="K40">
        <f>IF('Ch7 EOT2 Results'!I17="","",IF('Ch7 EOT2 Results'!I17="Green",Parameters!$C$463,IF('Ch7 EOT2 Results'!I17="Yellow",Parameters!$C$462,Parameters!$C$461)))</f>
        <v/>
      </c>
    </row>
    <row r="42">
      <c r="A42">
        <f>IF('Ch7 EOT2 Results'!I16="","","Breakdown:")</f>
        <v/>
      </c>
      <c r="K42">
        <f>IF('Ch7 EOT2 Results'!I17="","","Breakdown:")</f>
        <v/>
      </c>
    </row>
    <row r="43">
      <c r="A43">
        <f>IF('Ch7 EOT2 Results'!I16="","","Q1 Scatter, PMCC &amp; regression prediction: "&amp;'Ch7 EOT2 Results'!C16&amp;"/18")</f>
        <v/>
      </c>
      <c r="K43">
        <f>IF('Ch7 EOT2 Results'!I17="","","Q1 Scatter, PMCC &amp; regression prediction: "&amp;'Ch7 EOT2 Results'!C17&amp;"/18")</f>
        <v/>
      </c>
    </row>
    <row r="44">
      <c r="A44">
        <f>IF('Ch7 EOT2 Results'!I16="","","Q2 Correlation vs causation: "&amp;'Ch7 EOT2 Results'!D16&amp;"/14")</f>
        <v/>
      </c>
      <c r="K44">
        <f>IF('Ch7 EOT2 Results'!I17="","","Q2 Correlation vs causation: "&amp;'Ch7 EOT2 Results'!D17&amp;"/14")</f>
        <v/>
      </c>
    </row>
    <row r="45">
      <c r="A45">
        <f>IF('Ch7 EOT2 Results'!I16="","","Q3 Interpreting &amp; comparing regression lines: "&amp;'Ch7 EOT2 Results'!E16&amp;"/14")</f>
        <v/>
      </c>
      <c r="K45">
        <f>IF('Ch7 EOT2 Results'!I17="","","Q3 Interpreting &amp; comparing regression lines: "&amp;'Ch7 EOT2 Results'!E17&amp;"/14")</f>
        <v/>
      </c>
    </row>
    <row r="46">
      <c r="A46">
        <f>IF('Ch7 EOT2 Results'!I16="","","Q4 Outliers, extrapolation &amp; causation: "&amp;'Ch7 EOT2 Results'!F16&amp;"/12")</f>
        <v/>
      </c>
      <c r="K46">
        <f>IF('Ch7 EOT2 Results'!I17="","","Q4 Outliers, extrapolation &amp; causation: "&amp;'Ch7 EOT2 Results'!F17&amp;"/12")</f>
        <v/>
      </c>
    </row>
    <row r="47">
      <c r="A47">
        <f>IF(OR('Ch7 EOT2 Results'!I16="",'Ch7 EOT2 Results'!J16=""),"",'Ch7 EOT2 Results'!J16)</f>
        <v/>
      </c>
      <c r="K47">
        <f>IF(OR('Ch7 EOT2 Results'!I17="",'Ch7 EOT2 Results'!J17=""),"",'Ch7 EOT2 Results'!J17)</f>
        <v/>
      </c>
    </row>
    <row r="49">
      <c r="A49">
        <f>IF('Ch7 EOT2 Results'!I16="","","Comments:")</f>
        <v/>
      </c>
      <c r="K49">
        <f>IF('Ch7 EOT2 Results'!I17="","","Comments:")</f>
        <v/>
      </c>
    </row>
    <row r="53">
      <c r="A53">
        <f>IF('Ch7 EOT2 Results'!I18="","","Chapter 7 End of Topic Test 2 — Correlation and Regression")</f>
        <v/>
      </c>
      <c r="K53">
        <f>IF('Ch7 EOT2 Results'!I19="","","Chapter 7 End of Topic Test 2 — Correlation and Regression")</f>
        <v/>
      </c>
    </row>
    <row r="54">
      <c r="A54">
        <f>IF('Ch7 EOT2 Results'!I18="","","Name: "&amp;'Ch7 EOT2 Results'!B18&amp;"   Class: "&amp;'Ch7 EOT2 Results'!$B$3&amp;"   Date: "&amp;TEXT('Ch7 EOT2 Results'!$B$5,"DD/MM/YY"))</f>
        <v/>
      </c>
      <c r="K54">
        <f>IF('Ch7 EOT2 Results'!I19="","","Name: "&amp;'Ch7 EOT2 Results'!B19&amp;"   Class: "&amp;'Ch7 EOT2 Results'!$B$3&amp;"   Date: "&amp;TEXT('Ch7 EOT2 Results'!$B$5,"DD/MM/YY"))</f>
        <v/>
      </c>
    </row>
    <row r="55">
      <c r="A55">
        <f>IF('Ch7 EOT2 Results'!I18="","","Total: "&amp;'Ch7 EOT2 Results'!G18&amp;"/58 ("&amp;TEXT('Ch7 EOT2 Results'!H18,"0%")&amp;")   Overall: "&amp;'Ch7 EOT2 Results'!I18)</f>
        <v/>
      </c>
      <c r="K55">
        <f>IF('Ch7 EOT2 Results'!I19="","","Total: "&amp;'Ch7 EOT2 Results'!G19&amp;"/58 ("&amp;TEXT('Ch7 EOT2 Results'!H19,"0%")&amp;")   Overall: "&amp;'Ch7 EOT2 Results'!I19)</f>
        <v/>
      </c>
    </row>
    <row r="56">
      <c r="A56">
        <f>IF('Ch7 EOT2 Results'!I18="","",IF('Ch7 EOT2 Results'!I18="Green",Parameters!$C$463,IF('Ch7 EOT2 Results'!I18="Yellow",Parameters!$C$462,Parameters!$C$461)))</f>
        <v/>
      </c>
      <c r="K56">
        <f>IF('Ch7 EOT2 Results'!I19="","",IF('Ch7 EOT2 Results'!I19="Green",Parameters!$C$463,IF('Ch7 EOT2 Results'!I19="Yellow",Parameters!$C$462,Parameters!$C$461)))</f>
        <v/>
      </c>
    </row>
    <row r="58">
      <c r="A58">
        <f>IF('Ch7 EOT2 Results'!I18="","","Breakdown:")</f>
        <v/>
      </c>
      <c r="K58">
        <f>IF('Ch7 EOT2 Results'!I19="","","Breakdown:")</f>
        <v/>
      </c>
    </row>
    <row r="59">
      <c r="A59">
        <f>IF('Ch7 EOT2 Results'!I18="","","Q1 Scatter, PMCC &amp; regression prediction: "&amp;'Ch7 EOT2 Results'!C18&amp;"/18")</f>
        <v/>
      </c>
      <c r="K59">
        <f>IF('Ch7 EOT2 Results'!I19="","","Q1 Scatter, PMCC &amp; regression prediction: "&amp;'Ch7 EOT2 Results'!C19&amp;"/18")</f>
        <v/>
      </c>
    </row>
    <row r="60">
      <c r="A60">
        <f>IF('Ch7 EOT2 Results'!I18="","","Q2 Correlation vs causation: "&amp;'Ch7 EOT2 Results'!D18&amp;"/14")</f>
        <v/>
      </c>
      <c r="K60">
        <f>IF('Ch7 EOT2 Results'!I19="","","Q2 Correlation vs causation: "&amp;'Ch7 EOT2 Results'!D19&amp;"/14")</f>
        <v/>
      </c>
    </row>
    <row r="61">
      <c r="A61">
        <f>IF('Ch7 EOT2 Results'!I18="","","Q3 Interpreting &amp; comparing regression lines: "&amp;'Ch7 EOT2 Results'!E18&amp;"/14")</f>
        <v/>
      </c>
      <c r="K61">
        <f>IF('Ch7 EOT2 Results'!I19="","","Q3 Interpreting &amp; comparing regression lines: "&amp;'Ch7 EOT2 Results'!E19&amp;"/14")</f>
        <v/>
      </c>
    </row>
    <row r="62">
      <c r="A62">
        <f>IF('Ch7 EOT2 Results'!I18="","","Q4 Outliers, extrapolation &amp; causation: "&amp;'Ch7 EOT2 Results'!F18&amp;"/12")</f>
        <v/>
      </c>
      <c r="K62">
        <f>IF('Ch7 EOT2 Results'!I19="","","Q4 Outliers, extrapolation &amp; causation: "&amp;'Ch7 EOT2 Results'!F19&amp;"/12")</f>
        <v/>
      </c>
    </row>
    <row r="63">
      <c r="A63">
        <f>IF(OR('Ch7 EOT2 Results'!I18="",'Ch7 EOT2 Results'!J18=""),"",'Ch7 EOT2 Results'!J18)</f>
        <v/>
      </c>
      <c r="K63">
        <f>IF(OR('Ch7 EOT2 Results'!I19="",'Ch7 EOT2 Results'!J19=""),"",'Ch7 EOT2 Results'!J19)</f>
        <v/>
      </c>
    </row>
    <row r="65">
      <c r="A65">
        <f>IF('Ch7 EOT2 Results'!I18="","","Comments:")</f>
        <v/>
      </c>
      <c r="K65">
        <f>IF('Ch7 EOT2 Results'!I19="","","Comments:")</f>
        <v/>
      </c>
    </row>
    <row r="69">
      <c r="A69">
        <f>IF('Ch7 EOT2 Results'!I20="","","Chapter 7 End of Topic Test 2 — Correlation and Regression")</f>
        <v/>
      </c>
      <c r="K69">
        <f>IF('Ch7 EOT2 Results'!I21="","","Chapter 7 End of Topic Test 2 — Correlation and Regression")</f>
        <v/>
      </c>
    </row>
    <row r="70">
      <c r="A70">
        <f>IF('Ch7 EOT2 Results'!I20="","","Name: "&amp;'Ch7 EOT2 Results'!B20&amp;"   Class: "&amp;'Ch7 EOT2 Results'!$B$3&amp;"   Date: "&amp;TEXT('Ch7 EOT2 Results'!$B$5,"DD/MM/YY"))</f>
        <v/>
      </c>
      <c r="K70">
        <f>IF('Ch7 EOT2 Results'!I21="","","Name: "&amp;'Ch7 EOT2 Results'!B21&amp;"   Class: "&amp;'Ch7 EOT2 Results'!$B$3&amp;"   Date: "&amp;TEXT('Ch7 EOT2 Results'!$B$5,"DD/MM/YY"))</f>
        <v/>
      </c>
    </row>
    <row r="71">
      <c r="A71">
        <f>IF('Ch7 EOT2 Results'!I20="","","Total: "&amp;'Ch7 EOT2 Results'!G20&amp;"/58 ("&amp;TEXT('Ch7 EOT2 Results'!H20,"0%")&amp;")   Overall: "&amp;'Ch7 EOT2 Results'!I20)</f>
        <v/>
      </c>
      <c r="K71">
        <f>IF('Ch7 EOT2 Results'!I21="","","Total: "&amp;'Ch7 EOT2 Results'!G21&amp;"/58 ("&amp;TEXT('Ch7 EOT2 Results'!H21,"0%")&amp;")   Overall: "&amp;'Ch7 EOT2 Results'!I21)</f>
        <v/>
      </c>
    </row>
    <row r="72">
      <c r="A72">
        <f>IF('Ch7 EOT2 Results'!I20="","",IF('Ch7 EOT2 Results'!I20="Green",Parameters!$C$463,IF('Ch7 EOT2 Results'!I20="Yellow",Parameters!$C$462,Parameters!$C$461)))</f>
        <v/>
      </c>
      <c r="K72">
        <f>IF('Ch7 EOT2 Results'!I21="","",IF('Ch7 EOT2 Results'!I21="Green",Parameters!$C$463,IF('Ch7 EOT2 Results'!I21="Yellow",Parameters!$C$462,Parameters!$C$461)))</f>
        <v/>
      </c>
    </row>
    <row r="74">
      <c r="A74">
        <f>IF('Ch7 EOT2 Results'!I20="","","Breakdown:")</f>
        <v/>
      </c>
      <c r="K74">
        <f>IF('Ch7 EOT2 Results'!I21="","","Breakdown:")</f>
        <v/>
      </c>
    </row>
    <row r="75">
      <c r="A75">
        <f>IF('Ch7 EOT2 Results'!I20="","","Q1 Scatter, PMCC &amp; regression prediction: "&amp;'Ch7 EOT2 Results'!C20&amp;"/18")</f>
        <v/>
      </c>
      <c r="K75">
        <f>IF('Ch7 EOT2 Results'!I21="","","Q1 Scatter, PMCC &amp; regression prediction: "&amp;'Ch7 EOT2 Results'!C21&amp;"/18")</f>
        <v/>
      </c>
    </row>
    <row r="76">
      <c r="A76">
        <f>IF('Ch7 EOT2 Results'!I20="","","Q2 Correlation vs causation: "&amp;'Ch7 EOT2 Results'!D20&amp;"/14")</f>
        <v/>
      </c>
      <c r="K76">
        <f>IF('Ch7 EOT2 Results'!I21="","","Q2 Correlation vs causation: "&amp;'Ch7 EOT2 Results'!D21&amp;"/14")</f>
        <v/>
      </c>
    </row>
    <row r="77">
      <c r="A77">
        <f>IF('Ch7 EOT2 Results'!I20="","","Q3 Interpreting &amp; comparing regression lines: "&amp;'Ch7 EOT2 Results'!E20&amp;"/14")</f>
        <v/>
      </c>
      <c r="K77">
        <f>IF('Ch7 EOT2 Results'!I21="","","Q3 Interpreting &amp; comparing regression lines: "&amp;'Ch7 EOT2 Results'!E21&amp;"/14")</f>
        <v/>
      </c>
    </row>
    <row r="78">
      <c r="A78">
        <f>IF('Ch7 EOT2 Results'!I20="","","Q4 Outliers, extrapolation &amp; causation: "&amp;'Ch7 EOT2 Results'!F20&amp;"/12")</f>
        <v/>
      </c>
      <c r="K78">
        <f>IF('Ch7 EOT2 Results'!I21="","","Q4 Outliers, extrapolation &amp; causation: "&amp;'Ch7 EOT2 Results'!F21&amp;"/12")</f>
        <v/>
      </c>
    </row>
    <row r="79">
      <c r="A79">
        <f>IF(OR('Ch7 EOT2 Results'!I20="",'Ch7 EOT2 Results'!J20=""),"",'Ch7 EOT2 Results'!J20)</f>
        <v/>
      </c>
      <c r="K79">
        <f>IF(OR('Ch7 EOT2 Results'!I21="",'Ch7 EOT2 Results'!J21=""),"",'Ch7 EOT2 Results'!J21)</f>
        <v/>
      </c>
    </row>
    <row r="81">
      <c r="A81">
        <f>IF('Ch7 EOT2 Results'!I20="","","Comments:")</f>
        <v/>
      </c>
      <c r="K81">
        <f>IF('Ch7 EOT2 Results'!I21="","","Comments:")</f>
        <v/>
      </c>
    </row>
    <row r="85">
      <c r="A85">
        <f>IF('Ch7 EOT2 Results'!I22="","","Chapter 7 End of Topic Test 2 — Correlation and Regression")</f>
        <v/>
      </c>
      <c r="K85">
        <f>IF('Ch7 EOT2 Results'!I23="","","Chapter 7 End of Topic Test 2 — Correlation and Regression")</f>
        <v/>
      </c>
    </row>
    <row r="86">
      <c r="A86">
        <f>IF('Ch7 EOT2 Results'!I22="","","Name: "&amp;'Ch7 EOT2 Results'!B22&amp;"   Class: "&amp;'Ch7 EOT2 Results'!$B$3&amp;"   Date: "&amp;TEXT('Ch7 EOT2 Results'!$B$5,"DD/MM/YY"))</f>
        <v/>
      </c>
      <c r="K86">
        <f>IF('Ch7 EOT2 Results'!I23="","","Name: "&amp;'Ch7 EOT2 Results'!B23&amp;"   Class: "&amp;'Ch7 EOT2 Results'!$B$3&amp;"   Date: "&amp;TEXT('Ch7 EOT2 Results'!$B$5,"DD/MM/YY"))</f>
        <v/>
      </c>
    </row>
    <row r="87">
      <c r="A87">
        <f>IF('Ch7 EOT2 Results'!I22="","","Total: "&amp;'Ch7 EOT2 Results'!G22&amp;"/58 ("&amp;TEXT('Ch7 EOT2 Results'!H22,"0%")&amp;")   Overall: "&amp;'Ch7 EOT2 Results'!I22)</f>
        <v/>
      </c>
      <c r="K87">
        <f>IF('Ch7 EOT2 Results'!I23="","","Total: "&amp;'Ch7 EOT2 Results'!G23&amp;"/58 ("&amp;TEXT('Ch7 EOT2 Results'!H23,"0%")&amp;")   Overall: "&amp;'Ch7 EOT2 Results'!I23)</f>
        <v/>
      </c>
    </row>
    <row r="88">
      <c r="A88">
        <f>IF('Ch7 EOT2 Results'!I22="","",IF('Ch7 EOT2 Results'!I22="Green",Parameters!$C$463,IF('Ch7 EOT2 Results'!I22="Yellow",Parameters!$C$462,Parameters!$C$461)))</f>
        <v/>
      </c>
      <c r="K88">
        <f>IF('Ch7 EOT2 Results'!I23="","",IF('Ch7 EOT2 Results'!I23="Green",Parameters!$C$463,IF('Ch7 EOT2 Results'!I23="Yellow",Parameters!$C$462,Parameters!$C$461)))</f>
        <v/>
      </c>
    </row>
    <row r="90">
      <c r="A90">
        <f>IF('Ch7 EOT2 Results'!I22="","","Breakdown:")</f>
        <v/>
      </c>
      <c r="K90">
        <f>IF('Ch7 EOT2 Results'!I23="","","Breakdown:")</f>
        <v/>
      </c>
    </row>
    <row r="91">
      <c r="A91">
        <f>IF('Ch7 EOT2 Results'!I22="","","Q1 Scatter, PMCC &amp; regression prediction: "&amp;'Ch7 EOT2 Results'!C22&amp;"/18")</f>
        <v/>
      </c>
      <c r="K91">
        <f>IF('Ch7 EOT2 Results'!I23="","","Q1 Scatter, PMCC &amp; regression prediction: "&amp;'Ch7 EOT2 Results'!C23&amp;"/18")</f>
        <v/>
      </c>
    </row>
    <row r="92">
      <c r="A92">
        <f>IF('Ch7 EOT2 Results'!I22="","","Q2 Correlation vs causation: "&amp;'Ch7 EOT2 Results'!D22&amp;"/14")</f>
        <v/>
      </c>
      <c r="K92">
        <f>IF('Ch7 EOT2 Results'!I23="","","Q2 Correlation vs causation: "&amp;'Ch7 EOT2 Results'!D23&amp;"/14")</f>
        <v/>
      </c>
    </row>
    <row r="93">
      <c r="A93">
        <f>IF('Ch7 EOT2 Results'!I22="","","Q3 Interpreting &amp; comparing regression lines: "&amp;'Ch7 EOT2 Results'!E22&amp;"/14")</f>
        <v/>
      </c>
      <c r="K93">
        <f>IF('Ch7 EOT2 Results'!I23="","","Q3 Interpreting &amp; comparing regression lines: "&amp;'Ch7 EOT2 Results'!E23&amp;"/14")</f>
        <v/>
      </c>
    </row>
    <row r="94">
      <c r="A94">
        <f>IF('Ch7 EOT2 Results'!I22="","","Q4 Outliers, extrapolation &amp; causation: "&amp;'Ch7 EOT2 Results'!F22&amp;"/12")</f>
        <v/>
      </c>
      <c r="K94">
        <f>IF('Ch7 EOT2 Results'!I23="","","Q4 Outliers, extrapolation &amp; causation: "&amp;'Ch7 EOT2 Results'!F23&amp;"/12")</f>
        <v/>
      </c>
    </row>
    <row r="95">
      <c r="A95">
        <f>IF(OR('Ch7 EOT2 Results'!I22="",'Ch7 EOT2 Results'!J22=""),"",'Ch7 EOT2 Results'!J22)</f>
        <v/>
      </c>
      <c r="K95">
        <f>IF(OR('Ch7 EOT2 Results'!I23="",'Ch7 EOT2 Results'!J23=""),"",'Ch7 EOT2 Results'!J23)</f>
        <v/>
      </c>
    </row>
    <row r="97">
      <c r="A97">
        <f>IF('Ch7 EOT2 Results'!I22="","","Comments:")</f>
        <v/>
      </c>
      <c r="K97">
        <f>IF('Ch7 EOT2 Results'!I23="","","Comments:")</f>
        <v/>
      </c>
    </row>
    <row r="101">
      <c r="A101">
        <f>IF('Ch7 EOT2 Results'!I24="","","Chapter 7 End of Topic Test 2 — Correlation and Regression")</f>
        <v/>
      </c>
      <c r="K101">
        <f>IF('Ch7 EOT2 Results'!I25="","","Chapter 7 End of Topic Test 2 — Correlation and Regression")</f>
        <v/>
      </c>
    </row>
    <row r="102">
      <c r="A102">
        <f>IF('Ch7 EOT2 Results'!I24="","","Name: "&amp;'Ch7 EOT2 Results'!B24&amp;"   Class: "&amp;'Ch7 EOT2 Results'!$B$3&amp;"   Date: "&amp;TEXT('Ch7 EOT2 Results'!$B$5,"DD/MM/YY"))</f>
        <v/>
      </c>
      <c r="K102">
        <f>IF('Ch7 EOT2 Results'!I25="","","Name: "&amp;'Ch7 EOT2 Results'!B25&amp;"   Class: "&amp;'Ch7 EOT2 Results'!$B$3&amp;"   Date: "&amp;TEXT('Ch7 EOT2 Results'!$B$5,"DD/MM/YY"))</f>
        <v/>
      </c>
    </row>
    <row r="103">
      <c r="A103">
        <f>IF('Ch7 EOT2 Results'!I24="","","Total: "&amp;'Ch7 EOT2 Results'!G24&amp;"/58 ("&amp;TEXT('Ch7 EOT2 Results'!H24,"0%")&amp;")   Overall: "&amp;'Ch7 EOT2 Results'!I24)</f>
        <v/>
      </c>
      <c r="K103">
        <f>IF('Ch7 EOT2 Results'!I25="","","Total: "&amp;'Ch7 EOT2 Results'!G25&amp;"/58 ("&amp;TEXT('Ch7 EOT2 Results'!H25,"0%")&amp;")   Overall: "&amp;'Ch7 EOT2 Results'!I25)</f>
        <v/>
      </c>
    </row>
    <row r="104">
      <c r="A104">
        <f>IF('Ch7 EOT2 Results'!I24="","",IF('Ch7 EOT2 Results'!I24="Green",Parameters!$C$463,IF('Ch7 EOT2 Results'!I24="Yellow",Parameters!$C$462,Parameters!$C$461)))</f>
        <v/>
      </c>
      <c r="K104">
        <f>IF('Ch7 EOT2 Results'!I25="","",IF('Ch7 EOT2 Results'!I25="Green",Parameters!$C$463,IF('Ch7 EOT2 Results'!I25="Yellow",Parameters!$C$462,Parameters!$C$461)))</f>
        <v/>
      </c>
    </row>
    <row r="106">
      <c r="A106">
        <f>IF('Ch7 EOT2 Results'!I24="","","Breakdown:")</f>
        <v/>
      </c>
      <c r="K106">
        <f>IF('Ch7 EOT2 Results'!I25="","","Breakdown:")</f>
        <v/>
      </c>
    </row>
    <row r="107">
      <c r="A107">
        <f>IF('Ch7 EOT2 Results'!I24="","","Q1 Scatter, PMCC &amp; regression prediction: "&amp;'Ch7 EOT2 Results'!C24&amp;"/18")</f>
        <v/>
      </c>
      <c r="K107">
        <f>IF('Ch7 EOT2 Results'!I25="","","Q1 Scatter, PMCC &amp; regression prediction: "&amp;'Ch7 EOT2 Results'!C25&amp;"/18")</f>
        <v/>
      </c>
    </row>
    <row r="108">
      <c r="A108">
        <f>IF('Ch7 EOT2 Results'!I24="","","Q2 Correlation vs causation: "&amp;'Ch7 EOT2 Results'!D24&amp;"/14")</f>
        <v/>
      </c>
      <c r="K108">
        <f>IF('Ch7 EOT2 Results'!I25="","","Q2 Correlation vs causation: "&amp;'Ch7 EOT2 Results'!D25&amp;"/14")</f>
        <v/>
      </c>
    </row>
    <row r="109">
      <c r="A109">
        <f>IF('Ch7 EOT2 Results'!I24="","","Q3 Interpreting &amp; comparing regression lines: "&amp;'Ch7 EOT2 Results'!E24&amp;"/14")</f>
        <v/>
      </c>
      <c r="K109">
        <f>IF('Ch7 EOT2 Results'!I25="","","Q3 Interpreting &amp; comparing regression lines: "&amp;'Ch7 EOT2 Results'!E25&amp;"/14")</f>
        <v/>
      </c>
    </row>
    <row r="110">
      <c r="A110">
        <f>IF('Ch7 EOT2 Results'!I24="","","Q4 Outliers, extrapolation &amp; causation: "&amp;'Ch7 EOT2 Results'!F24&amp;"/12")</f>
        <v/>
      </c>
      <c r="K110">
        <f>IF('Ch7 EOT2 Results'!I25="","","Q4 Outliers, extrapolation &amp; causation: "&amp;'Ch7 EOT2 Results'!F25&amp;"/12")</f>
        <v/>
      </c>
    </row>
    <row r="111">
      <c r="A111">
        <f>IF(OR('Ch7 EOT2 Results'!I24="",'Ch7 EOT2 Results'!J24=""),"",'Ch7 EOT2 Results'!J24)</f>
        <v/>
      </c>
      <c r="K111">
        <f>IF(OR('Ch7 EOT2 Results'!I25="",'Ch7 EOT2 Results'!J25=""),"",'Ch7 EOT2 Results'!J25)</f>
        <v/>
      </c>
    </row>
    <row r="113">
      <c r="A113">
        <f>IF('Ch7 EOT2 Results'!I24="","","Comments:")</f>
        <v/>
      </c>
      <c r="K113">
        <f>IF('Ch7 EOT2 Results'!I25="","","Comments:")</f>
        <v/>
      </c>
    </row>
    <row r="117">
      <c r="A117">
        <f>IF('Ch7 EOT2 Results'!I26="","","Chapter 7 End of Topic Test 2 — Correlation and Regression")</f>
        <v/>
      </c>
      <c r="K117">
        <f>IF('Ch7 EOT2 Results'!I27="","","Chapter 7 End of Topic Test 2 — Correlation and Regression")</f>
        <v/>
      </c>
    </row>
    <row r="118">
      <c r="A118">
        <f>IF('Ch7 EOT2 Results'!I26="","","Name: "&amp;'Ch7 EOT2 Results'!B26&amp;"   Class: "&amp;'Ch7 EOT2 Results'!$B$3&amp;"   Date: "&amp;TEXT('Ch7 EOT2 Results'!$B$5,"DD/MM/YY"))</f>
        <v/>
      </c>
      <c r="K118">
        <f>IF('Ch7 EOT2 Results'!I27="","","Name: "&amp;'Ch7 EOT2 Results'!B27&amp;"   Class: "&amp;'Ch7 EOT2 Results'!$B$3&amp;"   Date: "&amp;TEXT('Ch7 EOT2 Results'!$B$5,"DD/MM/YY"))</f>
        <v/>
      </c>
    </row>
    <row r="119">
      <c r="A119">
        <f>IF('Ch7 EOT2 Results'!I26="","","Total: "&amp;'Ch7 EOT2 Results'!G26&amp;"/58 ("&amp;TEXT('Ch7 EOT2 Results'!H26,"0%")&amp;")   Overall: "&amp;'Ch7 EOT2 Results'!I26)</f>
        <v/>
      </c>
      <c r="K119">
        <f>IF('Ch7 EOT2 Results'!I27="","","Total: "&amp;'Ch7 EOT2 Results'!G27&amp;"/58 ("&amp;TEXT('Ch7 EOT2 Results'!H27,"0%")&amp;")   Overall: "&amp;'Ch7 EOT2 Results'!I27)</f>
        <v/>
      </c>
    </row>
    <row r="120">
      <c r="A120">
        <f>IF('Ch7 EOT2 Results'!I26="","",IF('Ch7 EOT2 Results'!I26="Green",Parameters!$C$463,IF('Ch7 EOT2 Results'!I26="Yellow",Parameters!$C$462,Parameters!$C$461)))</f>
        <v/>
      </c>
      <c r="K120">
        <f>IF('Ch7 EOT2 Results'!I27="","",IF('Ch7 EOT2 Results'!I27="Green",Parameters!$C$463,IF('Ch7 EOT2 Results'!I27="Yellow",Parameters!$C$462,Parameters!$C$461)))</f>
        <v/>
      </c>
    </row>
    <row r="122">
      <c r="A122">
        <f>IF('Ch7 EOT2 Results'!I26="","","Breakdown:")</f>
        <v/>
      </c>
      <c r="K122">
        <f>IF('Ch7 EOT2 Results'!I27="","","Breakdown:")</f>
        <v/>
      </c>
    </row>
    <row r="123">
      <c r="A123">
        <f>IF('Ch7 EOT2 Results'!I26="","","Q1 Scatter, PMCC &amp; regression prediction: "&amp;'Ch7 EOT2 Results'!C26&amp;"/18")</f>
        <v/>
      </c>
      <c r="K123">
        <f>IF('Ch7 EOT2 Results'!I27="","","Q1 Scatter, PMCC &amp; regression prediction: "&amp;'Ch7 EOT2 Results'!C27&amp;"/18")</f>
        <v/>
      </c>
    </row>
    <row r="124">
      <c r="A124">
        <f>IF('Ch7 EOT2 Results'!I26="","","Q2 Correlation vs causation: "&amp;'Ch7 EOT2 Results'!D26&amp;"/14")</f>
        <v/>
      </c>
      <c r="K124">
        <f>IF('Ch7 EOT2 Results'!I27="","","Q2 Correlation vs causation: "&amp;'Ch7 EOT2 Results'!D27&amp;"/14")</f>
        <v/>
      </c>
    </row>
    <row r="125">
      <c r="A125">
        <f>IF('Ch7 EOT2 Results'!I26="","","Q3 Interpreting &amp; comparing regression lines: "&amp;'Ch7 EOT2 Results'!E26&amp;"/14")</f>
        <v/>
      </c>
      <c r="K125">
        <f>IF('Ch7 EOT2 Results'!I27="","","Q3 Interpreting &amp; comparing regression lines: "&amp;'Ch7 EOT2 Results'!E27&amp;"/14")</f>
        <v/>
      </c>
    </row>
    <row r="126">
      <c r="A126">
        <f>IF('Ch7 EOT2 Results'!I26="","","Q4 Outliers, extrapolation &amp; causation: "&amp;'Ch7 EOT2 Results'!F26&amp;"/12")</f>
        <v/>
      </c>
      <c r="K126">
        <f>IF('Ch7 EOT2 Results'!I27="","","Q4 Outliers, extrapolation &amp; causation: "&amp;'Ch7 EOT2 Results'!F27&amp;"/12")</f>
        <v/>
      </c>
    </row>
    <row r="127">
      <c r="A127">
        <f>IF(OR('Ch7 EOT2 Results'!I26="",'Ch7 EOT2 Results'!J26=""),"",'Ch7 EOT2 Results'!J26)</f>
        <v/>
      </c>
      <c r="K127">
        <f>IF(OR('Ch7 EOT2 Results'!I27="",'Ch7 EOT2 Results'!J27=""),"",'Ch7 EOT2 Results'!J27)</f>
        <v/>
      </c>
    </row>
    <row r="129">
      <c r="A129">
        <f>IF('Ch7 EOT2 Results'!I26="","","Comments:")</f>
        <v/>
      </c>
      <c r="K129">
        <f>IF('Ch7 EOT2 Results'!I27="","","Comments:")</f>
        <v/>
      </c>
    </row>
    <row r="133">
      <c r="A133">
        <f>IF('Ch7 EOT2 Results'!I28="","","Chapter 7 End of Topic Test 2 — Correlation and Regression")</f>
        <v/>
      </c>
      <c r="K133">
        <f>IF('Ch7 EOT2 Results'!I29="","","Chapter 7 End of Topic Test 2 — Correlation and Regression")</f>
        <v/>
      </c>
    </row>
    <row r="134">
      <c r="A134">
        <f>IF('Ch7 EOT2 Results'!I28="","","Name: "&amp;'Ch7 EOT2 Results'!B28&amp;"   Class: "&amp;'Ch7 EOT2 Results'!$B$3&amp;"   Date: "&amp;TEXT('Ch7 EOT2 Results'!$B$5,"DD/MM/YY"))</f>
        <v/>
      </c>
      <c r="K134">
        <f>IF('Ch7 EOT2 Results'!I29="","","Name: "&amp;'Ch7 EOT2 Results'!B29&amp;"   Class: "&amp;'Ch7 EOT2 Results'!$B$3&amp;"   Date: "&amp;TEXT('Ch7 EOT2 Results'!$B$5,"DD/MM/YY"))</f>
        <v/>
      </c>
    </row>
    <row r="135">
      <c r="A135">
        <f>IF('Ch7 EOT2 Results'!I28="","","Total: "&amp;'Ch7 EOT2 Results'!G28&amp;"/58 ("&amp;TEXT('Ch7 EOT2 Results'!H28,"0%")&amp;")   Overall: "&amp;'Ch7 EOT2 Results'!I28)</f>
        <v/>
      </c>
      <c r="K135">
        <f>IF('Ch7 EOT2 Results'!I29="","","Total: "&amp;'Ch7 EOT2 Results'!G29&amp;"/58 ("&amp;TEXT('Ch7 EOT2 Results'!H29,"0%")&amp;")   Overall: "&amp;'Ch7 EOT2 Results'!I29)</f>
        <v/>
      </c>
    </row>
    <row r="136">
      <c r="A136">
        <f>IF('Ch7 EOT2 Results'!I28="","",IF('Ch7 EOT2 Results'!I28="Green",Parameters!$C$463,IF('Ch7 EOT2 Results'!I28="Yellow",Parameters!$C$462,Parameters!$C$461)))</f>
        <v/>
      </c>
      <c r="K136">
        <f>IF('Ch7 EOT2 Results'!I29="","",IF('Ch7 EOT2 Results'!I29="Green",Parameters!$C$463,IF('Ch7 EOT2 Results'!I29="Yellow",Parameters!$C$462,Parameters!$C$461)))</f>
        <v/>
      </c>
    </row>
    <row r="138">
      <c r="A138">
        <f>IF('Ch7 EOT2 Results'!I28="","","Breakdown:")</f>
        <v/>
      </c>
      <c r="K138">
        <f>IF('Ch7 EOT2 Results'!I29="","","Breakdown:")</f>
        <v/>
      </c>
    </row>
    <row r="139">
      <c r="A139">
        <f>IF('Ch7 EOT2 Results'!I28="","","Q1 Scatter, PMCC &amp; regression prediction: "&amp;'Ch7 EOT2 Results'!C28&amp;"/18")</f>
        <v/>
      </c>
      <c r="K139">
        <f>IF('Ch7 EOT2 Results'!I29="","","Q1 Scatter, PMCC &amp; regression prediction: "&amp;'Ch7 EOT2 Results'!C29&amp;"/18")</f>
        <v/>
      </c>
    </row>
    <row r="140">
      <c r="A140">
        <f>IF('Ch7 EOT2 Results'!I28="","","Q2 Correlation vs causation: "&amp;'Ch7 EOT2 Results'!D28&amp;"/14")</f>
        <v/>
      </c>
      <c r="K140">
        <f>IF('Ch7 EOT2 Results'!I29="","","Q2 Correlation vs causation: "&amp;'Ch7 EOT2 Results'!D29&amp;"/14")</f>
        <v/>
      </c>
    </row>
    <row r="141">
      <c r="A141">
        <f>IF('Ch7 EOT2 Results'!I28="","","Q3 Interpreting &amp; comparing regression lines: "&amp;'Ch7 EOT2 Results'!E28&amp;"/14")</f>
        <v/>
      </c>
      <c r="K141">
        <f>IF('Ch7 EOT2 Results'!I29="","","Q3 Interpreting &amp; comparing regression lines: "&amp;'Ch7 EOT2 Results'!E29&amp;"/14")</f>
        <v/>
      </c>
    </row>
    <row r="142">
      <c r="A142">
        <f>IF('Ch7 EOT2 Results'!I28="","","Q4 Outliers, extrapolation &amp; causation: "&amp;'Ch7 EOT2 Results'!F28&amp;"/12")</f>
        <v/>
      </c>
      <c r="K142">
        <f>IF('Ch7 EOT2 Results'!I29="","","Q4 Outliers, extrapolation &amp; causation: "&amp;'Ch7 EOT2 Results'!F29&amp;"/12")</f>
        <v/>
      </c>
    </row>
    <row r="143">
      <c r="A143">
        <f>IF(OR('Ch7 EOT2 Results'!I28="",'Ch7 EOT2 Results'!J28=""),"",'Ch7 EOT2 Results'!J28)</f>
        <v/>
      </c>
      <c r="K143">
        <f>IF(OR('Ch7 EOT2 Results'!I29="",'Ch7 EOT2 Results'!J29=""),"",'Ch7 EOT2 Results'!J29)</f>
        <v/>
      </c>
    </row>
    <row r="145">
      <c r="A145">
        <f>IF('Ch7 EOT2 Results'!I28="","","Comments:")</f>
        <v/>
      </c>
      <c r="K145">
        <f>IF('Ch7 EOT2 Results'!I29="","","Comments:")</f>
        <v/>
      </c>
    </row>
    <row r="149">
      <c r="A149">
        <f>IF('Ch7 EOT2 Results'!I30="","","Chapter 7 End of Topic Test 2 — Correlation and Regression")</f>
        <v/>
      </c>
      <c r="K149">
        <f>IF('Ch7 EOT2 Results'!I31="","","Chapter 7 End of Topic Test 2 — Correlation and Regression")</f>
        <v/>
      </c>
    </row>
    <row r="150">
      <c r="A150">
        <f>IF('Ch7 EOT2 Results'!I30="","","Name: "&amp;'Ch7 EOT2 Results'!B30&amp;"   Class: "&amp;'Ch7 EOT2 Results'!$B$3&amp;"   Date: "&amp;TEXT('Ch7 EOT2 Results'!$B$5,"DD/MM/YY"))</f>
        <v/>
      </c>
      <c r="K150">
        <f>IF('Ch7 EOT2 Results'!I31="","","Name: "&amp;'Ch7 EOT2 Results'!B31&amp;"   Class: "&amp;'Ch7 EOT2 Results'!$B$3&amp;"   Date: "&amp;TEXT('Ch7 EOT2 Results'!$B$5,"DD/MM/YY"))</f>
        <v/>
      </c>
    </row>
    <row r="151">
      <c r="A151">
        <f>IF('Ch7 EOT2 Results'!I30="","","Total: "&amp;'Ch7 EOT2 Results'!G30&amp;"/58 ("&amp;TEXT('Ch7 EOT2 Results'!H30,"0%")&amp;")   Overall: "&amp;'Ch7 EOT2 Results'!I30)</f>
        <v/>
      </c>
      <c r="K151">
        <f>IF('Ch7 EOT2 Results'!I31="","","Total: "&amp;'Ch7 EOT2 Results'!G31&amp;"/58 ("&amp;TEXT('Ch7 EOT2 Results'!H31,"0%")&amp;")   Overall: "&amp;'Ch7 EOT2 Results'!I31)</f>
        <v/>
      </c>
    </row>
    <row r="152">
      <c r="A152">
        <f>IF('Ch7 EOT2 Results'!I30="","",IF('Ch7 EOT2 Results'!I30="Green",Parameters!$C$463,IF('Ch7 EOT2 Results'!I30="Yellow",Parameters!$C$462,Parameters!$C$461)))</f>
        <v/>
      </c>
      <c r="K152">
        <f>IF('Ch7 EOT2 Results'!I31="","",IF('Ch7 EOT2 Results'!I31="Green",Parameters!$C$463,IF('Ch7 EOT2 Results'!I31="Yellow",Parameters!$C$462,Parameters!$C$461)))</f>
        <v/>
      </c>
    </row>
    <row r="154">
      <c r="A154">
        <f>IF('Ch7 EOT2 Results'!I30="","","Breakdown:")</f>
        <v/>
      </c>
      <c r="K154">
        <f>IF('Ch7 EOT2 Results'!I31="","","Breakdown:")</f>
        <v/>
      </c>
    </row>
    <row r="155">
      <c r="A155">
        <f>IF('Ch7 EOT2 Results'!I30="","","Q1 Scatter, PMCC &amp; regression prediction: "&amp;'Ch7 EOT2 Results'!C30&amp;"/18")</f>
        <v/>
      </c>
      <c r="K155">
        <f>IF('Ch7 EOT2 Results'!I31="","","Q1 Scatter, PMCC &amp; regression prediction: "&amp;'Ch7 EOT2 Results'!C31&amp;"/18")</f>
        <v/>
      </c>
    </row>
    <row r="156">
      <c r="A156">
        <f>IF('Ch7 EOT2 Results'!I30="","","Q2 Correlation vs causation: "&amp;'Ch7 EOT2 Results'!D30&amp;"/14")</f>
        <v/>
      </c>
      <c r="K156">
        <f>IF('Ch7 EOT2 Results'!I31="","","Q2 Correlation vs causation: "&amp;'Ch7 EOT2 Results'!D31&amp;"/14")</f>
        <v/>
      </c>
    </row>
    <row r="157">
      <c r="A157">
        <f>IF('Ch7 EOT2 Results'!I30="","","Q3 Interpreting &amp; comparing regression lines: "&amp;'Ch7 EOT2 Results'!E30&amp;"/14")</f>
        <v/>
      </c>
      <c r="K157">
        <f>IF('Ch7 EOT2 Results'!I31="","","Q3 Interpreting &amp; comparing regression lines: "&amp;'Ch7 EOT2 Results'!E31&amp;"/14")</f>
        <v/>
      </c>
    </row>
    <row r="158">
      <c r="A158">
        <f>IF('Ch7 EOT2 Results'!I30="","","Q4 Outliers, extrapolation &amp; causation: "&amp;'Ch7 EOT2 Results'!F30&amp;"/12")</f>
        <v/>
      </c>
      <c r="K158">
        <f>IF('Ch7 EOT2 Results'!I31="","","Q4 Outliers, extrapolation &amp; causation: "&amp;'Ch7 EOT2 Results'!F31&amp;"/12")</f>
        <v/>
      </c>
    </row>
    <row r="159">
      <c r="A159">
        <f>IF(OR('Ch7 EOT2 Results'!I30="",'Ch7 EOT2 Results'!J30=""),"",'Ch7 EOT2 Results'!J30)</f>
        <v/>
      </c>
      <c r="K159">
        <f>IF(OR('Ch7 EOT2 Results'!I31="",'Ch7 EOT2 Results'!J31=""),"",'Ch7 EOT2 Results'!J31)</f>
        <v/>
      </c>
    </row>
    <row r="161">
      <c r="A161">
        <f>IF('Ch7 EOT2 Results'!I30="","","Comments:")</f>
        <v/>
      </c>
      <c r="K161">
        <f>IF('Ch7 EOT2 Results'!I31="","","Comments:")</f>
        <v/>
      </c>
    </row>
    <row r="165">
      <c r="A165">
        <f>IF('Ch7 EOT2 Results'!I32="","","Chapter 7 End of Topic Test 2 — Correlation and Regression")</f>
        <v/>
      </c>
      <c r="K165">
        <f>IF('Ch7 EOT2 Results'!I33="","","Chapter 7 End of Topic Test 2 — Correlation and Regression")</f>
        <v/>
      </c>
    </row>
    <row r="166">
      <c r="A166">
        <f>IF('Ch7 EOT2 Results'!I32="","","Name: "&amp;'Ch7 EOT2 Results'!B32&amp;"   Class: "&amp;'Ch7 EOT2 Results'!$B$3&amp;"   Date: "&amp;TEXT('Ch7 EOT2 Results'!$B$5,"DD/MM/YY"))</f>
        <v/>
      </c>
      <c r="K166">
        <f>IF('Ch7 EOT2 Results'!I33="","","Name: "&amp;'Ch7 EOT2 Results'!B33&amp;"   Class: "&amp;'Ch7 EOT2 Results'!$B$3&amp;"   Date: "&amp;TEXT('Ch7 EOT2 Results'!$B$5,"DD/MM/YY"))</f>
        <v/>
      </c>
    </row>
    <row r="167">
      <c r="A167">
        <f>IF('Ch7 EOT2 Results'!I32="","","Total: "&amp;'Ch7 EOT2 Results'!G32&amp;"/58 ("&amp;TEXT('Ch7 EOT2 Results'!H32,"0%")&amp;")   Overall: "&amp;'Ch7 EOT2 Results'!I32)</f>
        <v/>
      </c>
      <c r="K167">
        <f>IF('Ch7 EOT2 Results'!I33="","","Total: "&amp;'Ch7 EOT2 Results'!G33&amp;"/58 ("&amp;TEXT('Ch7 EOT2 Results'!H33,"0%")&amp;")   Overall: "&amp;'Ch7 EOT2 Results'!I33)</f>
        <v/>
      </c>
    </row>
    <row r="168">
      <c r="A168">
        <f>IF('Ch7 EOT2 Results'!I32="","",IF('Ch7 EOT2 Results'!I32="Green",Parameters!$C$463,IF('Ch7 EOT2 Results'!I32="Yellow",Parameters!$C$462,Parameters!$C$461)))</f>
        <v/>
      </c>
      <c r="K168">
        <f>IF('Ch7 EOT2 Results'!I33="","",IF('Ch7 EOT2 Results'!I33="Green",Parameters!$C$463,IF('Ch7 EOT2 Results'!I33="Yellow",Parameters!$C$462,Parameters!$C$461)))</f>
        <v/>
      </c>
    </row>
    <row r="170">
      <c r="A170">
        <f>IF('Ch7 EOT2 Results'!I32="","","Breakdown:")</f>
        <v/>
      </c>
      <c r="K170">
        <f>IF('Ch7 EOT2 Results'!I33="","","Breakdown:")</f>
        <v/>
      </c>
    </row>
    <row r="171">
      <c r="A171">
        <f>IF('Ch7 EOT2 Results'!I32="","","Q1 Scatter, PMCC &amp; regression prediction: "&amp;'Ch7 EOT2 Results'!C32&amp;"/18")</f>
        <v/>
      </c>
      <c r="K171">
        <f>IF('Ch7 EOT2 Results'!I33="","","Q1 Scatter, PMCC &amp; regression prediction: "&amp;'Ch7 EOT2 Results'!C33&amp;"/18")</f>
        <v/>
      </c>
    </row>
    <row r="172">
      <c r="A172">
        <f>IF('Ch7 EOT2 Results'!I32="","","Q2 Correlation vs causation: "&amp;'Ch7 EOT2 Results'!D32&amp;"/14")</f>
        <v/>
      </c>
      <c r="K172">
        <f>IF('Ch7 EOT2 Results'!I33="","","Q2 Correlation vs causation: "&amp;'Ch7 EOT2 Results'!D33&amp;"/14")</f>
        <v/>
      </c>
    </row>
    <row r="173">
      <c r="A173">
        <f>IF('Ch7 EOT2 Results'!I32="","","Q3 Interpreting &amp; comparing regression lines: "&amp;'Ch7 EOT2 Results'!E32&amp;"/14")</f>
        <v/>
      </c>
      <c r="K173">
        <f>IF('Ch7 EOT2 Results'!I33="","","Q3 Interpreting &amp; comparing regression lines: "&amp;'Ch7 EOT2 Results'!E33&amp;"/14")</f>
        <v/>
      </c>
    </row>
    <row r="174">
      <c r="A174">
        <f>IF('Ch7 EOT2 Results'!I32="","","Q4 Outliers, extrapolation &amp; causation: "&amp;'Ch7 EOT2 Results'!F32&amp;"/12")</f>
        <v/>
      </c>
      <c r="K174">
        <f>IF('Ch7 EOT2 Results'!I33="","","Q4 Outliers, extrapolation &amp; causation: "&amp;'Ch7 EOT2 Results'!F33&amp;"/12")</f>
        <v/>
      </c>
    </row>
    <row r="175">
      <c r="A175">
        <f>IF(OR('Ch7 EOT2 Results'!I32="",'Ch7 EOT2 Results'!J32=""),"",'Ch7 EOT2 Results'!J32)</f>
        <v/>
      </c>
      <c r="K175">
        <f>IF(OR('Ch7 EOT2 Results'!I33="",'Ch7 EOT2 Results'!J33=""),"",'Ch7 EOT2 Results'!J33)</f>
        <v/>
      </c>
    </row>
    <row r="177">
      <c r="A177">
        <f>IF('Ch7 EOT2 Results'!I32="","","Comments:")</f>
        <v/>
      </c>
      <c r="K177">
        <f>IF('Ch7 EOT2 Results'!I33="","","Comments:")</f>
        <v/>
      </c>
    </row>
    <row r="181">
      <c r="A181">
        <f>IF('Ch7 EOT2 Results'!I34="","","Chapter 7 End of Topic Test 2 — Correlation and Regression")</f>
        <v/>
      </c>
      <c r="K181">
        <f>IF('Ch7 EOT2 Results'!I35="","","Chapter 7 End of Topic Test 2 — Correlation and Regression")</f>
        <v/>
      </c>
    </row>
    <row r="182">
      <c r="A182">
        <f>IF('Ch7 EOT2 Results'!I34="","","Name: "&amp;'Ch7 EOT2 Results'!B34&amp;"   Class: "&amp;'Ch7 EOT2 Results'!$B$3&amp;"   Date: "&amp;TEXT('Ch7 EOT2 Results'!$B$5,"DD/MM/YY"))</f>
        <v/>
      </c>
      <c r="K182">
        <f>IF('Ch7 EOT2 Results'!I35="","","Name: "&amp;'Ch7 EOT2 Results'!B35&amp;"   Class: "&amp;'Ch7 EOT2 Results'!$B$3&amp;"   Date: "&amp;TEXT('Ch7 EOT2 Results'!$B$5,"DD/MM/YY"))</f>
        <v/>
      </c>
    </row>
    <row r="183">
      <c r="A183">
        <f>IF('Ch7 EOT2 Results'!I34="","","Total: "&amp;'Ch7 EOT2 Results'!G34&amp;"/58 ("&amp;TEXT('Ch7 EOT2 Results'!H34,"0%")&amp;")   Overall: "&amp;'Ch7 EOT2 Results'!I34)</f>
        <v/>
      </c>
      <c r="K183">
        <f>IF('Ch7 EOT2 Results'!I35="","","Total: "&amp;'Ch7 EOT2 Results'!G35&amp;"/58 ("&amp;TEXT('Ch7 EOT2 Results'!H35,"0%")&amp;")   Overall: "&amp;'Ch7 EOT2 Results'!I35)</f>
        <v/>
      </c>
    </row>
    <row r="184">
      <c r="A184">
        <f>IF('Ch7 EOT2 Results'!I34="","",IF('Ch7 EOT2 Results'!I34="Green",Parameters!$C$463,IF('Ch7 EOT2 Results'!I34="Yellow",Parameters!$C$462,Parameters!$C$461)))</f>
        <v/>
      </c>
      <c r="K184">
        <f>IF('Ch7 EOT2 Results'!I35="","",IF('Ch7 EOT2 Results'!I35="Green",Parameters!$C$463,IF('Ch7 EOT2 Results'!I35="Yellow",Parameters!$C$462,Parameters!$C$461)))</f>
        <v/>
      </c>
    </row>
    <row r="186">
      <c r="A186">
        <f>IF('Ch7 EOT2 Results'!I34="","","Breakdown:")</f>
        <v/>
      </c>
      <c r="K186">
        <f>IF('Ch7 EOT2 Results'!I35="","","Breakdown:")</f>
        <v/>
      </c>
    </row>
    <row r="187">
      <c r="A187">
        <f>IF('Ch7 EOT2 Results'!I34="","","Q1 Scatter, PMCC &amp; regression prediction: "&amp;'Ch7 EOT2 Results'!C34&amp;"/18")</f>
        <v/>
      </c>
      <c r="K187">
        <f>IF('Ch7 EOT2 Results'!I35="","","Q1 Scatter, PMCC &amp; regression prediction: "&amp;'Ch7 EOT2 Results'!C35&amp;"/18")</f>
        <v/>
      </c>
    </row>
    <row r="188">
      <c r="A188">
        <f>IF('Ch7 EOT2 Results'!I34="","","Q2 Correlation vs causation: "&amp;'Ch7 EOT2 Results'!D34&amp;"/14")</f>
        <v/>
      </c>
      <c r="K188">
        <f>IF('Ch7 EOT2 Results'!I35="","","Q2 Correlation vs causation: "&amp;'Ch7 EOT2 Results'!D35&amp;"/14")</f>
        <v/>
      </c>
    </row>
    <row r="189">
      <c r="A189">
        <f>IF('Ch7 EOT2 Results'!I34="","","Q3 Interpreting &amp; comparing regression lines: "&amp;'Ch7 EOT2 Results'!E34&amp;"/14")</f>
        <v/>
      </c>
      <c r="K189">
        <f>IF('Ch7 EOT2 Results'!I35="","","Q3 Interpreting &amp; comparing regression lines: "&amp;'Ch7 EOT2 Results'!E35&amp;"/14")</f>
        <v/>
      </c>
    </row>
    <row r="190">
      <c r="A190">
        <f>IF('Ch7 EOT2 Results'!I34="","","Q4 Outliers, extrapolation &amp; causation: "&amp;'Ch7 EOT2 Results'!F34&amp;"/12")</f>
        <v/>
      </c>
      <c r="K190">
        <f>IF('Ch7 EOT2 Results'!I35="","","Q4 Outliers, extrapolation &amp; causation: "&amp;'Ch7 EOT2 Results'!F35&amp;"/12")</f>
        <v/>
      </c>
    </row>
    <row r="191">
      <c r="A191">
        <f>IF(OR('Ch7 EOT2 Results'!I34="",'Ch7 EOT2 Results'!J34=""),"",'Ch7 EOT2 Results'!J34)</f>
        <v/>
      </c>
      <c r="K191">
        <f>IF(OR('Ch7 EOT2 Results'!I35="",'Ch7 EOT2 Results'!J35=""),"",'Ch7 EOT2 Results'!J35)</f>
        <v/>
      </c>
    </row>
    <row r="193">
      <c r="A193">
        <f>IF('Ch7 EOT2 Results'!I34="","","Comments:")</f>
        <v/>
      </c>
      <c r="K193">
        <f>IF('Ch7 EOT2 Results'!I35="","","Comments:")</f>
        <v/>
      </c>
    </row>
    <row r="197">
      <c r="A197">
        <f>IF('Ch7 EOT2 Results'!I36="","","Chapter 7 End of Topic Test 2 — Correlation and Regression")</f>
        <v/>
      </c>
      <c r="K197">
        <f>IF('Ch7 EOT2 Results'!I37="","","Chapter 7 End of Topic Test 2 — Correlation and Regression")</f>
        <v/>
      </c>
    </row>
    <row r="198">
      <c r="A198">
        <f>IF('Ch7 EOT2 Results'!I36="","","Name: "&amp;'Ch7 EOT2 Results'!B36&amp;"   Class: "&amp;'Ch7 EOT2 Results'!$B$3&amp;"   Date: "&amp;TEXT('Ch7 EOT2 Results'!$B$5,"DD/MM/YY"))</f>
        <v/>
      </c>
      <c r="K198">
        <f>IF('Ch7 EOT2 Results'!I37="","","Name: "&amp;'Ch7 EOT2 Results'!B37&amp;"   Class: "&amp;'Ch7 EOT2 Results'!$B$3&amp;"   Date: "&amp;TEXT('Ch7 EOT2 Results'!$B$5,"DD/MM/YY"))</f>
        <v/>
      </c>
    </row>
    <row r="199">
      <c r="A199">
        <f>IF('Ch7 EOT2 Results'!I36="","","Total: "&amp;'Ch7 EOT2 Results'!G36&amp;"/58 ("&amp;TEXT('Ch7 EOT2 Results'!H36,"0%")&amp;")   Overall: "&amp;'Ch7 EOT2 Results'!I36)</f>
        <v/>
      </c>
      <c r="K199">
        <f>IF('Ch7 EOT2 Results'!I37="","","Total: "&amp;'Ch7 EOT2 Results'!G37&amp;"/58 ("&amp;TEXT('Ch7 EOT2 Results'!H37,"0%")&amp;")   Overall: "&amp;'Ch7 EOT2 Results'!I37)</f>
        <v/>
      </c>
    </row>
    <row r="200">
      <c r="A200">
        <f>IF('Ch7 EOT2 Results'!I36="","",IF('Ch7 EOT2 Results'!I36="Green",Parameters!$C$463,IF('Ch7 EOT2 Results'!I36="Yellow",Parameters!$C$462,Parameters!$C$461)))</f>
        <v/>
      </c>
      <c r="K200">
        <f>IF('Ch7 EOT2 Results'!I37="","",IF('Ch7 EOT2 Results'!I37="Green",Parameters!$C$463,IF('Ch7 EOT2 Results'!I37="Yellow",Parameters!$C$462,Parameters!$C$461)))</f>
        <v/>
      </c>
    </row>
    <row r="202">
      <c r="A202">
        <f>IF('Ch7 EOT2 Results'!I36="","","Breakdown:")</f>
        <v/>
      </c>
      <c r="K202">
        <f>IF('Ch7 EOT2 Results'!I37="","","Breakdown:")</f>
        <v/>
      </c>
    </row>
    <row r="203">
      <c r="A203">
        <f>IF('Ch7 EOT2 Results'!I36="","","Q1 Scatter, PMCC &amp; regression prediction: "&amp;'Ch7 EOT2 Results'!C36&amp;"/18")</f>
        <v/>
      </c>
      <c r="K203">
        <f>IF('Ch7 EOT2 Results'!I37="","","Q1 Scatter, PMCC &amp; regression prediction: "&amp;'Ch7 EOT2 Results'!C37&amp;"/18")</f>
        <v/>
      </c>
    </row>
    <row r="204">
      <c r="A204">
        <f>IF('Ch7 EOT2 Results'!I36="","","Q2 Correlation vs causation: "&amp;'Ch7 EOT2 Results'!D36&amp;"/14")</f>
        <v/>
      </c>
      <c r="K204">
        <f>IF('Ch7 EOT2 Results'!I37="","","Q2 Correlation vs causation: "&amp;'Ch7 EOT2 Results'!D37&amp;"/14")</f>
        <v/>
      </c>
    </row>
    <row r="205">
      <c r="A205">
        <f>IF('Ch7 EOT2 Results'!I36="","","Q3 Interpreting &amp; comparing regression lines: "&amp;'Ch7 EOT2 Results'!E36&amp;"/14")</f>
        <v/>
      </c>
      <c r="K205">
        <f>IF('Ch7 EOT2 Results'!I37="","","Q3 Interpreting &amp; comparing regression lines: "&amp;'Ch7 EOT2 Results'!E37&amp;"/14")</f>
        <v/>
      </c>
    </row>
    <row r="206">
      <c r="A206">
        <f>IF('Ch7 EOT2 Results'!I36="","","Q4 Outliers, extrapolation &amp; causation: "&amp;'Ch7 EOT2 Results'!F36&amp;"/12")</f>
        <v/>
      </c>
      <c r="K206">
        <f>IF('Ch7 EOT2 Results'!I37="","","Q4 Outliers, extrapolation &amp; causation: "&amp;'Ch7 EOT2 Results'!F37&amp;"/12")</f>
        <v/>
      </c>
    </row>
    <row r="207">
      <c r="A207">
        <f>IF(OR('Ch7 EOT2 Results'!I36="",'Ch7 EOT2 Results'!J36=""),"",'Ch7 EOT2 Results'!J36)</f>
        <v/>
      </c>
      <c r="K207">
        <f>IF(OR('Ch7 EOT2 Results'!I37="",'Ch7 EOT2 Results'!J37=""),"",'Ch7 EOT2 Results'!J37)</f>
        <v/>
      </c>
    </row>
    <row r="209">
      <c r="A209">
        <f>IF('Ch7 EOT2 Results'!I36="","","Comments:")</f>
        <v/>
      </c>
      <c r="K209">
        <f>IF('Ch7 EOT2 Results'!I37="","","Comments:")</f>
        <v/>
      </c>
    </row>
    <row r="213">
      <c r="A213">
        <f>IF('Ch7 EOT2 Results'!I38="","","Chapter 7 End of Topic Test 2 — Correlation and Regression")</f>
        <v/>
      </c>
      <c r="K213">
        <f>IF('Ch7 EOT2 Results'!I39="","","Chapter 7 End of Topic Test 2 — Correlation and Regression")</f>
        <v/>
      </c>
    </row>
    <row r="214">
      <c r="A214">
        <f>IF('Ch7 EOT2 Results'!I38="","","Name: "&amp;'Ch7 EOT2 Results'!B38&amp;"   Class: "&amp;'Ch7 EOT2 Results'!$B$3&amp;"   Date: "&amp;TEXT('Ch7 EOT2 Results'!$B$5,"DD/MM/YY"))</f>
        <v/>
      </c>
      <c r="K214">
        <f>IF('Ch7 EOT2 Results'!I39="","","Name: "&amp;'Ch7 EOT2 Results'!B39&amp;"   Class: "&amp;'Ch7 EOT2 Results'!$B$3&amp;"   Date: "&amp;TEXT('Ch7 EOT2 Results'!$B$5,"DD/MM/YY"))</f>
        <v/>
      </c>
    </row>
    <row r="215">
      <c r="A215">
        <f>IF('Ch7 EOT2 Results'!I38="","","Total: "&amp;'Ch7 EOT2 Results'!G38&amp;"/58 ("&amp;TEXT('Ch7 EOT2 Results'!H38,"0%")&amp;")   Overall: "&amp;'Ch7 EOT2 Results'!I38)</f>
        <v/>
      </c>
      <c r="K215">
        <f>IF('Ch7 EOT2 Results'!I39="","","Total: "&amp;'Ch7 EOT2 Results'!G39&amp;"/58 ("&amp;TEXT('Ch7 EOT2 Results'!H39,"0%")&amp;")   Overall: "&amp;'Ch7 EOT2 Results'!I39)</f>
        <v/>
      </c>
    </row>
    <row r="216">
      <c r="A216">
        <f>IF('Ch7 EOT2 Results'!I38="","",IF('Ch7 EOT2 Results'!I38="Green",Parameters!$C$463,IF('Ch7 EOT2 Results'!I38="Yellow",Parameters!$C$462,Parameters!$C$461)))</f>
        <v/>
      </c>
      <c r="K216">
        <f>IF('Ch7 EOT2 Results'!I39="","",IF('Ch7 EOT2 Results'!I39="Green",Parameters!$C$463,IF('Ch7 EOT2 Results'!I39="Yellow",Parameters!$C$462,Parameters!$C$461)))</f>
        <v/>
      </c>
    </row>
    <row r="218">
      <c r="A218">
        <f>IF('Ch7 EOT2 Results'!I38="","","Breakdown:")</f>
        <v/>
      </c>
      <c r="K218">
        <f>IF('Ch7 EOT2 Results'!I39="","","Breakdown:")</f>
        <v/>
      </c>
    </row>
    <row r="219">
      <c r="A219">
        <f>IF('Ch7 EOT2 Results'!I38="","","Q1 Scatter, PMCC &amp; regression prediction: "&amp;'Ch7 EOT2 Results'!C38&amp;"/18")</f>
        <v/>
      </c>
      <c r="K219">
        <f>IF('Ch7 EOT2 Results'!I39="","","Q1 Scatter, PMCC &amp; regression prediction: "&amp;'Ch7 EOT2 Results'!C39&amp;"/18")</f>
        <v/>
      </c>
    </row>
    <row r="220">
      <c r="A220">
        <f>IF('Ch7 EOT2 Results'!I38="","","Q2 Correlation vs causation: "&amp;'Ch7 EOT2 Results'!D38&amp;"/14")</f>
        <v/>
      </c>
      <c r="K220">
        <f>IF('Ch7 EOT2 Results'!I39="","","Q2 Correlation vs causation: "&amp;'Ch7 EOT2 Results'!D39&amp;"/14")</f>
        <v/>
      </c>
    </row>
    <row r="221">
      <c r="A221">
        <f>IF('Ch7 EOT2 Results'!I38="","","Q3 Interpreting &amp; comparing regression lines: "&amp;'Ch7 EOT2 Results'!E38&amp;"/14")</f>
        <v/>
      </c>
      <c r="K221">
        <f>IF('Ch7 EOT2 Results'!I39="","","Q3 Interpreting &amp; comparing regression lines: "&amp;'Ch7 EOT2 Results'!E39&amp;"/14")</f>
        <v/>
      </c>
    </row>
    <row r="222">
      <c r="A222">
        <f>IF('Ch7 EOT2 Results'!I38="","","Q4 Outliers, extrapolation &amp; causation: "&amp;'Ch7 EOT2 Results'!F38&amp;"/12")</f>
        <v/>
      </c>
      <c r="K222">
        <f>IF('Ch7 EOT2 Results'!I39="","","Q4 Outliers, extrapolation &amp; causation: "&amp;'Ch7 EOT2 Results'!F39&amp;"/12")</f>
        <v/>
      </c>
    </row>
    <row r="223">
      <c r="A223">
        <f>IF(OR('Ch7 EOT2 Results'!I38="",'Ch7 EOT2 Results'!J38=""),"",'Ch7 EOT2 Results'!J38)</f>
        <v/>
      </c>
      <c r="K223">
        <f>IF(OR('Ch7 EOT2 Results'!I39="",'Ch7 EOT2 Results'!J39=""),"",'Ch7 EOT2 Results'!J39)</f>
        <v/>
      </c>
    </row>
    <row r="225">
      <c r="A225">
        <f>IF('Ch7 EOT2 Results'!I38="","","Comments:")</f>
        <v/>
      </c>
      <c r="K225">
        <f>IF('Ch7 EOT2 Results'!I39="","","Comments:")</f>
        <v/>
      </c>
    </row>
    <row r="229">
      <c r="A229">
        <f>IF('Ch7 EOT2 Results'!I40="","","Chapter 7 End of Topic Test 2 — Correlation and Regression")</f>
        <v/>
      </c>
      <c r="K229">
        <f>IF('Ch7 EOT2 Results'!I41="","","Chapter 7 End of Topic Test 2 — Correlation and Regression")</f>
        <v/>
      </c>
    </row>
    <row r="230">
      <c r="A230">
        <f>IF('Ch7 EOT2 Results'!I40="","","Name: "&amp;'Ch7 EOT2 Results'!B40&amp;"   Class: "&amp;'Ch7 EOT2 Results'!$B$3&amp;"   Date: "&amp;TEXT('Ch7 EOT2 Results'!$B$5,"DD/MM/YY"))</f>
        <v/>
      </c>
      <c r="K230">
        <f>IF('Ch7 EOT2 Results'!I41="","","Name: "&amp;'Ch7 EOT2 Results'!B41&amp;"   Class: "&amp;'Ch7 EOT2 Results'!$B$3&amp;"   Date: "&amp;TEXT('Ch7 EOT2 Results'!$B$5,"DD/MM/YY"))</f>
        <v/>
      </c>
    </row>
    <row r="231">
      <c r="A231">
        <f>IF('Ch7 EOT2 Results'!I40="","","Total: "&amp;'Ch7 EOT2 Results'!G40&amp;"/58 ("&amp;TEXT('Ch7 EOT2 Results'!H40,"0%")&amp;")   Overall: "&amp;'Ch7 EOT2 Results'!I40)</f>
        <v/>
      </c>
      <c r="K231">
        <f>IF('Ch7 EOT2 Results'!I41="","","Total: "&amp;'Ch7 EOT2 Results'!G41&amp;"/58 ("&amp;TEXT('Ch7 EOT2 Results'!H41,"0%")&amp;")   Overall: "&amp;'Ch7 EOT2 Results'!I41)</f>
        <v/>
      </c>
    </row>
    <row r="232">
      <c r="A232">
        <f>IF('Ch7 EOT2 Results'!I40="","",IF('Ch7 EOT2 Results'!I40="Green",Parameters!$C$463,IF('Ch7 EOT2 Results'!I40="Yellow",Parameters!$C$462,Parameters!$C$461)))</f>
        <v/>
      </c>
      <c r="K232">
        <f>IF('Ch7 EOT2 Results'!I41="","",IF('Ch7 EOT2 Results'!I41="Green",Parameters!$C$463,IF('Ch7 EOT2 Results'!I41="Yellow",Parameters!$C$462,Parameters!$C$461)))</f>
        <v/>
      </c>
    </row>
    <row r="234">
      <c r="A234">
        <f>IF('Ch7 EOT2 Results'!I40="","","Breakdown:")</f>
        <v/>
      </c>
      <c r="K234">
        <f>IF('Ch7 EOT2 Results'!I41="","","Breakdown:")</f>
        <v/>
      </c>
    </row>
    <row r="235">
      <c r="A235">
        <f>IF('Ch7 EOT2 Results'!I40="","","Q1 Scatter, PMCC &amp; regression prediction: "&amp;'Ch7 EOT2 Results'!C40&amp;"/18")</f>
        <v/>
      </c>
      <c r="K235">
        <f>IF('Ch7 EOT2 Results'!I41="","","Q1 Scatter, PMCC &amp; regression prediction: "&amp;'Ch7 EOT2 Results'!C41&amp;"/18")</f>
        <v/>
      </c>
    </row>
    <row r="236">
      <c r="A236">
        <f>IF('Ch7 EOT2 Results'!I40="","","Q2 Correlation vs causation: "&amp;'Ch7 EOT2 Results'!D40&amp;"/14")</f>
        <v/>
      </c>
      <c r="K236">
        <f>IF('Ch7 EOT2 Results'!I41="","","Q2 Correlation vs causation: "&amp;'Ch7 EOT2 Results'!D41&amp;"/14")</f>
        <v/>
      </c>
    </row>
    <row r="237">
      <c r="A237">
        <f>IF('Ch7 EOT2 Results'!I40="","","Q3 Interpreting &amp; comparing regression lines: "&amp;'Ch7 EOT2 Results'!E40&amp;"/14")</f>
        <v/>
      </c>
      <c r="K237">
        <f>IF('Ch7 EOT2 Results'!I41="","","Q3 Interpreting &amp; comparing regression lines: "&amp;'Ch7 EOT2 Results'!E41&amp;"/14")</f>
        <v/>
      </c>
    </row>
    <row r="238">
      <c r="A238">
        <f>IF('Ch7 EOT2 Results'!I40="","","Q4 Outliers, extrapolation &amp; causation: "&amp;'Ch7 EOT2 Results'!F40&amp;"/12")</f>
        <v/>
      </c>
      <c r="K238">
        <f>IF('Ch7 EOT2 Results'!I41="","","Q4 Outliers, extrapolation &amp; causation: "&amp;'Ch7 EOT2 Results'!F41&amp;"/12")</f>
        <v/>
      </c>
    </row>
    <row r="239">
      <c r="A239">
        <f>IF(OR('Ch7 EOT2 Results'!I40="",'Ch7 EOT2 Results'!J40=""),"",'Ch7 EOT2 Results'!J40)</f>
        <v/>
      </c>
      <c r="K239">
        <f>IF(OR('Ch7 EOT2 Results'!I41="",'Ch7 EOT2 Results'!J41=""),"",'Ch7 EOT2 Results'!J41)</f>
        <v/>
      </c>
    </row>
    <row r="241">
      <c r="A241">
        <f>IF('Ch7 EOT2 Results'!I40="","","Comments:")</f>
        <v/>
      </c>
      <c r="K241">
        <f>IF('Ch7 EOT2 Results'!I41="","","Comments:")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8" customWidth="1" min="14" max="14"/>
    <col width="10" customWidth="1" min="15" max="15"/>
    <col width="45" customWidth="1" min="16" max="16"/>
  </cols>
  <sheetData>
    <row r="1">
      <c r="A1" s="11" t="inlineStr">
        <is>
          <t>Mock Exam 1 — Paper 1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Data types
(/2)</t>
        </is>
      </c>
      <c r="D9" s="12" t="inlineStr">
        <is>
          <t>Q2
Stratified sampling
(/5)</t>
        </is>
      </c>
      <c r="E9" s="12" t="inlineStr">
        <is>
          <t>Q3
Graphs &amp; % change
(/5)</t>
        </is>
      </c>
      <c r="F9" s="12" t="inlineStr">
        <is>
          <t>Q4
Fermi estimation
(/4)</t>
        </is>
      </c>
      <c r="G9" s="12" t="inlineStr">
        <is>
          <t>Q5
Compound decrease
(/4)</t>
        </is>
      </c>
      <c r="H9" s="12" t="inlineStr">
        <is>
          <t>Q6
Comparing cohorts
(/5)</t>
        </is>
      </c>
      <c r="I9" s="12" t="inlineStr">
        <is>
          <t>Q7
Modelling with formula
(/11)</t>
        </is>
      </c>
      <c r="J9" s="12" t="inlineStr">
        <is>
          <t>Q8
Income tax &amp; NI
(/11)</t>
        </is>
      </c>
      <c r="K9" s="12" t="inlineStr">
        <is>
          <t>Q9
Cumulative freq graph
(/10)</t>
        </is>
      </c>
      <c r="L9" s="12" t="inlineStr">
        <is>
          <t>Q10
AER calculation
(/4)</t>
        </is>
      </c>
      <c r="M9" s="12" t="inlineStr">
        <is>
          <t>Total
(/61)</t>
        </is>
      </c>
      <c r="N9" s="12" t="inlineStr">
        <is>
          <t>%</t>
        </is>
      </c>
      <c r="O9" s="12" t="inlineStr">
        <is>
          <t>Overall</t>
        </is>
      </c>
      <c r="P9" s="12" t="inlineStr">
        <is>
          <t>Focus for next steps</t>
        </is>
      </c>
      <c r="Q9" s="12" t="inlineStr">
        <is>
          <t>Q1%</t>
        </is>
      </c>
      <c r="R9" s="12" t="inlineStr">
        <is>
          <t>Q2%</t>
        </is>
      </c>
      <c r="S9" s="12" t="inlineStr">
        <is>
          <t>Q3%</t>
        </is>
      </c>
      <c r="T9" s="12" t="inlineStr">
        <is>
          <t>Q4%</t>
        </is>
      </c>
      <c r="U9" s="12" t="inlineStr">
        <is>
          <t>Q5%</t>
        </is>
      </c>
      <c r="V9" s="12" t="inlineStr">
        <is>
          <t>Q6%</t>
        </is>
      </c>
      <c r="W9" s="12" t="inlineStr">
        <is>
          <t>Q7%</t>
        </is>
      </c>
      <c r="X9" s="12" t="inlineStr">
        <is>
          <t>Q8%</t>
        </is>
      </c>
      <c r="Y9" s="12" t="inlineStr">
        <is>
          <t>Q9%</t>
        </is>
      </c>
      <c r="Z9" s="12" t="inlineStr">
        <is>
          <t>Q10%</t>
        </is>
      </c>
    </row>
    <row r="10">
      <c r="A10" s="3" t="n"/>
      <c r="B10" s="3" t="inlineStr">
        <is>
          <t>Max marks</t>
        </is>
      </c>
      <c r="C10" s="3" t="n">
        <v>2</v>
      </c>
      <c r="D10" s="3" t="n">
        <v>5</v>
      </c>
      <c r="E10" s="3" t="n">
        <v>5</v>
      </c>
      <c r="F10" s="3" t="n">
        <v>4</v>
      </c>
      <c r="G10" s="3" t="n">
        <v>4</v>
      </c>
      <c r="H10" s="3" t="n">
        <v>5</v>
      </c>
      <c r="I10" s="3" t="n">
        <v>11</v>
      </c>
      <c r="J10" s="3" t="n">
        <v>11</v>
      </c>
      <c r="K10" s="3" t="n">
        <v>10</v>
      </c>
      <c r="L10" s="3" t="n">
        <v>4</v>
      </c>
      <c r="M10" s="3" t="n">
        <v>61</v>
      </c>
      <c r="N10" s="3" t="inlineStr">
        <is>
          <t>100%</t>
        </is>
      </c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13" t="n">
        <v>1</v>
      </c>
      <c r="B11" s="13" t="inlineStr">
        <is>
          <t>Example pupil (edit me)</t>
        </is>
      </c>
      <c r="C11" s="13" t="n">
        <v>2</v>
      </c>
      <c r="D11" s="13" t="n">
        <v>4</v>
      </c>
      <c r="E11" s="13" t="n">
        <v>4</v>
      </c>
      <c r="F11" s="13" t="n">
        <v>3</v>
      </c>
      <c r="G11" s="13" t="n">
        <v>3</v>
      </c>
      <c r="H11" s="13" t="n">
        <v>4</v>
      </c>
      <c r="I11" s="13" t="n">
        <v>9</v>
      </c>
      <c r="J11" s="13" t="n">
        <v>9</v>
      </c>
      <c r="K11" s="13" t="n">
        <v>8</v>
      </c>
      <c r="L11" s="13" t="n">
        <v>3</v>
      </c>
      <c r="M11" s="13">
        <f>IF(COUNT(C11:L11)&lt;10,"",SUM(C11:L11))</f>
        <v/>
      </c>
      <c r="N11" s="13">
        <f>IF(COUNT(C11:L11)&lt;10,"",M11/61)</f>
        <v/>
      </c>
      <c r="O11" s="13">
        <f>IF(COUNT(C11:L11)&lt;10,"",IF(N11&gt;=0.8,"Green",IF(N11&gt;=0.5,"Yellow","Red")))</f>
        <v/>
      </c>
      <c r="P11" s="13">
        <f>IF(COUNT(C11:L11)&lt;10,"",IF(O11="Green","Well done! "&amp;Parameters!$C$484,"Revise: "&amp;_xlfn.TEXTJOIN(", ",TRUE(),IF(Q11&lt;1,Parameters!$A$469,""),IF(R11&lt;1,Parameters!$A$470,""),IF(S11&lt;1,Parameters!$A$471,""),IF(T11&lt;1,Parameters!$A$472,""),IF(U11&lt;1,Parameters!$A$473,""),IF(V11&lt;1,Parameters!$A$474,""),IF(W11&lt;1,Parameters!$A$475,""),IF(X11&lt;1,Parameters!$A$476,""),IF(Y11&lt;1,Parameters!$A$477,""),IF(Z11&lt;1,Parameters!$A$478,""))))</f>
        <v/>
      </c>
      <c r="Q11" s="13">
        <f>IF(C11="","",C11/2)</f>
        <v/>
      </c>
      <c r="R11" s="13">
        <f>IF(D11="","",D11/5)</f>
        <v/>
      </c>
      <c r="S11" s="13">
        <f>IF(E11="","",E11/5)</f>
        <v/>
      </c>
      <c r="T11" s="13">
        <f>IF(F11="","",F11/4)</f>
        <v/>
      </c>
      <c r="U11" s="13">
        <f>IF(G11="","",G11/4)</f>
        <v/>
      </c>
      <c r="V11" s="13">
        <f>IF(H11="","",H11/5)</f>
        <v/>
      </c>
      <c r="W11" s="13">
        <f>IF(I11="","",I11/11)</f>
        <v/>
      </c>
      <c r="X11" s="13">
        <f>IF(J11="","",J11/11)</f>
        <v/>
      </c>
      <c r="Y11" s="13">
        <f>IF(K11="","",K11/10)</f>
        <v/>
      </c>
      <c r="Z11" s="13">
        <f>IF(L11="","",L11/4)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3">
        <f>IF(COUNT(C12:L12)&lt;10,"",SUM(C12:L12))</f>
        <v/>
      </c>
      <c r="N12" s="13">
        <f>IF(COUNT(C12:L12)&lt;10,"",M12/61)</f>
        <v/>
      </c>
      <c r="O12" s="13">
        <f>IF(COUNT(C12:L12)&lt;10,"",IF(N12&gt;=0.8,"Green",IF(N12&gt;=0.5,"Yellow","Red")))</f>
        <v/>
      </c>
      <c r="P12" s="13">
        <f>IF(COUNT(C12:L12)&lt;10,"",IF(O12="Green","Well done! "&amp;Parameters!$C$484,"Revise: "&amp;_xlfn.TEXTJOIN(", ",TRUE(),IF(Q12&lt;1,Parameters!$A$469,""),IF(R12&lt;1,Parameters!$A$470,""),IF(S12&lt;1,Parameters!$A$471,""),IF(T12&lt;1,Parameters!$A$472,""),IF(U12&lt;1,Parameters!$A$473,""),IF(V12&lt;1,Parameters!$A$474,""),IF(W12&lt;1,Parameters!$A$475,""),IF(X12&lt;1,Parameters!$A$476,""),IF(Y12&lt;1,Parameters!$A$477,""),IF(Z12&lt;1,Parameters!$A$478,""))))</f>
        <v/>
      </c>
      <c r="Q12" s="13">
        <f>IF(C12="","",C12/2)</f>
        <v/>
      </c>
      <c r="R12" s="13">
        <f>IF(D12="","",D12/5)</f>
        <v/>
      </c>
      <c r="S12" s="13">
        <f>IF(E12="","",E12/5)</f>
        <v/>
      </c>
      <c r="T12" s="13">
        <f>IF(F12="","",F12/4)</f>
        <v/>
      </c>
      <c r="U12" s="13">
        <f>IF(G12="","",G12/4)</f>
        <v/>
      </c>
      <c r="V12" s="13">
        <f>IF(H12="","",H12/5)</f>
        <v/>
      </c>
      <c r="W12" s="13">
        <f>IF(I12="","",I12/11)</f>
        <v/>
      </c>
      <c r="X12" s="13">
        <f>IF(J12="","",J12/11)</f>
        <v/>
      </c>
      <c r="Y12" s="13">
        <f>IF(K12="","",K12/10)</f>
        <v/>
      </c>
      <c r="Z12" s="13">
        <f>IF(L12="","",L12/4)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3">
        <f>IF(COUNT(C13:L13)&lt;10,"",SUM(C13:L13))</f>
        <v/>
      </c>
      <c r="N13" s="13">
        <f>IF(COUNT(C13:L13)&lt;10,"",M13/61)</f>
        <v/>
      </c>
      <c r="O13" s="13">
        <f>IF(COUNT(C13:L13)&lt;10,"",IF(N13&gt;=0.8,"Green",IF(N13&gt;=0.5,"Yellow","Red")))</f>
        <v/>
      </c>
      <c r="P13" s="13">
        <f>IF(COUNT(C13:L13)&lt;10,"",IF(O13="Green","Well done! "&amp;Parameters!$C$484,"Revise: "&amp;_xlfn.TEXTJOIN(", ",TRUE(),IF(Q13&lt;1,Parameters!$A$469,""),IF(R13&lt;1,Parameters!$A$470,""),IF(S13&lt;1,Parameters!$A$471,""),IF(T13&lt;1,Parameters!$A$472,""),IF(U13&lt;1,Parameters!$A$473,""),IF(V13&lt;1,Parameters!$A$474,""),IF(W13&lt;1,Parameters!$A$475,""),IF(X13&lt;1,Parameters!$A$476,""),IF(Y13&lt;1,Parameters!$A$477,""),IF(Z13&lt;1,Parameters!$A$478,""))))</f>
        <v/>
      </c>
      <c r="Q13" s="13">
        <f>IF(C13="","",C13/2)</f>
        <v/>
      </c>
      <c r="R13" s="13">
        <f>IF(D13="","",D13/5)</f>
        <v/>
      </c>
      <c r="S13" s="13">
        <f>IF(E13="","",E13/5)</f>
        <v/>
      </c>
      <c r="T13" s="13">
        <f>IF(F13="","",F13/4)</f>
        <v/>
      </c>
      <c r="U13" s="13">
        <f>IF(G13="","",G13/4)</f>
        <v/>
      </c>
      <c r="V13" s="13">
        <f>IF(H13="","",H13/5)</f>
        <v/>
      </c>
      <c r="W13" s="13">
        <f>IF(I13="","",I13/11)</f>
        <v/>
      </c>
      <c r="X13" s="13">
        <f>IF(J13="","",J13/11)</f>
        <v/>
      </c>
      <c r="Y13" s="13">
        <f>IF(K13="","",K13/10)</f>
        <v/>
      </c>
      <c r="Z13" s="13">
        <f>IF(L13="","",L13/4)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3">
        <f>IF(COUNT(C14:L14)&lt;10,"",SUM(C14:L14))</f>
        <v/>
      </c>
      <c r="N14" s="13">
        <f>IF(COUNT(C14:L14)&lt;10,"",M14/61)</f>
        <v/>
      </c>
      <c r="O14" s="13">
        <f>IF(COUNT(C14:L14)&lt;10,"",IF(N14&gt;=0.8,"Green",IF(N14&gt;=0.5,"Yellow","Red")))</f>
        <v/>
      </c>
      <c r="P14" s="13">
        <f>IF(COUNT(C14:L14)&lt;10,"",IF(O14="Green","Well done! "&amp;Parameters!$C$484,"Revise: "&amp;_xlfn.TEXTJOIN(", ",TRUE(),IF(Q14&lt;1,Parameters!$A$469,""),IF(R14&lt;1,Parameters!$A$470,""),IF(S14&lt;1,Parameters!$A$471,""),IF(T14&lt;1,Parameters!$A$472,""),IF(U14&lt;1,Parameters!$A$473,""),IF(V14&lt;1,Parameters!$A$474,""),IF(W14&lt;1,Parameters!$A$475,""),IF(X14&lt;1,Parameters!$A$476,""),IF(Y14&lt;1,Parameters!$A$477,""),IF(Z14&lt;1,Parameters!$A$478,""))))</f>
        <v/>
      </c>
      <c r="Q14" s="13">
        <f>IF(C14="","",C14/2)</f>
        <v/>
      </c>
      <c r="R14" s="13">
        <f>IF(D14="","",D14/5)</f>
        <v/>
      </c>
      <c r="S14" s="13">
        <f>IF(E14="","",E14/5)</f>
        <v/>
      </c>
      <c r="T14" s="13">
        <f>IF(F14="","",F14/4)</f>
        <v/>
      </c>
      <c r="U14" s="13">
        <f>IF(G14="","",G14/4)</f>
        <v/>
      </c>
      <c r="V14" s="13">
        <f>IF(H14="","",H14/5)</f>
        <v/>
      </c>
      <c r="W14" s="13">
        <f>IF(I14="","",I14/11)</f>
        <v/>
      </c>
      <c r="X14" s="13">
        <f>IF(J14="","",J14/11)</f>
        <v/>
      </c>
      <c r="Y14" s="13">
        <f>IF(K14="","",K14/10)</f>
        <v/>
      </c>
      <c r="Z14" s="13">
        <f>IF(L14="","",L14/4)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3">
        <f>IF(COUNT(C15:L15)&lt;10,"",SUM(C15:L15))</f>
        <v/>
      </c>
      <c r="N15" s="13">
        <f>IF(COUNT(C15:L15)&lt;10,"",M15/61)</f>
        <v/>
      </c>
      <c r="O15" s="13">
        <f>IF(COUNT(C15:L15)&lt;10,"",IF(N15&gt;=0.8,"Green",IF(N15&gt;=0.5,"Yellow","Red")))</f>
        <v/>
      </c>
      <c r="P15" s="13">
        <f>IF(COUNT(C15:L15)&lt;10,"",IF(O15="Green","Well done! "&amp;Parameters!$C$484,"Revise: "&amp;_xlfn.TEXTJOIN(", ",TRUE(),IF(Q15&lt;1,Parameters!$A$469,""),IF(R15&lt;1,Parameters!$A$470,""),IF(S15&lt;1,Parameters!$A$471,""),IF(T15&lt;1,Parameters!$A$472,""),IF(U15&lt;1,Parameters!$A$473,""),IF(V15&lt;1,Parameters!$A$474,""),IF(W15&lt;1,Parameters!$A$475,""),IF(X15&lt;1,Parameters!$A$476,""),IF(Y15&lt;1,Parameters!$A$477,""),IF(Z15&lt;1,Parameters!$A$478,""))))</f>
        <v/>
      </c>
      <c r="Q15" s="13">
        <f>IF(C15="","",C15/2)</f>
        <v/>
      </c>
      <c r="R15" s="13">
        <f>IF(D15="","",D15/5)</f>
        <v/>
      </c>
      <c r="S15" s="13">
        <f>IF(E15="","",E15/5)</f>
        <v/>
      </c>
      <c r="T15" s="13">
        <f>IF(F15="","",F15/4)</f>
        <v/>
      </c>
      <c r="U15" s="13">
        <f>IF(G15="","",G15/4)</f>
        <v/>
      </c>
      <c r="V15" s="13">
        <f>IF(H15="","",H15/5)</f>
        <v/>
      </c>
      <c r="W15" s="13">
        <f>IF(I15="","",I15/11)</f>
        <v/>
      </c>
      <c r="X15" s="13">
        <f>IF(J15="","",J15/11)</f>
        <v/>
      </c>
      <c r="Y15" s="13">
        <f>IF(K15="","",K15/10)</f>
        <v/>
      </c>
      <c r="Z15" s="13">
        <f>IF(L15="","",L15/4)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3">
        <f>IF(COUNT(C16:L16)&lt;10,"",SUM(C16:L16))</f>
        <v/>
      </c>
      <c r="N16" s="13">
        <f>IF(COUNT(C16:L16)&lt;10,"",M16/61)</f>
        <v/>
      </c>
      <c r="O16" s="13">
        <f>IF(COUNT(C16:L16)&lt;10,"",IF(N16&gt;=0.8,"Green",IF(N16&gt;=0.5,"Yellow","Red")))</f>
        <v/>
      </c>
      <c r="P16" s="13">
        <f>IF(COUNT(C16:L16)&lt;10,"",IF(O16="Green","Well done! "&amp;Parameters!$C$484,"Revise: "&amp;_xlfn.TEXTJOIN(", ",TRUE(),IF(Q16&lt;1,Parameters!$A$469,""),IF(R16&lt;1,Parameters!$A$470,""),IF(S16&lt;1,Parameters!$A$471,""),IF(T16&lt;1,Parameters!$A$472,""),IF(U16&lt;1,Parameters!$A$473,""),IF(V16&lt;1,Parameters!$A$474,""),IF(W16&lt;1,Parameters!$A$475,""),IF(X16&lt;1,Parameters!$A$476,""),IF(Y16&lt;1,Parameters!$A$477,""),IF(Z16&lt;1,Parameters!$A$478,""))))</f>
        <v/>
      </c>
      <c r="Q16" s="13">
        <f>IF(C16="","",C16/2)</f>
        <v/>
      </c>
      <c r="R16" s="13">
        <f>IF(D16="","",D16/5)</f>
        <v/>
      </c>
      <c r="S16" s="13">
        <f>IF(E16="","",E16/5)</f>
        <v/>
      </c>
      <c r="T16" s="13">
        <f>IF(F16="","",F16/4)</f>
        <v/>
      </c>
      <c r="U16" s="13">
        <f>IF(G16="","",G16/4)</f>
        <v/>
      </c>
      <c r="V16" s="13">
        <f>IF(H16="","",H16/5)</f>
        <v/>
      </c>
      <c r="W16" s="13">
        <f>IF(I16="","",I16/11)</f>
        <v/>
      </c>
      <c r="X16" s="13">
        <f>IF(J16="","",J16/11)</f>
        <v/>
      </c>
      <c r="Y16" s="13">
        <f>IF(K16="","",K16/10)</f>
        <v/>
      </c>
      <c r="Z16" s="13">
        <f>IF(L16="","",L16/4)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3">
        <f>IF(COUNT(C17:L17)&lt;10,"",SUM(C17:L17))</f>
        <v/>
      </c>
      <c r="N17" s="13">
        <f>IF(COUNT(C17:L17)&lt;10,"",M17/61)</f>
        <v/>
      </c>
      <c r="O17" s="13">
        <f>IF(COUNT(C17:L17)&lt;10,"",IF(N17&gt;=0.8,"Green",IF(N17&gt;=0.5,"Yellow","Red")))</f>
        <v/>
      </c>
      <c r="P17" s="13">
        <f>IF(COUNT(C17:L17)&lt;10,"",IF(O17="Green","Well done! "&amp;Parameters!$C$484,"Revise: "&amp;_xlfn.TEXTJOIN(", ",TRUE(),IF(Q17&lt;1,Parameters!$A$469,""),IF(R17&lt;1,Parameters!$A$470,""),IF(S17&lt;1,Parameters!$A$471,""),IF(T17&lt;1,Parameters!$A$472,""),IF(U17&lt;1,Parameters!$A$473,""),IF(V17&lt;1,Parameters!$A$474,""),IF(W17&lt;1,Parameters!$A$475,""),IF(X17&lt;1,Parameters!$A$476,""),IF(Y17&lt;1,Parameters!$A$477,""),IF(Z17&lt;1,Parameters!$A$478,""))))</f>
        <v/>
      </c>
      <c r="Q17" s="13">
        <f>IF(C17="","",C17/2)</f>
        <v/>
      </c>
      <c r="R17" s="13">
        <f>IF(D17="","",D17/5)</f>
        <v/>
      </c>
      <c r="S17" s="13">
        <f>IF(E17="","",E17/5)</f>
        <v/>
      </c>
      <c r="T17" s="13">
        <f>IF(F17="","",F17/4)</f>
        <v/>
      </c>
      <c r="U17" s="13">
        <f>IF(G17="","",G17/4)</f>
        <v/>
      </c>
      <c r="V17" s="13">
        <f>IF(H17="","",H17/5)</f>
        <v/>
      </c>
      <c r="W17" s="13">
        <f>IF(I17="","",I17/11)</f>
        <v/>
      </c>
      <c r="X17" s="13">
        <f>IF(J17="","",J17/11)</f>
        <v/>
      </c>
      <c r="Y17" s="13">
        <f>IF(K17="","",K17/10)</f>
        <v/>
      </c>
      <c r="Z17" s="13">
        <f>IF(L17="","",L17/4)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3">
        <f>IF(COUNT(C18:L18)&lt;10,"",SUM(C18:L18))</f>
        <v/>
      </c>
      <c r="N18" s="13">
        <f>IF(COUNT(C18:L18)&lt;10,"",M18/61)</f>
        <v/>
      </c>
      <c r="O18" s="13">
        <f>IF(COUNT(C18:L18)&lt;10,"",IF(N18&gt;=0.8,"Green",IF(N18&gt;=0.5,"Yellow","Red")))</f>
        <v/>
      </c>
      <c r="P18" s="13">
        <f>IF(COUNT(C18:L18)&lt;10,"",IF(O18="Green","Well done! "&amp;Parameters!$C$484,"Revise: "&amp;_xlfn.TEXTJOIN(", ",TRUE(),IF(Q18&lt;1,Parameters!$A$469,""),IF(R18&lt;1,Parameters!$A$470,""),IF(S18&lt;1,Parameters!$A$471,""),IF(T18&lt;1,Parameters!$A$472,""),IF(U18&lt;1,Parameters!$A$473,""),IF(V18&lt;1,Parameters!$A$474,""),IF(W18&lt;1,Parameters!$A$475,""),IF(X18&lt;1,Parameters!$A$476,""),IF(Y18&lt;1,Parameters!$A$477,""),IF(Z18&lt;1,Parameters!$A$478,""))))</f>
        <v/>
      </c>
      <c r="Q18" s="13">
        <f>IF(C18="","",C18/2)</f>
        <v/>
      </c>
      <c r="R18" s="13">
        <f>IF(D18="","",D18/5)</f>
        <v/>
      </c>
      <c r="S18" s="13">
        <f>IF(E18="","",E18/5)</f>
        <v/>
      </c>
      <c r="T18" s="13">
        <f>IF(F18="","",F18/4)</f>
        <v/>
      </c>
      <c r="U18" s="13">
        <f>IF(G18="","",G18/4)</f>
        <v/>
      </c>
      <c r="V18" s="13">
        <f>IF(H18="","",H18/5)</f>
        <v/>
      </c>
      <c r="W18" s="13">
        <f>IF(I18="","",I18/11)</f>
        <v/>
      </c>
      <c r="X18" s="13">
        <f>IF(J18="","",J18/11)</f>
        <v/>
      </c>
      <c r="Y18" s="13">
        <f>IF(K18="","",K18/10)</f>
        <v/>
      </c>
      <c r="Z18" s="13">
        <f>IF(L18="","",L18/4)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3">
        <f>IF(COUNT(C19:L19)&lt;10,"",SUM(C19:L19))</f>
        <v/>
      </c>
      <c r="N19" s="13">
        <f>IF(COUNT(C19:L19)&lt;10,"",M19/61)</f>
        <v/>
      </c>
      <c r="O19" s="13">
        <f>IF(COUNT(C19:L19)&lt;10,"",IF(N19&gt;=0.8,"Green",IF(N19&gt;=0.5,"Yellow","Red")))</f>
        <v/>
      </c>
      <c r="P19" s="13">
        <f>IF(COUNT(C19:L19)&lt;10,"",IF(O19="Green","Well done! "&amp;Parameters!$C$484,"Revise: "&amp;_xlfn.TEXTJOIN(", ",TRUE(),IF(Q19&lt;1,Parameters!$A$469,""),IF(R19&lt;1,Parameters!$A$470,""),IF(S19&lt;1,Parameters!$A$471,""),IF(T19&lt;1,Parameters!$A$472,""),IF(U19&lt;1,Parameters!$A$473,""),IF(V19&lt;1,Parameters!$A$474,""),IF(W19&lt;1,Parameters!$A$475,""),IF(X19&lt;1,Parameters!$A$476,""),IF(Y19&lt;1,Parameters!$A$477,""),IF(Z19&lt;1,Parameters!$A$478,""))))</f>
        <v/>
      </c>
      <c r="Q19" s="13">
        <f>IF(C19="","",C19/2)</f>
        <v/>
      </c>
      <c r="R19" s="13">
        <f>IF(D19="","",D19/5)</f>
        <v/>
      </c>
      <c r="S19" s="13">
        <f>IF(E19="","",E19/5)</f>
        <v/>
      </c>
      <c r="T19" s="13">
        <f>IF(F19="","",F19/4)</f>
        <v/>
      </c>
      <c r="U19" s="13">
        <f>IF(G19="","",G19/4)</f>
        <v/>
      </c>
      <c r="V19" s="13">
        <f>IF(H19="","",H19/5)</f>
        <v/>
      </c>
      <c r="W19" s="13">
        <f>IF(I19="","",I19/11)</f>
        <v/>
      </c>
      <c r="X19" s="13">
        <f>IF(J19="","",J19/11)</f>
        <v/>
      </c>
      <c r="Y19" s="13">
        <f>IF(K19="","",K19/10)</f>
        <v/>
      </c>
      <c r="Z19" s="13">
        <f>IF(L19="","",L19/4)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3">
        <f>IF(COUNT(C20:L20)&lt;10,"",SUM(C20:L20))</f>
        <v/>
      </c>
      <c r="N20" s="13">
        <f>IF(COUNT(C20:L20)&lt;10,"",M20/61)</f>
        <v/>
      </c>
      <c r="O20" s="13">
        <f>IF(COUNT(C20:L20)&lt;10,"",IF(N20&gt;=0.8,"Green",IF(N20&gt;=0.5,"Yellow","Red")))</f>
        <v/>
      </c>
      <c r="P20" s="13">
        <f>IF(COUNT(C20:L20)&lt;10,"",IF(O20="Green","Well done! "&amp;Parameters!$C$484,"Revise: "&amp;_xlfn.TEXTJOIN(", ",TRUE(),IF(Q20&lt;1,Parameters!$A$469,""),IF(R20&lt;1,Parameters!$A$470,""),IF(S20&lt;1,Parameters!$A$471,""),IF(T20&lt;1,Parameters!$A$472,""),IF(U20&lt;1,Parameters!$A$473,""),IF(V20&lt;1,Parameters!$A$474,""),IF(W20&lt;1,Parameters!$A$475,""),IF(X20&lt;1,Parameters!$A$476,""),IF(Y20&lt;1,Parameters!$A$477,""),IF(Z20&lt;1,Parameters!$A$478,""))))</f>
        <v/>
      </c>
      <c r="Q20" s="13">
        <f>IF(C20="","",C20/2)</f>
        <v/>
      </c>
      <c r="R20" s="13">
        <f>IF(D20="","",D20/5)</f>
        <v/>
      </c>
      <c r="S20" s="13">
        <f>IF(E20="","",E20/5)</f>
        <v/>
      </c>
      <c r="T20" s="13">
        <f>IF(F20="","",F20/4)</f>
        <v/>
      </c>
      <c r="U20" s="13">
        <f>IF(G20="","",G20/4)</f>
        <v/>
      </c>
      <c r="V20" s="13">
        <f>IF(H20="","",H20/5)</f>
        <v/>
      </c>
      <c r="W20" s="13">
        <f>IF(I20="","",I20/11)</f>
        <v/>
      </c>
      <c r="X20" s="13">
        <f>IF(J20="","",J20/11)</f>
        <v/>
      </c>
      <c r="Y20" s="13">
        <f>IF(K20="","",K20/10)</f>
        <v/>
      </c>
      <c r="Z20" s="13">
        <f>IF(L20="","",L20/4)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3">
        <f>IF(COUNT(C21:L21)&lt;10,"",SUM(C21:L21))</f>
        <v/>
      </c>
      <c r="N21" s="13">
        <f>IF(COUNT(C21:L21)&lt;10,"",M21/61)</f>
        <v/>
      </c>
      <c r="O21" s="13">
        <f>IF(COUNT(C21:L21)&lt;10,"",IF(N21&gt;=0.8,"Green",IF(N21&gt;=0.5,"Yellow","Red")))</f>
        <v/>
      </c>
      <c r="P21" s="13">
        <f>IF(COUNT(C21:L21)&lt;10,"",IF(O21="Green","Well done! "&amp;Parameters!$C$484,"Revise: "&amp;_xlfn.TEXTJOIN(", ",TRUE(),IF(Q21&lt;1,Parameters!$A$469,""),IF(R21&lt;1,Parameters!$A$470,""),IF(S21&lt;1,Parameters!$A$471,""),IF(T21&lt;1,Parameters!$A$472,""),IF(U21&lt;1,Parameters!$A$473,""),IF(V21&lt;1,Parameters!$A$474,""),IF(W21&lt;1,Parameters!$A$475,""),IF(X21&lt;1,Parameters!$A$476,""),IF(Y21&lt;1,Parameters!$A$477,""),IF(Z21&lt;1,Parameters!$A$478,""))))</f>
        <v/>
      </c>
      <c r="Q21" s="13">
        <f>IF(C21="","",C21/2)</f>
        <v/>
      </c>
      <c r="R21" s="13">
        <f>IF(D21="","",D21/5)</f>
        <v/>
      </c>
      <c r="S21" s="13">
        <f>IF(E21="","",E21/5)</f>
        <v/>
      </c>
      <c r="T21" s="13">
        <f>IF(F21="","",F21/4)</f>
        <v/>
      </c>
      <c r="U21" s="13">
        <f>IF(G21="","",G21/4)</f>
        <v/>
      </c>
      <c r="V21" s="13">
        <f>IF(H21="","",H21/5)</f>
        <v/>
      </c>
      <c r="W21" s="13">
        <f>IF(I21="","",I21/11)</f>
        <v/>
      </c>
      <c r="X21" s="13">
        <f>IF(J21="","",J21/11)</f>
        <v/>
      </c>
      <c r="Y21" s="13">
        <f>IF(K21="","",K21/10)</f>
        <v/>
      </c>
      <c r="Z21" s="13">
        <f>IF(L21="","",L21/4)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3">
        <f>IF(COUNT(C22:L22)&lt;10,"",SUM(C22:L22))</f>
        <v/>
      </c>
      <c r="N22" s="13">
        <f>IF(COUNT(C22:L22)&lt;10,"",M22/61)</f>
        <v/>
      </c>
      <c r="O22" s="13">
        <f>IF(COUNT(C22:L22)&lt;10,"",IF(N22&gt;=0.8,"Green",IF(N22&gt;=0.5,"Yellow","Red")))</f>
        <v/>
      </c>
      <c r="P22" s="13">
        <f>IF(COUNT(C22:L22)&lt;10,"",IF(O22="Green","Well done! "&amp;Parameters!$C$484,"Revise: "&amp;_xlfn.TEXTJOIN(", ",TRUE(),IF(Q22&lt;1,Parameters!$A$469,""),IF(R22&lt;1,Parameters!$A$470,""),IF(S22&lt;1,Parameters!$A$471,""),IF(T22&lt;1,Parameters!$A$472,""),IF(U22&lt;1,Parameters!$A$473,""),IF(V22&lt;1,Parameters!$A$474,""),IF(W22&lt;1,Parameters!$A$475,""),IF(X22&lt;1,Parameters!$A$476,""),IF(Y22&lt;1,Parameters!$A$477,""),IF(Z22&lt;1,Parameters!$A$478,""))))</f>
        <v/>
      </c>
      <c r="Q22" s="13">
        <f>IF(C22="","",C22/2)</f>
        <v/>
      </c>
      <c r="R22" s="13">
        <f>IF(D22="","",D22/5)</f>
        <v/>
      </c>
      <c r="S22" s="13">
        <f>IF(E22="","",E22/5)</f>
        <v/>
      </c>
      <c r="T22" s="13">
        <f>IF(F22="","",F22/4)</f>
        <v/>
      </c>
      <c r="U22" s="13">
        <f>IF(G22="","",G22/4)</f>
        <v/>
      </c>
      <c r="V22" s="13">
        <f>IF(H22="","",H22/5)</f>
        <v/>
      </c>
      <c r="W22" s="13">
        <f>IF(I22="","",I22/11)</f>
        <v/>
      </c>
      <c r="X22" s="13">
        <f>IF(J22="","",J22/11)</f>
        <v/>
      </c>
      <c r="Y22" s="13">
        <f>IF(K22="","",K22/10)</f>
        <v/>
      </c>
      <c r="Z22" s="13">
        <f>IF(L22="","",L22/4)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3">
        <f>IF(COUNT(C23:L23)&lt;10,"",SUM(C23:L23))</f>
        <v/>
      </c>
      <c r="N23" s="13">
        <f>IF(COUNT(C23:L23)&lt;10,"",M23/61)</f>
        <v/>
      </c>
      <c r="O23" s="13">
        <f>IF(COUNT(C23:L23)&lt;10,"",IF(N23&gt;=0.8,"Green",IF(N23&gt;=0.5,"Yellow","Red")))</f>
        <v/>
      </c>
      <c r="P23" s="13">
        <f>IF(COUNT(C23:L23)&lt;10,"",IF(O23="Green","Well done! "&amp;Parameters!$C$484,"Revise: "&amp;_xlfn.TEXTJOIN(", ",TRUE(),IF(Q23&lt;1,Parameters!$A$469,""),IF(R23&lt;1,Parameters!$A$470,""),IF(S23&lt;1,Parameters!$A$471,""),IF(T23&lt;1,Parameters!$A$472,""),IF(U23&lt;1,Parameters!$A$473,""),IF(V23&lt;1,Parameters!$A$474,""),IF(W23&lt;1,Parameters!$A$475,""),IF(X23&lt;1,Parameters!$A$476,""),IF(Y23&lt;1,Parameters!$A$477,""),IF(Z23&lt;1,Parameters!$A$478,""))))</f>
        <v/>
      </c>
      <c r="Q23" s="13">
        <f>IF(C23="","",C23/2)</f>
        <v/>
      </c>
      <c r="R23" s="13">
        <f>IF(D23="","",D23/5)</f>
        <v/>
      </c>
      <c r="S23" s="13">
        <f>IF(E23="","",E23/5)</f>
        <v/>
      </c>
      <c r="T23" s="13">
        <f>IF(F23="","",F23/4)</f>
        <v/>
      </c>
      <c r="U23" s="13">
        <f>IF(G23="","",G23/4)</f>
        <v/>
      </c>
      <c r="V23" s="13">
        <f>IF(H23="","",H23/5)</f>
        <v/>
      </c>
      <c r="W23" s="13">
        <f>IF(I23="","",I23/11)</f>
        <v/>
      </c>
      <c r="X23" s="13">
        <f>IF(J23="","",J23/11)</f>
        <v/>
      </c>
      <c r="Y23" s="13">
        <f>IF(K23="","",K23/10)</f>
        <v/>
      </c>
      <c r="Z23" s="13">
        <f>IF(L23="","",L23/4)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3">
        <f>IF(COUNT(C24:L24)&lt;10,"",SUM(C24:L24))</f>
        <v/>
      </c>
      <c r="N24" s="13">
        <f>IF(COUNT(C24:L24)&lt;10,"",M24/61)</f>
        <v/>
      </c>
      <c r="O24" s="13">
        <f>IF(COUNT(C24:L24)&lt;10,"",IF(N24&gt;=0.8,"Green",IF(N24&gt;=0.5,"Yellow","Red")))</f>
        <v/>
      </c>
      <c r="P24" s="13">
        <f>IF(COUNT(C24:L24)&lt;10,"",IF(O24="Green","Well done! "&amp;Parameters!$C$484,"Revise: "&amp;_xlfn.TEXTJOIN(", ",TRUE(),IF(Q24&lt;1,Parameters!$A$469,""),IF(R24&lt;1,Parameters!$A$470,""),IF(S24&lt;1,Parameters!$A$471,""),IF(T24&lt;1,Parameters!$A$472,""),IF(U24&lt;1,Parameters!$A$473,""),IF(V24&lt;1,Parameters!$A$474,""),IF(W24&lt;1,Parameters!$A$475,""),IF(X24&lt;1,Parameters!$A$476,""),IF(Y24&lt;1,Parameters!$A$477,""),IF(Z24&lt;1,Parameters!$A$478,""))))</f>
        <v/>
      </c>
      <c r="Q24" s="13">
        <f>IF(C24="","",C24/2)</f>
        <v/>
      </c>
      <c r="R24" s="13">
        <f>IF(D24="","",D24/5)</f>
        <v/>
      </c>
      <c r="S24" s="13">
        <f>IF(E24="","",E24/5)</f>
        <v/>
      </c>
      <c r="T24" s="13">
        <f>IF(F24="","",F24/4)</f>
        <v/>
      </c>
      <c r="U24" s="13">
        <f>IF(G24="","",G24/4)</f>
        <v/>
      </c>
      <c r="V24" s="13">
        <f>IF(H24="","",H24/5)</f>
        <v/>
      </c>
      <c r="W24" s="13">
        <f>IF(I24="","",I24/11)</f>
        <v/>
      </c>
      <c r="X24" s="13">
        <f>IF(J24="","",J24/11)</f>
        <v/>
      </c>
      <c r="Y24" s="13">
        <f>IF(K24="","",K24/10)</f>
        <v/>
      </c>
      <c r="Z24" s="13">
        <f>IF(L24="","",L24/4)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3">
        <f>IF(COUNT(C25:L25)&lt;10,"",SUM(C25:L25))</f>
        <v/>
      </c>
      <c r="N25" s="13">
        <f>IF(COUNT(C25:L25)&lt;10,"",M25/61)</f>
        <v/>
      </c>
      <c r="O25" s="13">
        <f>IF(COUNT(C25:L25)&lt;10,"",IF(N25&gt;=0.8,"Green",IF(N25&gt;=0.5,"Yellow","Red")))</f>
        <v/>
      </c>
      <c r="P25" s="13">
        <f>IF(COUNT(C25:L25)&lt;10,"",IF(O25="Green","Well done! "&amp;Parameters!$C$484,"Revise: "&amp;_xlfn.TEXTJOIN(", ",TRUE(),IF(Q25&lt;1,Parameters!$A$469,""),IF(R25&lt;1,Parameters!$A$470,""),IF(S25&lt;1,Parameters!$A$471,""),IF(T25&lt;1,Parameters!$A$472,""),IF(U25&lt;1,Parameters!$A$473,""),IF(V25&lt;1,Parameters!$A$474,""),IF(W25&lt;1,Parameters!$A$475,""),IF(X25&lt;1,Parameters!$A$476,""),IF(Y25&lt;1,Parameters!$A$477,""),IF(Z25&lt;1,Parameters!$A$478,""))))</f>
        <v/>
      </c>
      <c r="Q25" s="13">
        <f>IF(C25="","",C25/2)</f>
        <v/>
      </c>
      <c r="R25" s="13">
        <f>IF(D25="","",D25/5)</f>
        <v/>
      </c>
      <c r="S25" s="13">
        <f>IF(E25="","",E25/5)</f>
        <v/>
      </c>
      <c r="T25" s="13">
        <f>IF(F25="","",F25/4)</f>
        <v/>
      </c>
      <c r="U25" s="13">
        <f>IF(G25="","",G25/4)</f>
        <v/>
      </c>
      <c r="V25" s="13">
        <f>IF(H25="","",H25/5)</f>
        <v/>
      </c>
      <c r="W25" s="13">
        <f>IF(I25="","",I25/11)</f>
        <v/>
      </c>
      <c r="X25" s="13">
        <f>IF(J25="","",J25/11)</f>
        <v/>
      </c>
      <c r="Y25" s="13">
        <f>IF(K25="","",K25/10)</f>
        <v/>
      </c>
      <c r="Z25" s="13">
        <f>IF(L25="","",L25/4)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3">
        <f>IF(COUNT(C26:L26)&lt;10,"",SUM(C26:L26))</f>
        <v/>
      </c>
      <c r="N26" s="13">
        <f>IF(COUNT(C26:L26)&lt;10,"",M26/61)</f>
        <v/>
      </c>
      <c r="O26" s="13">
        <f>IF(COUNT(C26:L26)&lt;10,"",IF(N26&gt;=0.8,"Green",IF(N26&gt;=0.5,"Yellow","Red")))</f>
        <v/>
      </c>
      <c r="P26" s="13">
        <f>IF(COUNT(C26:L26)&lt;10,"",IF(O26="Green","Well done! "&amp;Parameters!$C$484,"Revise: "&amp;_xlfn.TEXTJOIN(", ",TRUE(),IF(Q26&lt;1,Parameters!$A$469,""),IF(R26&lt;1,Parameters!$A$470,""),IF(S26&lt;1,Parameters!$A$471,""),IF(T26&lt;1,Parameters!$A$472,""),IF(U26&lt;1,Parameters!$A$473,""),IF(V26&lt;1,Parameters!$A$474,""),IF(W26&lt;1,Parameters!$A$475,""),IF(X26&lt;1,Parameters!$A$476,""),IF(Y26&lt;1,Parameters!$A$477,""),IF(Z26&lt;1,Parameters!$A$478,""))))</f>
        <v/>
      </c>
      <c r="Q26" s="13">
        <f>IF(C26="","",C26/2)</f>
        <v/>
      </c>
      <c r="R26" s="13">
        <f>IF(D26="","",D26/5)</f>
        <v/>
      </c>
      <c r="S26" s="13">
        <f>IF(E26="","",E26/5)</f>
        <v/>
      </c>
      <c r="T26" s="13">
        <f>IF(F26="","",F26/4)</f>
        <v/>
      </c>
      <c r="U26" s="13">
        <f>IF(G26="","",G26/4)</f>
        <v/>
      </c>
      <c r="V26" s="13">
        <f>IF(H26="","",H26/5)</f>
        <v/>
      </c>
      <c r="W26" s="13">
        <f>IF(I26="","",I26/11)</f>
        <v/>
      </c>
      <c r="X26" s="13">
        <f>IF(J26="","",J26/11)</f>
        <v/>
      </c>
      <c r="Y26" s="13">
        <f>IF(K26="","",K26/10)</f>
        <v/>
      </c>
      <c r="Z26" s="13">
        <f>IF(L26="","",L26/4)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3">
        <f>IF(COUNT(C27:L27)&lt;10,"",SUM(C27:L27))</f>
        <v/>
      </c>
      <c r="N27" s="13">
        <f>IF(COUNT(C27:L27)&lt;10,"",M27/61)</f>
        <v/>
      </c>
      <c r="O27" s="13">
        <f>IF(COUNT(C27:L27)&lt;10,"",IF(N27&gt;=0.8,"Green",IF(N27&gt;=0.5,"Yellow","Red")))</f>
        <v/>
      </c>
      <c r="P27" s="13">
        <f>IF(COUNT(C27:L27)&lt;10,"",IF(O27="Green","Well done! "&amp;Parameters!$C$484,"Revise: "&amp;_xlfn.TEXTJOIN(", ",TRUE(),IF(Q27&lt;1,Parameters!$A$469,""),IF(R27&lt;1,Parameters!$A$470,""),IF(S27&lt;1,Parameters!$A$471,""),IF(T27&lt;1,Parameters!$A$472,""),IF(U27&lt;1,Parameters!$A$473,""),IF(V27&lt;1,Parameters!$A$474,""),IF(W27&lt;1,Parameters!$A$475,""),IF(X27&lt;1,Parameters!$A$476,""),IF(Y27&lt;1,Parameters!$A$477,""),IF(Z27&lt;1,Parameters!$A$478,""))))</f>
        <v/>
      </c>
      <c r="Q27" s="13">
        <f>IF(C27="","",C27/2)</f>
        <v/>
      </c>
      <c r="R27" s="13">
        <f>IF(D27="","",D27/5)</f>
        <v/>
      </c>
      <c r="S27" s="13">
        <f>IF(E27="","",E27/5)</f>
        <v/>
      </c>
      <c r="T27" s="13">
        <f>IF(F27="","",F27/4)</f>
        <v/>
      </c>
      <c r="U27" s="13">
        <f>IF(G27="","",G27/4)</f>
        <v/>
      </c>
      <c r="V27" s="13">
        <f>IF(H27="","",H27/5)</f>
        <v/>
      </c>
      <c r="W27" s="13">
        <f>IF(I27="","",I27/11)</f>
        <v/>
      </c>
      <c r="X27" s="13">
        <f>IF(J27="","",J27/11)</f>
        <v/>
      </c>
      <c r="Y27" s="13">
        <f>IF(K27="","",K27/10)</f>
        <v/>
      </c>
      <c r="Z27" s="13">
        <f>IF(L27="","",L27/4)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3">
        <f>IF(COUNT(C28:L28)&lt;10,"",SUM(C28:L28))</f>
        <v/>
      </c>
      <c r="N28" s="13">
        <f>IF(COUNT(C28:L28)&lt;10,"",M28/61)</f>
        <v/>
      </c>
      <c r="O28" s="13">
        <f>IF(COUNT(C28:L28)&lt;10,"",IF(N28&gt;=0.8,"Green",IF(N28&gt;=0.5,"Yellow","Red")))</f>
        <v/>
      </c>
      <c r="P28" s="13">
        <f>IF(COUNT(C28:L28)&lt;10,"",IF(O28="Green","Well done! "&amp;Parameters!$C$484,"Revise: "&amp;_xlfn.TEXTJOIN(", ",TRUE(),IF(Q28&lt;1,Parameters!$A$469,""),IF(R28&lt;1,Parameters!$A$470,""),IF(S28&lt;1,Parameters!$A$471,""),IF(T28&lt;1,Parameters!$A$472,""),IF(U28&lt;1,Parameters!$A$473,""),IF(V28&lt;1,Parameters!$A$474,""),IF(W28&lt;1,Parameters!$A$475,""),IF(X28&lt;1,Parameters!$A$476,""),IF(Y28&lt;1,Parameters!$A$477,""),IF(Z28&lt;1,Parameters!$A$478,""))))</f>
        <v/>
      </c>
      <c r="Q28" s="13">
        <f>IF(C28="","",C28/2)</f>
        <v/>
      </c>
      <c r="R28" s="13">
        <f>IF(D28="","",D28/5)</f>
        <v/>
      </c>
      <c r="S28" s="13">
        <f>IF(E28="","",E28/5)</f>
        <v/>
      </c>
      <c r="T28" s="13">
        <f>IF(F28="","",F28/4)</f>
        <v/>
      </c>
      <c r="U28" s="13">
        <f>IF(G28="","",G28/4)</f>
        <v/>
      </c>
      <c r="V28" s="13">
        <f>IF(H28="","",H28/5)</f>
        <v/>
      </c>
      <c r="W28" s="13">
        <f>IF(I28="","",I28/11)</f>
        <v/>
      </c>
      <c r="X28" s="13">
        <f>IF(J28="","",J28/11)</f>
        <v/>
      </c>
      <c r="Y28" s="13">
        <f>IF(K28="","",K28/10)</f>
        <v/>
      </c>
      <c r="Z28" s="13">
        <f>IF(L28="","",L28/4)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3">
        <f>IF(COUNT(C29:L29)&lt;10,"",SUM(C29:L29))</f>
        <v/>
      </c>
      <c r="N29" s="13">
        <f>IF(COUNT(C29:L29)&lt;10,"",M29/61)</f>
        <v/>
      </c>
      <c r="O29" s="13">
        <f>IF(COUNT(C29:L29)&lt;10,"",IF(N29&gt;=0.8,"Green",IF(N29&gt;=0.5,"Yellow","Red")))</f>
        <v/>
      </c>
      <c r="P29" s="13">
        <f>IF(COUNT(C29:L29)&lt;10,"",IF(O29="Green","Well done! "&amp;Parameters!$C$484,"Revise: "&amp;_xlfn.TEXTJOIN(", ",TRUE(),IF(Q29&lt;1,Parameters!$A$469,""),IF(R29&lt;1,Parameters!$A$470,""),IF(S29&lt;1,Parameters!$A$471,""),IF(T29&lt;1,Parameters!$A$472,""),IF(U29&lt;1,Parameters!$A$473,""),IF(V29&lt;1,Parameters!$A$474,""),IF(W29&lt;1,Parameters!$A$475,""),IF(X29&lt;1,Parameters!$A$476,""),IF(Y29&lt;1,Parameters!$A$477,""),IF(Z29&lt;1,Parameters!$A$478,""))))</f>
        <v/>
      </c>
      <c r="Q29" s="13">
        <f>IF(C29="","",C29/2)</f>
        <v/>
      </c>
      <c r="R29" s="13">
        <f>IF(D29="","",D29/5)</f>
        <v/>
      </c>
      <c r="S29" s="13">
        <f>IF(E29="","",E29/5)</f>
        <v/>
      </c>
      <c r="T29" s="13">
        <f>IF(F29="","",F29/4)</f>
        <v/>
      </c>
      <c r="U29" s="13">
        <f>IF(G29="","",G29/4)</f>
        <v/>
      </c>
      <c r="V29" s="13">
        <f>IF(H29="","",H29/5)</f>
        <v/>
      </c>
      <c r="W29" s="13">
        <f>IF(I29="","",I29/11)</f>
        <v/>
      </c>
      <c r="X29" s="13">
        <f>IF(J29="","",J29/11)</f>
        <v/>
      </c>
      <c r="Y29" s="13">
        <f>IF(K29="","",K29/10)</f>
        <v/>
      </c>
      <c r="Z29" s="13">
        <f>IF(L29="","",L29/4)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3">
        <f>IF(COUNT(C30:L30)&lt;10,"",SUM(C30:L30))</f>
        <v/>
      </c>
      <c r="N30" s="13">
        <f>IF(COUNT(C30:L30)&lt;10,"",M30/61)</f>
        <v/>
      </c>
      <c r="O30" s="13">
        <f>IF(COUNT(C30:L30)&lt;10,"",IF(N30&gt;=0.8,"Green",IF(N30&gt;=0.5,"Yellow","Red")))</f>
        <v/>
      </c>
      <c r="P30" s="13">
        <f>IF(COUNT(C30:L30)&lt;10,"",IF(O30="Green","Well done! "&amp;Parameters!$C$484,"Revise: "&amp;_xlfn.TEXTJOIN(", ",TRUE(),IF(Q30&lt;1,Parameters!$A$469,""),IF(R30&lt;1,Parameters!$A$470,""),IF(S30&lt;1,Parameters!$A$471,""),IF(T30&lt;1,Parameters!$A$472,""),IF(U30&lt;1,Parameters!$A$473,""),IF(V30&lt;1,Parameters!$A$474,""),IF(W30&lt;1,Parameters!$A$475,""),IF(X30&lt;1,Parameters!$A$476,""),IF(Y30&lt;1,Parameters!$A$477,""),IF(Z30&lt;1,Parameters!$A$478,""))))</f>
        <v/>
      </c>
      <c r="Q30" s="13">
        <f>IF(C30="","",C30/2)</f>
        <v/>
      </c>
      <c r="R30" s="13">
        <f>IF(D30="","",D30/5)</f>
        <v/>
      </c>
      <c r="S30" s="13">
        <f>IF(E30="","",E30/5)</f>
        <v/>
      </c>
      <c r="T30" s="13">
        <f>IF(F30="","",F30/4)</f>
        <v/>
      </c>
      <c r="U30" s="13">
        <f>IF(G30="","",G30/4)</f>
        <v/>
      </c>
      <c r="V30" s="13">
        <f>IF(H30="","",H30/5)</f>
        <v/>
      </c>
      <c r="W30" s="13">
        <f>IF(I30="","",I30/11)</f>
        <v/>
      </c>
      <c r="X30" s="13">
        <f>IF(J30="","",J30/11)</f>
        <v/>
      </c>
      <c r="Y30" s="13">
        <f>IF(K30="","",K30/10)</f>
        <v/>
      </c>
      <c r="Z30" s="13">
        <f>IF(L30="","",L30/4)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3">
        <f>IF(COUNT(C31:L31)&lt;10,"",SUM(C31:L31))</f>
        <v/>
      </c>
      <c r="N31" s="13">
        <f>IF(COUNT(C31:L31)&lt;10,"",M31/61)</f>
        <v/>
      </c>
      <c r="O31" s="13">
        <f>IF(COUNT(C31:L31)&lt;10,"",IF(N31&gt;=0.8,"Green",IF(N31&gt;=0.5,"Yellow","Red")))</f>
        <v/>
      </c>
      <c r="P31" s="13">
        <f>IF(COUNT(C31:L31)&lt;10,"",IF(O31="Green","Well done! "&amp;Parameters!$C$484,"Revise: "&amp;_xlfn.TEXTJOIN(", ",TRUE(),IF(Q31&lt;1,Parameters!$A$469,""),IF(R31&lt;1,Parameters!$A$470,""),IF(S31&lt;1,Parameters!$A$471,""),IF(T31&lt;1,Parameters!$A$472,""),IF(U31&lt;1,Parameters!$A$473,""),IF(V31&lt;1,Parameters!$A$474,""),IF(W31&lt;1,Parameters!$A$475,""),IF(X31&lt;1,Parameters!$A$476,""),IF(Y31&lt;1,Parameters!$A$477,""),IF(Z31&lt;1,Parameters!$A$478,""))))</f>
        <v/>
      </c>
      <c r="Q31" s="13">
        <f>IF(C31="","",C31/2)</f>
        <v/>
      </c>
      <c r="R31" s="13">
        <f>IF(D31="","",D31/5)</f>
        <v/>
      </c>
      <c r="S31" s="13">
        <f>IF(E31="","",E31/5)</f>
        <v/>
      </c>
      <c r="T31" s="13">
        <f>IF(F31="","",F31/4)</f>
        <v/>
      </c>
      <c r="U31" s="13">
        <f>IF(G31="","",G31/4)</f>
        <v/>
      </c>
      <c r="V31" s="13">
        <f>IF(H31="","",H31/5)</f>
        <v/>
      </c>
      <c r="W31" s="13">
        <f>IF(I31="","",I31/11)</f>
        <v/>
      </c>
      <c r="X31" s="13">
        <f>IF(J31="","",J31/11)</f>
        <v/>
      </c>
      <c r="Y31" s="13">
        <f>IF(K31="","",K31/10)</f>
        <v/>
      </c>
      <c r="Z31" s="13">
        <f>IF(L31="","",L31/4)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3">
        <f>IF(COUNT(C32:L32)&lt;10,"",SUM(C32:L32))</f>
        <v/>
      </c>
      <c r="N32" s="13">
        <f>IF(COUNT(C32:L32)&lt;10,"",M32/61)</f>
        <v/>
      </c>
      <c r="O32" s="13">
        <f>IF(COUNT(C32:L32)&lt;10,"",IF(N32&gt;=0.8,"Green",IF(N32&gt;=0.5,"Yellow","Red")))</f>
        <v/>
      </c>
      <c r="P32" s="13">
        <f>IF(COUNT(C32:L32)&lt;10,"",IF(O32="Green","Well done! "&amp;Parameters!$C$484,"Revise: "&amp;_xlfn.TEXTJOIN(", ",TRUE(),IF(Q32&lt;1,Parameters!$A$469,""),IF(R32&lt;1,Parameters!$A$470,""),IF(S32&lt;1,Parameters!$A$471,""),IF(T32&lt;1,Parameters!$A$472,""),IF(U32&lt;1,Parameters!$A$473,""),IF(V32&lt;1,Parameters!$A$474,""),IF(W32&lt;1,Parameters!$A$475,""),IF(X32&lt;1,Parameters!$A$476,""),IF(Y32&lt;1,Parameters!$A$477,""),IF(Z32&lt;1,Parameters!$A$478,""))))</f>
        <v/>
      </c>
      <c r="Q32" s="13">
        <f>IF(C32="","",C32/2)</f>
        <v/>
      </c>
      <c r="R32" s="13">
        <f>IF(D32="","",D32/5)</f>
        <v/>
      </c>
      <c r="S32" s="13">
        <f>IF(E32="","",E32/5)</f>
        <v/>
      </c>
      <c r="T32" s="13">
        <f>IF(F32="","",F32/4)</f>
        <v/>
      </c>
      <c r="U32" s="13">
        <f>IF(G32="","",G32/4)</f>
        <v/>
      </c>
      <c r="V32" s="13">
        <f>IF(H32="","",H32/5)</f>
        <v/>
      </c>
      <c r="W32" s="13">
        <f>IF(I32="","",I32/11)</f>
        <v/>
      </c>
      <c r="X32" s="13">
        <f>IF(J32="","",J32/11)</f>
        <v/>
      </c>
      <c r="Y32" s="13">
        <f>IF(K32="","",K32/10)</f>
        <v/>
      </c>
      <c r="Z32" s="13">
        <f>IF(L32="","",L32/4)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3">
        <f>IF(COUNT(C33:L33)&lt;10,"",SUM(C33:L33))</f>
        <v/>
      </c>
      <c r="N33" s="13">
        <f>IF(COUNT(C33:L33)&lt;10,"",M33/61)</f>
        <v/>
      </c>
      <c r="O33" s="13">
        <f>IF(COUNT(C33:L33)&lt;10,"",IF(N33&gt;=0.8,"Green",IF(N33&gt;=0.5,"Yellow","Red")))</f>
        <v/>
      </c>
      <c r="P33" s="13">
        <f>IF(COUNT(C33:L33)&lt;10,"",IF(O33="Green","Well done! "&amp;Parameters!$C$484,"Revise: "&amp;_xlfn.TEXTJOIN(", ",TRUE(),IF(Q33&lt;1,Parameters!$A$469,""),IF(R33&lt;1,Parameters!$A$470,""),IF(S33&lt;1,Parameters!$A$471,""),IF(T33&lt;1,Parameters!$A$472,""),IF(U33&lt;1,Parameters!$A$473,""),IF(V33&lt;1,Parameters!$A$474,""),IF(W33&lt;1,Parameters!$A$475,""),IF(X33&lt;1,Parameters!$A$476,""),IF(Y33&lt;1,Parameters!$A$477,""),IF(Z33&lt;1,Parameters!$A$478,""))))</f>
        <v/>
      </c>
      <c r="Q33" s="13">
        <f>IF(C33="","",C33/2)</f>
        <v/>
      </c>
      <c r="R33" s="13">
        <f>IF(D33="","",D33/5)</f>
        <v/>
      </c>
      <c r="S33" s="13">
        <f>IF(E33="","",E33/5)</f>
        <v/>
      </c>
      <c r="T33" s="13">
        <f>IF(F33="","",F33/4)</f>
        <v/>
      </c>
      <c r="U33" s="13">
        <f>IF(G33="","",G33/4)</f>
        <v/>
      </c>
      <c r="V33" s="13">
        <f>IF(H33="","",H33/5)</f>
        <v/>
      </c>
      <c r="W33" s="13">
        <f>IF(I33="","",I33/11)</f>
        <v/>
      </c>
      <c r="X33" s="13">
        <f>IF(J33="","",J33/11)</f>
        <v/>
      </c>
      <c r="Y33" s="13">
        <f>IF(K33="","",K33/10)</f>
        <v/>
      </c>
      <c r="Z33" s="13">
        <f>IF(L33="","",L33/4)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3">
        <f>IF(COUNT(C34:L34)&lt;10,"",SUM(C34:L34))</f>
        <v/>
      </c>
      <c r="N34" s="13">
        <f>IF(COUNT(C34:L34)&lt;10,"",M34/61)</f>
        <v/>
      </c>
      <c r="O34" s="13">
        <f>IF(COUNT(C34:L34)&lt;10,"",IF(N34&gt;=0.8,"Green",IF(N34&gt;=0.5,"Yellow","Red")))</f>
        <v/>
      </c>
      <c r="P34" s="13">
        <f>IF(COUNT(C34:L34)&lt;10,"",IF(O34="Green","Well done! "&amp;Parameters!$C$484,"Revise: "&amp;_xlfn.TEXTJOIN(", ",TRUE(),IF(Q34&lt;1,Parameters!$A$469,""),IF(R34&lt;1,Parameters!$A$470,""),IF(S34&lt;1,Parameters!$A$471,""),IF(T34&lt;1,Parameters!$A$472,""),IF(U34&lt;1,Parameters!$A$473,""),IF(V34&lt;1,Parameters!$A$474,""),IF(W34&lt;1,Parameters!$A$475,""),IF(X34&lt;1,Parameters!$A$476,""),IF(Y34&lt;1,Parameters!$A$477,""),IF(Z34&lt;1,Parameters!$A$478,""))))</f>
        <v/>
      </c>
      <c r="Q34" s="13">
        <f>IF(C34="","",C34/2)</f>
        <v/>
      </c>
      <c r="R34" s="13">
        <f>IF(D34="","",D34/5)</f>
        <v/>
      </c>
      <c r="S34" s="13">
        <f>IF(E34="","",E34/5)</f>
        <v/>
      </c>
      <c r="T34" s="13">
        <f>IF(F34="","",F34/4)</f>
        <v/>
      </c>
      <c r="U34" s="13">
        <f>IF(G34="","",G34/4)</f>
        <v/>
      </c>
      <c r="V34" s="13">
        <f>IF(H34="","",H34/5)</f>
        <v/>
      </c>
      <c r="W34" s="13">
        <f>IF(I34="","",I34/11)</f>
        <v/>
      </c>
      <c r="X34" s="13">
        <f>IF(J34="","",J34/11)</f>
        <v/>
      </c>
      <c r="Y34" s="13">
        <f>IF(K34="","",K34/10)</f>
        <v/>
      </c>
      <c r="Z34" s="13">
        <f>IF(L34="","",L34/4)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3">
        <f>IF(COUNT(C35:L35)&lt;10,"",SUM(C35:L35))</f>
        <v/>
      </c>
      <c r="N35" s="13">
        <f>IF(COUNT(C35:L35)&lt;10,"",M35/61)</f>
        <v/>
      </c>
      <c r="O35" s="13">
        <f>IF(COUNT(C35:L35)&lt;10,"",IF(N35&gt;=0.8,"Green",IF(N35&gt;=0.5,"Yellow","Red")))</f>
        <v/>
      </c>
      <c r="P35" s="13">
        <f>IF(COUNT(C35:L35)&lt;10,"",IF(O35="Green","Well done! "&amp;Parameters!$C$484,"Revise: "&amp;_xlfn.TEXTJOIN(", ",TRUE(),IF(Q35&lt;1,Parameters!$A$469,""),IF(R35&lt;1,Parameters!$A$470,""),IF(S35&lt;1,Parameters!$A$471,""),IF(T35&lt;1,Parameters!$A$472,""),IF(U35&lt;1,Parameters!$A$473,""),IF(V35&lt;1,Parameters!$A$474,""),IF(W35&lt;1,Parameters!$A$475,""),IF(X35&lt;1,Parameters!$A$476,""),IF(Y35&lt;1,Parameters!$A$477,""),IF(Z35&lt;1,Parameters!$A$478,""))))</f>
        <v/>
      </c>
      <c r="Q35" s="13">
        <f>IF(C35="","",C35/2)</f>
        <v/>
      </c>
      <c r="R35" s="13">
        <f>IF(D35="","",D35/5)</f>
        <v/>
      </c>
      <c r="S35" s="13">
        <f>IF(E35="","",E35/5)</f>
        <v/>
      </c>
      <c r="T35" s="13">
        <f>IF(F35="","",F35/4)</f>
        <v/>
      </c>
      <c r="U35" s="13">
        <f>IF(G35="","",G35/4)</f>
        <v/>
      </c>
      <c r="V35" s="13">
        <f>IF(H35="","",H35/5)</f>
        <v/>
      </c>
      <c r="W35" s="13">
        <f>IF(I35="","",I35/11)</f>
        <v/>
      </c>
      <c r="X35" s="13">
        <f>IF(J35="","",J35/11)</f>
        <v/>
      </c>
      <c r="Y35" s="13">
        <f>IF(K35="","",K35/10)</f>
        <v/>
      </c>
      <c r="Z35" s="13">
        <f>IF(L35="","",L35/4)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3">
        <f>IF(COUNT(C36:L36)&lt;10,"",SUM(C36:L36))</f>
        <v/>
      </c>
      <c r="N36" s="13">
        <f>IF(COUNT(C36:L36)&lt;10,"",M36/61)</f>
        <v/>
      </c>
      <c r="O36" s="13">
        <f>IF(COUNT(C36:L36)&lt;10,"",IF(N36&gt;=0.8,"Green",IF(N36&gt;=0.5,"Yellow","Red")))</f>
        <v/>
      </c>
      <c r="P36" s="13">
        <f>IF(COUNT(C36:L36)&lt;10,"",IF(O36="Green","Well done! "&amp;Parameters!$C$484,"Revise: "&amp;_xlfn.TEXTJOIN(", ",TRUE(),IF(Q36&lt;1,Parameters!$A$469,""),IF(R36&lt;1,Parameters!$A$470,""),IF(S36&lt;1,Parameters!$A$471,""),IF(T36&lt;1,Parameters!$A$472,""),IF(U36&lt;1,Parameters!$A$473,""),IF(V36&lt;1,Parameters!$A$474,""),IF(W36&lt;1,Parameters!$A$475,""),IF(X36&lt;1,Parameters!$A$476,""),IF(Y36&lt;1,Parameters!$A$477,""),IF(Z36&lt;1,Parameters!$A$478,""))))</f>
        <v/>
      </c>
      <c r="Q36" s="13">
        <f>IF(C36="","",C36/2)</f>
        <v/>
      </c>
      <c r="R36" s="13">
        <f>IF(D36="","",D36/5)</f>
        <v/>
      </c>
      <c r="S36" s="13">
        <f>IF(E36="","",E36/5)</f>
        <v/>
      </c>
      <c r="T36" s="13">
        <f>IF(F36="","",F36/4)</f>
        <v/>
      </c>
      <c r="U36" s="13">
        <f>IF(G36="","",G36/4)</f>
        <v/>
      </c>
      <c r="V36" s="13">
        <f>IF(H36="","",H36/5)</f>
        <v/>
      </c>
      <c r="W36" s="13">
        <f>IF(I36="","",I36/11)</f>
        <v/>
      </c>
      <c r="X36" s="13">
        <f>IF(J36="","",J36/11)</f>
        <v/>
      </c>
      <c r="Y36" s="13">
        <f>IF(K36="","",K36/10)</f>
        <v/>
      </c>
      <c r="Z36" s="13">
        <f>IF(L36="","",L36/4)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3">
        <f>IF(COUNT(C37:L37)&lt;10,"",SUM(C37:L37))</f>
        <v/>
      </c>
      <c r="N37" s="13">
        <f>IF(COUNT(C37:L37)&lt;10,"",M37/61)</f>
        <v/>
      </c>
      <c r="O37" s="13">
        <f>IF(COUNT(C37:L37)&lt;10,"",IF(N37&gt;=0.8,"Green",IF(N37&gt;=0.5,"Yellow","Red")))</f>
        <v/>
      </c>
      <c r="P37" s="13">
        <f>IF(COUNT(C37:L37)&lt;10,"",IF(O37="Green","Well done! "&amp;Parameters!$C$484,"Revise: "&amp;_xlfn.TEXTJOIN(", ",TRUE(),IF(Q37&lt;1,Parameters!$A$469,""),IF(R37&lt;1,Parameters!$A$470,""),IF(S37&lt;1,Parameters!$A$471,""),IF(T37&lt;1,Parameters!$A$472,""),IF(U37&lt;1,Parameters!$A$473,""),IF(V37&lt;1,Parameters!$A$474,""),IF(W37&lt;1,Parameters!$A$475,""),IF(X37&lt;1,Parameters!$A$476,""),IF(Y37&lt;1,Parameters!$A$477,""),IF(Z37&lt;1,Parameters!$A$478,""))))</f>
        <v/>
      </c>
      <c r="Q37" s="13">
        <f>IF(C37="","",C37/2)</f>
        <v/>
      </c>
      <c r="R37" s="13">
        <f>IF(D37="","",D37/5)</f>
        <v/>
      </c>
      <c r="S37" s="13">
        <f>IF(E37="","",E37/5)</f>
        <v/>
      </c>
      <c r="T37" s="13">
        <f>IF(F37="","",F37/4)</f>
        <v/>
      </c>
      <c r="U37" s="13">
        <f>IF(G37="","",G37/4)</f>
        <v/>
      </c>
      <c r="V37" s="13">
        <f>IF(H37="","",H37/5)</f>
        <v/>
      </c>
      <c r="W37" s="13">
        <f>IF(I37="","",I37/11)</f>
        <v/>
      </c>
      <c r="X37" s="13">
        <f>IF(J37="","",J37/11)</f>
        <v/>
      </c>
      <c r="Y37" s="13">
        <f>IF(K37="","",K37/10)</f>
        <v/>
      </c>
      <c r="Z37" s="13">
        <f>IF(L37="","",L37/4)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3">
        <f>IF(COUNT(C38:L38)&lt;10,"",SUM(C38:L38))</f>
        <v/>
      </c>
      <c r="N38" s="13">
        <f>IF(COUNT(C38:L38)&lt;10,"",M38/61)</f>
        <v/>
      </c>
      <c r="O38" s="13">
        <f>IF(COUNT(C38:L38)&lt;10,"",IF(N38&gt;=0.8,"Green",IF(N38&gt;=0.5,"Yellow","Red")))</f>
        <v/>
      </c>
      <c r="P38" s="13">
        <f>IF(COUNT(C38:L38)&lt;10,"",IF(O38="Green","Well done! "&amp;Parameters!$C$484,"Revise: "&amp;_xlfn.TEXTJOIN(", ",TRUE(),IF(Q38&lt;1,Parameters!$A$469,""),IF(R38&lt;1,Parameters!$A$470,""),IF(S38&lt;1,Parameters!$A$471,""),IF(T38&lt;1,Parameters!$A$472,""),IF(U38&lt;1,Parameters!$A$473,""),IF(V38&lt;1,Parameters!$A$474,""),IF(W38&lt;1,Parameters!$A$475,""),IF(X38&lt;1,Parameters!$A$476,""),IF(Y38&lt;1,Parameters!$A$477,""),IF(Z38&lt;1,Parameters!$A$478,""))))</f>
        <v/>
      </c>
      <c r="Q38" s="13">
        <f>IF(C38="","",C38/2)</f>
        <v/>
      </c>
      <c r="R38" s="13">
        <f>IF(D38="","",D38/5)</f>
        <v/>
      </c>
      <c r="S38" s="13">
        <f>IF(E38="","",E38/5)</f>
        <v/>
      </c>
      <c r="T38" s="13">
        <f>IF(F38="","",F38/4)</f>
        <v/>
      </c>
      <c r="U38" s="13">
        <f>IF(G38="","",G38/4)</f>
        <v/>
      </c>
      <c r="V38" s="13">
        <f>IF(H38="","",H38/5)</f>
        <v/>
      </c>
      <c r="W38" s="13">
        <f>IF(I38="","",I38/11)</f>
        <v/>
      </c>
      <c r="X38" s="13">
        <f>IF(J38="","",J38/11)</f>
        <v/>
      </c>
      <c r="Y38" s="13">
        <f>IF(K38="","",K38/10)</f>
        <v/>
      </c>
      <c r="Z38" s="13">
        <f>IF(L38="","",L38/4)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3">
        <f>IF(COUNT(C39:L39)&lt;10,"",SUM(C39:L39))</f>
        <v/>
      </c>
      <c r="N39" s="13">
        <f>IF(COUNT(C39:L39)&lt;10,"",M39/61)</f>
        <v/>
      </c>
      <c r="O39" s="13">
        <f>IF(COUNT(C39:L39)&lt;10,"",IF(N39&gt;=0.8,"Green",IF(N39&gt;=0.5,"Yellow","Red")))</f>
        <v/>
      </c>
      <c r="P39" s="13">
        <f>IF(COUNT(C39:L39)&lt;10,"",IF(O39="Green","Well done! "&amp;Parameters!$C$484,"Revise: "&amp;_xlfn.TEXTJOIN(", ",TRUE(),IF(Q39&lt;1,Parameters!$A$469,""),IF(R39&lt;1,Parameters!$A$470,""),IF(S39&lt;1,Parameters!$A$471,""),IF(T39&lt;1,Parameters!$A$472,""),IF(U39&lt;1,Parameters!$A$473,""),IF(V39&lt;1,Parameters!$A$474,""),IF(W39&lt;1,Parameters!$A$475,""),IF(X39&lt;1,Parameters!$A$476,""),IF(Y39&lt;1,Parameters!$A$477,""),IF(Z39&lt;1,Parameters!$A$478,""))))</f>
        <v/>
      </c>
      <c r="Q39" s="13">
        <f>IF(C39="","",C39/2)</f>
        <v/>
      </c>
      <c r="R39" s="13">
        <f>IF(D39="","",D39/5)</f>
        <v/>
      </c>
      <c r="S39" s="13">
        <f>IF(E39="","",E39/5)</f>
        <v/>
      </c>
      <c r="T39" s="13">
        <f>IF(F39="","",F39/4)</f>
        <v/>
      </c>
      <c r="U39" s="13">
        <f>IF(G39="","",G39/4)</f>
        <v/>
      </c>
      <c r="V39" s="13">
        <f>IF(H39="","",H39/5)</f>
        <v/>
      </c>
      <c r="W39" s="13">
        <f>IF(I39="","",I39/11)</f>
        <v/>
      </c>
      <c r="X39" s="13">
        <f>IF(J39="","",J39/11)</f>
        <v/>
      </c>
      <c r="Y39" s="13">
        <f>IF(K39="","",K39/10)</f>
        <v/>
      </c>
      <c r="Z39" s="13">
        <f>IF(L39="","",L39/4)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3">
        <f>IF(COUNT(C40:L40)&lt;10,"",SUM(C40:L40))</f>
        <v/>
      </c>
      <c r="N40" s="13">
        <f>IF(COUNT(C40:L40)&lt;10,"",M40/61)</f>
        <v/>
      </c>
      <c r="O40" s="13">
        <f>IF(COUNT(C40:L40)&lt;10,"",IF(N40&gt;=0.8,"Green",IF(N40&gt;=0.5,"Yellow","Red")))</f>
        <v/>
      </c>
      <c r="P40" s="13">
        <f>IF(COUNT(C40:L40)&lt;10,"",IF(O40="Green","Well done! "&amp;Parameters!$C$484,"Revise: "&amp;_xlfn.TEXTJOIN(", ",TRUE(),IF(Q40&lt;1,Parameters!$A$469,""),IF(R40&lt;1,Parameters!$A$470,""),IF(S40&lt;1,Parameters!$A$471,""),IF(T40&lt;1,Parameters!$A$472,""),IF(U40&lt;1,Parameters!$A$473,""),IF(V40&lt;1,Parameters!$A$474,""),IF(W40&lt;1,Parameters!$A$475,""),IF(X40&lt;1,Parameters!$A$476,""),IF(Y40&lt;1,Parameters!$A$477,""),IF(Z40&lt;1,Parameters!$A$478,""))))</f>
        <v/>
      </c>
      <c r="Q40" s="13">
        <f>IF(C40="","",C40/2)</f>
        <v/>
      </c>
      <c r="R40" s="13">
        <f>IF(D40="","",D40/5)</f>
        <v/>
      </c>
      <c r="S40" s="13">
        <f>IF(E40="","",E40/5)</f>
        <v/>
      </c>
      <c r="T40" s="13">
        <f>IF(F40="","",F40/4)</f>
        <v/>
      </c>
      <c r="U40" s="13">
        <f>IF(G40="","",G40/4)</f>
        <v/>
      </c>
      <c r="V40" s="13">
        <f>IF(H40="","",H40/5)</f>
        <v/>
      </c>
      <c r="W40" s="13">
        <f>IF(I40="","",I40/11)</f>
        <v/>
      </c>
      <c r="X40" s="13">
        <f>IF(J40="","",J40/11)</f>
        <v/>
      </c>
      <c r="Y40" s="13">
        <f>IF(K40="","",K40/10)</f>
        <v/>
      </c>
      <c r="Z40" s="13">
        <f>IF(L40="","",L40/4)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3">
        <f>IF(COUNT(C41:L41)&lt;10,"",SUM(C41:L41))</f>
        <v/>
      </c>
      <c r="N41" s="13">
        <f>IF(COUNT(C41:L41)&lt;10,"",M41/61)</f>
        <v/>
      </c>
      <c r="O41" s="13">
        <f>IF(COUNT(C41:L41)&lt;10,"",IF(N41&gt;=0.8,"Green",IF(N41&gt;=0.5,"Yellow","Red")))</f>
        <v/>
      </c>
      <c r="P41" s="13">
        <f>IF(COUNT(C41:L41)&lt;10,"",IF(O41="Green","Well done! "&amp;Parameters!$C$484,"Revise: "&amp;_xlfn.TEXTJOIN(", ",TRUE(),IF(Q41&lt;1,Parameters!$A$469,""),IF(R41&lt;1,Parameters!$A$470,""),IF(S41&lt;1,Parameters!$A$471,""),IF(T41&lt;1,Parameters!$A$472,""),IF(U41&lt;1,Parameters!$A$473,""),IF(V41&lt;1,Parameters!$A$474,""),IF(W41&lt;1,Parameters!$A$475,""),IF(X41&lt;1,Parameters!$A$476,""),IF(Y41&lt;1,Parameters!$A$477,""),IF(Z41&lt;1,Parameters!$A$478,""))))</f>
        <v/>
      </c>
      <c r="Q41" s="13">
        <f>IF(C41="","",C41/2)</f>
        <v/>
      </c>
      <c r="R41" s="13">
        <f>IF(D41="","",D41/5)</f>
        <v/>
      </c>
      <c r="S41" s="13">
        <f>IF(E41="","",E41/5)</f>
        <v/>
      </c>
      <c r="T41" s="13">
        <f>IF(F41="","",F41/4)</f>
        <v/>
      </c>
      <c r="U41" s="13">
        <f>IF(G41="","",G41/4)</f>
        <v/>
      </c>
      <c r="V41" s="13">
        <f>IF(H41="","",H41/5)</f>
        <v/>
      </c>
      <c r="W41" s="13">
        <f>IF(I41="","",I41/11)</f>
        <v/>
      </c>
      <c r="X41" s="13">
        <f>IF(J41="","",J41/11)</f>
        <v/>
      </c>
      <c r="Y41" s="13">
        <f>IF(K41="","",K41/10)</f>
        <v/>
      </c>
      <c r="Z41" s="13">
        <f>IF(L41="","",L41/4)</f>
        <v/>
      </c>
    </row>
  </sheetData>
  <conditionalFormatting sqref="C11">
    <cfRule type="expression" priority="1" dxfId="0">
      <formula>AND(COUNT(C11:L11)=10,C11=2)</formula>
    </cfRule>
    <cfRule type="expression" priority="2" dxfId="1">
      <formula>AND(COUNT(C11:L11)=10,C11&lt;2*0.4)</formula>
    </cfRule>
    <cfRule type="expression" priority="3" dxfId="2">
      <formula>AND(COUNT(C11:L11)=10,C11&gt;=2*0.4,C11&lt;2)</formula>
    </cfRule>
  </conditionalFormatting>
  <conditionalFormatting sqref="C12">
    <cfRule type="expression" priority="4" dxfId="0">
      <formula>AND(COUNT(C12:L12)=10,C12=2)</formula>
    </cfRule>
    <cfRule type="expression" priority="5" dxfId="1">
      <formula>AND(COUNT(C12:L12)=10,C12&lt;2*0.4)</formula>
    </cfRule>
    <cfRule type="expression" priority="6" dxfId="2">
      <formula>AND(COUNT(C12:L12)=10,C12&gt;=2*0.4,C12&lt;2)</formula>
    </cfRule>
  </conditionalFormatting>
  <conditionalFormatting sqref="C13">
    <cfRule type="expression" priority="7" dxfId="0">
      <formula>AND(COUNT(C13:L13)=10,C13=2)</formula>
    </cfRule>
    <cfRule type="expression" priority="8" dxfId="1">
      <formula>AND(COUNT(C13:L13)=10,C13&lt;2*0.4)</formula>
    </cfRule>
    <cfRule type="expression" priority="9" dxfId="2">
      <formula>AND(COUNT(C13:L13)=10,C13&gt;=2*0.4,C13&lt;2)</formula>
    </cfRule>
  </conditionalFormatting>
  <conditionalFormatting sqref="C14">
    <cfRule type="expression" priority="10" dxfId="0">
      <formula>AND(COUNT(C14:L14)=10,C14=2)</formula>
    </cfRule>
    <cfRule type="expression" priority="11" dxfId="1">
      <formula>AND(COUNT(C14:L14)=10,C14&lt;2*0.4)</formula>
    </cfRule>
    <cfRule type="expression" priority="12" dxfId="2">
      <formula>AND(COUNT(C14:L14)=10,C14&gt;=2*0.4,C14&lt;2)</formula>
    </cfRule>
  </conditionalFormatting>
  <conditionalFormatting sqref="C15">
    <cfRule type="expression" priority="13" dxfId="0">
      <formula>AND(COUNT(C15:L15)=10,C15=2)</formula>
    </cfRule>
    <cfRule type="expression" priority="14" dxfId="1">
      <formula>AND(COUNT(C15:L15)=10,C15&lt;2*0.4)</formula>
    </cfRule>
    <cfRule type="expression" priority="15" dxfId="2">
      <formula>AND(COUNT(C15:L15)=10,C15&gt;=2*0.4,C15&lt;2)</formula>
    </cfRule>
  </conditionalFormatting>
  <conditionalFormatting sqref="C16">
    <cfRule type="expression" priority="16" dxfId="0">
      <formula>AND(COUNT(C16:L16)=10,C16=2)</formula>
    </cfRule>
    <cfRule type="expression" priority="17" dxfId="1">
      <formula>AND(COUNT(C16:L16)=10,C16&lt;2*0.4)</formula>
    </cfRule>
    <cfRule type="expression" priority="18" dxfId="2">
      <formula>AND(COUNT(C16:L16)=10,C16&gt;=2*0.4,C16&lt;2)</formula>
    </cfRule>
  </conditionalFormatting>
  <conditionalFormatting sqref="C17">
    <cfRule type="expression" priority="19" dxfId="0">
      <formula>AND(COUNT(C17:L17)=10,C17=2)</formula>
    </cfRule>
    <cfRule type="expression" priority="20" dxfId="1">
      <formula>AND(COUNT(C17:L17)=10,C17&lt;2*0.4)</formula>
    </cfRule>
    <cfRule type="expression" priority="21" dxfId="2">
      <formula>AND(COUNT(C17:L17)=10,C17&gt;=2*0.4,C17&lt;2)</formula>
    </cfRule>
  </conditionalFormatting>
  <conditionalFormatting sqref="C18">
    <cfRule type="expression" priority="22" dxfId="0">
      <formula>AND(COUNT(C18:L18)=10,C18=2)</formula>
    </cfRule>
    <cfRule type="expression" priority="23" dxfId="1">
      <formula>AND(COUNT(C18:L18)=10,C18&lt;2*0.4)</formula>
    </cfRule>
    <cfRule type="expression" priority="24" dxfId="2">
      <formula>AND(COUNT(C18:L18)=10,C18&gt;=2*0.4,C18&lt;2)</formula>
    </cfRule>
  </conditionalFormatting>
  <conditionalFormatting sqref="C19">
    <cfRule type="expression" priority="25" dxfId="0">
      <formula>AND(COUNT(C19:L19)=10,C19=2)</formula>
    </cfRule>
    <cfRule type="expression" priority="26" dxfId="1">
      <formula>AND(COUNT(C19:L19)=10,C19&lt;2*0.4)</formula>
    </cfRule>
    <cfRule type="expression" priority="27" dxfId="2">
      <formula>AND(COUNT(C19:L19)=10,C19&gt;=2*0.4,C19&lt;2)</formula>
    </cfRule>
  </conditionalFormatting>
  <conditionalFormatting sqref="C20">
    <cfRule type="expression" priority="28" dxfId="0">
      <formula>AND(COUNT(C20:L20)=10,C20=2)</formula>
    </cfRule>
    <cfRule type="expression" priority="29" dxfId="1">
      <formula>AND(COUNT(C20:L20)=10,C20&lt;2*0.4)</formula>
    </cfRule>
    <cfRule type="expression" priority="30" dxfId="2">
      <formula>AND(COUNT(C20:L20)=10,C20&gt;=2*0.4,C20&lt;2)</formula>
    </cfRule>
  </conditionalFormatting>
  <conditionalFormatting sqref="C21">
    <cfRule type="expression" priority="31" dxfId="0">
      <formula>AND(COUNT(C21:L21)=10,C21=2)</formula>
    </cfRule>
    <cfRule type="expression" priority="32" dxfId="1">
      <formula>AND(COUNT(C21:L21)=10,C21&lt;2*0.4)</formula>
    </cfRule>
    <cfRule type="expression" priority="33" dxfId="2">
      <formula>AND(COUNT(C21:L21)=10,C21&gt;=2*0.4,C21&lt;2)</formula>
    </cfRule>
  </conditionalFormatting>
  <conditionalFormatting sqref="C22">
    <cfRule type="expression" priority="34" dxfId="0">
      <formula>AND(COUNT(C22:L22)=10,C22=2)</formula>
    </cfRule>
    <cfRule type="expression" priority="35" dxfId="1">
      <formula>AND(COUNT(C22:L22)=10,C22&lt;2*0.4)</formula>
    </cfRule>
    <cfRule type="expression" priority="36" dxfId="2">
      <formula>AND(COUNT(C22:L22)=10,C22&gt;=2*0.4,C22&lt;2)</formula>
    </cfRule>
  </conditionalFormatting>
  <conditionalFormatting sqref="C23">
    <cfRule type="expression" priority="37" dxfId="0">
      <formula>AND(COUNT(C23:L23)=10,C23=2)</formula>
    </cfRule>
    <cfRule type="expression" priority="38" dxfId="1">
      <formula>AND(COUNT(C23:L23)=10,C23&lt;2*0.4)</formula>
    </cfRule>
    <cfRule type="expression" priority="39" dxfId="2">
      <formula>AND(COUNT(C23:L23)=10,C23&gt;=2*0.4,C23&lt;2)</formula>
    </cfRule>
  </conditionalFormatting>
  <conditionalFormatting sqref="C24">
    <cfRule type="expression" priority="40" dxfId="0">
      <formula>AND(COUNT(C24:L24)=10,C24=2)</formula>
    </cfRule>
    <cfRule type="expression" priority="41" dxfId="1">
      <formula>AND(COUNT(C24:L24)=10,C24&lt;2*0.4)</formula>
    </cfRule>
    <cfRule type="expression" priority="42" dxfId="2">
      <formula>AND(COUNT(C24:L24)=10,C24&gt;=2*0.4,C24&lt;2)</formula>
    </cfRule>
  </conditionalFormatting>
  <conditionalFormatting sqref="C25">
    <cfRule type="expression" priority="43" dxfId="0">
      <formula>AND(COUNT(C25:L25)=10,C25=2)</formula>
    </cfRule>
    <cfRule type="expression" priority="44" dxfId="1">
      <formula>AND(COUNT(C25:L25)=10,C25&lt;2*0.4)</formula>
    </cfRule>
    <cfRule type="expression" priority="45" dxfId="2">
      <formula>AND(COUNT(C25:L25)=10,C25&gt;=2*0.4,C25&lt;2)</formula>
    </cfRule>
  </conditionalFormatting>
  <conditionalFormatting sqref="C26">
    <cfRule type="expression" priority="46" dxfId="0">
      <formula>AND(COUNT(C26:L26)=10,C26=2)</formula>
    </cfRule>
    <cfRule type="expression" priority="47" dxfId="1">
      <formula>AND(COUNT(C26:L26)=10,C26&lt;2*0.4)</formula>
    </cfRule>
    <cfRule type="expression" priority="48" dxfId="2">
      <formula>AND(COUNT(C26:L26)=10,C26&gt;=2*0.4,C26&lt;2)</formula>
    </cfRule>
  </conditionalFormatting>
  <conditionalFormatting sqref="C27">
    <cfRule type="expression" priority="49" dxfId="0">
      <formula>AND(COUNT(C27:L27)=10,C27=2)</formula>
    </cfRule>
    <cfRule type="expression" priority="50" dxfId="1">
      <formula>AND(COUNT(C27:L27)=10,C27&lt;2*0.4)</formula>
    </cfRule>
    <cfRule type="expression" priority="51" dxfId="2">
      <formula>AND(COUNT(C27:L27)=10,C27&gt;=2*0.4,C27&lt;2)</formula>
    </cfRule>
  </conditionalFormatting>
  <conditionalFormatting sqref="C28">
    <cfRule type="expression" priority="52" dxfId="0">
      <formula>AND(COUNT(C28:L28)=10,C28=2)</formula>
    </cfRule>
    <cfRule type="expression" priority="53" dxfId="1">
      <formula>AND(COUNT(C28:L28)=10,C28&lt;2*0.4)</formula>
    </cfRule>
    <cfRule type="expression" priority="54" dxfId="2">
      <formula>AND(COUNT(C28:L28)=10,C28&gt;=2*0.4,C28&lt;2)</formula>
    </cfRule>
  </conditionalFormatting>
  <conditionalFormatting sqref="C29">
    <cfRule type="expression" priority="55" dxfId="0">
      <formula>AND(COUNT(C29:L29)=10,C29=2)</formula>
    </cfRule>
    <cfRule type="expression" priority="56" dxfId="1">
      <formula>AND(COUNT(C29:L29)=10,C29&lt;2*0.4)</formula>
    </cfRule>
    <cfRule type="expression" priority="57" dxfId="2">
      <formula>AND(COUNT(C29:L29)=10,C29&gt;=2*0.4,C29&lt;2)</formula>
    </cfRule>
  </conditionalFormatting>
  <conditionalFormatting sqref="C30">
    <cfRule type="expression" priority="58" dxfId="0">
      <formula>AND(COUNT(C30:L30)=10,C30=2)</formula>
    </cfRule>
    <cfRule type="expression" priority="59" dxfId="1">
      <formula>AND(COUNT(C30:L30)=10,C30&lt;2*0.4)</formula>
    </cfRule>
    <cfRule type="expression" priority="60" dxfId="2">
      <formula>AND(COUNT(C30:L30)=10,C30&gt;=2*0.4,C30&lt;2)</formula>
    </cfRule>
  </conditionalFormatting>
  <conditionalFormatting sqref="C31">
    <cfRule type="expression" priority="61" dxfId="0">
      <formula>AND(COUNT(C31:L31)=10,C31=2)</formula>
    </cfRule>
    <cfRule type="expression" priority="62" dxfId="1">
      <formula>AND(COUNT(C31:L31)=10,C31&lt;2*0.4)</formula>
    </cfRule>
    <cfRule type="expression" priority="63" dxfId="2">
      <formula>AND(COUNT(C31:L31)=10,C31&gt;=2*0.4,C31&lt;2)</formula>
    </cfRule>
  </conditionalFormatting>
  <conditionalFormatting sqref="C32">
    <cfRule type="expression" priority="64" dxfId="0">
      <formula>AND(COUNT(C32:L32)=10,C32=2)</formula>
    </cfRule>
    <cfRule type="expression" priority="65" dxfId="1">
      <formula>AND(COUNT(C32:L32)=10,C32&lt;2*0.4)</formula>
    </cfRule>
    <cfRule type="expression" priority="66" dxfId="2">
      <formula>AND(COUNT(C32:L32)=10,C32&gt;=2*0.4,C32&lt;2)</formula>
    </cfRule>
  </conditionalFormatting>
  <conditionalFormatting sqref="C33">
    <cfRule type="expression" priority="67" dxfId="0">
      <formula>AND(COUNT(C33:L33)=10,C33=2)</formula>
    </cfRule>
    <cfRule type="expression" priority="68" dxfId="1">
      <formula>AND(COUNT(C33:L33)=10,C33&lt;2*0.4)</formula>
    </cfRule>
    <cfRule type="expression" priority="69" dxfId="2">
      <formula>AND(COUNT(C33:L33)=10,C33&gt;=2*0.4,C33&lt;2)</formula>
    </cfRule>
  </conditionalFormatting>
  <conditionalFormatting sqref="C34">
    <cfRule type="expression" priority="70" dxfId="0">
      <formula>AND(COUNT(C34:L34)=10,C34=2)</formula>
    </cfRule>
    <cfRule type="expression" priority="71" dxfId="1">
      <formula>AND(COUNT(C34:L34)=10,C34&lt;2*0.4)</formula>
    </cfRule>
    <cfRule type="expression" priority="72" dxfId="2">
      <formula>AND(COUNT(C34:L34)=10,C34&gt;=2*0.4,C34&lt;2)</formula>
    </cfRule>
  </conditionalFormatting>
  <conditionalFormatting sqref="C35">
    <cfRule type="expression" priority="73" dxfId="0">
      <formula>AND(COUNT(C35:L35)=10,C35=2)</formula>
    </cfRule>
    <cfRule type="expression" priority="74" dxfId="1">
      <formula>AND(COUNT(C35:L35)=10,C35&lt;2*0.4)</formula>
    </cfRule>
    <cfRule type="expression" priority="75" dxfId="2">
      <formula>AND(COUNT(C35:L35)=10,C35&gt;=2*0.4,C35&lt;2)</formula>
    </cfRule>
  </conditionalFormatting>
  <conditionalFormatting sqref="C36">
    <cfRule type="expression" priority="76" dxfId="0">
      <formula>AND(COUNT(C36:L36)=10,C36=2)</formula>
    </cfRule>
    <cfRule type="expression" priority="77" dxfId="1">
      <formula>AND(COUNT(C36:L36)=10,C36&lt;2*0.4)</formula>
    </cfRule>
    <cfRule type="expression" priority="78" dxfId="2">
      <formula>AND(COUNT(C36:L36)=10,C36&gt;=2*0.4,C36&lt;2)</formula>
    </cfRule>
  </conditionalFormatting>
  <conditionalFormatting sqref="C37">
    <cfRule type="expression" priority="79" dxfId="0">
      <formula>AND(COUNT(C37:L37)=10,C37=2)</formula>
    </cfRule>
    <cfRule type="expression" priority="80" dxfId="1">
      <formula>AND(COUNT(C37:L37)=10,C37&lt;2*0.4)</formula>
    </cfRule>
    <cfRule type="expression" priority="81" dxfId="2">
      <formula>AND(COUNT(C37:L37)=10,C37&gt;=2*0.4,C37&lt;2)</formula>
    </cfRule>
  </conditionalFormatting>
  <conditionalFormatting sqref="C38">
    <cfRule type="expression" priority="82" dxfId="0">
      <formula>AND(COUNT(C38:L38)=10,C38=2)</formula>
    </cfRule>
    <cfRule type="expression" priority="83" dxfId="1">
      <formula>AND(COUNT(C38:L38)=10,C38&lt;2*0.4)</formula>
    </cfRule>
    <cfRule type="expression" priority="84" dxfId="2">
      <formula>AND(COUNT(C38:L38)=10,C38&gt;=2*0.4,C38&lt;2)</formula>
    </cfRule>
  </conditionalFormatting>
  <conditionalFormatting sqref="C39">
    <cfRule type="expression" priority="85" dxfId="0">
      <formula>AND(COUNT(C39:L39)=10,C39=2)</formula>
    </cfRule>
    <cfRule type="expression" priority="86" dxfId="1">
      <formula>AND(COUNT(C39:L39)=10,C39&lt;2*0.4)</formula>
    </cfRule>
    <cfRule type="expression" priority="87" dxfId="2">
      <formula>AND(COUNT(C39:L39)=10,C39&gt;=2*0.4,C39&lt;2)</formula>
    </cfRule>
  </conditionalFormatting>
  <conditionalFormatting sqref="C40">
    <cfRule type="expression" priority="88" dxfId="0">
      <formula>AND(COUNT(C40:L40)=10,C40=2)</formula>
    </cfRule>
    <cfRule type="expression" priority="89" dxfId="1">
      <formula>AND(COUNT(C40:L40)=10,C40&lt;2*0.4)</formula>
    </cfRule>
    <cfRule type="expression" priority="90" dxfId="2">
      <formula>AND(COUNT(C40:L40)=10,C40&gt;=2*0.4,C40&lt;2)</formula>
    </cfRule>
  </conditionalFormatting>
  <conditionalFormatting sqref="C41">
    <cfRule type="expression" priority="91" dxfId="0">
      <formula>AND(COUNT(C41:L41)=10,C41=2)</formula>
    </cfRule>
    <cfRule type="expression" priority="92" dxfId="1">
      <formula>AND(COUNT(C41:L41)=10,C41&lt;2*0.4)</formula>
    </cfRule>
    <cfRule type="expression" priority="93" dxfId="2">
      <formula>AND(COUNT(C41:L41)=10,C41&gt;=2*0.4,C41&lt;2)</formula>
    </cfRule>
  </conditionalFormatting>
  <conditionalFormatting sqref="D11">
    <cfRule type="expression" priority="94" dxfId="0">
      <formula>AND(COUNT(C11:L11)=10,D11=5)</formula>
    </cfRule>
    <cfRule type="expression" priority="95" dxfId="1">
      <formula>AND(COUNT(C11:L11)=10,D11&lt;5*0.4)</formula>
    </cfRule>
    <cfRule type="expression" priority="96" dxfId="2">
      <formula>AND(COUNT(C11:L11)=10,D11&gt;=5*0.4,D11&lt;5)</formula>
    </cfRule>
  </conditionalFormatting>
  <conditionalFormatting sqref="D12">
    <cfRule type="expression" priority="97" dxfId="0">
      <formula>AND(COUNT(C12:L12)=10,D12=5)</formula>
    </cfRule>
    <cfRule type="expression" priority="98" dxfId="1">
      <formula>AND(COUNT(C12:L12)=10,D12&lt;5*0.4)</formula>
    </cfRule>
    <cfRule type="expression" priority="99" dxfId="2">
      <formula>AND(COUNT(C12:L12)=10,D12&gt;=5*0.4,D12&lt;5)</formula>
    </cfRule>
  </conditionalFormatting>
  <conditionalFormatting sqref="D13">
    <cfRule type="expression" priority="100" dxfId="0">
      <formula>AND(COUNT(C13:L13)=10,D13=5)</formula>
    </cfRule>
    <cfRule type="expression" priority="101" dxfId="1">
      <formula>AND(COUNT(C13:L13)=10,D13&lt;5*0.4)</formula>
    </cfRule>
    <cfRule type="expression" priority="102" dxfId="2">
      <formula>AND(COUNT(C13:L13)=10,D13&gt;=5*0.4,D13&lt;5)</formula>
    </cfRule>
  </conditionalFormatting>
  <conditionalFormatting sqref="D14">
    <cfRule type="expression" priority="103" dxfId="0">
      <formula>AND(COUNT(C14:L14)=10,D14=5)</formula>
    </cfRule>
    <cfRule type="expression" priority="104" dxfId="1">
      <formula>AND(COUNT(C14:L14)=10,D14&lt;5*0.4)</formula>
    </cfRule>
    <cfRule type="expression" priority="105" dxfId="2">
      <formula>AND(COUNT(C14:L14)=10,D14&gt;=5*0.4,D14&lt;5)</formula>
    </cfRule>
  </conditionalFormatting>
  <conditionalFormatting sqref="D15">
    <cfRule type="expression" priority="106" dxfId="0">
      <formula>AND(COUNT(C15:L15)=10,D15=5)</formula>
    </cfRule>
    <cfRule type="expression" priority="107" dxfId="1">
      <formula>AND(COUNT(C15:L15)=10,D15&lt;5*0.4)</formula>
    </cfRule>
    <cfRule type="expression" priority="108" dxfId="2">
      <formula>AND(COUNT(C15:L15)=10,D15&gt;=5*0.4,D15&lt;5)</formula>
    </cfRule>
  </conditionalFormatting>
  <conditionalFormatting sqref="D16">
    <cfRule type="expression" priority="109" dxfId="0">
      <formula>AND(COUNT(C16:L16)=10,D16=5)</formula>
    </cfRule>
    <cfRule type="expression" priority="110" dxfId="1">
      <formula>AND(COUNT(C16:L16)=10,D16&lt;5*0.4)</formula>
    </cfRule>
    <cfRule type="expression" priority="111" dxfId="2">
      <formula>AND(COUNT(C16:L16)=10,D16&gt;=5*0.4,D16&lt;5)</formula>
    </cfRule>
  </conditionalFormatting>
  <conditionalFormatting sqref="D17">
    <cfRule type="expression" priority="112" dxfId="0">
      <formula>AND(COUNT(C17:L17)=10,D17=5)</formula>
    </cfRule>
    <cfRule type="expression" priority="113" dxfId="1">
      <formula>AND(COUNT(C17:L17)=10,D17&lt;5*0.4)</formula>
    </cfRule>
    <cfRule type="expression" priority="114" dxfId="2">
      <formula>AND(COUNT(C17:L17)=10,D17&gt;=5*0.4,D17&lt;5)</formula>
    </cfRule>
  </conditionalFormatting>
  <conditionalFormatting sqref="D18">
    <cfRule type="expression" priority="115" dxfId="0">
      <formula>AND(COUNT(C18:L18)=10,D18=5)</formula>
    </cfRule>
    <cfRule type="expression" priority="116" dxfId="1">
      <formula>AND(COUNT(C18:L18)=10,D18&lt;5*0.4)</formula>
    </cfRule>
    <cfRule type="expression" priority="117" dxfId="2">
      <formula>AND(COUNT(C18:L18)=10,D18&gt;=5*0.4,D18&lt;5)</formula>
    </cfRule>
  </conditionalFormatting>
  <conditionalFormatting sqref="D19">
    <cfRule type="expression" priority="118" dxfId="0">
      <formula>AND(COUNT(C19:L19)=10,D19=5)</formula>
    </cfRule>
    <cfRule type="expression" priority="119" dxfId="1">
      <formula>AND(COUNT(C19:L19)=10,D19&lt;5*0.4)</formula>
    </cfRule>
    <cfRule type="expression" priority="120" dxfId="2">
      <formula>AND(COUNT(C19:L19)=10,D19&gt;=5*0.4,D19&lt;5)</formula>
    </cfRule>
  </conditionalFormatting>
  <conditionalFormatting sqref="D20">
    <cfRule type="expression" priority="121" dxfId="0">
      <formula>AND(COUNT(C20:L20)=10,D20=5)</formula>
    </cfRule>
    <cfRule type="expression" priority="122" dxfId="1">
      <formula>AND(COUNT(C20:L20)=10,D20&lt;5*0.4)</formula>
    </cfRule>
    <cfRule type="expression" priority="123" dxfId="2">
      <formula>AND(COUNT(C20:L20)=10,D20&gt;=5*0.4,D20&lt;5)</formula>
    </cfRule>
  </conditionalFormatting>
  <conditionalFormatting sqref="D21">
    <cfRule type="expression" priority="124" dxfId="0">
      <formula>AND(COUNT(C21:L21)=10,D21=5)</formula>
    </cfRule>
    <cfRule type="expression" priority="125" dxfId="1">
      <formula>AND(COUNT(C21:L21)=10,D21&lt;5*0.4)</formula>
    </cfRule>
    <cfRule type="expression" priority="126" dxfId="2">
      <formula>AND(COUNT(C21:L21)=10,D21&gt;=5*0.4,D21&lt;5)</formula>
    </cfRule>
  </conditionalFormatting>
  <conditionalFormatting sqref="D22">
    <cfRule type="expression" priority="127" dxfId="0">
      <formula>AND(COUNT(C22:L22)=10,D22=5)</formula>
    </cfRule>
    <cfRule type="expression" priority="128" dxfId="1">
      <formula>AND(COUNT(C22:L22)=10,D22&lt;5*0.4)</formula>
    </cfRule>
    <cfRule type="expression" priority="129" dxfId="2">
      <formula>AND(COUNT(C22:L22)=10,D22&gt;=5*0.4,D22&lt;5)</formula>
    </cfRule>
  </conditionalFormatting>
  <conditionalFormatting sqref="D23">
    <cfRule type="expression" priority="130" dxfId="0">
      <formula>AND(COUNT(C23:L23)=10,D23=5)</formula>
    </cfRule>
    <cfRule type="expression" priority="131" dxfId="1">
      <formula>AND(COUNT(C23:L23)=10,D23&lt;5*0.4)</formula>
    </cfRule>
    <cfRule type="expression" priority="132" dxfId="2">
      <formula>AND(COUNT(C23:L23)=10,D23&gt;=5*0.4,D23&lt;5)</formula>
    </cfRule>
  </conditionalFormatting>
  <conditionalFormatting sqref="D24">
    <cfRule type="expression" priority="133" dxfId="0">
      <formula>AND(COUNT(C24:L24)=10,D24=5)</formula>
    </cfRule>
    <cfRule type="expression" priority="134" dxfId="1">
      <formula>AND(COUNT(C24:L24)=10,D24&lt;5*0.4)</formula>
    </cfRule>
    <cfRule type="expression" priority="135" dxfId="2">
      <formula>AND(COUNT(C24:L24)=10,D24&gt;=5*0.4,D24&lt;5)</formula>
    </cfRule>
  </conditionalFormatting>
  <conditionalFormatting sqref="D25">
    <cfRule type="expression" priority="136" dxfId="0">
      <formula>AND(COUNT(C25:L25)=10,D25=5)</formula>
    </cfRule>
    <cfRule type="expression" priority="137" dxfId="1">
      <formula>AND(COUNT(C25:L25)=10,D25&lt;5*0.4)</formula>
    </cfRule>
    <cfRule type="expression" priority="138" dxfId="2">
      <formula>AND(COUNT(C25:L25)=10,D25&gt;=5*0.4,D25&lt;5)</formula>
    </cfRule>
  </conditionalFormatting>
  <conditionalFormatting sqref="D26">
    <cfRule type="expression" priority="139" dxfId="0">
      <formula>AND(COUNT(C26:L26)=10,D26=5)</formula>
    </cfRule>
    <cfRule type="expression" priority="140" dxfId="1">
      <formula>AND(COUNT(C26:L26)=10,D26&lt;5*0.4)</formula>
    </cfRule>
    <cfRule type="expression" priority="141" dxfId="2">
      <formula>AND(COUNT(C26:L26)=10,D26&gt;=5*0.4,D26&lt;5)</formula>
    </cfRule>
  </conditionalFormatting>
  <conditionalFormatting sqref="D27">
    <cfRule type="expression" priority="142" dxfId="0">
      <formula>AND(COUNT(C27:L27)=10,D27=5)</formula>
    </cfRule>
    <cfRule type="expression" priority="143" dxfId="1">
      <formula>AND(COUNT(C27:L27)=10,D27&lt;5*0.4)</formula>
    </cfRule>
    <cfRule type="expression" priority="144" dxfId="2">
      <formula>AND(COUNT(C27:L27)=10,D27&gt;=5*0.4,D27&lt;5)</formula>
    </cfRule>
  </conditionalFormatting>
  <conditionalFormatting sqref="D28">
    <cfRule type="expression" priority="145" dxfId="0">
      <formula>AND(COUNT(C28:L28)=10,D28=5)</formula>
    </cfRule>
    <cfRule type="expression" priority="146" dxfId="1">
      <formula>AND(COUNT(C28:L28)=10,D28&lt;5*0.4)</formula>
    </cfRule>
    <cfRule type="expression" priority="147" dxfId="2">
      <formula>AND(COUNT(C28:L28)=10,D28&gt;=5*0.4,D28&lt;5)</formula>
    </cfRule>
  </conditionalFormatting>
  <conditionalFormatting sqref="D29">
    <cfRule type="expression" priority="148" dxfId="0">
      <formula>AND(COUNT(C29:L29)=10,D29=5)</formula>
    </cfRule>
    <cfRule type="expression" priority="149" dxfId="1">
      <formula>AND(COUNT(C29:L29)=10,D29&lt;5*0.4)</formula>
    </cfRule>
    <cfRule type="expression" priority="150" dxfId="2">
      <formula>AND(COUNT(C29:L29)=10,D29&gt;=5*0.4,D29&lt;5)</formula>
    </cfRule>
  </conditionalFormatting>
  <conditionalFormatting sqref="D30">
    <cfRule type="expression" priority="151" dxfId="0">
      <formula>AND(COUNT(C30:L30)=10,D30=5)</formula>
    </cfRule>
    <cfRule type="expression" priority="152" dxfId="1">
      <formula>AND(COUNT(C30:L30)=10,D30&lt;5*0.4)</formula>
    </cfRule>
    <cfRule type="expression" priority="153" dxfId="2">
      <formula>AND(COUNT(C30:L30)=10,D30&gt;=5*0.4,D30&lt;5)</formula>
    </cfRule>
  </conditionalFormatting>
  <conditionalFormatting sqref="D31">
    <cfRule type="expression" priority="154" dxfId="0">
      <formula>AND(COUNT(C31:L31)=10,D31=5)</formula>
    </cfRule>
    <cfRule type="expression" priority="155" dxfId="1">
      <formula>AND(COUNT(C31:L31)=10,D31&lt;5*0.4)</formula>
    </cfRule>
    <cfRule type="expression" priority="156" dxfId="2">
      <formula>AND(COUNT(C31:L31)=10,D31&gt;=5*0.4,D31&lt;5)</formula>
    </cfRule>
  </conditionalFormatting>
  <conditionalFormatting sqref="D32">
    <cfRule type="expression" priority="157" dxfId="0">
      <formula>AND(COUNT(C32:L32)=10,D32=5)</formula>
    </cfRule>
    <cfRule type="expression" priority="158" dxfId="1">
      <formula>AND(COUNT(C32:L32)=10,D32&lt;5*0.4)</formula>
    </cfRule>
    <cfRule type="expression" priority="159" dxfId="2">
      <formula>AND(COUNT(C32:L32)=10,D32&gt;=5*0.4,D32&lt;5)</formula>
    </cfRule>
  </conditionalFormatting>
  <conditionalFormatting sqref="D33">
    <cfRule type="expression" priority="160" dxfId="0">
      <formula>AND(COUNT(C33:L33)=10,D33=5)</formula>
    </cfRule>
    <cfRule type="expression" priority="161" dxfId="1">
      <formula>AND(COUNT(C33:L33)=10,D33&lt;5*0.4)</formula>
    </cfRule>
    <cfRule type="expression" priority="162" dxfId="2">
      <formula>AND(COUNT(C33:L33)=10,D33&gt;=5*0.4,D33&lt;5)</formula>
    </cfRule>
  </conditionalFormatting>
  <conditionalFormatting sqref="D34">
    <cfRule type="expression" priority="163" dxfId="0">
      <formula>AND(COUNT(C34:L34)=10,D34=5)</formula>
    </cfRule>
    <cfRule type="expression" priority="164" dxfId="1">
      <formula>AND(COUNT(C34:L34)=10,D34&lt;5*0.4)</formula>
    </cfRule>
    <cfRule type="expression" priority="165" dxfId="2">
      <formula>AND(COUNT(C34:L34)=10,D34&gt;=5*0.4,D34&lt;5)</formula>
    </cfRule>
  </conditionalFormatting>
  <conditionalFormatting sqref="D35">
    <cfRule type="expression" priority="166" dxfId="0">
      <formula>AND(COUNT(C35:L35)=10,D35=5)</formula>
    </cfRule>
    <cfRule type="expression" priority="167" dxfId="1">
      <formula>AND(COUNT(C35:L35)=10,D35&lt;5*0.4)</formula>
    </cfRule>
    <cfRule type="expression" priority="168" dxfId="2">
      <formula>AND(COUNT(C35:L35)=10,D35&gt;=5*0.4,D35&lt;5)</formula>
    </cfRule>
  </conditionalFormatting>
  <conditionalFormatting sqref="D36">
    <cfRule type="expression" priority="169" dxfId="0">
      <formula>AND(COUNT(C36:L36)=10,D36=5)</formula>
    </cfRule>
    <cfRule type="expression" priority="170" dxfId="1">
      <formula>AND(COUNT(C36:L36)=10,D36&lt;5*0.4)</formula>
    </cfRule>
    <cfRule type="expression" priority="171" dxfId="2">
      <formula>AND(COUNT(C36:L36)=10,D36&gt;=5*0.4,D36&lt;5)</formula>
    </cfRule>
  </conditionalFormatting>
  <conditionalFormatting sqref="D37">
    <cfRule type="expression" priority="172" dxfId="0">
      <formula>AND(COUNT(C37:L37)=10,D37=5)</formula>
    </cfRule>
    <cfRule type="expression" priority="173" dxfId="1">
      <formula>AND(COUNT(C37:L37)=10,D37&lt;5*0.4)</formula>
    </cfRule>
    <cfRule type="expression" priority="174" dxfId="2">
      <formula>AND(COUNT(C37:L37)=10,D37&gt;=5*0.4,D37&lt;5)</formula>
    </cfRule>
  </conditionalFormatting>
  <conditionalFormatting sqref="D38">
    <cfRule type="expression" priority="175" dxfId="0">
      <formula>AND(COUNT(C38:L38)=10,D38=5)</formula>
    </cfRule>
    <cfRule type="expression" priority="176" dxfId="1">
      <formula>AND(COUNT(C38:L38)=10,D38&lt;5*0.4)</formula>
    </cfRule>
    <cfRule type="expression" priority="177" dxfId="2">
      <formula>AND(COUNT(C38:L38)=10,D38&gt;=5*0.4,D38&lt;5)</formula>
    </cfRule>
  </conditionalFormatting>
  <conditionalFormatting sqref="D39">
    <cfRule type="expression" priority="178" dxfId="0">
      <formula>AND(COUNT(C39:L39)=10,D39=5)</formula>
    </cfRule>
    <cfRule type="expression" priority="179" dxfId="1">
      <formula>AND(COUNT(C39:L39)=10,D39&lt;5*0.4)</formula>
    </cfRule>
    <cfRule type="expression" priority="180" dxfId="2">
      <formula>AND(COUNT(C39:L39)=10,D39&gt;=5*0.4,D39&lt;5)</formula>
    </cfRule>
  </conditionalFormatting>
  <conditionalFormatting sqref="D40">
    <cfRule type="expression" priority="181" dxfId="0">
      <formula>AND(COUNT(C40:L40)=10,D40=5)</formula>
    </cfRule>
    <cfRule type="expression" priority="182" dxfId="1">
      <formula>AND(COUNT(C40:L40)=10,D40&lt;5*0.4)</formula>
    </cfRule>
    <cfRule type="expression" priority="183" dxfId="2">
      <formula>AND(COUNT(C40:L40)=10,D40&gt;=5*0.4,D40&lt;5)</formula>
    </cfRule>
  </conditionalFormatting>
  <conditionalFormatting sqref="D41">
    <cfRule type="expression" priority="184" dxfId="0">
      <formula>AND(COUNT(C41:L41)=10,D41=5)</formula>
    </cfRule>
    <cfRule type="expression" priority="185" dxfId="1">
      <formula>AND(COUNT(C41:L41)=10,D41&lt;5*0.4)</formula>
    </cfRule>
    <cfRule type="expression" priority="186" dxfId="2">
      <formula>AND(COUNT(C41:L41)=10,D41&gt;=5*0.4,D41&lt;5)</formula>
    </cfRule>
  </conditionalFormatting>
  <conditionalFormatting sqref="E11">
    <cfRule type="expression" priority="187" dxfId="0">
      <formula>AND(COUNT(C11:L11)=10,E11=5)</formula>
    </cfRule>
    <cfRule type="expression" priority="188" dxfId="1">
      <formula>AND(COUNT(C11:L11)=10,E11&lt;5*0.4)</formula>
    </cfRule>
    <cfRule type="expression" priority="189" dxfId="2">
      <formula>AND(COUNT(C11:L11)=10,E11&gt;=5*0.4,E11&lt;5)</formula>
    </cfRule>
  </conditionalFormatting>
  <conditionalFormatting sqref="E12">
    <cfRule type="expression" priority="190" dxfId="0">
      <formula>AND(COUNT(C12:L12)=10,E12=5)</formula>
    </cfRule>
    <cfRule type="expression" priority="191" dxfId="1">
      <formula>AND(COUNT(C12:L12)=10,E12&lt;5*0.4)</formula>
    </cfRule>
    <cfRule type="expression" priority="192" dxfId="2">
      <formula>AND(COUNT(C12:L12)=10,E12&gt;=5*0.4,E12&lt;5)</formula>
    </cfRule>
  </conditionalFormatting>
  <conditionalFormatting sqref="E13">
    <cfRule type="expression" priority="193" dxfId="0">
      <formula>AND(COUNT(C13:L13)=10,E13=5)</formula>
    </cfRule>
    <cfRule type="expression" priority="194" dxfId="1">
      <formula>AND(COUNT(C13:L13)=10,E13&lt;5*0.4)</formula>
    </cfRule>
    <cfRule type="expression" priority="195" dxfId="2">
      <formula>AND(COUNT(C13:L13)=10,E13&gt;=5*0.4,E13&lt;5)</formula>
    </cfRule>
  </conditionalFormatting>
  <conditionalFormatting sqref="E14">
    <cfRule type="expression" priority="196" dxfId="0">
      <formula>AND(COUNT(C14:L14)=10,E14=5)</formula>
    </cfRule>
    <cfRule type="expression" priority="197" dxfId="1">
      <formula>AND(COUNT(C14:L14)=10,E14&lt;5*0.4)</formula>
    </cfRule>
    <cfRule type="expression" priority="198" dxfId="2">
      <formula>AND(COUNT(C14:L14)=10,E14&gt;=5*0.4,E14&lt;5)</formula>
    </cfRule>
  </conditionalFormatting>
  <conditionalFormatting sqref="E15">
    <cfRule type="expression" priority="199" dxfId="0">
      <formula>AND(COUNT(C15:L15)=10,E15=5)</formula>
    </cfRule>
    <cfRule type="expression" priority="200" dxfId="1">
      <formula>AND(COUNT(C15:L15)=10,E15&lt;5*0.4)</formula>
    </cfRule>
    <cfRule type="expression" priority="201" dxfId="2">
      <formula>AND(COUNT(C15:L15)=10,E15&gt;=5*0.4,E15&lt;5)</formula>
    </cfRule>
  </conditionalFormatting>
  <conditionalFormatting sqref="E16">
    <cfRule type="expression" priority="202" dxfId="0">
      <formula>AND(COUNT(C16:L16)=10,E16=5)</formula>
    </cfRule>
    <cfRule type="expression" priority="203" dxfId="1">
      <formula>AND(COUNT(C16:L16)=10,E16&lt;5*0.4)</formula>
    </cfRule>
    <cfRule type="expression" priority="204" dxfId="2">
      <formula>AND(COUNT(C16:L16)=10,E16&gt;=5*0.4,E16&lt;5)</formula>
    </cfRule>
  </conditionalFormatting>
  <conditionalFormatting sqref="E17">
    <cfRule type="expression" priority="205" dxfId="0">
      <formula>AND(COUNT(C17:L17)=10,E17=5)</formula>
    </cfRule>
    <cfRule type="expression" priority="206" dxfId="1">
      <formula>AND(COUNT(C17:L17)=10,E17&lt;5*0.4)</formula>
    </cfRule>
    <cfRule type="expression" priority="207" dxfId="2">
      <formula>AND(COUNT(C17:L17)=10,E17&gt;=5*0.4,E17&lt;5)</formula>
    </cfRule>
  </conditionalFormatting>
  <conditionalFormatting sqref="E18">
    <cfRule type="expression" priority="208" dxfId="0">
      <formula>AND(COUNT(C18:L18)=10,E18=5)</formula>
    </cfRule>
    <cfRule type="expression" priority="209" dxfId="1">
      <formula>AND(COUNT(C18:L18)=10,E18&lt;5*0.4)</formula>
    </cfRule>
    <cfRule type="expression" priority="210" dxfId="2">
      <formula>AND(COUNT(C18:L18)=10,E18&gt;=5*0.4,E18&lt;5)</formula>
    </cfRule>
  </conditionalFormatting>
  <conditionalFormatting sqref="E19">
    <cfRule type="expression" priority="211" dxfId="0">
      <formula>AND(COUNT(C19:L19)=10,E19=5)</formula>
    </cfRule>
    <cfRule type="expression" priority="212" dxfId="1">
      <formula>AND(COUNT(C19:L19)=10,E19&lt;5*0.4)</formula>
    </cfRule>
    <cfRule type="expression" priority="213" dxfId="2">
      <formula>AND(COUNT(C19:L19)=10,E19&gt;=5*0.4,E19&lt;5)</formula>
    </cfRule>
  </conditionalFormatting>
  <conditionalFormatting sqref="E20">
    <cfRule type="expression" priority="214" dxfId="0">
      <formula>AND(COUNT(C20:L20)=10,E20=5)</formula>
    </cfRule>
    <cfRule type="expression" priority="215" dxfId="1">
      <formula>AND(COUNT(C20:L20)=10,E20&lt;5*0.4)</formula>
    </cfRule>
    <cfRule type="expression" priority="216" dxfId="2">
      <formula>AND(COUNT(C20:L20)=10,E20&gt;=5*0.4,E20&lt;5)</formula>
    </cfRule>
  </conditionalFormatting>
  <conditionalFormatting sqref="E21">
    <cfRule type="expression" priority="217" dxfId="0">
      <formula>AND(COUNT(C21:L21)=10,E21=5)</formula>
    </cfRule>
    <cfRule type="expression" priority="218" dxfId="1">
      <formula>AND(COUNT(C21:L21)=10,E21&lt;5*0.4)</formula>
    </cfRule>
    <cfRule type="expression" priority="219" dxfId="2">
      <formula>AND(COUNT(C21:L21)=10,E21&gt;=5*0.4,E21&lt;5)</formula>
    </cfRule>
  </conditionalFormatting>
  <conditionalFormatting sqref="E22">
    <cfRule type="expression" priority="220" dxfId="0">
      <formula>AND(COUNT(C22:L22)=10,E22=5)</formula>
    </cfRule>
    <cfRule type="expression" priority="221" dxfId="1">
      <formula>AND(COUNT(C22:L22)=10,E22&lt;5*0.4)</formula>
    </cfRule>
    <cfRule type="expression" priority="222" dxfId="2">
      <formula>AND(COUNT(C22:L22)=10,E22&gt;=5*0.4,E22&lt;5)</formula>
    </cfRule>
  </conditionalFormatting>
  <conditionalFormatting sqref="E23">
    <cfRule type="expression" priority="223" dxfId="0">
      <formula>AND(COUNT(C23:L23)=10,E23=5)</formula>
    </cfRule>
    <cfRule type="expression" priority="224" dxfId="1">
      <formula>AND(COUNT(C23:L23)=10,E23&lt;5*0.4)</formula>
    </cfRule>
    <cfRule type="expression" priority="225" dxfId="2">
      <formula>AND(COUNT(C23:L23)=10,E23&gt;=5*0.4,E23&lt;5)</formula>
    </cfRule>
  </conditionalFormatting>
  <conditionalFormatting sqref="E24">
    <cfRule type="expression" priority="226" dxfId="0">
      <formula>AND(COUNT(C24:L24)=10,E24=5)</formula>
    </cfRule>
    <cfRule type="expression" priority="227" dxfId="1">
      <formula>AND(COUNT(C24:L24)=10,E24&lt;5*0.4)</formula>
    </cfRule>
    <cfRule type="expression" priority="228" dxfId="2">
      <formula>AND(COUNT(C24:L24)=10,E24&gt;=5*0.4,E24&lt;5)</formula>
    </cfRule>
  </conditionalFormatting>
  <conditionalFormatting sqref="E25">
    <cfRule type="expression" priority="229" dxfId="0">
      <formula>AND(COUNT(C25:L25)=10,E25=5)</formula>
    </cfRule>
    <cfRule type="expression" priority="230" dxfId="1">
      <formula>AND(COUNT(C25:L25)=10,E25&lt;5*0.4)</formula>
    </cfRule>
    <cfRule type="expression" priority="231" dxfId="2">
      <formula>AND(COUNT(C25:L25)=10,E25&gt;=5*0.4,E25&lt;5)</formula>
    </cfRule>
  </conditionalFormatting>
  <conditionalFormatting sqref="E26">
    <cfRule type="expression" priority="232" dxfId="0">
      <formula>AND(COUNT(C26:L26)=10,E26=5)</formula>
    </cfRule>
    <cfRule type="expression" priority="233" dxfId="1">
      <formula>AND(COUNT(C26:L26)=10,E26&lt;5*0.4)</formula>
    </cfRule>
    <cfRule type="expression" priority="234" dxfId="2">
      <formula>AND(COUNT(C26:L26)=10,E26&gt;=5*0.4,E26&lt;5)</formula>
    </cfRule>
  </conditionalFormatting>
  <conditionalFormatting sqref="E27">
    <cfRule type="expression" priority="235" dxfId="0">
      <formula>AND(COUNT(C27:L27)=10,E27=5)</formula>
    </cfRule>
    <cfRule type="expression" priority="236" dxfId="1">
      <formula>AND(COUNT(C27:L27)=10,E27&lt;5*0.4)</formula>
    </cfRule>
    <cfRule type="expression" priority="237" dxfId="2">
      <formula>AND(COUNT(C27:L27)=10,E27&gt;=5*0.4,E27&lt;5)</formula>
    </cfRule>
  </conditionalFormatting>
  <conditionalFormatting sqref="E28">
    <cfRule type="expression" priority="238" dxfId="0">
      <formula>AND(COUNT(C28:L28)=10,E28=5)</formula>
    </cfRule>
    <cfRule type="expression" priority="239" dxfId="1">
      <formula>AND(COUNT(C28:L28)=10,E28&lt;5*0.4)</formula>
    </cfRule>
    <cfRule type="expression" priority="240" dxfId="2">
      <formula>AND(COUNT(C28:L28)=10,E28&gt;=5*0.4,E28&lt;5)</formula>
    </cfRule>
  </conditionalFormatting>
  <conditionalFormatting sqref="E29">
    <cfRule type="expression" priority="241" dxfId="0">
      <formula>AND(COUNT(C29:L29)=10,E29=5)</formula>
    </cfRule>
    <cfRule type="expression" priority="242" dxfId="1">
      <formula>AND(COUNT(C29:L29)=10,E29&lt;5*0.4)</formula>
    </cfRule>
    <cfRule type="expression" priority="243" dxfId="2">
      <formula>AND(COUNT(C29:L29)=10,E29&gt;=5*0.4,E29&lt;5)</formula>
    </cfRule>
  </conditionalFormatting>
  <conditionalFormatting sqref="E30">
    <cfRule type="expression" priority="244" dxfId="0">
      <formula>AND(COUNT(C30:L30)=10,E30=5)</formula>
    </cfRule>
    <cfRule type="expression" priority="245" dxfId="1">
      <formula>AND(COUNT(C30:L30)=10,E30&lt;5*0.4)</formula>
    </cfRule>
    <cfRule type="expression" priority="246" dxfId="2">
      <formula>AND(COUNT(C30:L30)=10,E30&gt;=5*0.4,E30&lt;5)</formula>
    </cfRule>
  </conditionalFormatting>
  <conditionalFormatting sqref="E31">
    <cfRule type="expression" priority="247" dxfId="0">
      <formula>AND(COUNT(C31:L31)=10,E31=5)</formula>
    </cfRule>
    <cfRule type="expression" priority="248" dxfId="1">
      <formula>AND(COUNT(C31:L31)=10,E31&lt;5*0.4)</formula>
    </cfRule>
    <cfRule type="expression" priority="249" dxfId="2">
      <formula>AND(COUNT(C31:L31)=10,E31&gt;=5*0.4,E31&lt;5)</formula>
    </cfRule>
  </conditionalFormatting>
  <conditionalFormatting sqref="E32">
    <cfRule type="expression" priority="250" dxfId="0">
      <formula>AND(COUNT(C32:L32)=10,E32=5)</formula>
    </cfRule>
    <cfRule type="expression" priority="251" dxfId="1">
      <formula>AND(COUNT(C32:L32)=10,E32&lt;5*0.4)</formula>
    </cfRule>
    <cfRule type="expression" priority="252" dxfId="2">
      <formula>AND(COUNT(C32:L32)=10,E32&gt;=5*0.4,E32&lt;5)</formula>
    </cfRule>
  </conditionalFormatting>
  <conditionalFormatting sqref="E33">
    <cfRule type="expression" priority="253" dxfId="0">
      <formula>AND(COUNT(C33:L33)=10,E33=5)</formula>
    </cfRule>
    <cfRule type="expression" priority="254" dxfId="1">
      <formula>AND(COUNT(C33:L33)=10,E33&lt;5*0.4)</formula>
    </cfRule>
    <cfRule type="expression" priority="255" dxfId="2">
      <formula>AND(COUNT(C33:L33)=10,E33&gt;=5*0.4,E33&lt;5)</formula>
    </cfRule>
  </conditionalFormatting>
  <conditionalFormatting sqref="E34">
    <cfRule type="expression" priority="256" dxfId="0">
      <formula>AND(COUNT(C34:L34)=10,E34=5)</formula>
    </cfRule>
    <cfRule type="expression" priority="257" dxfId="1">
      <formula>AND(COUNT(C34:L34)=10,E34&lt;5*0.4)</formula>
    </cfRule>
    <cfRule type="expression" priority="258" dxfId="2">
      <formula>AND(COUNT(C34:L34)=10,E34&gt;=5*0.4,E34&lt;5)</formula>
    </cfRule>
  </conditionalFormatting>
  <conditionalFormatting sqref="E35">
    <cfRule type="expression" priority="259" dxfId="0">
      <formula>AND(COUNT(C35:L35)=10,E35=5)</formula>
    </cfRule>
    <cfRule type="expression" priority="260" dxfId="1">
      <formula>AND(COUNT(C35:L35)=10,E35&lt;5*0.4)</formula>
    </cfRule>
    <cfRule type="expression" priority="261" dxfId="2">
      <formula>AND(COUNT(C35:L35)=10,E35&gt;=5*0.4,E35&lt;5)</formula>
    </cfRule>
  </conditionalFormatting>
  <conditionalFormatting sqref="E36">
    <cfRule type="expression" priority="262" dxfId="0">
      <formula>AND(COUNT(C36:L36)=10,E36=5)</formula>
    </cfRule>
    <cfRule type="expression" priority="263" dxfId="1">
      <formula>AND(COUNT(C36:L36)=10,E36&lt;5*0.4)</formula>
    </cfRule>
    <cfRule type="expression" priority="264" dxfId="2">
      <formula>AND(COUNT(C36:L36)=10,E36&gt;=5*0.4,E36&lt;5)</formula>
    </cfRule>
  </conditionalFormatting>
  <conditionalFormatting sqref="E37">
    <cfRule type="expression" priority="265" dxfId="0">
      <formula>AND(COUNT(C37:L37)=10,E37=5)</formula>
    </cfRule>
    <cfRule type="expression" priority="266" dxfId="1">
      <formula>AND(COUNT(C37:L37)=10,E37&lt;5*0.4)</formula>
    </cfRule>
    <cfRule type="expression" priority="267" dxfId="2">
      <formula>AND(COUNT(C37:L37)=10,E37&gt;=5*0.4,E37&lt;5)</formula>
    </cfRule>
  </conditionalFormatting>
  <conditionalFormatting sqref="E38">
    <cfRule type="expression" priority="268" dxfId="0">
      <formula>AND(COUNT(C38:L38)=10,E38=5)</formula>
    </cfRule>
    <cfRule type="expression" priority="269" dxfId="1">
      <formula>AND(COUNT(C38:L38)=10,E38&lt;5*0.4)</formula>
    </cfRule>
    <cfRule type="expression" priority="270" dxfId="2">
      <formula>AND(COUNT(C38:L38)=10,E38&gt;=5*0.4,E38&lt;5)</formula>
    </cfRule>
  </conditionalFormatting>
  <conditionalFormatting sqref="E39">
    <cfRule type="expression" priority="271" dxfId="0">
      <formula>AND(COUNT(C39:L39)=10,E39=5)</formula>
    </cfRule>
    <cfRule type="expression" priority="272" dxfId="1">
      <formula>AND(COUNT(C39:L39)=10,E39&lt;5*0.4)</formula>
    </cfRule>
    <cfRule type="expression" priority="273" dxfId="2">
      <formula>AND(COUNT(C39:L39)=10,E39&gt;=5*0.4,E39&lt;5)</formula>
    </cfRule>
  </conditionalFormatting>
  <conditionalFormatting sqref="E40">
    <cfRule type="expression" priority="274" dxfId="0">
      <formula>AND(COUNT(C40:L40)=10,E40=5)</formula>
    </cfRule>
    <cfRule type="expression" priority="275" dxfId="1">
      <formula>AND(COUNT(C40:L40)=10,E40&lt;5*0.4)</formula>
    </cfRule>
    <cfRule type="expression" priority="276" dxfId="2">
      <formula>AND(COUNT(C40:L40)=10,E40&gt;=5*0.4,E40&lt;5)</formula>
    </cfRule>
  </conditionalFormatting>
  <conditionalFormatting sqref="E41">
    <cfRule type="expression" priority="277" dxfId="0">
      <formula>AND(COUNT(C41:L41)=10,E41=5)</formula>
    </cfRule>
    <cfRule type="expression" priority="278" dxfId="1">
      <formula>AND(COUNT(C41:L41)=10,E41&lt;5*0.4)</formula>
    </cfRule>
    <cfRule type="expression" priority="279" dxfId="2">
      <formula>AND(COUNT(C41:L41)=10,E41&gt;=5*0.4,E41&lt;5)</formula>
    </cfRule>
  </conditionalFormatting>
  <conditionalFormatting sqref="F11">
    <cfRule type="expression" priority="280" dxfId="0">
      <formula>AND(COUNT(C11:L11)=10,F11=4)</formula>
    </cfRule>
    <cfRule type="expression" priority="281" dxfId="1">
      <formula>AND(COUNT(C11:L11)=10,F11&lt;4*0.4)</formula>
    </cfRule>
    <cfRule type="expression" priority="282" dxfId="2">
      <formula>AND(COUNT(C11:L11)=10,F11&gt;=4*0.4,F11&lt;4)</formula>
    </cfRule>
  </conditionalFormatting>
  <conditionalFormatting sqref="F12">
    <cfRule type="expression" priority="283" dxfId="0">
      <formula>AND(COUNT(C12:L12)=10,F12=4)</formula>
    </cfRule>
    <cfRule type="expression" priority="284" dxfId="1">
      <formula>AND(COUNT(C12:L12)=10,F12&lt;4*0.4)</formula>
    </cfRule>
    <cfRule type="expression" priority="285" dxfId="2">
      <formula>AND(COUNT(C12:L12)=10,F12&gt;=4*0.4,F12&lt;4)</formula>
    </cfRule>
  </conditionalFormatting>
  <conditionalFormatting sqref="F13">
    <cfRule type="expression" priority="286" dxfId="0">
      <formula>AND(COUNT(C13:L13)=10,F13=4)</formula>
    </cfRule>
    <cfRule type="expression" priority="287" dxfId="1">
      <formula>AND(COUNT(C13:L13)=10,F13&lt;4*0.4)</formula>
    </cfRule>
    <cfRule type="expression" priority="288" dxfId="2">
      <formula>AND(COUNT(C13:L13)=10,F13&gt;=4*0.4,F13&lt;4)</formula>
    </cfRule>
  </conditionalFormatting>
  <conditionalFormatting sqref="F14">
    <cfRule type="expression" priority="289" dxfId="0">
      <formula>AND(COUNT(C14:L14)=10,F14=4)</formula>
    </cfRule>
    <cfRule type="expression" priority="290" dxfId="1">
      <formula>AND(COUNT(C14:L14)=10,F14&lt;4*0.4)</formula>
    </cfRule>
    <cfRule type="expression" priority="291" dxfId="2">
      <formula>AND(COUNT(C14:L14)=10,F14&gt;=4*0.4,F14&lt;4)</formula>
    </cfRule>
  </conditionalFormatting>
  <conditionalFormatting sqref="F15">
    <cfRule type="expression" priority="292" dxfId="0">
      <formula>AND(COUNT(C15:L15)=10,F15=4)</formula>
    </cfRule>
    <cfRule type="expression" priority="293" dxfId="1">
      <formula>AND(COUNT(C15:L15)=10,F15&lt;4*0.4)</formula>
    </cfRule>
    <cfRule type="expression" priority="294" dxfId="2">
      <formula>AND(COUNT(C15:L15)=10,F15&gt;=4*0.4,F15&lt;4)</formula>
    </cfRule>
  </conditionalFormatting>
  <conditionalFormatting sqref="F16">
    <cfRule type="expression" priority="295" dxfId="0">
      <formula>AND(COUNT(C16:L16)=10,F16=4)</formula>
    </cfRule>
    <cfRule type="expression" priority="296" dxfId="1">
      <formula>AND(COUNT(C16:L16)=10,F16&lt;4*0.4)</formula>
    </cfRule>
    <cfRule type="expression" priority="297" dxfId="2">
      <formula>AND(COUNT(C16:L16)=10,F16&gt;=4*0.4,F16&lt;4)</formula>
    </cfRule>
  </conditionalFormatting>
  <conditionalFormatting sqref="F17">
    <cfRule type="expression" priority="298" dxfId="0">
      <formula>AND(COUNT(C17:L17)=10,F17=4)</formula>
    </cfRule>
    <cfRule type="expression" priority="299" dxfId="1">
      <formula>AND(COUNT(C17:L17)=10,F17&lt;4*0.4)</formula>
    </cfRule>
    <cfRule type="expression" priority="300" dxfId="2">
      <formula>AND(COUNT(C17:L17)=10,F17&gt;=4*0.4,F17&lt;4)</formula>
    </cfRule>
  </conditionalFormatting>
  <conditionalFormatting sqref="F18">
    <cfRule type="expression" priority="301" dxfId="0">
      <formula>AND(COUNT(C18:L18)=10,F18=4)</formula>
    </cfRule>
    <cfRule type="expression" priority="302" dxfId="1">
      <formula>AND(COUNT(C18:L18)=10,F18&lt;4*0.4)</formula>
    </cfRule>
    <cfRule type="expression" priority="303" dxfId="2">
      <formula>AND(COUNT(C18:L18)=10,F18&gt;=4*0.4,F18&lt;4)</formula>
    </cfRule>
  </conditionalFormatting>
  <conditionalFormatting sqref="F19">
    <cfRule type="expression" priority="304" dxfId="0">
      <formula>AND(COUNT(C19:L19)=10,F19=4)</formula>
    </cfRule>
    <cfRule type="expression" priority="305" dxfId="1">
      <formula>AND(COUNT(C19:L19)=10,F19&lt;4*0.4)</formula>
    </cfRule>
    <cfRule type="expression" priority="306" dxfId="2">
      <formula>AND(COUNT(C19:L19)=10,F19&gt;=4*0.4,F19&lt;4)</formula>
    </cfRule>
  </conditionalFormatting>
  <conditionalFormatting sqref="F20">
    <cfRule type="expression" priority="307" dxfId="0">
      <formula>AND(COUNT(C20:L20)=10,F20=4)</formula>
    </cfRule>
    <cfRule type="expression" priority="308" dxfId="1">
      <formula>AND(COUNT(C20:L20)=10,F20&lt;4*0.4)</formula>
    </cfRule>
    <cfRule type="expression" priority="309" dxfId="2">
      <formula>AND(COUNT(C20:L20)=10,F20&gt;=4*0.4,F20&lt;4)</formula>
    </cfRule>
  </conditionalFormatting>
  <conditionalFormatting sqref="F21">
    <cfRule type="expression" priority="310" dxfId="0">
      <formula>AND(COUNT(C21:L21)=10,F21=4)</formula>
    </cfRule>
    <cfRule type="expression" priority="311" dxfId="1">
      <formula>AND(COUNT(C21:L21)=10,F21&lt;4*0.4)</formula>
    </cfRule>
    <cfRule type="expression" priority="312" dxfId="2">
      <formula>AND(COUNT(C21:L21)=10,F21&gt;=4*0.4,F21&lt;4)</formula>
    </cfRule>
  </conditionalFormatting>
  <conditionalFormatting sqref="F22">
    <cfRule type="expression" priority="313" dxfId="0">
      <formula>AND(COUNT(C22:L22)=10,F22=4)</formula>
    </cfRule>
    <cfRule type="expression" priority="314" dxfId="1">
      <formula>AND(COUNT(C22:L22)=10,F22&lt;4*0.4)</formula>
    </cfRule>
    <cfRule type="expression" priority="315" dxfId="2">
      <formula>AND(COUNT(C22:L22)=10,F22&gt;=4*0.4,F22&lt;4)</formula>
    </cfRule>
  </conditionalFormatting>
  <conditionalFormatting sqref="F23">
    <cfRule type="expression" priority="316" dxfId="0">
      <formula>AND(COUNT(C23:L23)=10,F23=4)</formula>
    </cfRule>
    <cfRule type="expression" priority="317" dxfId="1">
      <formula>AND(COUNT(C23:L23)=10,F23&lt;4*0.4)</formula>
    </cfRule>
    <cfRule type="expression" priority="318" dxfId="2">
      <formula>AND(COUNT(C23:L23)=10,F23&gt;=4*0.4,F23&lt;4)</formula>
    </cfRule>
  </conditionalFormatting>
  <conditionalFormatting sqref="F24">
    <cfRule type="expression" priority="319" dxfId="0">
      <formula>AND(COUNT(C24:L24)=10,F24=4)</formula>
    </cfRule>
    <cfRule type="expression" priority="320" dxfId="1">
      <formula>AND(COUNT(C24:L24)=10,F24&lt;4*0.4)</formula>
    </cfRule>
    <cfRule type="expression" priority="321" dxfId="2">
      <formula>AND(COUNT(C24:L24)=10,F24&gt;=4*0.4,F24&lt;4)</formula>
    </cfRule>
  </conditionalFormatting>
  <conditionalFormatting sqref="F25">
    <cfRule type="expression" priority="322" dxfId="0">
      <formula>AND(COUNT(C25:L25)=10,F25=4)</formula>
    </cfRule>
    <cfRule type="expression" priority="323" dxfId="1">
      <formula>AND(COUNT(C25:L25)=10,F25&lt;4*0.4)</formula>
    </cfRule>
    <cfRule type="expression" priority="324" dxfId="2">
      <formula>AND(COUNT(C25:L25)=10,F25&gt;=4*0.4,F25&lt;4)</formula>
    </cfRule>
  </conditionalFormatting>
  <conditionalFormatting sqref="F26">
    <cfRule type="expression" priority="325" dxfId="0">
      <formula>AND(COUNT(C26:L26)=10,F26=4)</formula>
    </cfRule>
    <cfRule type="expression" priority="326" dxfId="1">
      <formula>AND(COUNT(C26:L26)=10,F26&lt;4*0.4)</formula>
    </cfRule>
    <cfRule type="expression" priority="327" dxfId="2">
      <formula>AND(COUNT(C26:L26)=10,F26&gt;=4*0.4,F26&lt;4)</formula>
    </cfRule>
  </conditionalFormatting>
  <conditionalFormatting sqref="F27">
    <cfRule type="expression" priority="328" dxfId="0">
      <formula>AND(COUNT(C27:L27)=10,F27=4)</formula>
    </cfRule>
    <cfRule type="expression" priority="329" dxfId="1">
      <formula>AND(COUNT(C27:L27)=10,F27&lt;4*0.4)</formula>
    </cfRule>
    <cfRule type="expression" priority="330" dxfId="2">
      <formula>AND(COUNT(C27:L27)=10,F27&gt;=4*0.4,F27&lt;4)</formula>
    </cfRule>
  </conditionalFormatting>
  <conditionalFormatting sqref="F28">
    <cfRule type="expression" priority="331" dxfId="0">
      <formula>AND(COUNT(C28:L28)=10,F28=4)</formula>
    </cfRule>
    <cfRule type="expression" priority="332" dxfId="1">
      <formula>AND(COUNT(C28:L28)=10,F28&lt;4*0.4)</formula>
    </cfRule>
    <cfRule type="expression" priority="333" dxfId="2">
      <formula>AND(COUNT(C28:L28)=10,F28&gt;=4*0.4,F28&lt;4)</formula>
    </cfRule>
  </conditionalFormatting>
  <conditionalFormatting sqref="F29">
    <cfRule type="expression" priority="334" dxfId="0">
      <formula>AND(COUNT(C29:L29)=10,F29=4)</formula>
    </cfRule>
    <cfRule type="expression" priority="335" dxfId="1">
      <formula>AND(COUNT(C29:L29)=10,F29&lt;4*0.4)</formula>
    </cfRule>
    <cfRule type="expression" priority="336" dxfId="2">
      <formula>AND(COUNT(C29:L29)=10,F29&gt;=4*0.4,F29&lt;4)</formula>
    </cfRule>
  </conditionalFormatting>
  <conditionalFormatting sqref="F30">
    <cfRule type="expression" priority="337" dxfId="0">
      <formula>AND(COUNT(C30:L30)=10,F30=4)</formula>
    </cfRule>
    <cfRule type="expression" priority="338" dxfId="1">
      <formula>AND(COUNT(C30:L30)=10,F30&lt;4*0.4)</formula>
    </cfRule>
    <cfRule type="expression" priority="339" dxfId="2">
      <formula>AND(COUNT(C30:L30)=10,F30&gt;=4*0.4,F30&lt;4)</formula>
    </cfRule>
  </conditionalFormatting>
  <conditionalFormatting sqref="F31">
    <cfRule type="expression" priority="340" dxfId="0">
      <formula>AND(COUNT(C31:L31)=10,F31=4)</formula>
    </cfRule>
    <cfRule type="expression" priority="341" dxfId="1">
      <formula>AND(COUNT(C31:L31)=10,F31&lt;4*0.4)</formula>
    </cfRule>
    <cfRule type="expression" priority="342" dxfId="2">
      <formula>AND(COUNT(C31:L31)=10,F31&gt;=4*0.4,F31&lt;4)</formula>
    </cfRule>
  </conditionalFormatting>
  <conditionalFormatting sqref="F32">
    <cfRule type="expression" priority="343" dxfId="0">
      <formula>AND(COUNT(C32:L32)=10,F32=4)</formula>
    </cfRule>
    <cfRule type="expression" priority="344" dxfId="1">
      <formula>AND(COUNT(C32:L32)=10,F32&lt;4*0.4)</formula>
    </cfRule>
    <cfRule type="expression" priority="345" dxfId="2">
      <formula>AND(COUNT(C32:L32)=10,F32&gt;=4*0.4,F32&lt;4)</formula>
    </cfRule>
  </conditionalFormatting>
  <conditionalFormatting sqref="F33">
    <cfRule type="expression" priority="346" dxfId="0">
      <formula>AND(COUNT(C33:L33)=10,F33=4)</formula>
    </cfRule>
    <cfRule type="expression" priority="347" dxfId="1">
      <formula>AND(COUNT(C33:L33)=10,F33&lt;4*0.4)</formula>
    </cfRule>
    <cfRule type="expression" priority="348" dxfId="2">
      <formula>AND(COUNT(C33:L33)=10,F33&gt;=4*0.4,F33&lt;4)</formula>
    </cfRule>
  </conditionalFormatting>
  <conditionalFormatting sqref="F34">
    <cfRule type="expression" priority="349" dxfId="0">
      <formula>AND(COUNT(C34:L34)=10,F34=4)</formula>
    </cfRule>
    <cfRule type="expression" priority="350" dxfId="1">
      <formula>AND(COUNT(C34:L34)=10,F34&lt;4*0.4)</formula>
    </cfRule>
    <cfRule type="expression" priority="351" dxfId="2">
      <formula>AND(COUNT(C34:L34)=10,F34&gt;=4*0.4,F34&lt;4)</formula>
    </cfRule>
  </conditionalFormatting>
  <conditionalFormatting sqref="F35">
    <cfRule type="expression" priority="352" dxfId="0">
      <formula>AND(COUNT(C35:L35)=10,F35=4)</formula>
    </cfRule>
    <cfRule type="expression" priority="353" dxfId="1">
      <formula>AND(COUNT(C35:L35)=10,F35&lt;4*0.4)</formula>
    </cfRule>
    <cfRule type="expression" priority="354" dxfId="2">
      <formula>AND(COUNT(C35:L35)=10,F35&gt;=4*0.4,F35&lt;4)</formula>
    </cfRule>
  </conditionalFormatting>
  <conditionalFormatting sqref="F36">
    <cfRule type="expression" priority="355" dxfId="0">
      <formula>AND(COUNT(C36:L36)=10,F36=4)</formula>
    </cfRule>
    <cfRule type="expression" priority="356" dxfId="1">
      <formula>AND(COUNT(C36:L36)=10,F36&lt;4*0.4)</formula>
    </cfRule>
    <cfRule type="expression" priority="357" dxfId="2">
      <formula>AND(COUNT(C36:L36)=10,F36&gt;=4*0.4,F36&lt;4)</formula>
    </cfRule>
  </conditionalFormatting>
  <conditionalFormatting sqref="F37">
    <cfRule type="expression" priority="358" dxfId="0">
      <formula>AND(COUNT(C37:L37)=10,F37=4)</formula>
    </cfRule>
    <cfRule type="expression" priority="359" dxfId="1">
      <formula>AND(COUNT(C37:L37)=10,F37&lt;4*0.4)</formula>
    </cfRule>
    <cfRule type="expression" priority="360" dxfId="2">
      <formula>AND(COUNT(C37:L37)=10,F37&gt;=4*0.4,F37&lt;4)</formula>
    </cfRule>
  </conditionalFormatting>
  <conditionalFormatting sqref="F38">
    <cfRule type="expression" priority="361" dxfId="0">
      <formula>AND(COUNT(C38:L38)=10,F38=4)</formula>
    </cfRule>
    <cfRule type="expression" priority="362" dxfId="1">
      <formula>AND(COUNT(C38:L38)=10,F38&lt;4*0.4)</formula>
    </cfRule>
    <cfRule type="expression" priority="363" dxfId="2">
      <formula>AND(COUNT(C38:L38)=10,F38&gt;=4*0.4,F38&lt;4)</formula>
    </cfRule>
  </conditionalFormatting>
  <conditionalFormatting sqref="F39">
    <cfRule type="expression" priority="364" dxfId="0">
      <formula>AND(COUNT(C39:L39)=10,F39=4)</formula>
    </cfRule>
    <cfRule type="expression" priority="365" dxfId="1">
      <formula>AND(COUNT(C39:L39)=10,F39&lt;4*0.4)</formula>
    </cfRule>
    <cfRule type="expression" priority="366" dxfId="2">
      <formula>AND(COUNT(C39:L39)=10,F39&gt;=4*0.4,F39&lt;4)</formula>
    </cfRule>
  </conditionalFormatting>
  <conditionalFormatting sqref="F40">
    <cfRule type="expression" priority="367" dxfId="0">
      <formula>AND(COUNT(C40:L40)=10,F40=4)</formula>
    </cfRule>
    <cfRule type="expression" priority="368" dxfId="1">
      <formula>AND(COUNT(C40:L40)=10,F40&lt;4*0.4)</formula>
    </cfRule>
    <cfRule type="expression" priority="369" dxfId="2">
      <formula>AND(COUNT(C40:L40)=10,F40&gt;=4*0.4,F40&lt;4)</formula>
    </cfRule>
  </conditionalFormatting>
  <conditionalFormatting sqref="F41">
    <cfRule type="expression" priority="370" dxfId="0">
      <formula>AND(COUNT(C41:L41)=10,F41=4)</formula>
    </cfRule>
    <cfRule type="expression" priority="371" dxfId="1">
      <formula>AND(COUNT(C41:L41)=10,F41&lt;4*0.4)</formula>
    </cfRule>
    <cfRule type="expression" priority="372" dxfId="2">
      <formula>AND(COUNT(C41:L41)=10,F41&gt;=4*0.4,F41&lt;4)</formula>
    </cfRule>
  </conditionalFormatting>
  <conditionalFormatting sqref="G11">
    <cfRule type="expression" priority="373" dxfId="0">
      <formula>AND(COUNT(C11:L11)=10,G11=4)</formula>
    </cfRule>
    <cfRule type="expression" priority="374" dxfId="1">
      <formula>AND(COUNT(C11:L11)=10,G11&lt;4*0.4)</formula>
    </cfRule>
    <cfRule type="expression" priority="375" dxfId="2">
      <formula>AND(COUNT(C11:L11)=10,G11&gt;=4*0.4,G11&lt;4)</formula>
    </cfRule>
  </conditionalFormatting>
  <conditionalFormatting sqref="G12">
    <cfRule type="expression" priority="376" dxfId="0">
      <formula>AND(COUNT(C12:L12)=10,G12=4)</formula>
    </cfRule>
    <cfRule type="expression" priority="377" dxfId="1">
      <formula>AND(COUNT(C12:L12)=10,G12&lt;4*0.4)</formula>
    </cfRule>
    <cfRule type="expression" priority="378" dxfId="2">
      <formula>AND(COUNT(C12:L12)=10,G12&gt;=4*0.4,G12&lt;4)</formula>
    </cfRule>
  </conditionalFormatting>
  <conditionalFormatting sqref="G13">
    <cfRule type="expression" priority="379" dxfId="0">
      <formula>AND(COUNT(C13:L13)=10,G13=4)</formula>
    </cfRule>
    <cfRule type="expression" priority="380" dxfId="1">
      <formula>AND(COUNT(C13:L13)=10,G13&lt;4*0.4)</formula>
    </cfRule>
    <cfRule type="expression" priority="381" dxfId="2">
      <formula>AND(COUNT(C13:L13)=10,G13&gt;=4*0.4,G13&lt;4)</formula>
    </cfRule>
  </conditionalFormatting>
  <conditionalFormatting sqref="G14">
    <cfRule type="expression" priority="382" dxfId="0">
      <formula>AND(COUNT(C14:L14)=10,G14=4)</formula>
    </cfRule>
    <cfRule type="expression" priority="383" dxfId="1">
      <formula>AND(COUNT(C14:L14)=10,G14&lt;4*0.4)</formula>
    </cfRule>
    <cfRule type="expression" priority="384" dxfId="2">
      <formula>AND(COUNT(C14:L14)=10,G14&gt;=4*0.4,G14&lt;4)</formula>
    </cfRule>
  </conditionalFormatting>
  <conditionalFormatting sqref="G15">
    <cfRule type="expression" priority="385" dxfId="0">
      <formula>AND(COUNT(C15:L15)=10,G15=4)</formula>
    </cfRule>
    <cfRule type="expression" priority="386" dxfId="1">
      <formula>AND(COUNT(C15:L15)=10,G15&lt;4*0.4)</formula>
    </cfRule>
    <cfRule type="expression" priority="387" dxfId="2">
      <formula>AND(COUNT(C15:L15)=10,G15&gt;=4*0.4,G15&lt;4)</formula>
    </cfRule>
  </conditionalFormatting>
  <conditionalFormatting sqref="G16">
    <cfRule type="expression" priority="388" dxfId="0">
      <formula>AND(COUNT(C16:L16)=10,G16=4)</formula>
    </cfRule>
    <cfRule type="expression" priority="389" dxfId="1">
      <formula>AND(COUNT(C16:L16)=10,G16&lt;4*0.4)</formula>
    </cfRule>
    <cfRule type="expression" priority="390" dxfId="2">
      <formula>AND(COUNT(C16:L16)=10,G16&gt;=4*0.4,G16&lt;4)</formula>
    </cfRule>
  </conditionalFormatting>
  <conditionalFormatting sqref="G17">
    <cfRule type="expression" priority="391" dxfId="0">
      <formula>AND(COUNT(C17:L17)=10,G17=4)</formula>
    </cfRule>
    <cfRule type="expression" priority="392" dxfId="1">
      <formula>AND(COUNT(C17:L17)=10,G17&lt;4*0.4)</formula>
    </cfRule>
    <cfRule type="expression" priority="393" dxfId="2">
      <formula>AND(COUNT(C17:L17)=10,G17&gt;=4*0.4,G17&lt;4)</formula>
    </cfRule>
  </conditionalFormatting>
  <conditionalFormatting sqref="G18">
    <cfRule type="expression" priority="394" dxfId="0">
      <formula>AND(COUNT(C18:L18)=10,G18=4)</formula>
    </cfRule>
    <cfRule type="expression" priority="395" dxfId="1">
      <formula>AND(COUNT(C18:L18)=10,G18&lt;4*0.4)</formula>
    </cfRule>
    <cfRule type="expression" priority="396" dxfId="2">
      <formula>AND(COUNT(C18:L18)=10,G18&gt;=4*0.4,G18&lt;4)</formula>
    </cfRule>
  </conditionalFormatting>
  <conditionalFormatting sqref="G19">
    <cfRule type="expression" priority="397" dxfId="0">
      <formula>AND(COUNT(C19:L19)=10,G19=4)</formula>
    </cfRule>
    <cfRule type="expression" priority="398" dxfId="1">
      <formula>AND(COUNT(C19:L19)=10,G19&lt;4*0.4)</formula>
    </cfRule>
    <cfRule type="expression" priority="399" dxfId="2">
      <formula>AND(COUNT(C19:L19)=10,G19&gt;=4*0.4,G19&lt;4)</formula>
    </cfRule>
  </conditionalFormatting>
  <conditionalFormatting sqref="G20">
    <cfRule type="expression" priority="400" dxfId="0">
      <formula>AND(COUNT(C20:L20)=10,G20=4)</formula>
    </cfRule>
    <cfRule type="expression" priority="401" dxfId="1">
      <formula>AND(COUNT(C20:L20)=10,G20&lt;4*0.4)</formula>
    </cfRule>
    <cfRule type="expression" priority="402" dxfId="2">
      <formula>AND(COUNT(C20:L20)=10,G20&gt;=4*0.4,G20&lt;4)</formula>
    </cfRule>
  </conditionalFormatting>
  <conditionalFormatting sqref="G21">
    <cfRule type="expression" priority="403" dxfId="0">
      <formula>AND(COUNT(C21:L21)=10,G21=4)</formula>
    </cfRule>
    <cfRule type="expression" priority="404" dxfId="1">
      <formula>AND(COUNT(C21:L21)=10,G21&lt;4*0.4)</formula>
    </cfRule>
    <cfRule type="expression" priority="405" dxfId="2">
      <formula>AND(COUNT(C21:L21)=10,G21&gt;=4*0.4,G21&lt;4)</formula>
    </cfRule>
  </conditionalFormatting>
  <conditionalFormatting sqref="G22">
    <cfRule type="expression" priority="406" dxfId="0">
      <formula>AND(COUNT(C22:L22)=10,G22=4)</formula>
    </cfRule>
    <cfRule type="expression" priority="407" dxfId="1">
      <formula>AND(COUNT(C22:L22)=10,G22&lt;4*0.4)</formula>
    </cfRule>
    <cfRule type="expression" priority="408" dxfId="2">
      <formula>AND(COUNT(C22:L22)=10,G22&gt;=4*0.4,G22&lt;4)</formula>
    </cfRule>
  </conditionalFormatting>
  <conditionalFormatting sqref="G23">
    <cfRule type="expression" priority="409" dxfId="0">
      <formula>AND(COUNT(C23:L23)=10,G23=4)</formula>
    </cfRule>
    <cfRule type="expression" priority="410" dxfId="1">
      <formula>AND(COUNT(C23:L23)=10,G23&lt;4*0.4)</formula>
    </cfRule>
    <cfRule type="expression" priority="411" dxfId="2">
      <formula>AND(COUNT(C23:L23)=10,G23&gt;=4*0.4,G23&lt;4)</formula>
    </cfRule>
  </conditionalFormatting>
  <conditionalFormatting sqref="G24">
    <cfRule type="expression" priority="412" dxfId="0">
      <formula>AND(COUNT(C24:L24)=10,G24=4)</formula>
    </cfRule>
    <cfRule type="expression" priority="413" dxfId="1">
      <formula>AND(COUNT(C24:L24)=10,G24&lt;4*0.4)</formula>
    </cfRule>
    <cfRule type="expression" priority="414" dxfId="2">
      <formula>AND(COUNT(C24:L24)=10,G24&gt;=4*0.4,G24&lt;4)</formula>
    </cfRule>
  </conditionalFormatting>
  <conditionalFormatting sqref="G25">
    <cfRule type="expression" priority="415" dxfId="0">
      <formula>AND(COUNT(C25:L25)=10,G25=4)</formula>
    </cfRule>
    <cfRule type="expression" priority="416" dxfId="1">
      <formula>AND(COUNT(C25:L25)=10,G25&lt;4*0.4)</formula>
    </cfRule>
    <cfRule type="expression" priority="417" dxfId="2">
      <formula>AND(COUNT(C25:L25)=10,G25&gt;=4*0.4,G25&lt;4)</formula>
    </cfRule>
  </conditionalFormatting>
  <conditionalFormatting sqref="G26">
    <cfRule type="expression" priority="418" dxfId="0">
      <formula>AND(COUNT(C26:L26)=10,G26=4)</formula>
    </cfRule>
    <cfRule type="expression" priority="419" dxfId="1">
      <formula>AND(COUNT(C26:L26)=10,G26&lt;4*0.4)</formula>
    </cfRule>
    <cfRule type="expression" priority="420" dxfId="2">
      <formula>AND(COUNT(C26:L26)=10,G26&gt;=4*0.4,G26&lt;4)</formula>
    </cfRule>
  </conditionalFormatting>
  <conditionalFormatting sqref="G27">
    <cfRule type="expression" priority="421" dxfId="0">
      <formula>AND(COUNT(C27:L27)=10,G27=4)</formula>
    </cfRule>
    <cfRule type="expression" priority="422" dxfId="1">
      <formula>AND(COUNT(C27:L27)=10,G27&lt;4*0.4)</formula>
    </cfRule>
    <cfRule type="expression" priority="423" dxfId="2">
      <formula>AND(COUNT(C27:L27)=10,G27&gt;=4*0.4,G27&lt;4)</formula>
    </cfRule>
  </conditionalFormatting>
  <conditionalFormatting sqref="G28">
    <cfRule type="expression" priority="424" dxfId="0">
      <formula>AND(COUNT(C28:L28)=10,G28=4)</formula>
    </cfRule>
    <cfRule type="expression" priority="425" dxfId="1">
      <formula>AND(COUNT(C28:L28)=10,G28&lt;4*0.4)</formula>
    </cfRule>
    <cfRule type="expression" priority="426" dxfId="2">
      <formula>AND(COUNT(C28:L28)=10,G28&gt;=4*0.4,G28&lt;4)</formula>
    </cfRule>
  </conditionalFormatting>
  <conditionalFormatting sqref="G29">
    <cfRule type="expression" priority="427" dxfId="0">
      <formula>AND(COUNT(C29:L29)=10,G29=4)</formula>
    </cfRule>
    <cfRule type="expression" priority="428" dxfId="1">
      <formula>AND(COUNT(C29:L29)=10,G29&lt;4*0.4)</formula>
    </cfRule>
    <cfRule type="expression" priority="429" dxfId="2">
      <formula>AND(COUNT(C29:L29)=10,G29&gt;=4*0.4,G29&lt;4)</formula>
    </cfRule>
  </conditionalFormatting>
  <conditionalFormatting sqref="G30">
    <cfRule type="expression" priority="430" dxfId="0">
      <formula>AND(COUNT(C30:L30)=10,G30=4)</formula>
    </cfRule>
    <cfRule type="expression" priority="431" dxfId="1">
      <formula>AND(COUNT(C30:L30)=10,G30&lt;4*0.4)</formula>
    </cfRule>
    <cfRule type="expression" priority="432" dxfId="2">
      <formula>AND(COUNT(C30:L30)=10,G30&gt;=4*0.4,G30&lt;4)</formula>
    </cfRule>
  </conditionalFormatting>
  <conditionalFormatting sqref="G31">
    <cfRule type="expression" priority="433" dxfId="0">
      <formula>AND(COUNT(C31:L31)=10,G31=4)</formula>
    </cfRule>
    <cfRule type="expression" priority="434" dxfId="1">
      <formula>AND(COUNT(C31:L31)=10,G31&lt;4*0.4)</formula>
    </cfRule>
    <cfRule type="expression" priority="435" dxfId="2">
      <formula>AND(COUNT(C31:L31)=10,G31&gt;=4*0.4,G31&lt;4)</formula>
    </cfRule>
  </conditionalFormatting>
  <conditionalFormatting sqref="G32">
    <cfRule type="expression" priority="436" dxfId="0">
      <formula>AND(COUNT(C32:L32)=10,G32=4)</formula>
    </cfRule>
    <cfRule type="expression" priority="437" dxfId="1">
      <formula>AND(COUNT(C32:L32)=10,G32&lt;4*0.4)</formula>
    </cfRule>
    <cfRule type="expression" priority="438" dxfId="2">
      <formula>AND(COUNT(C32:L32)=10,G32&gt;=4*0.4,G32&lt;4)</formula>
    </cfRule>
  </conditionalFormatting>
  <conditionalFormatting sqref="G33">
    <cfRule type="expression" priority="439" dxfId="0">
      <formula>AND(COUNT(C33:L33)=10,G33=4)</formula>
    </cfRule>
    <cfRule type="expression" priority="440" dxfId="1">
      <formula>AND(COUNT(C33:L33)=10,G33&lt;4*0.4)</formula>
    </cfRule>
    <cfRule type="expression" priority="441" dxfId="2">
      <formula>AND(COUNT(C33:L33)=10,G33&gt;=4*0.4,G33&lt;4)</formula>
    </cfRule>
  </conditionalFormatting>
  <conditionalFormatting sqref="G34">
    <cfRule type="expression" priority="442" dxfId="0">
      <formula>AND(COUNT(C34:L34)=10,G34=4)</formula>
    </cfRule>
    <cfRule type="expression" priority="443" dxfId="1">
      <formula>AND(COUNT(C34:L34)=10,G34&lt;4*0.4)</formula>
    </cfRule>
    <cfRule type="expression" priority="444" dxfId="2">
      <formula>AND(COUNT(C34:L34)=10,G34&gt;=4*0.4,G34&lt;4)</formula>
    </cfRule>
  </conditionalFormatting>
  <conditionalFormatting sqref="G35">
    <cfRule type="expression" priority="445" dxfId="0">
      <formula>AND(COUNT(C35:L35)=10,G35=4)</formula>
    </cfRule>
    <cfRule type="expression" priority="446" dxfId="1">
      <formula>AND(COUNT(C35:L35)=10,G35&lt;4*0.4)</formula>
    </cfRule>
    <cfRule type="expression" priority="447" dxfId="2">
      <formula>AND(COUNT(C35:L35)=10,G35&gt;=4*0.4,G35&lt;4)</formula>
    </cfRule>
  </conditionalFormatting>
  <conditionalFormatting sqref="G36">
    <cfRule type="expression" priority="448" dxfId="0">
      <formula>AND(COUNT(C36:L36)=10,G36=4)</formula>
    </cfRule>
    <cfRule type="expression" priority="449" dxfId="1">
      <formula>AND(COUNT(C36:L36)=10,G36&lt;4*0.4)</formula>
    </cfRule>
    <cfRule type="expression" priority="450" dxfId="2">
      <formula>AND(COUNT(C36:L36)=10,G36&gt;=4*0.4,G36&lt;4)</formula>
    </cfRule>
  </conditionalFormatting>
  <conditionalFormatting sqref="G37">
    <cfRule type="expression" priority="451" dxfId="0">
      <formula>AND(COUNT(C37:L37)=10,G37=4)</formula>
    </cfRule>
    <cfRule type="expression" priority="452" dxfId="1">
      <formula>AND(COUNT(C37:L37)=10,G37&lt;4*0.4)</formula>
    </cfRule>
    <cfRule type="expression" priority="453" dxfId="2">
      <formula>AND(COUNT(C37:L37)=10,G37&gt;=4*0.4,G37&lt;4)</formula>
    </cfRule>
  </conditionalFormatting>
  <conditionalFormatting sqref="G38">
    <cfRule type="expression" priority="454" dxfId="0">
      <formula>AND(COUNT(C38:L38)=10,G38=4)</formula>
    </cfRule>
    <cfRule type="expression" priority="455" dxfId="1">
      <formula>AND(COUNT(C38:L38)=10,G38&lt;4*0.4)</formula>
    </cfRule>
    <cfRule type="expression" priority="456" dxfId="2">
      <formula>AND(COUNT(C38:L38)=10,G38&gt;=4*0.4,G38&lt;4)</formula>
    </cfRule>
  </conditionalFormatting>
  <conditionalFormatting sqref="G39">
    <cfRule type="expression" priority="457" dxfId="0">
      <formula>AND(COUNT(C39:L39)=10,G39=4)</formula>
    </cfRule>
    <cfRule type="expression" priority="458" dxfId="1">
      <formula>AND(COUNT(C39:L39)=10,G39&lt;4*0.4)</formula>
    </cfRule>
    <cfRule type="expression" priority="459" dxfId="2">
      <formula>AND(COUNT(C39:L39)=10,G39&gt;=4*0.4,G39&lt;4)</formula>
    </cfRule>
  </conditionalFormatting>
  <conditionalFormatting sqref="G40">
    <cfRule type="expression" priority="460" dxfId="0">
      <formula>AND(COUNT(C40:L40)=10,G40=4)</formula>
    </cfRule>
    <cfRule type="expression" priority="461" dxfId="1">
      <formula>AND(COUNT(C40:L40)=10,G40&lt;4*0.4)</formula>
    </cfRule>
    <cfRule type="expression" priority="462" dxfId="2">
      <formula>AND(COUNT(C40:L40)=10,G40&gt;=4*0.4,G40&lt;4)</formula>
    </cfRule>
  </conditionalFormatting>
  <conditionalFormatting sqref="G41">
    <cfRule type="expression" priority="463" dxfId="0">
      <formula>AND(COUNT(C41:L41)=10,G41=4)</formula>
    </cfRule>
    <cfRule type="expression" priority="464" dxfId="1">
      <formula>AND(COUNT(C41:L41)=10,G41&lt;4*0.4)</formula>
    </cfRule>
    <cfRule type="expression" priority="465" dxfId="2">
      <formula>AND(COUNT(C41:L41)=10,G41&gt;=4*0.4,G41&lt;4)</formula>
    </cfRule>
  </conditionalFormatting>
  <conditionalFormatting sqref="H11">
    <cfRule type="expression" priority="466" dxfId="0">
      <formula>AND(COUNT(C11:L11)=10,H11=5)</formula>
    </cfRule>
    <cfRule type="expression" priority="467" dxfId="1">
      <formula>AND(COUNT(C11:L11)=10,H11&lt;5*0.4)</formula>
    </cfRule>
    <cfRule type="expression" priority="468" dxfId="2">
      <formula>AND(COUNT(C11:L11)=10,H11&gt;=5*0.4,H11&lt;5)</formula>
    </cfRule>
  </conditionalFormatting>
  <conditionalFormatting sqref="H12">
    <cfRule type="expression" priority="469" dxfId="0">
      <formula>AND(COUNT(C12:L12)=10,H12=5)</formula>
    </cfRule>
    <cfRule type="expression" priority="470" dxfId="1">
      <formula>AND(COUNT(C12:L12)=10,H12&lt;5*0.4)</formula>
    </cfRule>
    <cfRule type="expression" priority="471" dxfId="2">
      <formula>AND(COUNT(C12:L12)=10,H12&gt;=5*0.4,H12&lt;5)</formula>
    </cfRule>
  </conditionalFormatting>
  <conditionalFormatting sqref="H13">
    <cfRule type="expression" priority="472" dxfId="0">
      <formula>AND(COUNT(C13:L13)=10,H13=5)</formula>
    </cfRule>
    <cfRule type="expression" priority="473" dxfId="1">
      <formula>AND(COUNT(C13:L13)=10,H13&lt;5*0.4)</formula>
    </cfRule>
    <cfRule type="expression" priority="474" dxfId="2">
      <formula>AND(COUNT(C13:L13)=10,H13&gt;=5*0.4,H13&lt;5)</formula>
    </cfRule>
  </conditionalFormatting>
  <conditionalFormatting sqref="H14">
    <cfRule type="expression" priority="475" dxfId="0">
      <formula>AND(COUNT(C14:L14)=10,H14=5)</formula>
    </cfRule>
    <cfRule type="expression" priority="476" dxfId="1">
      <formula>AND(COUNT(C14:L14)=10,H14&lt;5*0.4)</formula>
    </cfRule>
    <cfRule type="expression" priority="477" dxfId="2">
      <formula>AND(COUNT(C14:L14)=10,H14&gt;=5*0.4,H14&lt;5)</formula>
    </cfRule>
  </conditionalFormatting>
  <conditionalFormatting sqref="H15">
    <cfRule type="expression" priority="478" dxfId="0">
      <formula>AND(COUNT(C15:L15)=10,H15=5)</formula>
    </cfRule>
    <cfRule type="expression" priority="479" dxfId="1">
      <formula>AND(COUNT(C15:L15)=10,H15&lt;5*0.4)</formula>
    </cfRule>
    <cfRule type="expression" priority="480" dxfId="2">
      <formula>AND(COUNT(C15:L15)=10,H15&gt;=5*0.4,H15&lt;5)</formula>
    </cfRule>
  </conditionalFormatting>
  <conditionalFormatting sqref="H16">
    <cfRule type="expression" priority="481" dxfId="0">
      <formula>AND(COUNT(C16:L16)=10,H16=5)</formula>
    </cfRule>
    <cfRule type="expression" priority="482" dxfId="1">
      <formula>AND(COUNT(C16:L16)=10,H16&lt;5*0.4)</formula>
    </cfRule>
    <cfRule type="expression" priority="483" dxfId="2">
      <formula>AND(COUNT(C16:L16)=10,H16&gt;=5*0.4,H16&lt;5)</formula>
    </cfRule>
  </conditionalFormatting>
  <conditionalFormatting sqref="H17">
    <cfRule type="expression" priority="484" dxfId="0">
      <formula>AND(COUNT(C17:L17)=10,H17=5)</formula>
    </cfRule>
    <cfRule type="expression" priority="485" dxfId="1">
      <formula>AND(COUNT(C17:L17)=10,H17&lt;5*0.4)</formula>
    </cfRule>
    <cfRule type="expression" priority="486" dxfId="2">
      <formula>AND(COUNT(C17:L17)=10,H17&gt;=5*0.4,H17&lt;5)</formula>
    </cfRule>
  </conditionalFormatting>
  <conditionalFormatting sqref="H18">
    <cfRule type="expression" priority="487" dxfId="0">
      <formula>AND(COUNT(C18:L18)=10,H18=5)</formula>
    </cfRule>
    <cfRule type="expression" priority="488" dxfId="1">
      <formula>AND(COUNT(C18:L18)=10,H18&lt;5*0.4)</formula>
    </cfRule>
    <cfRule type="expression" priority="489" dxfId="2">
      <formula>AND(COUNT(C18:L18)=10,H18&gt;=5*0.4,H18&lt;5)</formula>
    </cfRule>
  </conditionalFormatting>
  <conditionalFormatting sqref="H19">
    <cfRule type="expression" priority="490" dxfId="0">
      <formula>AND(COUNT(C19:L19)=10,H19=5)</formula>
    </cfRule>
    <cfRule type="expression" priority="491" dxfId="1">
      <formula>AND(COUNT(C19:L19)=10,H19&lt;5*0.4)</formula>
    </cfRule>
    <cfRule type="expression" priority="492" dxfId="2">
      <formula>AND(COUNT(C19:L19)=10,H19&gt;=5*0.4,H19&lt;5)</formula>
    </cfRule>
  </conditionalFormatting>
  <conditionalFormatting sqref="H20">
    <cfRule type="expression" priority="493" dxfId="0">
      <formula>AND(COUNT(C20:L20)=10,H20=5)</formula>
    </cfRule>
    <cfRule type="expression" priority="494" dxfId="1">
      <formula>AND(COUNT(C20:L20)=10,H20&lt;5*0.4)</formula>
    </cfRule>
    <cfRule type="expression" priority="495" dxfId="2">
      <formula>AND(COUNT(C20:L20)=10,H20&gt;=5*0.4,H20&lt;5)</formula>
    </cfRule>
  </conditionalFormatting>
  <conditionalFormatting sqref="H21">
    <cfRule type="expression" priority="496" dxfId="0">
      <formula>AND(COUNT(C21:L21)=10,H21=5)</formula>
    </cfRule>
    <cfRule type="expression" priority="497" dxfId="1">
      <formula>AND(COUNT(C21:L21)=10,H21&lt;5*0.4)</formula>
    </cfRule>
    <cfRule type="expression" priority="498" dxfId="2">
      <formula>AND(COUNT(C21:L21)=10,H21&gt;=5*0.4,H21&lt;5)</formula>
    </cfRule>
  </conditionalFormatting>
  <conditionalFormatting sqref="H22">
    <cfRule type="expression" priority="499" dxfId="0">
      <formula>AND(COUNT(C22:L22)=10,H22=5)</formula>
    </cfRule>
    <cfRule type="expression" priority="500" dxfId="1">
      <formula>AND(COUNT(C22:L22)=10,H22&lt;5*0.4)</formula>
    </cfRule>
    <cfRule type="expression" priority="501" dxfId="2">
      <formula>AND(COUNT(C22:L22)=10,H22&gt;=5*0.4,H22&lt;5)</formula>
    </cfRule>
  </conditionalFormatting>
  <conditionalFormatting sqref="H23">
    <cfRule type="expression" priority="502" dxfId="0">
      <formula>AND(COUNT(C23:L23)=10,H23=5)</formula>
    </cfRule>
    <cfRule type="expression" priority="503" dxfId="1">
      <formula>AND(COUNT(C23:L23)=10,H23&lt;5*0.4)</formula>
    </cfRule>
    <cfRule type="expression" priority="504" dxfId="2">
      <formula>AND(COUNT(C23:L23)=10,H23&gt;=5*0.4,H23&lt;5)</formula>
    </cfRule>
  </conditionalFormatting>
  <conditionalFormatting sqref="H24">
    <cfRule type="expression" priority="505" dxfId="0">
      <formula>AND(COUNT(C24:L24)=10,H24=5)</formula>
    </cfRule>
    <cfRule type="expression" priority="506" dxfId="1">
      <formula>AND(COUNT(C24:L24)=10,H24&lt;5*0.4)</formula>
    </cfRule>
    <cfRule type="expression" priority="507" dxfId="2">
      <formula>AND(COUNT(C24:L24)=10,H24&gt;=5*0.4,H24&lt;5)</formula>
    </cfRule>
  </conditionalFormatting>
  <conditionalFormatting sqref="H25">
    <cfRule type="expression" priority="508" dxfId="0">
      <formula>AND(COUNT(C25:L25)=10,H25=5)</formula>
    </cfRule>
    <cfRule type="expression" priority="509" dxfId="1">
      <formula>AND(COUNT(C25:L25)=10,H25&lt;5*0.4)</formula>
    </cfRule>
    <cfRule type="expression" priority="510" dxfId="2">
      <formula>AND(COUNT(C25:L25)=10,H25&gt;=5*0.4,H25&lt;5)</formula>
    </cfRule>
  </conditionalFormatting>
  <conditionalFormatting sqref="H26">
    <cfRule type="expression" priority="511" dxfId="0">
      <formula>AND(COUNT(C26:L26)=10,H26=5)</formula>
    </cfRule>
    <cfRule type="expression" priority="512" dxfId="1">
      <formula>AND(COUNT(C26:L26)=10,H26&lt;5*0.4)</formula>
    </cfRule>
    <cfRule type="expression" priority="513" dxfId="2">
      <formula>AND(COUNT(C26:L26)=10,H26&gt;=5*0.4,H26&lt;5)</formula>
    </cfRule>
  </conditionalFormatting>
  <conditionalFormatting sqref="H27">
    <cfRule type="expression" priority="514" dxfId="0">
      <formula>AND(COUNT(C27:L27)=10,H27=5)</formula>
    </cfRule>
    <cfRule type="expression" priority="515" dxfId="1">
      <formula>AND(COUNT(C27:L27)=10,H27&lt;5*0.4)</formula>
    </cfRule>
    <cfRule type="expression" priority="516" dxfId="2">
      <formula>AND(COUNT(C27:L27)=10,H27&gt;=5*0.4,H27&lt;5)</formula>
    </cfRule>
  </conditionalFormatting>
  <conditionalFormatting sqref="H28">
    <cfRule type="expression" priority="517" dxfId="0">
      <formula>AND(COUNT(C28:L28)=10,H28=5)</formula>
    </cfRule>
    <cfRule type="expression" priority="518" dxfId="1">
      <formula>AND(COUNT(C28:L28)=10,H28&lt;5*0.4)</formula>
    </cfRule>
    <cfRule type="expression" priority="519" dxfId="2">
      <formula>AND(COUNT(C28:L28)=10,H28&gt;=5*0.4,H28&lt;5)</formula>
    </cfRule>
  </conditionalFormatting>
  <conditionalFormatting sqref="H29">
    <cfRule type="expression" priority="520" dxfId="0">
      <formula>AND(COUNT(C29:L29)=10,H29=5)</formula>
    </cfRule>
    <cfRule type="expression" priority="521" dxfId="1">
      <formula>AND(COUNT(C29:L29)=10,H29&lt;5*0.4)</formula>
    </cfRule>
    <cfRule type="expression" priority="522" dxfId="2">
      <formula>AND(COUNT(C29:L29)=10,H29&gt;=5*0.4,H29&lt;5)</formula>
    </cfRule>
  </conditionalFormatting>
  <conditionalFormatting sqref="H30">
    <cfRule type="expression" priority="523" dxfId="0">
      <formula>AND(COUNT(C30:L30)=10,H30=5)</formula>
    </cfRule>
    <cfRule type="expression" priority="524" dxfId="1">
      <formula>AND(COUNT(C30:L30)=10,H30&lt;5*0.4)</formula>
    </cfRule>
    <cfRule type="expression" priority="525" dxfId="2">
      <formula>AND(COUNT(C30:L30)=10,H30&gt;=5*0.4,H30&lt;5)</formula>
    </cfRule>
  </conditionalFormatting>
  <conditionalFormatting sqref="H31">
    <cfRule type="expression" priority="526" dxfId="0">
      <formula>AND(COUNT(C31:L31)=10,H31=5)</formula>
    </cfRule>
    <cfRule type="expression" priority="527" dxfId="1">
      <formula>AND(COUNT(C31:L31)=10,H31&lt;5*0.4)</formula>
    </cfRule>
    <cfRule type="expression" priority="528" dxfId="2">
      <formula>AND(COUNT(C31:L31)=10,H31&gt;=5*0.4,H31&lt;5)</formula>
    </cfRule>
  </conditionalFormatting>
  <conditionalFormatting sqref="H32">
    <cfRule type="expression" priority="529" dxfId="0">
      <formula>AND(COUNT(C32:L32)=10,H32=5)</formula>
    </cfRule>
    <cfRule type="expression" priority="530" dxfId="1">
      <formula>AND(COUNT(C32:L32)=10,H32&lt;5*0.4)</formula>
    </cfRule>
    <cfRule type="expression" priority="531" dxfId="2">
      <formula>AND(COUNT(C32:L32)=10,H32&gt;=5*0.4,H32&lt;5)</formula>
    </cfRule>
  </conditionalFormatting>
  <conditionalFormatting sqref="H33">
    <cfRule type="expression" priority="532" dxfId="0">
      <formula>AND(COUNT(C33:L33)=10,H33=5)</formula>
    </cfRule>
    <cfRule type="expression" priority="533" dxfId="1">
      <formula>AND(COUNT(C33:L33)=10,H33&lt;5*0.4)</formula>
    </cfRule>
    <cfRule type="expression" priority="534" dxfId="2">
      <formula>AND(COUNT(C33:L33)=10,H33&gt;=5*0.4,H33&lt;5)</formula>
    </cfRule>
  </conditionalFormatting>
  <conditionalFormatting sqref="H34">
    <cfRule type="expression" priority="535" dxfId="0">
      <formula>AND(COUNT(C34:L34)=10,H34=5)</formula>
    </cfRule>
    <cfRule type="expression" priority="536" dxfId="1">
      <formula>AND(COUNT(C34:L34)=10,H34&lt;5*0.4)</formula>
    </cfRule>
    <cfRule type="expression" priority="537" dxfId="2">
      <formula>AND(COUNT(C34:L34)=10,H34&gt;=5*0.4,H34&lt;5)</formula>
    </cfRule>
  </conditionalFormatting>
  <conditionalFormatting sqref="H35">
    <cfRule type="expression" priority="538" dxfId="0">
      <formula>AND(COUNT(C35:L35)=10,H35=5)</formula>
    </cfRule>
    <cfRule type="expression" priority="539" dxfId="1">
      <formula>AND(COUNT(C35:L35)=10,H35&lt;5*0.4)</formula>
    </cfRule>
    <cfRule type="expression" priority="540" dxfId="2">
      <formula>AND(COUNT(C35:L35)=10,H35&gt;=5*0.4,H35&lt;5)</formula>
    </cfRule>
  </conditionalFormatting>
  <conditionalFormatting sqref="H36">
    <cfRule type="expression" priority="541" dxfId="0">
      <formula>AND(COUNT(C36:L36)=10,H36=5)</formula>
    </cfRule>
    <cfRule type="expression" priority="542" dxfId="1">
      <formula>AND(COUNT(C36:L36)=10,H36&lt;5*0.4)</formula>
    </cfRule>
    <cfRule type="expression" priority="543" dxfId="2">
      <formula>AND(COUNT(C36:L36)=10,H36&gt;=5*0.4,H36&lt;5)</formula>
    </cfRule>
  </conditionalFormatting>
  <conditionalFormatting sqref="H37">
    <cfRule type="expression" priority="544" dxfId="0">
      <formula>AND(COUNT(C37:L37)=10,H37=5)</formula>
    </cfRule>
    <cfRule type="expression" priority="545" dxfId="1">
      <formula>AND(COUNT(C37:L37)=10,H37&lt;5*0.4)</formula>
    </cfRule>
    <cfRule type="expression" priority="546" dxfId="2">
      <formula>AND(COUNT(C37:L37)=10,H37&gt;=5*0.4,H37&lt;5)</formula>
    </cfRule>
  </conditionalFormatting>
  <conditionalFormatting sqref="H38">
    <cfRule type="expression" priority="547" dxfId="0">
      <formula>AND(COUNT(C38:L38)=10,H38=5)</formula>
    </cfRule>
    <cfRule type="expression" priority="548" dxfId="1">
      <formula>AND(COUNT(C38:L38)=10,H38&lt;5*0.4)</formula>
    </cfRule>
    <cfRule type="expression" priority="549" dxfId="2">
      <formula>AND(COUNT(C38:L38)=10,H38&gt;=5*0.4,H38&lt;5)</formula>
    </cfRule>
  </conditionalFormatting>
  <conditionalFormatting sqref="H39">
    <cfRule type="expression" priority="550" dxfId="0">
      <formula>AND(COUNT(C39:L39)=10,H39=5)</formula>
    </cfRule>
    <cfRule type="expression" priority="551" dxfId="1">
      <formula>AND(COUNT(C39:L39)=10,H39&lt;5*0.4)</formula>
    </cfRule>
    <cfRule type="expression" priority="552" dxfId="2">
      <formula>AND(COUNT(C39:L39)=10,H39&gt;=5*0.4,H39&lt;5)</formula>
    </cfRule>
  </conditionalFormatting>
  <conditionalFormatting sqref="H40">
    <cfRule type="expression" priority="553" dxfId="0">
      <formula>AND(COUNT(C40:L40)=10,H40=5)</formula>
    </cfRule>
    <cfRule type="expression" priority="554" dxfId="1">
      <formula>AND(COUNT(C40:L40)=10,H40&lt;5*0.4)</formula>
    </cfRule>
    <cfRule type="expression" priority="555" dxfId="2">
      <formula>AND(COUNT(C40:L40)=10,H40&gt;=5*0.4,H40&lt;5)</formula>
    </cfRule>
  </conditionalFormatting>
  <conditionalFormatting sqref="H41">
    <cfRule type="expression" priority="556" dxfId="0">
      <formula>AND(COUNT(C41:L41)=10,H41=5)</formula>
    </cfRule>
    <cfRule type="expression" priority="557" dxfId="1">
      <formula>AND(COUNT(C41:L41)=10,H41&lt;5*0.4)</formula>
    </cfRule>
    <cfRule type="expression" priority="558" dxfId="2">
      <formula>AND(COUNT(C41:L41)=10,H41&gt;=5*0.4,H41&lt;5)</formula>
    </cfRule>
  </conditionalFormatting>
  <conditionalFormatting sqref="I11">
    <cfRule type="expression" priority="559" dxfId="0">
      <formula>AND(COUNT(C11:L11)=10,I11=11)</formula>
    </cfRule>
    <cfRule type="expression" priority="560" dxfId="1">
      <formula>AND(COUNT(C11:L11)=10,I11&lt;11*0.4)</formula>
    </cfRule>
    <cfRule type="expression" priority="561" dxfId="2">
      <formula>AND(COUNT(C11:L11)=10,I11&gt;=11*0.4,I11&lt;11)</formula>
    </cfRule>
  </conditionalFormatting>
  <conditionalFormatting sqref="I12">
    <cfRule type="expression" priority="562" dxfId="0">
      <formula>AND(COUNT(C12:L12)=10,I12=11)</formula>
    </cfRule>
    <cfRule type="expression" priority="563" dxfId="1">
      <formula>AND(COUNT(C12:L12)=10,I12&lt;11*0.4)</formula>
    </cfRule>
    <cfRule type="expression" priority="564" dxfId="2">
      <formula>AND(COUNT(C12:L12)=10,I12&gt;=11*0.4,I12&lt;11)</formula>
    </cfRule>
  </conditionalFormatting>
  <conditionalFormatting sqref="I13">
    <cfRule type="expression" priority="565" dxfId="0">
      <formula>AND(COUNT(C13:L13)=10,I13=11)</formula>
    </cfRule>
    <cfRule type="expression" priority="566" dxfId="1">
      <formula>AND(COUNT(C13:L13)=10,I13&lt;11*0.4)</formula>
    </cfRule>
    <cfRule type="expression" priority="567" dxfId="2">
      <formula>AND(COUNT(C13:L13)=10,I13&gt;=11*0.4,I13&lt;11)</formula>
    </cfRule>
  </conditionalFormatting>
  <conditionalFormatting sqref="I14">
    <cfRule type="expression" priority="568" dxfId="0">
      <formula>AND(COUNT(C14:L14)=10,I14=11)</formula>
    </cfRule>
    <cfRule type="expression" priority="569" dxfId="1">
      <formula>AND(COUNT(C14:L14)=10,I14&lt;11*0.4)</formula>
    </cfRule>
    <cfRule type="expression" priority="570" dxfId="2">
      <formula>AND(COUNT(C14:L14)=10,I14&gt;=11*0.4,I14&lt;11)</formula>
    </cfRule>
  </conditionalFormatting>
  <conditionalFormatting sqref="I15">
    <cfRule type="expression" priority="571" dxfId="0">
      <formula>AND(COUNT(C15:L15)=10,I15=11)</formula>
    </cfRule>
    <cfRule type="expression" priority="572" dxfId="1">
      <formula>AND(COUNT(C15:L15)=10,I15&lt;11*0.4)</formula>
    </cfRule>
    <cfRule type="expression" priority="573" dxfId="2">
      <formula>AND(COUNT(C15:L15)=10,I15&gt;=11*0.4,I15&lt;11)</formula>
    </cfRule>
  </conditionalFormatting>
  <conditionalFormatting sqref="I16">
    <cfRule type="expression" priority="574" dxfId="0">
      <formula>AND(COUNT(C16:L16)=10,I16=11)</formula>
    </cfRule>
    <cfRule type="expression" priority="575" dxfId="1">
      <formula>AND(COUNT(C16:L16)=10,I16&lt;11*0.4)</formula>
    </cfRule>
    <cfRule type="expression" priority="576" dxfId="2">
      <formula>AND(COUNT(C16:L16)=10,I16&gt;=11*0.4,I16&lt;11)</formula>
    </cfRule>
  </conditionalFormatting>
  <conditionalFormatting sqref="I17">
    <cfRule type="expression" priority="577" dxfId="0">
      <formula>AND(COUNT(C17:L17)=10,I17=11)</formula>
    </cfRule>
    <cfRule type="expression" priority="578" dxfId="1">
      <formula>AND(COUNT(C17:L17)=10,I17&lt;11*0.4)</formula>
    </cfRule>
    <cfRule type="expression" priority="579" dxfId="2">
      <formula>AND(COUNT(C17:L17)=10,I17&gt;=11*0.4,I17&lt;11)</formula>
    </cfRule>
  </conditionalFormatting>
  <conditionalFormatting sqref="I18">
    <cfRule type="expression" priority="580" dxfId="0">
      <formula>AND(COUNT(C18:L18)=10,I18=11)</formula>
    </cfRule>
    <cfRule type="expression" priority="581" dxfId="1">
      <formula>AND(COUNT(C18:L18)=10,I18&lt;11*0.4)</formula>
    </cfRule>
    <cfRule type="expression" priority="582" dxfId="2">
      <formula>AND(COUNT(C18:L18)=10,I18&gt;=11*0.4,I18&lt;11)</formula>
    </cfRule>
  </conditionalFormatting>
  <conditionalFormatting sqref="I19">
    <cfRule type="expression" priority="583" dxfId="0">
      <formula>AND(COUNT(C19:L19)=10,I19=11)</formula>
    </cfRule>
    <cfRule type="expression" priority="584" dxfId="1">
      <formula>AND(COUNT(C19:L19)=10,I19&lt;11*0.4)</formula>
    </cfRule>
    <cfRule type="expression" priority="585" dxfId="2">
      <formula>AND(COUNT(C19:L19)=10,I19&gt;=11*0.4,I19&lt;11)</formula>
    </cfRule>
  </conditionalFormatting>
  <conditionalFormatting sqref="I20">
    <cfRule type="expression" priority="586" dxfId="0">
      <formula>AND(COUNT(C20:L20)=10,I20=11)</formula>
    </cfRule>
    <cfRule type="expression" priority="587" dxfId="1">
      <formula>AND(COUNT(C20:L20)=10,I20&lt;11*0.4)</formula>
    </cfRule>
    <cfRule type="expression" priority="588" dxfId="2">
      <formula>AND(COUNT(C20:L20)=10,I20&gt;=11*0.4,I20&lt;11)</formula>
    </cfRule>
  </conditionalFormatting>
  <conditionalFormatting sqref="I21">
    <cfRule type="expression" priority="589" dxfId="0">
      <formula>AND(COUNT(C21:L21)=10,I21=11)</formula>
    </cfRule>
    <cfRule type="expression" priority="590" dxfId="1">
      <formula>AND(COUNT(C21:L21)=10,I21&lt;11*0.4)</formula>
    </cfRule>
    <cfRule type="expression" priority="591" dxfId="2">
      <formula>AND(COUNT(C21:L21)=10,I21&gt;=11*0.4,I21&lt;11)</formula>
    </cfRule>
  </conditionalFormatting>
  <conditionalFormatting sqref="I22">
    <cfRule type="expression" priority="592" dxfId="0">
      <formula>AND(COUNT(C22:L22)=10,I22=11)</formula>
    </cfRule>
    <cfRule type="expression" priority="593" dxfId="1">
      <formula>AND(COUNT(C22:L22)=10,I22&lt;11*0.4)</formula>
    </cfRule>
    <cfRule type="expression" priority="594" dxfId="2">
      <formula>AND(COUNT(C22:L22)=10,I22&gt;=11*0.4,I22&lt;11)</formula>
    </cfRule>
  </conditionalFormatting>
  <conditionalFormatting sqref="I23">
    <cfRule type="expression" priority="595" dxfId="0">
      <formula>AND(COUNT(C23:L23)=10,I23=11)</formula>
    </cfRule>
    <cfRule type="expression" priority="596" dxfId="1">
      <formula>AND(COUNT(C23:L23)=10,I23&lt;11*0.4)</formula>
    </cfRule>
    <cfRule type="expression" priority="597" dxfId="2">
      <formula>AND(COUNT(C23:L23)=10,I23&gt;=11*0.4,I23&lt;11)</formula>
    </cfRule>
  </conditionalFormatting>
  <conditionalFormatting sqref="I24">
    <cfRule type="expression" priority="598" dxfId="0">
      <formula>AND(COUNT(C24:L24)=10,I24=11)</formula>
    </cfRule>
    <cfRule type="expression" priority="599" dxfId="1">
      <formula>AND(COUNT(C24:L24)=10,I24&lt;11*0.4)</formula>
    </cfRule>
    <cfRule type="expression" priority="600" dxfId="2">
      <formula>AND(COUNT(C24:L24)=10,I24&gt;=11*0.4,I24&lt;11)</formula>
    </cfRule>
  </conditionalFormatting>
  <conditionalFormatting sqref="I25">
    <cfRule type="expression" priority="601" dxfId="0">
      <formula>AND(COUNT(C25:L25)=10,I25=11)</formula>
    </cfRule>
    <cfRule type="expression" priority="602" dxfId="1">
      <formula>AND(COUNT(C25:L25)=10,I25&lt;11*0.4)</formula>
    </cfRule>
    <cfRule type="expression" priority="603" dxfId="2">
      <formula>AND(COUNT(C25:L25)=10,I25&gt;=11*0.4,I25&lt;11)</formula>
    </cfRule>
  </conditionalFormatting>
  <conditionalFormatting sqref="I26">
    <cfRule type="expression" priority="604" dxfId="0">
      <formula>AND(COUNT(C26:L26)=10,I26=11)</formula>
    </cfRule>
    <cfRule type="expression" priority="605" dxfId="1">
      <formula>AND(COUNT(C26:L26)=10,I26&lt;11*0.4)</formula>
    </cfRule>
    <cfRule type="expression" priority="606" dxfId="2">
      <formula>AND(COUNT(C26:L26)=10,I26&gt;=11*0.4,I26&lt;11)</formula>
    </cfRule>
  </conditionalFormatting>
  <conditionalFormatting sqref="I27">
    <cfRule type="expression" priority="607" dxfId="0">
      <formula>AND(COUNT(C27:L27)=10,I27=11)</formula>
    </cfRule>
    <cfRule type="expression" priority="608" dxfId="1">
      <formula>AND(COUNT(C27:L27)=10,I27&lt;11*0.4)</formula>
    </cfRule>
    <cfRule type="expression" priority="609" dxfId="2">
      <formula>AND(COUNT(C27:L27)=10,I27&gt;=11*0.4,I27&lt;11)</formula>
    </cfRule>
  </conditionalFormatting>
  <conditionalFormatting sqref="I28">
    <cfRule type="expression" priority="610" dxfId="0">
      <formula>AND(COUNT(C28:L28)=10,I28=11)</formula>
    </cfRule>
    <cfRule type="expression" priority="611" dxfId="1">
      <formula>AND(COUNT(C28:L28)=10,I28&lt;11*0.4)</formula>
    </cfRule>
    <cfRule type="expression" priority="612" dxfId="2">
      <formula>AND(COUNT(C28:L28)=10,I28&gt;=11*0.4,I28&lt;11)</formula>
    </cfRule>
  </conditionalFormatting>
  <conditionalFormatting sqref="I29">
    <cfRule type="expression" priority="613" dxfId="0">
      <formula>AND(COUNT(C29:L29)=10,I29=11)</formula>
    </cfRule>
    <cfRule type="expression" priority="614" dxfId="1">
      <formula>AND(COUNT(C29:L29)=10,I29&lt;11*0.4)</formula>
    </cfRule>
    <cfRule type="expression" priority="615" dxfId="2">
      <formula>AND(COUNT(C29:L29)=10,I29&gt;=11*0.4,I29&lt;11)</formula>
    </cfRule>
  </conditionalFormatting>
  <conditionalFormatting sqref="I30">
    <cfRule type="expression" priority="616" dxfId="0">
      <formula>AND(COUNT(C30:L30)=10,I30=11)</formula>
    </cfRule>
    <cfRule type="expression" priority="617" dxfId="1">
      <formula>AND(COUNT(C30:L30)=10,I30&lt;11*0.4)</formula>
    </cfRule>
    <cfRule type="expression" priority="618" dxfId="2">
      <formula>AND(COUNT(C30:L30)=10,I30&gt;=11*0.4,I30&lt;11)</formula>
    </cfRule>
  </conditionalFormatting>
  <conditionalFormatting sqref="I31">
    <cfRule type="expression" priority="619" dxfId="0">
      <formula>AND(COUNT(C31:L31)=10,I31=11)</formula>
    </cfRule>
    <cfRule type="expression" priority="620" dxfId="1">
      <formula>AND(COUNT(C31:L31)=10,I31&lt;11*0.4)</formula>
    </cfRule>
    <cfRule type="expression" priority="621" dxfId="2">
      <formula>AND(COUNT(C31:L31)=10,I31&gt;=11*0.4,I31&lt;11)</formula>
    </cfRule>
  </conditionalFormatting>
  <conditionalFormatting sqref="I32">
    <cfRule type="expression" priority="622" dxfId="0">
      <formula>AND(COUNT(C32:L32)=10,I32=11)</formula>
    </cfRule>
    <cfRule type="expression" priority="623" dxfId="1">
      <formula>AND(COUNT(C32:L32)=10,I32&lt;11*0.4)</formula>
    </cfRule>
    <cfRule type="expression" priority="624" dxfId="2">
      <formula>AND(COUNT(C32:L32)=10,I32&gt;=11*0.4,I32&lt;11)</formula>
    </cfRule>
  </conditionalFormatting>
  <conditionalFormatting sqref="I33">
    <cfRule type="expression" priority="625" dxfId="0">
      <formula>AND(COUNT(C33:L33)=10,I33=11)</formula>
    </cfRule>
    <cfRule type="expression" priority="626" dxfId="1">
      <formula>AND(COUNT(C33:L33)=10,I33&lt;11*0.4)</formula>
    </cfRule>
    <cfRule type="expression" priority="627" dxfId="2">
      <formula>AND(COUNT(C33:L33)=10,I33&gt;=11*0.4,I33&lt;11)</formula>
    </cfRule>
  </conditionalFormatting>
  <conditionalFormatting sqref="I34">
    <cfRule type="expression" priority="628" dxfId="0">
      <formula>AND(COUNT(C34:L34)=10,I34=11)</formula>
    </cfRule>
    <cfRule type="expression" priority="629" dxfId="1">
      <formula>AND(COUNT(C34:L34)=10,I34&lt;11*0.4)</formula>
    </cfRule>
    <cfRule type="expression" priority="630" dxfId="2">
      <formula>AND(COUNT(C34:L34)=10,I34&gt;=11*0.4,I34&lt;11)</formula>
    </cfRule>
  </conditionalFormatting>
  <conditionalFormatting sqref="I35">
    <cfRule type="expression" priority="631" dxfId="0">
      <formula>AND(COUNT(C35:L35)=10,I35=11)</formula>
    </cfRule>
    <cfRule type="expression" priority="632" dxfId="1">
      <formula>AND(COUNT(C35:L35)=10,I35&lt;11*0.4)</formula>
    </cfRule>
    <cfRule type="expression" priority="633" dxfId="2">
      <formula>AND(COUNT(C35:L35)=10,I35&gt;=11*0.4,I35&lt;11)</formula>
    </cfRule>
  </conditionalFormatting>
  <conditionalFormatting sqref="I36">
    <cfRule type="expression" priority="634" dxfId="0">
      <formula>AND(COUNT(C36:L36)=10,I36=11)</formula>
    </cfRule>
    <cfRule type="expression" priority="635" dxfId="1">
      <formula>AND(COUNT(C36:L36)=10,I36&lt;11*0.4)</formula>
    </cfRule>
    <cfRule type="expression" priority="636" dxfId="2">
      <formula>AND(COUNT(C36:L36)=10,I36&gt;=11*0.4,I36&lt;11)</formula>
    </cfRule>
  </conditionalFormatting>
  <conditionalFormatting sqref="I37">
    <cfRule type="expression" priority="637" dxfId="0">
      <formula>AND(COUNT(C37:L37)=10,I37=11)</formula>
    </cfRule>
    <cfRule type="expression" priority="638" dxfId="1">
      <formula>AND(COUNT(C37:L37)=10,I37&lt;11*0.4)</formula>
    </cfRule>
    <cfRule type="expression" priority="639" dxfId="2">
      <formula>AND(COUNT(C37:L37)=10,I37&gt;=11*0.4,I37&lt;11)</formula>
    </cfRule>
  </conditionalFormatting>
  <conditionalFormatting sqref="I38">
    <cfRule type="expression" priority="640" dxfId="0">
      <formula>AND(COUNT(C38:L38)=10,I38=11)</formula>
    </cfRule>
    <cfRule type="expression" priority="641" dxfId="1">
      <formula>AND(COUNT(C38:L38)=10,I38&lt;11*0.4)</formula>
    </cfRule>
    <cfRule type="expression" priority="642" dxfId="2">
      <formula>AND(COUNT(C38:L38)=10,I38&gt;=11*0.4,I38&lt;11)</formula>
    </cfRule>
  </conditionalFormatting>
  <conditionalFormatting sqref="I39">
    <cfRule type="expression" priority="643" dxfId="0">
      <formula>AND(COUNT(C39:L39)=10,I39=11)</formula>
    </cfRule>
    <cfRule type="expression" priority="644" dxfId="1">
      <formula>AND(COUNT(C39:L39)=10,I39&lt;11*0.4)</formula>
    </cfRule>
    <cfRule type="expression" priority="645" dxfId="2">
      <formula>AND(COUNT(C39:L39)=10,I39&gt;=11*0.4,I39&lt;11)</formula>
    </cfRule>
  </conditionalFormatting>
  <conditionalFormatting sqref="I40">
    <cfRule type="expression" priority="646" dxfId="0">
      <formula>AND(COUNT(C40:L40)=10,I40=11)</formula>
    </cfRule>
    <cfRule type="expression" priority="647" dxfId="1">
      <formula>AND(COUNT(C40:L40)=10,I40&lt;11*0.4)</formula>
    </cfRule>
    <cfRule type="expression" priority="648" dxfId="2">
      <formula>AND(COUNT(C40:L40)=10,I40&gt;=11*0.4,I40&lt;11)</formula>
    </cfRule>
  </conditionalFormatting>
  <conditionalFormatting sqref="I41">
    <cfRule type="expression" priority="649" dxfId="0">
      <formula>AND(COUNT(C41:L41)=10,I41=11)</formula>
    </cfRule>
    <cfRule type="expression" priority="650" dxfId="1">
      <formula>AND(COUNT(C41:L41)=10,I41&lt;11*0.4)</formula>
    </cfRule>
    <cfRule type="expression" priority="651" dxfId="2">
      <formula>AND(COUNT(C41:L41)=10,I41&gt;=11*0.4,I41&lt;11)</formula>
    </cfRule>
  </conditionalFormatting>
  <conditionalFormatting sqref="J11">
    <cfRule type="expression" priority="652" dxfId="0">
      <formula>AND(COUNT(C11:L11)=10,J11=11)</formula>
    </cfRule>
    <cfRule type="expression" priority="653" dxfId="1">
      <formula>AND(COUNT(C11:L11)=10,J11&lt;11*0.4)</formula>
    </cfRule>
    <cfRule type="expression" priority="654" dxfId="2">
      <formula>AND(COUNT(C11:L11)=10,J11&gt;=11*0.4,J11&lt;11)</formula>
    </cfRule>
  </conditionalFormatting>
  <conditionalFormatting sqref="J12">
    <cfRule type="expression" priority="655" dxfId="0">
      <formula>AND(COUNT(C12:L12)=10,J12=11)</formula>
    </cfRule>
    <cfRule type="expression" priority="656" dxfId="1">
      <formula>AND(COUNT(C12:L12)=10,J12&lt;11*0.4)</formula>
    </cfRule>
    <cfRule type="expression" priority="657" dxfId="2">
      <formula>AND(COUNT(C12:L12)=10,J12&gt;=11*0.4,J12&lt;11)</formula>
    </cfRule>
  </conditionalFormatting>
  <conditionalFormatting sqref="J13">
    <cfRule type="expression" priority="658" dxfId="0">
      <formula>AND(COUNT(C13:L13)=10,J13=11)</formula>
    </cfRule>
    <cfRule type="expression" priority="659" dxfId="1">
      <formula>AND(COUNT(C13:L13)=10,J13&lt;11*0.4)</formula>
    </cfRule>
    <cfRule type="expression" priority="660" dxfId="2">
      <formula>AND(COUNT(C13:L13)=10,J13&gt;=11*0.4,J13&lt;11)</formula>
    </cfRule>
  </conditionalFormatting>
  <conditionalFormatting sqref="J14">
    <cfRule type="expression" priority="661" dxfId="0">
      <formula>AND(COUNT(C14:L14)=10,J14=11)</formula>
    </cfRule>
    <cfRule type="expression" priority="662" dxfId="1">
      <formula>AND(COUNT(C14:L14)=10,J14&lt;11*0.4)</formula>
    </cfRule>
    <cfRule type="expression" priority="663" dxfId="2">
      <formula>AND(COUNT(C14:L14)=10,J14&gt;=11*0.4,J14&lt;11)</formula>
    </cfRule>
  </conditionalFormatting>
  <conditionalFormatting sqref="J15">
    <cfRule type="expression" priority="664" dxfId="0">
      <formula>AND(COUNT(C15:L15)=10,J15=11)</formula>
    </cfRule>
    <cfRule type="expression" priority="665" dxfId="1">
      <formula>AND(COUNT(C15:L15)=10,J15&lt;11*0.4)</formula>
    </cfRule>
    <cfRule type="expression" priority="666" dxfId="2">
      <formula>AND(COUNT(C15:L15)=10,J15&gt;=11*0.4,J15&lt;11)</formula>
    </cfRule>
  </conditionalFormatting>
  <conditionalFormatting sqref="J16">
    <cfRule type="expression" priority="667" dxfId="0">
      <formula>AND(COUNT(C16:L16)=10,J16=11)</formula>
    </cfRule>
    <cfRule type="expression" priority="668" dxfId="1">
      <formula>AND(COUNT(C16:L16)=10,J16&lt;11*0.4)</formula>
    </cfRule>
    <cfRule type="expression" priority="669" dxfId="2">
      <formula>AND(COUNT(C16:L16)=10,J16&gt;=11*0.4,J16&lt;11)</formula>
    </cfRule>
  </conditionalFormatting>
  <conditionalFormatting sqref="J17">
    <cfRule type="expression" priority="670" dxfId="0">
      <formula>AND(COUNT(C17:L17)=10,J17=11)</formula>
    </cfRule>
    <cfRule type="expression" priority="671" dxfId="1">
      <formula>AND(COUNT(C17:L17)=10,J17&lt;11*0.4)</formula>
    </cfRule>
    <cfRule type="expression" priority="672" dxfId="2">
      <formula>AND(COUNT(C17:L17)=10,J17&gt;=11*0.4,J17&lt;11)</formula>
    </cfRule>
  </conditionalFormatting>
  <conditionalFormatting sqref="J18">
    <cfRule type="expression" priority="673" dxfId="0">
      <formula>AND(COUNT(C18:L18)=10,J18=11)</formula>
    </cfRule>
    <cfRule type="expression" priority="674" dxfId="1">
      <formula>AND(COUNT(C18:L18)=10,J18&lt;11*0.4)</formula>
    </cfRule>
    <cfRule type="expression" priority="675" dxfId="2">
      <formula>AND(COUNT(C18:L18)=10,J18&gt;=11*0.4,J18&lt;11)</formula>
    </cfRule>
  </conditionalFormatting>
  <conditionalFormatting sqref="J19">
    <cfRule type="expression" priority="676" dxfId="0">
      <formula>AND(COUNT(C19:L19)=10,J19=11)</formula>
    </cfRule>
    <cfRule type="expression" priority="677" dxfId="1">
      <formula>AND(COUNT(C19:L19)=10,J19&lt;11*0.4)</formula>
    </cfRule>
    <cfRule type="expression" priority="678" dxfId="2">
      <formula>AND(COUNT(C19:L19)=10,J19&gt;=11*0.4,J19&lt;11)</formula>
    </cfRule>
  </conditionalFormatting>
  <conditionalFormatting sqref="J20">
    <cfRule type="expression" priority="679" dxfId="0">
      <formula>AND(COUNT(C20:L20)=10,J20=11)</formula>
    </cfRule>
    <cfRule type="expression" priority="680" dxfId="1">
      <formula>AND(COUNT(C20:L20)=10,J20&lt;11*0.4)</formula>
    </cfRule>
    <cfRule type="expression" priority="681" dxfId="2">
      <formula>AND(COUNT(C20:L20)=10,J20&gt;=11*0.4,J20&lt;11)</formula>
    </cfRule>
  </conditionalFormatting>
  <conditionalFormatting sqref="J21">
    <cfRule type="expression" priority="682" dxfId="0">
      <formula>AND(COUNT(C21:L21)=10,J21=11)</formula>
    </cfRule>
    <cfRule type="expression" priority="683" dxfId="1">
      <formula>AND(COUNT(C21:L21)=10,J21&lt;11*0.4)</formula>
    </cfRule>
    <cfRule type="expression" priority="684" dxfId="2">
      <formula>AND(COUNT(C21:L21)=10,J21&gt;=11*0.4,J21&lt;11)</formula>
    </cfRule>
  </conditionalFormatting>
  <conditionalFormatting sqref="J22">
    <cfRule type="expression" priority="685" dxfId="0">
      <formula>AND(COUNT(C22:L22)=10,J22=11)</formula>
    </cfRule>
    <cfRule type="expression" priority="686" dxfId="1">
      <formula>AND(COUNT(C22:L22)=10,J22&lt;11*0.4)</formula>
    </cfRule>
    <cfRule type="expression" priority="687" dxfId="2">
      <formula>AND(COUNT(C22:L22)=10,J22&gt;=11*0.4,J22&lt;11)</formula>
    </cfRule>
  </conditionalFormatting>
  <conditionalFormatting sqref="J23">
    <cfRule type="expression" priority="688" dxfId="0">
      <formula>AND(COUNT(C23:L23)=10,J23=11)</formula>
    </cfRule>
    <cfRule type="expression" priority="689" dxfId="1">
      <formula>AND(COUNT(C23:L23)=10,J23&lt;11*0.4)</formula>
    </cfRule>
    <cfRule type="expression" priority="690" dxfId="2">
      <formula>AND(COUNT(C23:L23)=10,J23&gt;=11*0.4,J23&lt;11)</formula>
    </cfRule>
  </conditionalFormatting>
  <conditionalFormatting sqref="J24">
    <cfRule type="expression" priority="691" dxfId="0">
      <formula>AND(COUNT(C24:L24)=10,J24=11)</formula>
    </cfRule>
    <cfRule type="expression" priority="692" dxfId="1">
      <formula>AND(COUNT(C24:L24)=10,J24&lt;11*0.4)</formula>
    </cfRule>
    <cfRule type="expression" priority="693" dxfId="2">
      <formula>AND(COUNT(C24:L24)=10,J24&gt;=11*0.4,J24&lt;11)</formula>
    </cfRule>
  </conditionalFormatting>
  <conditionalFormatting sqref="J25">
    <cfRule type="expression" priority="694" dxfId="0">
      <formula>AND(COUNT(C25:L25)=10,J25=11)</formula>
    </cfRule>
    <cfRule type="expression" priority="695" dxfId="1">
      <formula>AND(COUNT(C25:L25)=10,J25&lt;11*0.4)</formula>
    </cfRule>
    <cfRule type="expression" priority="696" dxfId="2">
      <formula>AND(COUNT(C25:L25)=10,J25&gt;=11*0.4,J25&lt;11)</formula>
    </cfRule>
  </conditionalFormatting>
  <conditionalFormatting sqref="J26">
    <cfRule type="expression" priority="697" dxfId="0">
      <formula>AND(COUNT(C26:L26)=10,J26=11)</formula>
    </cfRule>
    <cfRule type="expression" priority="698" dxfId="1">
      <formula>AND(COUNT(C26:L26)=10,J26&lt;11*0.4)</formula>
    </cfRule>
    <cfRule type="expression" priority="699" dxfId="2">
      <formula>AND(COUNT(C26:L26)=10,J26&gt;=11*0.4,J26&lt;11)</formula>
    </cfRule>
  </conditionalFormatting>
  <conditionalFormatting sqref="J27">
    <cfRule type="expression" priority="700" dxfId="0">
      <formula>AND(COUNT(C27:L27)=10,J27=11)</formula>
    </cfRule>
    <cfRule type="expression" priority="701" dxfId="1">
      <formula>AND(COUNT(C27:L27)=10,J27&lt;11*0.4)</formula>
    </cfRule>
    <cfRule type="expression" priority="702" dxfId="2">
      <formula>AND(COUNT(C27:L27)=10,J27&gt;=11*0.4,J27&lt;11)</formula>
    </cfRule>
  </conditionalFormatting>
  <conditionalFormatting sqref="J28">
    <cfRule type="expression" priority="703" dxfId="0">
      <formula>AND(COUNT(C28:L28)=10,J28=11)</formula>
    </cfRule>
    <cfRule type="expression" priority="704" dxfId="1">
      <formula>AND(COUNT(C28:L28)=10,J28&lt;11*0.4)</formula>
    </cfRule>
    <cfRule type="expression" priority="705" dxfId="2">
      <formula>AND(COUNT(C28:L28)=10,J28&gt;=11*0.4,J28&lt;11)</formula>
    </cfRule>
  </conditionalFormatting>
  <conditionalFormatting sqref="J29">
    <cfRule type="expression" priority="706" dxfId="0">
      <formula>AND(COUNT(C29:L29)=10,J29=11)</formula>
    </cfRule>
    <cfRule type="expression" priority="707" dxfId="1">
      <formula>AND(COUNT(C29:L29)=10,J29&lt;11*0.4)</formula>
    </cfRule>
    <cfRule type="expression" priority="708" dxfId="2">
      <formula>AND(COUNT(C29:L29)=10,J29&gt;=11*0.4,J29&lt;11)</formula>
    </cfRule>
  </conditionalFormatting>
  <conditionalFormatting sqref="J30">
    <cfRule type="expression" priority="709" dxfId="0">
      <formula>AND(COUNT(C30:L30)=10,J30=11)</formula>
    </cfRule>
    <cfRule type="expression" priority="710" dxfId="1">
      <formula>AND(COUNT(C30:L30)=10,J30&lt;11*0.4)</formula>
    </cfRule>
    <cfRule type="expression" priority="711" dxfId="2">
      <formula>AND(COUNT(C30:L30)=10,J30&gt;=11*0.4,J30&lt;11)</formula>
    </cfRule>
  </conditionalFormatting>
  <conditionalFormatting sqref="J31">
    <cfRule type="expression" priority="712" dxfId="0">
      <formula>AND(COUNT(C31:L31)=10,J31=11)</formula>
    </cfRule>
    <cfRule type="expression" priority="713" dxfId="1">
      <formula>AND(COUNT(C31:L31)=10,J31&lt;11*0.4)</formula>
    </cfRule>
    <cfRule type="expression" priority="714" dxfId="2">
      <formula>AND(COUNT(C31:L31)=10,J31&gt;=11*0.4,J31&lt;11)</formula>
    </cfRule>
  </conditionalFormatting>
  <conditionalFormatting sqref="J32">
    <cfRule type="expression" priority="715" dxfId="0">
      <formula>AND(COUNT(C32:L32)=10,J32=11)</formula>
    </cfRule>
    <cfRule type="expression" priority="716" dxfId="1">
      <formula>AND(COUNT(C32:L32)=10,J32&lt;11*0.4)</formula>
    </cfRule>
    <cfRule type="expression" priority="717" dxfId="2">
      <formula>AND(COUNT(C32:L32)=10,J32&gt;=11*0.4,J32&lt;11)</formula>
    </cfRule>
  </conditionalFormatting>
  <conditionalFormatting sqref="J33">
    <cfRule type="expression" priority="718" dxfId="0">
      <formula>AND(COUNT(C33:L33)=10,J33=11)</formula>
    </cfRule>
    <cfRule type="expression" priority="719" dxfId="1">
      <formula>AND(COUNT(C33:L33)=10,J33&lt;11*0.4)</formula>
    </cfRule>
    <cfRule type="expression" priority="720" dxfId="2">
      <formula>AND(COUNT(C33:L33)=10,J33&gt;=11*0.4,J33&lt;11)</formula>
    </cfRule>
  </conditionalFormatting>
  <conditionalFormatting sqref="J34">
    <cfRule type="expression" priority="721" dxfId="0">
      <formula>AND(COUNT(C34:L34)=10,J34=11)</formula>
    </cfRule>
    <cfRule type="expression" priority="722" dxfId="1">
      <formula>AND(COUNT(C34:L34)=10,J34&lt;11*0.4)</formula>
    </cfRule>
    <cfRule type="expression" priority="723" dxfId="2">
      <formula>AND(COUNT(C34:L34)=10,J34&gt;=11*0.4,J34&lt;11)</formula>
    </cfRule>
  </conditionalFormatting>
  <conditionalFormatting sqref="J35">
    <cfRule type="expression" priority="724" dxfId="0">
      <formula>AND(COUNT(C35:L35)=10,J35=11)</formula>
    </cfRule>
    <cfRule type="expression" priority="725" dxfId="1">
      <formula>AND(COUNT(C35:L35)=10,J35&lt;11*0.4)</formula>
    </cfRule>
    <cfRule type="expression" priority="726" dxfId="2">
      <formula>AND(COUNT(C35:L35)=10,J35&gt;=11*0.4,J35&lt;11)</formula>
    </cfRule>
  </conditionalFormatting>
  <conditionalFormatting sqref="J36">
    <cfRule type="expression" priority="727" dxfId="0">
      <formula>AND(COUNT(C36:L36)=10,J36=11)</formula>
    </cfRule>
    <cfRule type="expression" priority="728" dxfId="1">
      <formula>AND(COUNT(C36:L36)=10,J36&lt;11*0.4)</formula>
    </cfRule>
    <cfRule type="expression" priority="729" dxfId="2">
      <formula>AND(COUNT(C36:L36)=10,J36&gt;=11*0.4,J36&lt;11)</formula>
    </cfRule>
  </conditionalFormatting>
  <conditionalFormatting sqref="J37">
    <cfRule type="expression" priority="730" dxfId="0">
      <formula>AND(COUNT(C37:L37)=10,J37=11)</formula>
    </cfRule>
    <cfRule type="expression" priority="731" dxfId="1">
      <formula>AND(COUNT(C37:L37)=10,J37&lt;11*0.4)</formula>
    </cfRule>
    <cfRule type="expression" priority="732" dxfId="2">
      <formula>AND(COUNT(C37:L37)=10,J37&gt;=11*0.4,J37&lt;11)</formula>
    </cfRule>
  </conditionalFormatting>
  <conditionalFormatting sqref="J38">
    <cfRule type="expression" priority="733" dxfId="0">
      <formula>AND(COUNT(C38:L38)=10,J38=11)</formula>
    </cfRule>
    <cfRule type="expression" priority="734" dxfId="1">
      <formula>AND(COUNT(C38:L38)=10,J38&lt;11*0.4)</formula>
    </cfRule>
    <cfRule type="expression" priority="735" dxfId="2">
      <formula>AND(COUNT(C38:L38)=10,J38&gt;=11*0.4,J38&lt;11)</formula>
    </cfRule>
  </conditionalFormatting>
  <conditionalFormatting sqref="J39">
    <cfRule type="expression" priority="736" dxfId="0">
      <formula>AND(COUNT(C39:L39)=10,J39=11)</formula>
    </cfRule>
    <cfRule type="expression" priority="737" dxfId="1">
      <formula>AND(COUNT(C39:L39)=10,J39&lt;11*0.4)</formula>
    </cfRule>
    <cfRule type="expression" priority="738" dxfId="2">
      <formula>AND(COUNT(C39:L39)=10,J39&gt;=11*0.4,J39&lt;11)</formula>
    </cfRule>
  </conditionalFormatting>
  <conditionalFormatting sqref="J40">
    <cfRule type="expression" priority="739" dxfId="0">
      <formula>AND(COUNT(C40:L40)=10,J40=11)</formula>
    </cfRule>
    <cfRule type="expression" priority="740" dxfId="1">
      <formula>AND(COUNT(C40:L40)=10,J40&lt;11*0.4)</formula>
    </cfRule>
    <cfRule type="expression" priority="741" dxfId="2">
      <formula>AND(COUNT(C40:L40)=10,J40&gt;=11*0.4,J40&lt;11)</formula>
    </cfRule>
  </conditionalFormatting>
  <conditionalFormatting sqref="J41">
    <cfRule type="expression" priority="742" dxfId="0">
      <formula>AND(COUNT(C41:L41)=10,J41=11)</formula>
    </cfRule>
    <cfRule type="expression" priority="743" dxfId="1">
      <formula>AND(COUNT(C41:L41)=10,J41&lt;11*0.4)</formula>
    </cfRule>
    <cfRule type="expression" priority="744" dxfId="2">
      <formula>AND(COUNT(C41:L41)=10,J41&gt;=11*0.4,J41&lt;11)</formula>
    </cfRule>
  </conditionalFormatting>
  <conditionalFormatting sqref="K11">
    <cfRule type="expression" priority="745" dxfId="0">
      <formula>AND(COUNT(C11:L11)=10,K11=10)</formula>
    </cfRule>
    <cfRule type="expression" priority="746" dxfId="1">
      <formula>AND(COUNT(C11:L11)=10,K11&lt;10*0.4)</formula>
    </cfRule>
    <cfRule type="expression" priority="747" dxfId="2">
      <formula>AND(COUNT(C11:L11)=10,K11&gt;=10*0.4,K11&lt;10)</formula>
    </cfRule>
  </conditionalFormatting>
  <conditionalFormatting sqref="K12">
    <cfRule type="expression" priority="748" dxfId="0">
      <formula>AND(COUNT(C12:L12)=10,K12=10)</formula>
    </cfRule>
    <cfRule type="expression" priority="749" dxfId="1">
      <formula>AND(COUNT(C12:L12)=10,K12&lt;10*0.4)</formula>
    </cfRule>
    <cfRule type="expression" priority="750" dxfId="2">
      <formula>AND(COUNT(C12:L12)=10,K12&gt;=10*0.4,K12&lt;10)</formula>
    </cfRule>
  </conditionalFormatting>
  <conditionalFormatting sqref="K13">
    <cfRule type="expression" priority="751" dxfId="0">
      <formula>AND(COUNT(C13:L13)=10,K13=10)</formula>
    </cfRule>
    <cfRule type="expression" priority="752" dxfId="1">
      <formula>AND(COUNT(C13:L13)=10,K13&lt;10*0.4)</formula>
    </cfRule>
    <cfRule type="expression" priority="753" dxfId="2">
      <formula>AND(COUNT(C13:L13)=10,K13&gt;=10*0.4,K13&lt;10)</formula>
    </cfRule>
  </conditionalFormatting>
  <conditionalFormatting sqref="K14">
    <cfRule type="expression" priority="754" dxfId="0">
      <formula>AND(COUNT(C14:L14)=10,K14=10)</formula>
    </cfRule>
    <cfRule type="expression" priority="755" dxfId="1">
      <formula>AND(COUNT(C14:L14)=10,K14&lt;10*0.4)</formula>
    </cfRule>
    <cfRule type="expression" priority="756" dxfId="2">
      <formula>AND(COUNT(C14:L14)=10,K14&gt;=10*0.4,K14&lt;10)</formula>
    </cfRule>
  </conditionalFormatting>
  <conditionalFormatting sqref="K15">
    <cfRule type="expression" priority="757" dxfId="0">
      <formula>AND(COUNT(C15:L15)=10,K15=10)</formula>
    </cfRule>
    <cfRule type="expression" priority="758" dxfId="1">
      <formula>AND(COUNT(C15:L15)=10,K15&lt;10*0.4)</formula>
    </cfRule>
    <cfRule type="expression" priority="759" dxfId="2">
      <formula>AND(COUNT(C15:L15)=10,K15&gt;=10*0.4,K15&lt;10)</formula>
    </cfRule>
  </conditionalFormatting>
  <conditionalFormatting sqref="K16">
    <cfRule type="expression" priority="760" dxfId="0">
      <formula>AND(COUNT(C16:L16)=10,K16=10)</formula>
    </cfRule>
    <cfRule type="expression" priority="761" dxfId="1">
      <formula>AND(COUNT(C16:L16)=10,K16&lt;10*0.4)</formula>
    </cfRule>
    <cfRule type="expression" priority="762" dxfId="2">
      <formula>AND(COUNT(C16:L16)=10,K16&gt;=10*0.4,K16&lt;10)</formula>
    </cfRule>
  </conditionalFormatting>
  <conditionalFormatting sqref="K17">
    <cfRule type="expression" priority="763" dxfId="0">
      <formula>AND(COUNT(C17:L17)=10,K17=10)</formula>
    </cfRule>
    <cfRule type="expression" priority="764" dxfId="1">
      <formula>AND(COUNT(C17:L17)=10,K17&lt;10*0.4)</formula>
    </cfRule>
    <cfRule type="expression" priority="765" dxfId="2">
      <formula>AND(COUNT(C17:L17)=10,K17&gt;=10*0.4,K17&lt;10)</formula>
    </cfRule>
  </conditionalFormatting>
  <conditionalFormatting sqref="K18">
    <cfRule type="expression" priority="766" dxfId="0">
      <formula>AND(COUNT(C18:L18)=10,K18=10)</formula>
    </cfRule>
    <cfRule type="expression" priority="767" dxfId="1">
      <formula>AND(COUNT(C18:L18)=10,K18&lt;10*0.4)</formula>
    </cfRule>
    <cfRule type="expression" priority="768" dxfId="2">
      <formula>AND(COUNT(C18:L18)=10,K18&gt;=10*0.4,K18&lt;10)</formula>
    </cfRule>
  </conditionalFormatting>
  <conditionalFormatting sqref="K19">
    <cfRule type="expression" priority="769" dxfId="0">
      <formula>AND(COUNT(C19:L19)=10,K19=10)</formula>
    </cfRule>
    <cfRule type="expression" priority="770" dxfId="1">
      <formula>AND(COUNT(C19:L19)=10,K19&lt;10*0.4)</formula>
    </cfRule>
    <cfRule type="expression" priority="771" dxfId="2">
      <formula>AND(COUNT(C19:L19)=10,K19&gt;=10*0.4,K19&lt;10)</formula>
    </cfRule>
  </conditionalFormatting>
  <conditionalFormatting sqref="K20">
    <cfRule type="expression" priority="772" dxfId="0">
      <formula>AND(COUNT(C20:L20)=10,K20=10)</formula>
    </cfRule>
    <cfRule type="expression" priority="773" dxfId="1">
      <formula>AND(COUNT(C20:L20)=10,K20&lt;10*0.4)</formula>
    </cfRule>
    <cfRule type="expression" priority="774" dxfId="2">
      <formula>AND(COUNT(C20:L20)=10,K20&gt;=10*0.4,K20&lt;10)</formula>
    </cfRule>
  </conditionalFormatting>
  <conditionalFormatting sqref="K21">
    <cfRule type="expression" priority="775" dxfId="0">
      <formula>AND(COUNT(C21:L21)=10,K21=10)</formula>
    </cfRule>
    <cfRule type="expression" priority="776" dxfId="1">
      <formula>AND(COUNT(C21:L21)=10,K21&lt;10*0.4)</formula>
    </cfRule>
    <cfRule type="expression" priority="777" dxfId="2">
      <formula>AND(COUNT(C21:L21)=10,K21&gt;=10*0.4,K21&lt;10)</formula>
    </cfRule>
  </conditionalFormatting>
  <conditionalFormatting sqref="K22">
    <cfRule type="expression" priority="778" dxfId="0">
      <formula>AND(COUNT(C22:L22)=10,K22=10)</formula>
    </cfRule>
    <cfRule type="expression" priority="779" dxfId="1">
      <formula>AND(COUNT(C22:L22)=10,K22&lt;10*0.4)</formula>
    </cfRule>
    <cfRule type="expression" priority="780" dxfId="2">
      <formula>AND(COUNT(C22:L22)=10,K22&gt;=10*0.4,K22&lt;10)</formula>
    </cfRule>
  </conditionalFormatting>
  <conditionalFormatting sqref="K23">
    <cfRule type="expression" priority="781" dxfId="0">
      <formula>AND(COUNT(C23:L23)=10,K23=10)</formula>
    </cfRule>
    <cfRule type="expression" priority="782" dxfId="1">
      <formula>AND(COUNT(C23:L23)=10,K23&lt;10*0.4)</formula>
    </cfRule>
    <cfRule type="expression" priority="783" dxfId="2">
      <formula>AND(COUNT(C23:L23)=10,K23&gt;=10*0.4,K23&lt;10)</formula>
    </cfRule>
  </conditionalFormatting>
  <conditionalFormatting sqref="K24">
    <cfRule type="expression" priority="784" dxfId="0">
      <formula>AND(COUNT(C24:L24)=10,K24=10)</formula>
    </cfRule>
    <cfRule type="expression" priority="785" dxfId="1">
      <formula>AND(COUNT(C24:L24)=10,K24&lt;10*0.4)</formula>
    </cfRule>
    <cfRule type="expression" priority="786" dxfId="2">
      <formula>AND(COUNT(C24:L24)=10,K24&gt;=10*0.4,K24&lt;10)</formula>
    </cfRule>
  </conditionalFormatting>
  <conditionalFormatting sqref="K25">
    <cfRule type="expression" priority="787" dxfId="0">
      <formula>AND(COUNT(C25:L25)=10,K25=10)</formula>
    </cfRule>
    <cfRule type="expression" priority="788" dxfId="1">
      <formula>AND(COUNT(C25:L25)=10,K25&lt;10*0.4)</formula>
    </cfRule>
    <cfRule type="expression" priority="789" dxfId="2">
      <formula>AND(COUNT(C25:L25)=10,K25&gt;=10*0.4,K25&lt;10)</formula>
    </cfRule>
  </conditionalFormatting>
  <conditionalFormatting sqref="K26">
    <cfRule type="expression" priority="790" dxfId="0">
      <formula>AND(COUNT(C26:L26)=10,K26=10)</formula>
    </cfRule>
    <cfRule type="expression" priority="791" dxfId="1">
      <formula>AND(COUNT(C26:L26)=10,K26&lt;10*0.4)</formula>
    </cfRule>
    <cfRule type="expression" priority="792" dxfId="2">
      <formula>AND(COUNT(C26:L26)=10,K26&gt;=10*0.4,K26&lt;10)</formula>
    </cfRule>
  </conditionalFormatting>
  <conditionalFormatting sqref="K27">
    <cfRule type="expression" priority="793" dxfId="0">
      <formula>AND(COUNT(C27:L27)=10,K27=10)</formula>
    </cfRule>
    <cfRule type="expression" priority="794" dxfId="1">
      <formula>AND(COUNT(C27:L27)=10,K27&lt;10*0.4)</formula>
    </cfRule>
    <cfRule type="expression" priority="795" dxfId="2">
      <formula>AND(COUNT(C27:L27)=10,K27&gt;=10*0.4,K27&lt;10)</formula>
    </cfRule>
  </conditionalFormatting>
  <conditionalFormatting sqref="K28">
    <cfRule type="expression" priority="796" dxfId="0">
      <formula>AND(COUNT(C28:L28)=10,K28=10)</formula>
    </cfRule>
    <cfRule type="expression" priority="797" dxfId="1">
      <formula>AND(COUNT(C28:L28)=10,K28&lt;10*0.4)</formula>
    </cfRule>
    <cfRule type="expression" priority="798" dxfId="2">
      <formula>AND(COUNT(C28:L28)=10,K28&gt;=10*0.4,K28&lt;10)</formula>
    </cfRule>
  </conditionalFormatting>
  <conditionalFormatting sqref="K29">
    <cfRule type="expression" priority="799" dxfId="0">
      <formula>AND(COUNT(C29:L29)=10,K29=10)</formula>
    </cfRule>
    <cfRule type="expression" priority="800" dxfId="1">
      <formula>AND(COUNT(C29:L29)=10,K29&lt;10*0.4)</formula>
    </cfRule>
    <cfRule type="expression" priority="801" dxfId="2">
      <formula>AND(COUNT(C29:L29)=10,K29&gt;=10*0.4,K29&lt;10)</formula>
    </cfRule>
  </conditionalFormatting>
  <conditionalFormatting sqref="K30">
    <cfRule type="expression" priority="802" dxfId="0">
      <formula>AND(COUNT(C30:L30)=10,K30=10)</formula>
    </cfRule>
    <cfRule type="expression" priority="803" dxfId="1">
      <formula>AND(COUNT(C30:L30)=10,K30&lt;10*0.4)</formula>
    </cfRule>
    <cfRule type="expression" priority="804" dxfId="2">
      <formula>AND(COUNT(C30:L30)=10,K30&gt;=10*0.4,K30&lt;10)</formula>
    </cfRule>
  </conditionalFormatting>
  <conditionalFormatting sqref="K31">
    <cfRule type="expression" priority="805" dxfId="0">
      <formula>AND(COUNT(C31:L31)=10,K31=10)</formula>
    </cfRule>
    <cfRule type="expression" priority="806" dxfId="1">
      <formula>AND(COUNT(C31:L31)=10,K31&lt;10*0.4)</formula>
    </cfRule>
    <cfRule type="expression" priority="807" dxfId="2">
      <formula>AND(COUNT(C31:L31)=10,K31&gt;=10*0.4,K31&lt;10)</formula>
    </cfRule>
  </conditionalFormatting>
  <conditionalFormatting sqref="K32">
    <cfRule type="expression" priority="808" dxfId="0">
      <formula>AND(COUNT(C32:L32)=10,K32=10)</formula>
    </cfRule>
    <cfRule type="expression" priority="809" dxfId="1">
      <formula>AND(COUNT(C32:L32)=10,K32&lt;10*0.4)</formula>
    </cfRule>
    <cfRule type="expression" priority="810" dxfId="2">
      <formula>AND(COUNT(C32:L32)=10,K32&gt;=10*0.4,K32&lt;10)</formula>
    </cfRule>
  </conditionalFormatting>
  <conditionalFormatting sqref="K33">
    <cfRule type="expression" priority="811" dxfId="0">
      <formula>AND(COUNT(C33:L33)=10,K33=10)</formula>
    </cfRule>
    <cfRule type="expression" priority="812" dxfId="1">
      <formula>AND(COUNT(C33:L33)=10,K33&lt;10*0.4)</formula>
    </cfRule>
    <cfRule type="expression" priority="813" dxfId="2">
      <formula>AND(COUNT(C33:L33)=10,K33&gt;=10*0.4,K33&lt;10)</formula>
    </cfRule>
  </conditionalFormatting>
  <conditionalFormatting sqref="K34">
    <cfRule type="expression" priority="814" dxfId="0">
      <formula>AND(COUNT(C34:L34)=10,K34=10)</formula>
    </cfRule>
    <cfRule type="expression" priority="815" dxfId="1">
      <formula>AND(COUNT(C34:L34)=10,K34&lt;10*0.4)</formula>
    </cfRule>
    <cfRule type="expression" priority="816" dxfId="2">
      <formula>AND(COUNT(C34:L34)=10,K34&gt;=10*0.4,K34&lt;10)</formula>
    </cfRule>
  </conditionalFormatting>
  <conditionalFormatting sqref="K35">
    <cfRule type="expression" priority="817" dxfId="0">
      <formula>AND(COUNT(C35:L35)=10,K35=10)</formula>
    </cfRule>
    <cfRule type="expression" priority="818" dxfId="1">
      <formula>AND(COUNT(C35:L35)=10,K35&lt;10*0.4)</formula>
    </cfRule>
    <cfRule type="expression" priority="819" dxfId="2">
      <formula>AND(COUNT(C35:L35)=10,K35&gt;=10*0.4,K35&lt;10)</formula>
    </cfRule>
  </conditionalFormatting>
  <conditionalFormatting sqref="K36">
    <cfRule type="expression" priority="820" dxfId="0">
      <formula>AND(COUNT(C36:L36)=10,K36=10)</formula>
    </cfRule>
    <cfRule type="expression" priority="821" dxfId="1">
      <formula>AND(COUNT(C36:L36)=10,K36&lt;10*0.4)</formula>
    </cfRule>
    <cfRule type="expression" priority="822" dxfId="2">
      <formula>AND(COUNT(C36:L36)=10,K36&gt;=10*0.4,K36&lt;10)</formula>
    </cfRule>
  </conditionalFormatting>
  <conditionalFormatting sqref="K37">
    <cfRule type="expression" priority="823" dxfId="0">
      <formula>AND(COUNT(C37:L37)=10,K37=10)</formula>
    </cfRule>
    <cfRule type="expression" priority="824" dxfId="1">
      <formula>AND(COUNT(C37:L37)=10,K37&lt;10*0.4)</formula>
    </cfRule>
    <cfRule type="expression" priority="825" dxfId="2">
      <formula>AND(COUNT(C37:L37)=10,K37&gt;=10*0.4,K37&lt;10)</formula>
    </cfRule>
  </conditionalFormatting>
  <conditionalFormatting sqref="K38">
    <cfRule type="expression" priority="826" dxfId="0">
      <formula>AND(COUNT(C38:L38)=10,K38=10)</formula>
    </cfRule>
    <cfRule type="expression" priority="827" dxfId="1">
      <formula>AND(COUNT(C38:L38)=10,K38&lt;10*0.4)</formula>
    </cfRule>
    <cfRule type="expression" priority="828" dxfId="2">
      <formula>AND(COUNT(C38:L38)=10,K38&gt;=10*0.4,K38&lt;10)</formula>
    </cfRule>
  </conditionalFormatting>
  <conditionalFormatting sqref="K39">
    <cfRule type="expression" priority="829" dxfId="0">
      <formula>AND(COUNT(C39:L39)=10,K39=10)</formula>
    </cfRule>
    <cfRule type="expression" priority="830" dxfId="1">
      <formula>AND(COUNT(C39:L39)=10,K39&lt;10*0.4)</formula>
    </cfRule>
    <cfRule type="expression" priority="831" dxfId="2">
      <formula>AND(COUNT(C39:L39)=10,K39&gt;=10*0.4,K39&lt;10)</formula>
    </cfRule>
  </conditionalFormatting>
  <conditionalFormatting sqref="K40">
    <cfRule type="expression" priority="832" dxfId="0">
      <formula>AND(COUNT(C40:L40)=10,K40=10)</formula>
    </cfRule>
    <cfRule type="expression" priority="833" dxfId="1">
      <formula>AND(COUNT(C40:L40)=10,K40&lt;10*0.4)</formula>
    </cfRule>
    <cfRule type="expression" priority="834" dxfId="2">
      <formula>AND(COUNT(C40:L40)=10,K40&gt;=10*0.4,K40&lt;10)</formula>
    </cfRule>
  </conditionalFormatting>
  <conditionalFormatting sqref="K41">
    <cfRule type="expression" priority="835" dxfId="0">
      <formula>AND(COUNT(C41:L41)=10,K41=10)</formula>
    </cfRule>
    <cfRule type="expression" priority="836" dxfId="1">
      <formula>AND(COUNT(C41:L41)=10,K41&lt;10*0.4)</formula>
    </cfRule>
    <cfRule type="expression" priority="837" dxfId="2">
      <formula>AND(COUNT(C41:L41)=10,K41&gt;=10*0.4,K41&lt;10)</formula>
    </cfRule>
  </conditionalFormatting>
  <conditionalFormatting sqref="L11">
    <cfRule type="expression" priority="838" dxfId="0">
      <formula>AND(COUNT(C11:L11)=10,L11=4)</formula>
    </cfRule>
    <cfRule type="expression" priority="839" dxfId="1">
      <formula>AND(COUNT(C11:L11)=10,L11&lt;4*0.4)</formula>
    </cfRule>
    <cfRule type="expression" priority="840" dxfId="2">
      <formula>AND(COUNT(C11:L11)=10,L11&gt;=4*0.4,L11&lt;4)</formula>
    </cfRule>
  </conditionalFormatting>
  <conditionalFormatting sqref="L12">
    <cfRule type="expression" priority="841" dxfId="0">
      <formula>AND(COUNT(C12:L12)=10,L12=4)</formula>
    </cfRule>
    <cfRule type="expression" priority="842" dxfId="1">
      <formula>AND(COUNT(C12:L12)=10,L12&lt;4*0.4)</formula>
    </cfRule>
    <cfRule type="expression" priority="843" dxfId="2">
      <formula>AND(COUNT(C12:L12)=10,L12&gt;=4*0.4,L12&lt;4)</formula>
    </cfRule>
  </conditionalFormatting>
  <conditionalFormatting sqref="L13">
    <cfRule type="expression" priority="844" dxfId="0">
      <formula>AND(COUNT(C13:L13)=10,L13=4)</formula>
    </cfRule>
    <cfRule type="expression" priority="845" dxfId="1">
      <formula>AND(COUNT(C13:L13)=10,L13&lt;4*0.4)</formula>
    </cfRule>
    <cfRule type="expression" priority="846" dxfId="2">
      <formula>AND(COUNT(C13:L13)=10,L13&gt;=4*0.4,L13&lt;4)</formula>
    </cfRule>
  </conditionalFormatting>
  <conditionalFormatting sqref="L14">
    <cfRule type="expression" priority="847" dxfId="0">
      <formula>AND(COUNT(C14:L14)=10,L14=4)</formula>
    </cfRule>
    <cfRule type="expression" priority="848" dxfId="1">
      <formula>AND(COUNT(C14:L14)=10,L14&lt;4*0.4)</formula>
    </cfRule>
    <cfRule type="expression" priority="849" dxfId="2">
      <formula>AND(COUNT(C14:L14)=10,L14&gt;=4*0.4,L14&lt;4)</formula>
    </cfRule>
  </conditionalFormatting>
  <conditionalFormatting sqref="L15">
    <cfRule type="expression" priority="850" dxfId="0">
      <formula>AND(COUNT(C15:L15)=10,L15=4)</formula>
    </cfRule>
    <cfRule type="expression" priority="851" dxfId="1">
      <formula>AND(COUNT(C15:L15)=10,L15&lt;4*0.4)</formula>
    </cfRule>
    <cfRule type="expression" priority="852" dxfId="2">
      <formula>AND(COUNT(C15:L15)=10,L15&gt;=4*0.4,L15&lt;4)</formula>
    </cfRule>
  </conditionalFormatting>
  <conditionalFormatting sqref="L16">
    <cfRule type="expression" priority="853" dxfId="0">
      <formula>AND(COUNT(C16:L16)=10,L16=4)</formula>
    </cfRule>
    <cfRule type="expression" priority="854" dxfId="1">
      <formula>AND(COUNT(C16:L16)=10,L16&lt;4*0.4)</formula>
    </cfRule>
    <cfRule type="expression" priority="855" dxfId="2">
      <formula>AND(COUNT(C16:L16)=10,L16&gt;=4*0.4,L16&lt;4)</formula>
    </cfRule>
  </conditionalFormatting>
  <conditionalFormatting sqref="L17">
    <cfRule type="expression" priority="856" dxfId="0">
      <formula>AND(COUNT(C17:L17)=10,L17=4)</formula>
    </cfRule>
    <cfRule type="expression" priority="857" dxfId="1">
      <formula>AND(COUNT(C17:L17)=10,L17&lt;4*0.4)</formula>
    </cfRule>
    <cfRule type="expression" priority="858" dxfId="2">
      <formula>AND(COUNT(C17:L17)=10,L17&gt;=4*0.4,L17&lt;4)</formula>
    </cfRule>
  </conditionalFormatting>
  <conditionalFormatting sqref="L18">
    <cfRule type="expression" priority="859" dxfId="0">
      <formula>AND(COUNT(C18:L18)=10,L18=4)</formula>
    </cfRule>
    <cfRule type="expression" priority="860" dxfId="1">
      <formula>AND(COUNT(C18:L18)=10,L18&lt;4*0.4)</formula>
    </cfRule>
    <cfRule type="expression" priority="861" dxfId="2">
      <formula>AND(COUNT(C18:L18)=10,L18&gt;=4*0.4,L18&lt;4)</formula>
    </cfRule>
  </conditionalFormatting>
  <conditionalFormatting sqref="L19">
    <cfRule type="expression" priority="862" dxfId="0">
      <formula>AND(COUNT(C19:L19)=10,L19=4)</formula>
    </cfRule>
    <cfRule type="expression" priority="863" dxfId="1">
      <formula>AND(COUNT(C19:L19)=10,L19&lt;4*0.4)</formula>
    </cfRule>
    <cfRule type="expression" priority="864" dxfId="2">
      <formula>AND(COUNT(C19:L19)=10,L19&gt;=4*0.4,L19&lt;4)</formula>
    </cfRule>
  </conditionalFormatting>
  <conditionalFormatting sqref="L20">
    <cfRule type="expression" priority="865" dxfId="0">
      <formula>AND(COUNT(C20:L20)=10,L20=4)</formula>
    </cfRule>
    <cfRule type="expression" priority="866" dxfId="1">
      <formula>AND(COUNT(C20:L20)=10,L20&lt;4*0.4)</formula>
    </cfRule>
    <cfRule type="expression" priority="867" dxfId="2">
      <formula>AND(COUNT(C20:L20)=10,L20&gt;=4*0.4,L20&lt;4)</formula>
    </cfRule>
  </conditionalFormatting>
  <conditionalFormatting sqref="L21">
    <cfRule type="expression" priority="868" dxfId="0">
      <formula>AND(COUNT(C21:L21)=10,L21=4)</formula>
    </cfRule>
    <cfRule type="expression" priority="869" dxfId="1">
      <formula>AND(COUNT(C21:L21)=10,L21&lt;4*0.4)</formula>
    </cfRule>
    <cfRule type="expression" priority="870" dxfId="2">
      <formula>AND(COUNT(C21:L21)=10,L21&gt;=4*0.4,L21&lt;4)</formula>
    </cfRule>
  </conditionalFormatting>
  <conditionalFormatting sqref="L22">
    <cfRule type="expression" priority="871" dxfId="0">
      <formula>AND(COUNT(C22:L22)=10,L22=4)</formula>
    </cfRule>
    <cfRule type="expression" priority="872" dxfId="1">
      <formula>AND(COUNT(C22:L22)=10,L22&lt;4*0.4)</formula>
    </cfRule>
    <cfRule type="expression" priority="873" dxfId="2">
      <formula>AND(COUNT(C22:L22)=10,L22&gt;=4*0.4,L22&lt;4)</formula>
    </cfRule>
  </conditionalFormatting>
  <conditionalFormatting sqref="L23">
    <cfRule type="expression" priority="874" dxfId="0">
      <formula>AND(COUNT(C23:L23)=10,L23=4)</formula>
    </cfRule>
    <cfRule type="expression" priority="875" dxfId="1">
      <formula>AND(COUNT(C23:L23)=10,L23&lt;4*0.4)</formula>
    </cfRule>
    <cfRule type="expression" priority="876" dxfId="2">
      <formula>AND(COUNT(C23:L23)=10,L23&gt;=4*0.4,L23&lt;4)</formula>
    </cfRule>
  </conditionalFormatting>
  <conditionalFormatting sqref="L24">
    <cfRule type="expression" priority="877" dxfId="0">
      <formula>AND(COUNT(C24:L24)=10,L24=4)</formula>
    </cfRule>
    <cfRule type="expression" priority="878" dxfId="1">
      <formula>AND(COUNT(C24:L24)=10,L24&lt;4*0.4)</formula>
    </cfRule>
    <cfRule type="expression" priority="879" dxfId="2">
      <formula>AND(COUNT(C24:L24)=10,L24&gt;=4*0.4,L24&lt;4)</formula>
    </cfRule>
  </conditionalFormatting>
  <conditionalFormatting sqref="L25">
    <cfRule type="expression" priority="880" dxfId="0">
      <formula>AND(COUNT(C25:L25)=10,L25=4)</formula>
    </cfRule>
    <cfRule type="expression" priority="881" dxfId="1">
      <formula>AND(COUNT(C25:L25)=10,L25&lt;4*0.4)</formula>
    </cfRule>
    <cfRule type="expression" priority="882" dxfId="2">
      <formula>AND(COUNT(C25:L25)=10,L25&gt;=4*0.4,L25&lt;4)</formula>
    </cfRule>
  </conditionalFormatting>
  <conditionalFormatting sqref="L26">
    <cfRule type="expression" priority="883" dxfId="0">
      <formula>AND(COUNT(C26:L26)=10,L26=4)</formula>
    </cfRule>
    <cfRule type="expression" priority="884" dxfId="1">
      <formula>AND(COUNT(C26:L26)=10,L26&lt;4*0.4)</formula>
    </cfRule>
    <cfRule type="expression" priority="885" dxfId="2">
      <formula>AND(COUNT(C26:L26)=10,L26&gt;=4*0.4,L26&lt;4)</formula>
    </cfRule>
  </conditionalFormatting>
  <conditionalFormatting sqref="L27">
    <cfRule type="expression" priority="886" dxfId="0">
      <formula>AND(COUNT(C27:L27)=10,L27=4)</formula>
    </cfRule>
    <cfRule type="expression" priority="887" dxfId="1">
      <formula>AND(COUNT(C27:L27)=10,L27&lt;4*0.4)</formula>
    </cfRule>
    <cfRule type="expression" priority="888" dxfId="2">
      <formula>AND(COUNT(C27:L27)=10,L27&gt;=4*0.4,L27&lt;4)</formula>
    </cfRule>
  </conditionalFormatting>
  <conditionalFormatting sqref="L28">
    <cfRule type="expression" priority="889" dxfId="0">
      <formula>AND(COUNT(C28:L28)=10,L28=4)</formula>
    </cfRule>
    <cfRule type="expression" priority="890" dxfId="1">
      <formula>AND(COUNT(C28:L28)=10,L28&lt;4*0.4)</formula>
    </cfRule>
    <cfRule type="expression" priority="891" dxfId="2">
      <formula>AND(COUNT(C28:L28)=10,L28&gt;=4*0.4,L28&lt;4)</formula>
    </cfRule>
  </conditionalFormatting>
  <conditionalFormatting sqref="L29">
    <cfRule type="expression" priority="892" dxfId="0">
      <formula>AND(COUNT(C29:L29)=10,L29=4)</formula>
    </cfRule>
    <cfRule type="expression" priority="893" dxfId="1">
      <formula>AND(COUNT(C29:L29)=10,L29&lt;4*0.4)</formula>
    </cfRule>
    <cfRule type="expression" priority="894" dxfId="2">
      <formula>AND(COUNT(C29:L29)=10,L29&gt;=4*0.4,L29&lt;4)</formula>
    </cfRule>
  </conditionalFormatting>
  <conditionalFormatting sqref="L30">
    <cfRule type="expression" priority="895" dxfId="0">
      <formula>AND(COUNT(C30:L30)=10,L30=4)</formula>
    </cfRule>
    <cfRule type="expression" priority="896" dxfId="1">
      <formula>AND(COUNT(C30:L30)=10,L30&lt;4*0.4)</formula>
    </cfRule>
    <cfRule type="expression" priority="897" dxfId="2">
      <formula>AND(COUNT(C30:L30)=10,L30&gt;=4*0.4,L30&lt;4)</formula>
    </cfRule>
  </conditionalFormatting>
  <conditionalFormatting sqref="L31">
    <cfRule type="expression" priority="898" dxfId="0">
      <formula>AND(COUNT(C31:L31)=10,L31=4)</formula>
    </cfRule>
    <cfRule type="expression" priority="899" dxfId="1">
      <formula>AND(COUNT(C31:L31)=10,L31&lt;4*0.4)</formula>
    </cfRule>
    <cfRule type="expression" priority="900" dxfId="2">
      <formula>AND(COUNT(C31:L31)=10,L31&gt;=4*0.4,L31&lt;4)</formula>
    </cfRule>
  </conditionalFormatting>
  <conditionalFormatting sqref="L32">
    <cfRule type="expression" priority="901" dxfId="0">
      <formula>AND(COUNT(C32:L32)=10,L32=4)</formula>
    </cfRule>
    <cfRule type="expression" priority="902" dxfId="1">
      <formula>AND(COUNT(C32:L32)=10,L32&lt;4*0.4)</formula>
    </cfRule>
    <cfRule type="expression" priority="903" dxfId="2">
      <formula>AND(COUNT(C32:L32)=10,L32&gt;=4*0.4,L32&lt;4)</formula>
    </cfRule>
  </conditionalFormatting>
  <conditionalFormatting sqref="L33">
    <cfRule type="expression" priority="904" dxfId="0">
      <formula>AND(COUNT(C33:L33)=10,L33=4)</formula>
    </cfRule>
    <cfRule type="expression" priority="905" dxfId="1">
      <formula>AND(COUNT(C33:L33)=10,L33&lt;4*0.4)</formula>
    </cfRule>
    <cfRule type="expression" priority="906" dxfId="2">
      <formula>AND(COUNT(C33:L33)=10,L33&gt;=4*0.4,L33&lt;4)</formula>
    </cfRule>
  </conditionalFormatting>
  <conditionalFormatting sqref="L34">
    <cfRule type="expression" priority="907" dxfId="0">
      <formula>AND(COUNT(C34:L34)=10,L34=4)</formula>
    </cfRule>
    <cfRule type="expression" priority="908" dxfId="1">
      <formula>AND(COUNT(C34:L34)=10,L34&lt;4*0.4)</formula>
    </cfRule>
    <cfRule type="expression" priority="909" dxfId="2">
      <formula>AND(COUNT(C34:L34)=10,L34&gt;=4*0.4,L34&lt;4)</formula>
    </cfRule>
  </conditionalFormatting>
  <conditionalFormatting sqref="L35">
    <cfRule type="expression" priority="910" dxfId="0">
      <formula>AND(COUNT(C35:L35)=10,L35=4)</formula>
    </cfRule>
    <cfRule type="expression" priority="911" dxfId="1">
      <formula>AND(COUNT(C35:L35)=10,L35&lt;4*0.4)</formula>
    </cfRule>
    <cfRule type="expression" priority="912" dxfId="2">
      <formula>AND(COUNT(C35:L35)=10,L35&gt;=4*0.4,L35&lt;4)</formula>
    </cfRule>
  </conditionalFormatting>
  <conditionalFormatting sqref="L36">
    <cfRule type="expression" priority="913" dxfId="0">
      <formula>AND(COUNT(C36:L36)=10,L36=4)</formula>
    </cfRule>
    <cfRule type="expression" priority="914" dxfId="1">
      <formula>AND(COUNT(C36:L36)=10,L36&lt;4*0.4)</formula>
    </cfRule>
    <cfRule type="expression" priority="915" dxfId="2">
      <formula>AND(COUNT(C36:L36)=10,L36&gt;=4*0.4,L36&lt;4)</formula>
    </cfRule>
  </conditionalFormatting>
  <conditionalFormatting sqref="L37">
    <cfRule type="expression" priority="916" dxfId="0">
      <formula>AND(COUNT(C37:L37)=10,L37=4)</formula>
    </cfRule>
    <cfRule type="expression" priority="917" dxfId="1">
      <formula>AND(COUNT(C37:L37)=10,L37&lt;4*0.4)</formula>
    </cfRule>
    <cfRule type="expression" priority="918" dxfId="2">
      <formula>AND(COUNT(C37:L37)=10,L37&gt;=4*0.4,L37&lt;4)</formula>
    </cfRule>
  </conditionalFormatting>
  <conditionalFormatting sqref="L38">
    <cfRule type="expression" priority="919" dxfId="0">
      <formula>AND(COUNT(C38:L38)=10,L38=4)</formula>
    </cfRule>
    <cfRule type="expression" priority="920" dxfId="1">
      <formula>AND(COUNT(C38:L38)=10,L38&lt;4*0.4)</formula>
    </cfRule>
    <cfRule type="expression" priority="921" dxfId="2">
      <formula>AND(COUNT(C38:L38)=10,L38&gt;=4*0.4,L38&lt;4)</formula>
    </cfRule>
  </conditionalFormatting>
  <conditionalFormatting sqref="L39">
    <cfRule type="expression" priority="922" dxfId="0">
      <formula>AND(COUNT(C39:L39)=10,L39=4)</formula>
    </cfRule>
    <cfRule type="expression" priority="923" dxfId="1">
      <formula>AND(COUNT(C39:L39)=10,L39&lt;4*0.4)</formula>
    </cfRule>
    <cfRule type="expression" priority="924" dxfId="2">
      <formula>AND(COUNT(C39:L39)=10,L39&gt;=4*0.4,L39&lt;4)</formula>
    </cfRule>
  </conditionalFormatting>
  <conditionalFormatting sqref="L40">
    <cfRule type="expression" priority="925" dxfId="0">
      <formula>AND(COUNT(C40:L40)=10,L40=4)</formula>
    </cfRule>
    <cfRule type="expression" priority="926" dxfId="1">
      <formula>AND(COUNT(C40:L40)=10,L40&lt;4*0.4)</formula>
    </cfRule>
    <cfRule type="expression" priority="927" dxfId="2">
      <formula>AND(COUNT(C40:L40)=10,L40&gt;=4*0.4,L40&lt;4)</formula>
    </cfRule>
  </conditionalFormatting>
  <conditionalFormatting sqref="L41">
    <cfRule type="expression" priority="928" dxfId="0">
      <formula>AND(COUNT(C41:L41)=10,L41=4)</formula>
    </cfRule>
    <cfRule type="expression" priority="929" dxfId="1">
      <formula>AND(COUNT(C41:L41)=10,L41&lt;4*0.4)</formula>
    </cfRule>
    <cfRule type="expression" priority="930" dxfId="2">
      <formula>AND(COUNT(C41:L41)=10,L41&gt;=4*0.4,L41&lt;4)</formula>
    </cfRule>
  </conditionalFormatting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247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Mock Exam 1 — Paper 1</t>
        </is>
      </c>
    </row>
    <row r="2">
      <c r="A2" s="2" t="inlineStr">
        <is>
          <t>Every block below pulls live from 'Mock 1 Paper 1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SUMPRODUCT(--ISNUMBER('Mock 1 Paper 1 Results'!O12:O41))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IF('Mock 1 Paper 1 Results'!O12="","","Mock Exam 1 — Paper 1")</f>
        <v/>
      </c>
      <c r="K5">
        <f>IF('Mock 1 Paper 1 Results'!O13="","","Mock Exam 1 — Paper 1")</f>
        <v/>
      </c>
    </row>
    <row r="6">
      <c r="A6">
        <f>IF('Mock 1 Paper 1 Results'!O12="","","Name: "&amp;'Mock 1 Paper 1 Results'!B12&amp;"   Class: "&amp;'Mock 1 Paper 1 Results'!$B$3&amp;"   Date: "&amp;TEXT('Mock 1 Paper 1 Results'!$B$5,"DD/MM/YY"))</f>
        <v/>
      </c>
      <c r="K6">
        <f>IF('Mock 1 Paper 1 Results'!O13="","","Name: "&amp;'Mock 1 Paper 1 Results'!B13&amp;"   Class: "&amp;'Mock 1 Paper 1 Results'!$B$3&amp;"   Date: "&amp;TEXT('Mock 1 Paper 1 Results'!$B$5,"DD/MM/YY"))</f>
        <v/>
      </c>
    </row>
    <row r="7">
      <c r="A7">
        <f>IF('Mock 1 Paper 1 Results'!O12="","","Total: "&amp;'Mock 1 Paper 1 Results'!M12&amp;"/61 ("&amp;TEXT('Mock 1 Paper 1 Results'!N12,"0%")&amp;")   Overall: "&amp;'Mock 1 Paper 1 Results'!O12)</f>
        <v/>
      </c>
      <c r="K7">
        <f>IF('Mock 1 Paper 1 Results'!O13="","","Total: "&amp;'Mock 1 Paper 1 Results'!M13&amp;"/61 ("&amp;TEXT('Mock 1 Paper 1 Results'!N13,"0%")&amp;")   Overall: "&amp;'Mock 1 Paper 1 Results'!O13)</f>
        <v/>
      </c>
    </row>
    <row r="8">
      <c r="A8">
        <f>IF('Mock 1 Paper 1 Results'!O12="","",IF('Mock 1 Paper 1 Results'!O12="Green",Parameters!$C$484,IF('Mock 1 Paper 1 Results'!O12="Yellow",Parameters!$C$483,Parameters!$C$482)))</f>
        <v/>
      </c>
      <c r="K8">
        <f>IF('Mock 1 Paper 1 Results'!O13="","",IF('Mock 1 Paper 1 Results'!O13="Green",Parameters!$C$484,IF('Mock 1 Paper 1 Results'!O13="Yellow",Parameters!$C$483,Parameters!$C$482)))</f>
        <v/>
      </c>
    </row>
    <row r="10">
      <c r="A10">
        <f>IF('Mock 1 Paper 1 Results'!O12="","","Breakdown:")</f>
        <v/>
      </c>
      <c r="K10">
        <f>IF('Mock 1 Paper 1 Results'!O13="","","Breakdown:")</f>
        <v/>
      </c>
    </row>
    <row r="11">
      <c r="A11">
        <f>IF('Mock 1 Paper 1 Results'!O12="","","Q1 Classifying data types: "&amp;'Mock 1 Paper 1 Results'!C12&amp;"/2")</f>
        <v/>
      </c>
      <c r="K11">
        <f>IF('Mock 1 Paper 1 Results'!O13="","","Q1 Classifying data types: "&amp;'Mock 1 Paper 1 Results'!C13&amp;"/2")</f>
        <v/>
      </c>
    </row>
    <row r="12">
      <c r="A12">
        <f>IF('Mock 1 Paper 1 Results'!O12="","","Q2 Stratified sampling calculations: "&amp;'Mock 1 Paper 1 Results'!D12&amp;"/5")</f>
        <v/>
      </c>
      <c r="K12">
        <f>IF('Mock 1 Paper 1 Results'!O13="","","Q2 Stratified sampling calculations: "&amp;'Mock 1 Paper 1 Results'!D13&amp;"/5")</f>
        <v/>
      </c>
    </row>
    <row r="13">
      <c r="A13">
        <f>IF('Mock 1 Paper 1 Results'!O12="","","Q3 Reading graphs and percentage change: "&amp;'Mock 1 Paper 1 Results'!E12&amp;"/5")</f>
        <v/>
      </c>
      <c r="K13">
        <f>IF('Mock 1 Paper 1 Results'!O13="","","Q3 Reading graphs and percentage change: "&amp;'Mock 1 Paper 1 Results'!E13&amp;"/5")</f>
        <v/>
      </c>
    </row>
    <row r="14">
      <c r="A14">
        <f>IF('Mock 1 Paper 1 Results'!O12="","","Q4 Fermi estimation: "&amp;'Mock 1 Paper 1 Results'!F12&amp;"/4")</f>
        <v/>
      </c>
      <c r="K14">
        <f>IF('Mock 1 Paper 1 Results'!O13="","","Q4 Fermi estimation: "&amp;'Mock 1 Paper 1 Results'!F13&amp;"/4")</f>
        <v/>
      </c>
    </row>
    <row r="15">
      <c r="A15">
        <f>IF('Mock 1 Paper 1 Results'!O12="","","Q5 Compound percentage decrease: "&amp;'Mock 1 Paper 1 Results'!G12&amp;"/4")</f>
        <v/>
      </c>
      <c r="K15">
        <f>IF('Mock 1 Paper 1 Results'!O13="","","Q5 Compound percentage decrease: "&amp;'Mock 1 Paper 1 Results'!G13&amp;"/4")</f>
        <v/>
      </c>
    </row>
    <row r="16">
      <c r="A16">
        <f>IF('Mock 1 Paper 1 Results'!O12="","","Q6 Comparing averages and spread: "&amp;'Mock 1 Paper 1 Results'!H12&amp;"/5")</f>
        <v/>
      </c>
      <c r="K16">
        <f>IF('Mock 1 Paper 1 Results'!O13="","","Q6 Comparing averages and spread: "&amp;'Mock 1 Paper 1 Results'!H13&amp;"/5")</f>
        <v/>
      </c>
    </row>
    <row r="17">
      <c r="A17">
        <f>IF('Mock 1 Paper 1 Results'!O12="","","Q7 Modelling yield with assumptions: "&amp;'Mock 1 Paper 1 Results'!I12&amp;"/11")</f>
        <v/>
      </c>
      <c r="K17">
        <f>IF('Mock 1 Paper 1 Results'!O13="","","Q7 Modelling yield with assumptions: "&amp;'Mock 1 Paper 1 Results'!I13&amp;"/11")</f>
        <v/>
      </c>
    </row>
    <row r="18">
      <c r="A18">
        <f>IF('Mock 1 Paper 1 Results'!O12="","","Q8 Income tax and National Insurance: "&amp;'Mock 1 Paper 1 Results'!J12&amp;"/11")</f>
        <v/>
      </c>
      <c r="K18">
        <f>IF('Mock 1 Paper 1 Results'!O13="","","Q8 Income tax and National Insurance: "&amp;'Mock 1 Paper 1 Results'!J13&amp;"/11")</f>
        <v/>
      </c>
    </row>
    <row r="19">
      <c r="A19">
        <f>IF('Mock 1 Paper 1 Results'!O12="","","Q9 Cumulative frequency graph and estimate: "&amp;'Mock 1 Paper 1 Results'!K12&amp;"/10")</f>
        <v/>
      </c>
      <c r="K19">
        <f>IF('Mock 1 Paper 1 Results'!O13="","","Q9 Cumulative frequency graph and estimate: "&amp;'Mock 1 Paper 1 Results'!K13&amp;"/10")</f>
        <v/>
      </c>
    </row>
    <row r="20">
      <c r="A20">
        <f>IF('Mock 1 Paper 1 Results'!O12="","","Q10 Annual Equivalent Rate: "&amp;'Mock 1 Paper 1 Results'!L12&amp;"/4")</f>
        <v/>
      </c>
      <c r="K20">
        <f>IF('Mock 1 Paper 1 Results'!O13="","","Q10 Annual Equivalent Rate: "&amp;'Mock 1 Paper 1 Results'!L13&amp;"/4")</f>
        <v/>
      </c>
    </row>
    <row r="21">
      <c r="A21">
        <f>IF('Mock 1 Paper 1 Results'!O14="","","Mock Exam 1 — Paper 1")</f>
        <v/>
      </c>
      <c r="K21">
        <f>IF('Mock 1 Paper 1 Results'!O15="","","Mock Exam 1 — Paper 1")</f>
        <v/>
      </c>
    </row>
    <row r="22">
      <c r="A22">
        <f>IF('Mock 1 Paper 1 Results'!O14="","","Name: "&amp;'Mock 1 Paper 1 Results'!B14&amp;"   Class: "&amp;'Mock 1 Paper 1 Results'!$B$3&amp;"   Date: "&amp;TEXT('Mock 1 Paper 1 Results'!$B$5,"DD/MM/YY"))</f>
        <v/>
      </c>
      <c r="K22">
        <f>IF('Mock 1 Paper 1 Results'!O15="","","Name: "&amp;'Mock 1 Paper 1 Results'!B15&amp;"   Class: "&amp;'Mock 1 Paper 1 Results'!$B$3&amp;"   Date: "&amp;TEXT('Mock 1 Paper 1 Results'!$B$5,"DD/MM/YY"))</f>
        <v/>
      </c>
    </row>
    <row r="23">
      <c r="A23">
        <f>IF('Mock 1 Paper 1 Results'!O14="","","Total: "&amp;'Mock 1 Paper 1 Results'!M14&amp;"/61 ("&amp;TEXT('Mock 1 Paper 1 Results'!N14,"0%")&amp;")   Overall: "&amp;'Mock 1 Paper 1 Results'!O14)</f>
        <v/>
      </c>
      <c r="K23">
        <f>IF('Mock 1 Paper 1 Results'!O15="","","Total: "&amp;'Mock 1 Paper 1 Results'!M15&amp;"/61 ("&amp;TEXT('Mock 1 Paper 1 Results'!N15,"0%")&amp;")   Overall: "&amp;'Mock 1 Paper 1 Results'!O15)</f>
        <v/>
      </c>
    </row>
    <row r="24">
      <c r="A24">
        <f>IF('Mock 1 Paper 1 Results'!O14="","",IF('Mock 1 Paper 1 Results'!O14="Green",Parameters!$C$484,IF('Mock 1 Paper 1 Results'!O14="Yellow",Parameters!$C$483,Parameters!$C$482)))</f>
        <v/>
      </c>
      <c r="K24">
        <f>IF('Mock 1 Paper 1 Results'!O15="","",IF('Mock 1 Paper 1 Results'!O15="Green",Parameters!$C$484,IF('Mock 1 Paper 1 Results'!O15="Yellow",Parameters!$C$483,Parameters!$C$482)))</f>
        <v/>
      </c>
    </row>
    <row r="26">
      <c r="A26">
        <f>IF('Mock 1 Paper 1 Results'!O14="","","Breakdown:")</f>
        <v/>
      </c>
      <c r="K26">
        <f>IF('Mock 1 Paper 1 Results'!O15="","","Breakdown:")</f>
        <v/>
      </c>
    </row>
    <row r="27">
      <c r="A27">
        <f>IF('Mock 1 Paper 1 Results'!O14="","","Q1 Classifying data types: "&amp;'Mock 1 Paper 1 Results'!C14&amp;"/2")</f>
        <v/>
      </c>
      <c r="K27">
        <f>IF('Mock 1 Paper 1 Results'!O15="","","Q1 Classifying data types: "&amp;'Mock 1 Paper 1 Results'!C15&amp;"/2")</f>
        <v/>
      </c>
    </row>
    <row r="28">
      <c r="A28">
        <f>IF('Mock 1 Paper 1 Results'!O14="","","Q2 Stratified sampling calculations: "&amp;'Mock 1 Paper 1 Results'!D14&amp;"/5")</f>
        <v/>
      </c>
      <c r="K28">
        <f>IF('Mock 1 Paper 1 Results'!O15="","","Q2 Stratified sampling calculations: "&amp;'Mock 1 Paper 1 Results'!D15&amp;"/5")</f>
        <v/>
      </c>
    </row>
    <row r="29">
      <c r="A29">
        <f>IF('Mock 1 Paper 1 Results'!O14="","","Q3 Reading graphs and percentage change: "&amp;'Mock 1 Paper 1 Results'!E14&amp;"/5")</f>
        <v/>
      </c>
      <c r="K29">
        <f>IF('Mock 1 Paper 1 Results'!O15="","","Q3 Reading graphs and percentage change: "&amp;'Mock 1 Paper 1 Results'!E15&amp;"/5")</f>
        <v/>
      </c>
    </row>
    <row r="30">
      <c r="A30">
        <f>IF('Mock 1 Paper 1 Results'!O14="","","Q4 Fermi estimation: "&amp;'Mock 1 Paper 1 Results'!F14&amp;"/4")</f>
        <v/>
      </c>
      <c r="K30">
        <f>IF('Mock 1 Paper 1 Results'!O15="","","Q4 Fermi estimation: "&amp;'Mock 1 Paper 1 Results'!F15&amp;"/4")</f>
        <v/>
      </c>
    </row>
    <row r="31">
      <c r="A31">
        <f>IF('Mock 1 Paper 1 Results'!O14="","","Q5 Compound percentage decrease: "&amp;'Mock 1 Paper 1 Results'!G14&amp;"/4")</f>
        <v/>
      </c>
      <c r="K31">
        <f>IF('Mock 1 Paper 1 Results'!O15="","","Q5 Compound percentage decrease: "&amp;'Mock 1 Paper 1 Results'!G15&amp;"/4")</f>
        <v/>
      </c>
    </row>
    <row r="32">
      <c r="A32">
        <f>IF('Mock 1 Paper 1 Results'!O14="","","Q6 Comparing averages and spread: "&amp;'Mock 1 Paper 1 Results'!H14&amp;"/5")</f>
        <v/>
      </c>
      <c r="K32">
        <f>IF('Mock 1 Paper 1 Results'!O15="","","Q6 Comparing averages and spread: "&amp;'Mock 1 Paper 1 Results'!H15&amp;"/5")</f>
        <v/>
      </c>
    </row>
    <row r="33">
      <c r="A33">
        <f>IF('Mock 1 Paper 1 Results'!O14="","","Q7 Modelling yield with assumptions: "&amp;'Mock 1 Paper 1 Results'!I14&amp;"/11")</f>
        <v/>
      </c>
      <c r="K33">
        <f>IF('Mock 1 Paper 1 Results'!O15="","","Q7 Modelling yield with assumptions: "&amp;'Mock 1 Paper 1 Results'!I15&amp;"/11")</f>
        <v/>
      </c>
    </row>
    <row r="34">
      <c r="A34">
        <f>IF('Mock 1 Paper 1 Results'!O14="","","Q8 Income tax and National Insurance: "&amp;'Mock 1 Paper 1 Results'!J14&amp;"/11")</f>
        <v/>
      </c>
      <c r="K34">
        <f>IF('Mock 1 Paper 1 Results'!O15="","","Q8 Income tax and National Insurance: "&amp;'Mock 1 Paper 1 Results'!J15&amp;"/11")</f>
        <v/>
      </c>
    </row>
    <row r="35">
      <c r="A35">
        <f>IF('Mock 1 Paper 1 Results'!O14="","","Q9 Cumulative frequency graph and estimate: "&amp;'Mock 1 Paper 1 Results'!K14&amp;"/10")</f>
        <v/>
      </c>
      <c r="K35">
        <f>IF('Mock 1 Paper 1 Results'!O15="","","Q9 Cumulative frequency graph and estimate: "&amp;'Mock 1 Paper 1 Results'!K15&amp;"/10")</f>
        <v/>
      </c>
    </row>
    <row r="36">
      <c r="A36">
        <f>IF('Mock 1 Paper 1 Results'!O14="","","Q10 Annual Equivalent Rate: "&amp;'Mock 1 Paper 1 Results'!L14&amp;"/4")</f>
        <v/>
      </c>
      <c r="K36">
        <f>IF('Mock 1 Paper 1 Results'!O15="","","Q10 Annual Equivalent Rate: "&amp;'Mock 1 Paper 1 Results'!L15&amp;"/4")</f>
        <v/>
      </c>
    </row>
    <row r="37">
      <c r="A37">
        <f>IF('Mock 1 Paper 1 Results'!O16="","","Mock Exam 1 — Paper 1")</f>
        <v/>
      </c>
      <c r="K37">
        <f>IF('Mock 1 Paper 1 Results'!O17="","","Mock Exam 1 — Paper 1")</f>
        <v/>
      </c>
    </row>
    <row r="38">
      <c r="A38">
        <f>IF('Mock 1 Paper 1 Results'!O16="","","Name: "&amp;'Mock 1 Paper 1 Results'!B16&amp;"   Class: "&amp;'Mock 1 Paper 1 Results'!$B$3&amp;"   Date: "&amp;TEXT('Mock 1 Paper 1 Results'!$B$5,"DD/MM/YY"))</f>
        <v/>
      </c>
      <c r="K38">
        <f>IF('Mock 1 Paper 1 Results'!O17="","","Name: "&amp;'Mock 1 Paper 1 Results'!B17&amp;"   Class: "&amp;'Mock 1 Paper 1 Results'!$B$3&amp;"   Date: "&amp;TEXT('Mock 1 Paper 1 Results'!$B$5,"DD/MM/YY"))</f>
        <v/>
      </c>
    </row>
    <row r="39">
      <c r="A39">
        <f>IF('Mock 1 Paper 1 Results'!O16="","","Total: "&amp;'Mock 1 Paper 1 Results'!M16&amp;"/61 ("&amp;TEXT('Mock 1 Paper 1 Results'!N16,"0%")&amp;")   Overall: "&amp;'Mock 1 Paper 1 Results'!O16)</f>
        <v/>
      </c>
      <c r="K39">
        <f>IF('Mock 1 Paper 1 Results'!O17="","","Total: "&amp;'Mock 1 Paper 1 Results'!M17&amp;"/61 ("&amp;TEXT('Mock 1 Paper 1 Results'!N17,"0%")&amp;")   Overall: "&amp;'Mock 1 Paper 1 Results'!O17)</f>
        <v/>
      </c>
    </row>
    <row r="40">
      <c r="A40">
        <f>IF('Mock 1 Paper 1 Results'!O16="","",IF('Mock 1 Paper 1 Results'!O16="Green",Parameters!$C$484,IF('Mock 1 Paper 1 Results'!O16="Yellow",Parameters!$C$483,Parameters!$C$482)))</f>
        <v/>
      </c>
      <c r="K40">
        <f>IF('Mock 1 Paper 1 Results'!O17="","",IF('Mock 1 Paper 1 Results'!O17="Green",Parameters!$C$484,IF('Mock 1 Paper 1 Results'!O17="Yellow",Parameters!$C$483,Parameters!$C$482)))</f>
        <v/>
      </c>
    </row>
    <row r="42">
      <c r="A42">
        <f>IF('Mock 1 Paper 1 Results'!O16="","","Breakdown:")</f>
        <v/>
      </c>
      <c r="K42">
        <f>IF('Mock 1 Paper 1 Results'!O17="","","Breakdown:")</f>
        <v/>
      </c>
    </row>
    <row r="43">
      <c r="A43">
        <f>IF('Mock 1 Paper 1 Results'!O16="","","Q1 Classifying data types: "&amp;'Mock 1 Paper 1 Results'!C16&amp;"/2")</f>
        <v/>
      </c>
      <c r="K43">
        <f>IF('Mock 1 Paper 1 Results'!O17="","","Q1 Classifying data types: "&amp;'Mock 1 Paper 1 Results'!C17&amp;"/2")</f>
        <v/>
      </c>
    </row>
    <row r="44">
      <c r="A44">
        <f>IF('Mock 1 Paper 1 Results'!O16="","","Q2 Stratified sampling calculations: "&amp;'Mock 1 Paper 1 Results'!D16&amp;"/5")</f>
        <v/>
      </c>
      <c r="K44">
        <f>IF('Mock 1 Paper 1 Results'!O17="","","Q2 Stratified sampling calculations: "&amp;'Mock 1 Paper 1 Results'!D17&amp;"/5")</f>
        <v/>
      </c>
    </row>
    <row r="45">
      <c r="A45">
        <f>IF('Mock 1 Paper 1 Results'!O16="","","Q3 Reading graphs and percentage change: "&amp;'Mock 1 Paper 1 Results'!E16&amp;"/5")</f>
        <v/>
      </c>
      <c r="K45">
        <f>IF('Mock 1 Paper 1 Results'!O17="","","Q3 Reading graphs and percentage change: "&amp;'Mock 1 Paper 1 Results'!E17&amp;"/5")</f>
        <v/>
      </c>
    </row>
    <row r="46">
      <c r="A46">
        <f>IF('Mock 1 Paper 1 Results'!O16="","","Q4 Fermi estimation: "&amp;'Mock 1 Paper 1 Results'!F16&amp;"/4")</f>
        <v/>
      </c>
      <c r="K46">
        <f>IF('Mock 1 Paper 1 Results'!O17="","","Q4 Fermi estimation: "&amp;'Mock 1 Paper 1 Results'!F17&amp;"/4")</f>
        <v/>
      </c>
    </row>
    <row r="47">
      <c r="A47">
        <f>IF('Mock 1 Paper 1 Results'!O16="","","Q5 Compound percentage decrease: "&amp;'Mock 1 Paper 1 Results'!G16&amp;"/4")</f>
        <v/>
      </c>
      <c r="K47">
        <f>IF('Mock 1 Paper 1 Results'!O17="","","Q5 Compound percentage decrease: "&amp;'Mock 1 Paper 1 Results'!G17&amp;"/4")</f>
        <v/>
      </c>
    </row>
    <row r="48">
      <c r="A48">
        <f>IF('Mock 1 Paper 1 Results'!O16="","","Q6 Comparing averages and spread: "&amp;'Mock 1 Paper 1 Results'!H16&amp;"/5")</f>
        <v/>
      </c>
      <c r="K48">
        <f>IF('Mock 1 Paper 1 Results'!O17="","","Q6 Comparing averages and spread: "&amp;'Mock 1 Paper 1 Results'!H17&amp;"/5")</f>
        <v/>
      </c>
    </row>
    <row r="49">
      <c r="A49">
        <f>IF('Mock 1 Paper 1 Results'!O16="","","Q7 Modelling yield with assumptions: "&amp;'Mock 1 Paper 1 Results'!I16&amp;"/11")</f>
        <v/>
      </c>
      <c r="K49">
        <f>IF('Mock 1 Paper 1 Results'!O17="","","Q7 Modelling yield with assumptions: "&amp;'Mock 1 Paper 1 Results'!I17&amp;"/11")</f>
        <v/>
      </c>
    </row>
    <row r="50">
      <c r="A50">
        <f>IF('Mock 1 Paper 1 Results'!O16="","","Q8 Income tax and National Insurance: "&amp;'Mock 1 Paper 1 Results'!J16&amp;"/11")</f>
        <v/>
      </c>
      <c r="K50">
        <f>IF('Mock 1 Paper 1 Results'!O17="","","Q8 Income tax and National Insurance: "&amp;'Mock 1 Paper 1 Results'!J17&amp;"/11")</f>
        <v/>
      </c>
    </row>
    <row r="51">
      <c r="A51">
        <f>IF('Mock 1 Paper 1 Results'!O16="","","Q9 Cumulative frequency graph and estimate: "&amp;'Mock 1 Paper 1 Results'!K16&amp;"/10")</f>
        <v/>
      </c>
      <c r="K51">
        <f>IF('Mock 1 Paper 1 Results'!O17="","","Q9 Cumulative frequency graph and estimate: "&amp;'Mock 1 Paper 1 Results'!K17&amp;"/10")</f>
        <v/>
      </c>
    </row>
    <row r="52">
      <c r="A52">
        <f>IF('Mock 1 Paper 1 Results'!O16="","","Q10 Annual Equivalent Rate: "&amp;'Mock 1 Paper 1 Results'!L16&amp;"/4")</f>
        <v/>
      </c>
      <c r="K52">
        <f>IF('Mock 1 Paper 1 Results'!O17="","","Q10 Annual Equivalent Rate: "&amp;'Mock 1 Paper 1 Results'!L17&amp;"/4")</f>
        <v/>
      </c>
    </row>
    <row r="53">
      <c r="A53">
        <f>IF('Mock 1 Paper 1 Results'!O18="","","Mock Exam 1 — Paper 1")</f>
        <v/>
      </c>
      <c r="K53">
        <f>IF('Mock 1 Paper 1 Results'!O19="","","Mock Exam 1 — Paper 1")</f>
        <v/>
      </c>
    </row>
    <row r="54">
      <c r="A54">
        <f>IF('Mock 1 Paper 1 Results'!O18="","","Name: "&amp;'Mock 1 Paper 1 Results'!B18&amp;"   Class: "&amp;'Mock 1 Paper 1 Results'!$B$3&amp;"   Date: "&amp;TEXT('Mock 1 Paper 1 Results'!$B$5,"DD/MM/YY"))</f>
        <v/>
      </c>
      <c r="K54">
        <f>IF('Mock 1 Paper 1 Results'!O19="","","Name: "&amp;'Mock 1 Paper 1 Results'!B19&amp;"   Class: "&amp;'Mock 1 Paper 1 Results'!$B$3&amp;"   Date: "&amp;TEXT('Mock 1 Paper 1 Results'!$B$5,"DD/MM/YY"))</f>
        <v/>
      </c>
    </row>
    <row r="55">
      <c r="A55">
        <f>IF('Mock 1 Paper 1 Results'!O18="","","Total: "&amp;'Mock 1 Paper 1 Results'!M18&amp;"/61 ("&amp;TEXT('Mock 1 Paper 1 Results'!N18,"0%")&amp;")   Overall: "&amp;'Mock 1 Paper 1 Results'!O18)</f>
        <v/>
      </c>
      <c r="K55">
        <f>IF('Mock 1 Paper 1 Results'!O19="","","Total: "&amp;'Mock 1 Paper 1 Results'!M19&amp;"/61 ("&amp;TEXT('Mock 1 Paper 1 Results'!N19,"0%")&amp;")   Overall: "&amp;'Mock 1 Paper 1 Results'!O19)</f>
        <v/>
      </c>
    </row>
    <row r="56">
      <c r="A56">
        <f>IF('Mock 1 Paper 1 Results'!O18="","",IF('Mock 1 Paper 1 Results'!O18="Green",Parameters!$C$484,IF('Mock 1 Paper 1 Results'!O18="Yellow",Parameters!$C$483,Parameters!$C$482)))</f>
        <v/>
      </c>
      <c r="K56">
        <f>IF('Mock 1 Paper 1 Results'!O19="","",IF('Mock 1 Paper 1 Results'!O19="Green",Parameters!$C$484,IF('Mock 1 Paper 1 Results'!O19="Yellow",Parameters!$C$483,Parameters!$C$482)))</f>
        <v/>
      </c>
    </row>
    <row r="58">
      <c r="A58">
        <f>IF('Mock 1 Paper 1 Results'!O18="","","Breakdown:")</f>
        <v/>
      </c>
      <c r="K58">
        <f>IF('Mock 1 Paper 1 Results'!O19="","","Breakdown:")</f>
        <v/>
      </c>
    </row>
    <row r="59">
      <c r="A59">
        <f>IF('Mock 1 Paper 1 Results'!O18="","","Q1 Classifying data types: "&amp;'Mock 1 Paper 1 Results'!C18&amp;"/2")</f>
        <v/>
      </c>
      <c r="K59">
        <f>IF('Mock 1 Paper 1 Results'!O19="","","Q1 Classifying data types: "&amp;'Mock 1 Paper 1 Results'!C19&amp;"/2")</f>
        <v/>
      </c>
    </row>
    <row r="60">
      <c r="A60">
        <f>IF('Mock 1 Paper 1 Results'!O18="","","Q2 Stratified sampling calculations: "&amp;'Mock 1 Paper 1 Results'!D18&amp;"/5")</f>
        <v/>
      </c>
      <c r="K60">
        <f>IF('Mock 1 Paper 1 Results'!O19="","","Q2 Stratified sampling calculations: "&amp;'Mock 1 Paper 1 Results'!D19&amp;"/5")</f>
        <v/>
      </c>
    </row>
    <row r="61">
      <c r="A61">
        <f>IF('Mock 1 Paper 1 Results'!O18="","","Q3 Reading graphs and percentage change: "&amp;'Mock 1 Paper 1 Results'!E18&amp;"/5")</f>
        <v/>
      </c>
      <c r="K61">
        <f>IF('Mock 1 Paper 1 Results'!O19="","","Q3 Reading graphs and percentage change: "&amp;'Mock 1 Paper 1 Results'!E19&amp;"/5")</f>
        <v/>
      </c>
    </row>
    <row r="62">
      <c r="A62">
        <f>IF('Mock 1 Paper 1 Results'!O18="","","Q4 Fermi estimation: "&amp;'Mock 1 Paper 1 Results'!F18&amp;"/4")</f>
        <v/>
      </c>
      <c r="K62">
        <f>IF('Mock 1 Paper 1 Results'!O19="","","Q4 Fermi estimation: "&amp;'Mock 1 Paper 1 Results'!F19&amp;"/4")</f>
        <v/>
      </c>
    </row>
    <row r="63">
      <c r="A63">
        <f>IF('Mock 1 Paper 1 Results'!O18="","","Q5 Compound percentage decrease: "&amp;'Mock 1 Paper 1 Results'!G18&amp;"/4")</f>
        <v/>
      </c>
      <c r="K63">
        <f>IF('Mock 1 Paper 1 Results'!O19="","","Q5 Compound percentage decrease: "&amp;'Mock 1 Paper 1 Results'!G19&amp;"/4")</f>
        <v/>
      </c>
    </row>
    <row r="64">
      <c r="A64">
        <f>IF('Mock 1 Paper 1 Results'!O18="","","Q6 Comparing averages and spread: "&amp;'Mock 1 Paper 1 Results'!H18&amp;"/5")</f>
        <v/>
      </c>
      <c r="K64">
        <f>IF('Mock 1 Paper 1 Results'!O19="","","Q6 Comparing averages and spread: "&amp;'Mock 1 Paper 1 Results'!H19&amp;"/5")</f>
        <v/>
      </c>
    </row>
    <row r="65">
      <c r="A65">
        <f>IF('Mock 1 Paper 1 Results'!O18="","","Q7 Modelling yield with assumptions: "&amp;'Mock 1 Paper 1 Results'!I18&amp;"/11")</f>
        <v/>
      </c>
      <c r="K65">
        <f>IF('Mock 1 Paper 1 Results'!O19="","","Q7 Modelling yield with assumptions: "&amp;'Mock 1 Paper 1 Results'!I19&amp;"/11")</f>
        <v/>
      </c>
    </row>
    <row r="66">
      <c r="A66">
        <f>IF('Mock 1 Paper 1 Results'!O18="","","Q8 Income tax and National Insurance: "&amp;'Mock 1 Paper 1 Results'!J18&amp;"/11")</f>
        <v/>
      </c>
      <c r="K66">
        <f>IF('Mock 1 Paper 1 Results'!O19="","","Q8 Income tax and National Insurance: "&amp;'Mock 1 Paper 1 Results'!J19&amp;"/11")</f>
        <v/>
      </c>
    </row>
    <row r="67">
      <c r="A67">
        <f>IF('Mock 1 Paper 1 Results'!O18="","","Q9 Cumulative frequency graph and estimate: "&amp;'Mock 1 Paper 1 Results'!K18&amp;"/10")</f>
        <v/>
      </c>
      <c r="K67">
        <f>IF('Mock 1 Paper 1 Results'!O19="","","Q9 Cumulative frequency graph and estimate: "&amp;'Mock 1 Paper 1 Results'!K19&amp;"/10")</f>
        <v/>
      </c>
    </row>
    <row r="68">
      <c r="A68">
        <f>IF('Mock 1 Paper 1 Results'!O18="","","Q10 Annual Equivalent Rate: "&amp;'Mock 1 Paper 1 Results'!L18&amp;"/4")</f>
        <v/>
      </c>
      <c r="K68">
        <f>IF('Mock 1 Paper 1 Results'!O19="","","Q10 Annual Equivalent Rate: "&amp;'Mock 1 Paper 1 Results'!L19&amp;"/4")</f>
        <v/>
      </c>
    </row>
    <row r="69">
      <c r="A69">
        <f>IF('Mock 1 Paper 1 Results'!O20="","","Mock Exam 1 — Paper 1")</f>
        <v/>
      </c>
      <c r="K69">
        <f>IF('Mock 1 Paper 1 Results'!O21="","","Mock Exam 1 — Paper 1")</f>
        <v/>
      </c>
    </row>
    <row r="70">
      <c r="A70">
        <f>IF('Mock 1 Paper 1 Results'!O20="","","Name: "&amp;'Mock 1 Paper 1 Results'!B20&amp;"   Class: "&amp;'Mock 1 Paper 1 Results'!$B$3&amp;"   Date: "&amp;TEXT('Mock 1 Paper 1 Results'!$B$5,"DD/MM/YY"))</f>
        <v/>
      </c>
      <c r="K70">
        <f>IF('Mock 1 Paper 1 Results'!O21="","","Name: "&amp;'Mock 1 Paper 1 Results'!B21&amp;"   Class: "&amp;'Mock 1 Paper 1 Results'!$B$3&amp;"   Date: "&amp;TEXT('Mock 1 Paper 1 Results'!$B$5,"DD/MM/YY"))</f>
        <v/>
      </c>
    </row>
    <row r="71">
      <c r="A71">
        <f>IF('Mock 1 Paper 1 Results'!O20="","","Total: "&amp;'Mock 1 Paper 1 Results'!M20&amp;"/61 ("&amp;TEXT('Mock 1 Paper 1 Results'!N20,"0%")&amp;")   Overall: "&amp;'Mock 1 Paper 1 Results'!O20)</f>
        <v/>
      </c>
      <c r="K71">
        <f>IF('Mock 1 Paper 1 Results'!O21="","","Total: "&amp;'Mock 1 Paper 1 Results'!M21&amp;"/61 ("&amp;TEXT('Mock 1 Paper 1 Results'!N21,"0%")&amp;")   Overall: "&amp;'Mock 1 Paper 1 Results'!O21)</f>
        <v/>
      </c>
    </row>
    <row r="72">
      <c r="A72">
        <f>IF('Mock 1 Paper 1 Results'!O20="","",IF('Mock 1 Paper 1 Results'!O20="Green",Parameters!$C$484,IF('Mock 1 Paper 1 Results'!O20="Yellow",Parameters!$C$483,Parameters!$C$482)))</f>
        <v/>
      </c>
      <c r="K72">
        <f>IF('Mock 1 Paper 1 Results'!O21="","",IF('Mock 1 Paper 1 Results'!O21="Green",Parameters!$C$484,IF('Mock 1 Paper 1 Results'!O21="Yellow",Parameters!$C$483,Parameters!$C$482)))</f>
        <v/>
      </c>
    </row>
    <row r="74">
      <c r="A74">
        <f>IF('Mock 1 Paper 1 Results'!O20="","","Breakdown:")</f>
        <v/>
      </c>
      <c r="K74">
        <f>IF('Mock 1 Paper 1 Results'!O21="","","Breakdown:")</f>
        <v/>
      </c>
    </row>
    <row r="75">
      <c r="A75">
        <f>IF('Mock 1 Paper 1 Results'!O20="","","Q1 Classifying data types: "&amp;'Mock 1 Paper 1 Results'!C20&amp;"/2")</f>
        <v/>
      </c>
      <c r="K75">
        <f>IF('Mock 1 Paper 1 Results'!O21="","","Q1 Classifying data types: "&amp;'Mock 1 Paper 1 Results'!C21&amp;"/2")</f>
        <v/>
      </c>
    </row>
    <row r="76">
      <c r="A76">
        <f>IF('Mock 1 Paper 1 Results'!O20="","","Q2 Stratified sampling calculations: "&amp;'Mock 1 Paper 1 Results'!D20&amp;"/5")</f>
        <v/>
      </c>
      <c r="K76">
        <f>IF('Mock 1 Paper 1 Results'!O21="","","Q2 Stratified sampling calculations: "&amp;'Mock 1 Paper 1 Results'!D21&amp;"/5")</f>
        <v/>
      </c>
    </row>
    <row r="77">
      <c r="A77">
        <f>IF('Mock 1 Paper 1 Results'!O20="","","Q3 Reading graphs and percentage change: "&amp;'Mock 1 Paper 1 Results'!E20&amp;"/5")</f>
        <v/>
      </c>
      <c r="K77">
        <f>IF('Mock 1 Paper 1 Results'!O21="","","Q3 Reading graphs and percentage change: "&amp;'Mock 1 Paper 1 Results'!E21&amp;"/5")</f>
        <v/>
      </c>
    </row>
    <row r="78">
      <c r="A78">
        <f>IF('Mock 1 Paper 1 Results'!O20="","","Q4 Fermi estimation: "&amp;'Mock 1 Paper 1 Results'!F20&amp;"/4")</f>
        <v/>
      </c>
      <c r="K78">
        <f>IF('Mock 1 Paper 1 Results'!O21="","","Q4 Fermi estimation: "&amp;'Mock 1 Paper 1 Results'!F21&amp;"/4")</f>
        <v/>
      </c>
    </row>
    <row r="79">
      <c r="A79">
        <f>IF('Mock 1 Paper 1 Results'!O20="","","Q5 Compound percentage decrease: "&amp;'Mock 1 Paper 1 Results'!G20&amp;"/4")</f>
        <v/>
      </c>
      <c r="K79">
        <f>IF('Mock 1 Paper 1 Results'!O21="","","Q5 Compound percentage decrease: "&amp;'Mock 1 Paper 1 Results'!G21&amp;"/4")</f>
        <v/>
      </c>
    </row>
    <row r="80">
      <c r="A80">
        <f>IF('Mock 1 Paper 1 Results'!O20="","","Q6 Comparing averages and spread: "&amp;'Mock 1 Paper 1 Results'!H20&amp;"/5")</f>
        <v/>
      </c>
      <c r="K80">
        <f>IF('Mock 1 Paper 1 Results'!O21="","","Q6 Comparing averages and spread: "&amp;'Mock 1 Paper 1 Results'!H21&amp;"/5")</f>
        <v/>
      </c>
    </row>
    <row r="81">
      <c r="A81">
        <f>IF('Mock 1 Paper 1 Results'!O20="","","Q7 Modelling yield with assumptions: "&amp;'Mock 1 Paper 1 Results'!I20&amp;"/11")</f>
        <v/>
      </c>
      <c r="K81">
        <f>IF('Mock 1 Paper 1 Results'!O21="","","Q7 Modelling yield with assumptions: "&amp;'Mock 1 Paper 1 Results'!I21&amp;"/11")</f>
        <v/>
      </c>
    </row>
    <row r="82">
      <c r="A82">
        <f>IF('Mock 1 Paper 1 Results'!O20="","","Q8 Income tax and National Insurance: "&amp;'Mock 1 Paper 1 Results'!J20&amp;"/11")</f>
        <v/>
      </c>
      <c r="K82">
        <f>IF('Mock 1 Paper 1 Results'!O21="","","Q8 Income tax and National Insurance: "&amp;'Mock 1 Paper 1 Results'!J21&amp;"/11")</f>
        <v/>
      </c>
    </row>
    <row r="83">
      <c r="A83">
        <f>IF('Mock 1 Paper 1 Results'!O20="","","Q9 Cumulative frequency graph and estimate: "&amp;'Mock 1 Paper 1 Results'!K20&amp;"/10")</f>
        <v/>
      </c>
      <c r="K83">
        <f>IF('Mock 1 Paper 1 Results'!O21="","","Q9 Cumulative frequency graph and estimate: "&amp;'Mock 1 Paper 1 Results'!K21&amp;"/10")</f>
        <v/>
      </c>
    </row>
    <row r="84">
      <c r="A84">
        <f>IF('Mock 1 Paper 1 Results'!O20="","","Q10 Annual Equivalent Rate: "&amp;'Mock 1 Paper 1 Results'!L20&amp;"/4")</f>
        <v/>
      </c>
      <c r="K84">
        <f>IF('Mock 1 Paper 1 Results'!O21="","","Q10 Annual Equivalent Rate: "&amp;'Mock 1 Paper 1 Results'!L21&amp;"/4")</f>
        <v/>
      </c>
    </row>
    <row r="85">
      <c r="A85">
        <f>IF('Mock 1 Paper 1 Results'!O22="","","Mock Exam 1 — Paper 1")</f>
        <v/>
      </c>
      <c r="K85">
        <f>IF('Mock 1 Paper 1 Results'!O23="","","Mock Exam 1 — Paper 1")</f>
        <v/>
      </c>
    </row>
    <row r="86">
      <c r="A86">
        <f>IF('Mock 1 Paper 1 Results'!O22="","","Name: "&amp;'Mock 1 Paper 1 Results'!B22&amp;"   Class: "&amp;'Mock 1 Paper 1 Results'!$B$3&amp;"   Date: "&amp;TEXT('Mock 1 Paper 1 Results'!$B$5,"DD/MM/YY"))</f>
        <v/>
      </c>
      <c r="K86">
        <f>IF('Mock 1 Paper 1 Results'!O23="","","Name: "&amp;'Mock 1 Paper 1 Results'!B23&amp;"   Class: "&amp;'Mock 1 Paper 1 Results'!$B$3&amp;"   Date: "&amp;TEXT('Mock 1 Paper 1 Results'!$B$5,"DD/MM/YY"))</f>
        <v/>
      </c>
    </row>
    <row r="87">
      <c r="A87">
        <f>IF('Mock 1 Paper 1 Results'!O22="","","Total: "&amp;'Mock 1 Paper 1 Results'!M22&amp;"/61 ("&amp;TEXT('Mock 1 Paper 1 Results'!N22,"0%")&amp;")   Overall: "&amp;'Mock 1 Paper 1 Results'!O22)</f>
        <v/>
      </c>
      <c r="K87">
        <f>IF('Mock 1 Paper 1 Results'!O23="","","Total: "&amp;'Mock 1 Paper 1 Results'!M23&amp;"/61 ("&amp;TEXT('Mock 1 Paper 1 Results'!N23,"0%")&amp;")   Overall: "&amp;'Mock 1 Paper 1 Results'!O23)</f>
        <v/>
      </c>
    </row>
    <row r="88">
      <c r="A88">
        <f>IF('Mock 1 Paper 1 Results'!O22="","",IF('Mock 1 Paper 1 Results'!O22="Green",Parameters!$C$484,IF('Mock 1 Paper 1 Results'!O22="Yellow",Parameters!$C$483,Parameters!$C$482)))</f>
        <v/>
      </c>
      <c r="K88">
        <f>IF('Mock 1 Paper 1 Results'!O23="","",IF('Mock 1 Paper 1 Results'!O23="Green",Parameters!$C$484,IF('Mock 1 Paper 1 Results'!O23="Yellow",Parameters!$C$483,Parameters!$C$482)))</f>
        <v/>
      </c>
    </row>
    <row r="90">
      <c r="A90">
        <f>IF('Mock 1 Paper 1 Results'!O22="","","Breakdown:")</f>
        <v/>
      </c>
      <c r="K90">
        <f>IF('Mock 1 Paper 1 Results'!O23="","","Breakdown:")</f>
        <v/>
      </c>
    </row>
    <row r="91">
      <c r="A91">
        <f>IF('Mock 1 Paper 1 Results'!O22="","","Q1 Classifying data types: "&amp;'Mock 1 Paper 1 Results'!C22&amp;"/2")</f>
        <v/>
      </c>
      <c r="K91">
        <f>IF('Mock 1 Paper 1 Results'!O23="","","Q1 Classifying data types: "&amp;'Mock 1 Paper 1 Results'!C23&amp;"/2")</f>
        <v/>
      </c>
    </row>
    <row r="92">
      <c r="A92">
        <f>IF('Mock 1 Paper 1 Results'!O22="","","Q2 Stratified sampling calculations: "&amp;'Mock 1 Paper 1 Results'!D22&amp;"/5")</f>
        <v/>
      </c>
      <c r="K92">
        <f>IF('Mock 1 Paper 1 Results'!O23="","","Q2 Stratified sampling calculations: "&amp;'Mock 1 Paper 1 Results'!D23&amp;"/5")</f>
        <v/>
      </c>
    </row>
    <row r="93">
      <c r="A93">
        <f>IF('Mock 1 Paper 1 Results'!O22="","","Q3 Reading graphs and percentage change: "&amp;'Mock 1 Paper 1 Results'!E22&amp;"/5")</f>
        <v/>
      </c>
      <c r="K93">
        <f>IF('Mock 1 Paper 1 Results'!O23="","","Q3 Reading graphs and percentage change: "&amp;'Mock 1 Paper 1 Results'!E23&amp;"/5")</f>
        <v/>
      </c>
    </row>
    <row r="94">
      <c r="A94">
        <f>IF('Mock 1 Paper 1 Results'!O22="","","Q4 Fermi estimation: "&amp;'Mock 1 Paper 1 Results'!F22&amp;"/4")</f>
        <v/>
      </c>
      <c r="K94">
        <f>IF('Mock 1 Paper 1 Results'!O23="","","Q4 Fermi estimation: "&amp;'Mock 1 Paper 1 Results'!F23&amp;"/4")</f>
        <v/>
      </c>
    </row>
    <row r="95">
      <c r="A95">
        <f>IF('Mock 1 Paper 1 Results'!O22="","","Q5 Compound percentage decrease: "&amp;'Mock 1 Paper 1 Results'!G22&amp;"/4")</f>
        <v/>
      </c>
      <c r="K95">
        <f>IF('Mock 1 Paper 1 Results'!O23="","","Q5 Compound percentage decrease: "&amp;'Mock 1 Paper 1 Results'!G23&amp;"/4")</f>
        <v/>
      </c>
    </row>
    <row r="96">
      <c r="A96">
        <f>IF('Mock 1 Paper 1 Results'!O22="","","Q6 Comparing averages and spread: "&amp;'Mock 1 Paper 1 Results'!H22&amp;"/5")</f>
        <v/>
      </c>
      <c r="K96">
        <f>IF('Mock 1 Paper 1 Results'!O23="","","Q6 Comparing averages and spread: "&amp;'Mock 1 Paper 1 Results'!H23&amp;"/5")</f>
        <v/>
      </c>
    </row>
    <row r="97">
      <c r="A97">
        <f>IF('Mock 1 Paper 1 Results'!O22="","","Q7 Modelling yield with assumptions: "&amp;'Mock 1 Paper 1 Results'!I22&amp;"/11")</f>
        <v/>
      </c>
      <c r="K97">
        <f>IF('Mock 1 Paper 1 Results'!O23="","","Q7 Modelling yield with assumptions: "&amp;'Mock 1 Paper 1 Results'!I23&amp;"/11")</f>
        <v/>
      </c>
    </row>
    <row r="98">
      <c r="A98">
        <f>IF('Mock 1 Paper 1 Results'!O22="","","Q8 Income tax and National Insurance: "&amp;'Mock 1 Paper 1 Results'!J22&amp;"/11")</f>
        <v/>
      </c>
      <c r="K98">
        <f>IF('Mock 1 Paper 1 Results'!O23="","","Q8 Income tax and National Insurance: "&amp;'Mock 1 Paper 1 Results'!J23&amp;"/11")</f>
        <v/>
      </c>
    </row>
    <row r="99">
      <c r="A99">
        <f>IF('Mock 1 Paper 1 Results'!O22="","","Q9 Cumulative frequency graph and estimate: "&amp;'Mock 1 Paper 1 Results'!K22&amp;"/10")</f>
        <v/>
      </c>
      <c r="K99">
        <f>IF('Mock 1 Paper 1 Results'!O23="","","Q9 Cumulative frequency graph and estimate: "&amp;'Mock 1 Paper 1 Results'!K23&amp;"/10")</f>
        <v/>
      </c>
    </row>
    <row r="100">
      <c r="A100">
        <f>IF('Mock 1 Paper 1 Results'!O22="","","Q10 Annual Equivalent Rate: "&amp;'Mock 1 Paper 1 Results'!L22&amp;"/4")</f>
        <v/>
      </c>
      <c r="K100">
        <f>IF('Mock 1 Paper 1 Results'!O23="","","Q10 Annual Equivalent Rate: "&amp;'Mock 1 Paper 1 Results'!L23&amp;"/4")</f>
        <v/>
      </c>
    </row>
    <row r="101">
      <c r="A101">
        <f>IF('Mock 1 Paper 1 Results'!O24="","","Mock Exam 1 — Paper 1")</f>
        <v/>
      </c>
      <c r="K101">
        <f>IF('Mock 1 Paper 1 Results'!O25="","","Mock Exam 1 — Paper 1")</f>
        <v/>
      </c>
    </row>
    <row r="102">
      <c r="A102">
        <f>IF('Mock 1 Paper 1 Results'!O24="","","Name: "&amp;'Mock 1 Paper 1 Results'!B24&amp;"   Class: "&amp;'Mock 1 Paper 1 Results'!$B$3&amp;"   Date: "&amp;TEXT('Mock 1 Paper 1 Results'!$B$5,"DD/MM/YY"))</f>
        <v/>
      </c>
      <c r="K102">
        <f>IF('Mock 1 Paper 1 Results'!O25="","","Name: "&amp;'Mock 1 Paper 1 Results'!B25&amp;"   Class: "&amp;'Mock 1 Paper 1 Results'!$B$3&amp;"   Date: "&amp;TEXT('Mock 1 Paper 1 Results'!$B$5,"DD/MM/YY"))</f>
        <v/>
      </c>
    </row>
    <row r="103">
      <c r="A103">
        <f>IF('Mock 1 Paper 1 Results'!O24="","","Total: "&amp;'Mock 1 Paper 1 Results'!M24&amp;"/61 ("&amp;TEXT('Mock 1 Paper 1 Results'!N24,"0%")&amp;")   Overall: "&amp;'Mock 1 Paper 1 Results'!O24)</f>
        <v/>
      </c>
      <c r="K103">
        <f>IF('Mock 1 Paper 1 Results'!O25="","","Total: "&amp;'Mock 1 Paper 1 Results'!M25&amp;"/61 ("&amp;TEXT('Mock 1 Paper 1 Results'!N25,"0%")&amp;")   Overall: "&amp;'Mock 1 Paper 1 Results'!O25)</f>
        <v/>
      </c>
    </row>
    <row r="104">
      <c r="A104">
        <f>IF('Mock 1 Paper 1 Results'!O24="","",IF('Mock 1 Paper 1 Results'!O24="Green",Parameters!$C$484,IF('Mock 1 Paper 1 Results'!O24="Yellow",Parameters!$C$483,Parameters!$C$482)))</f>
        <v/>
      </c>
      <c r="K104">
        <f>IF('Mock 1 Paper 1 Results'!O25="","",IF('Mock 1 Paper 1 Results'!O25="Green",Parameters!$C$484,IF('Mock 1 Paper 1 Results'!O25="Yellow",Parameters!$C$483,Parameters!$C$482)))</f>
        <v/>
      </c>
    </row>
    <row r="106">
      <c r="A106">
        <f>IF('Mock 1 Paper 1 Results'!O24="","","Breakdown:")</f>
        <v/>
      </c>
      <c r="K106">
        <f>IF('Mock 1 Paper 1 Results'!O25="","","Breakdown:")</f>
        <v/>
      </c>
    </row>
    <row r="107">
      <c r="A107">
        <f>IF('Mock 1 Paper 1 Results'!O24="","","Q1 Classifying data types: "&amp;'Mock 1 Paper 1 Results'!C24&amp;"/2")</f>
        <v/>
      </c>
      <c r="K107">
        <f>IF('Mock 1 Paper 1 Results'!O25="","","Q1 Classifying data types: "&amp;'Mock 1 Paper 1 Results'!C25&amp;"/2")</f>
        <v/>
      </c>
    </row>
    <row r="108">
      <c r="A108">
        <f>IF('Mock 1 Paper 1 Results'!O24="","","Q2 Stratified sampling calculations: "&amp;'Mock 1 Paper 1 Results'!D24&amp;"/5")</f>
        <v/>
      </c>
      <c r="K108">
        <f>IF('Mock 1 Paper 1 Results'!O25="","","Q2 Stratified sampling calculations: "&amp;'Mock 1 Paper 1 Results'!D25&amp;"/5")</f>
        <v/>
      </c>
    </row>
    <row r="109">
      <c r="A109">
        <f>IF('Mock 1 Paper 1 Results'!O24="","","Q3 Reading graphs and percentage change: "&amp;'Mock 1 Paper 1 Results'!E24&amp;"/5")</f>
        <v/>
      </c>
      <c r="K109">
        <f>IF('Mock 1 Paper 1 Results'!O25="","","Q3 Reading graphs and percentage change: "&amp;'Mock 1 Paper 1 Results'!E25&amp;"/5")</f>
        <v/>
      </c>
    </row>
    <row r="110">
      <c r="A110">
        <f>IF('Mock 1 Paper 1 Results'!O24="","","Q4 Fermi estimation: "&amp;'Mock 1 Paper 1 Results'!F24&amp;"/4")</f>
        <v/>
      </c>
      <c r="K110">
        <f>IF('Mock 1 Paper 1 Results'!O25="","","Q4 Fermi estimation: "&amp;'Mock 1 Paper 1 Results'!F25&amp;"/4")</f>
        <v/>
      </c>
    </row>
    <row r="111">
      <c r="A111">
        <f>IF('Mock 1 Paper 1 Results'!O24="","","Q5 Compound percentage decrease: "&amp;'Mock 1 Paper 1 Results'!G24&amp;"/4")</f>
        <v/>
      </c>
      <c r="K111">
        <f>IF('Mock 1 Paper 1 Results'!O25="","","Q5 Compound percentage decrease: "&amp;'Mock 1 Paper 1 Results'!G25&amp;"/4")</f>
        <v/>
      </c>
    </row>
    <row r="112">
      <c r="A112">
        <f>IF('Mock 1 Paper 1 Results'!O24="","","Q6 Comparing averages and spread: "&amp;'Mock 1 Paper 1 Results'!H24&amp;"/5")</f>
        <v/>
      </c>
      <c r="K112">
        <f>IF('Mock 1 Paper 1 Results'!O25="","","Q6 Comparing averages and spread: "&amp;'Mock 1 Paper 1 Results'!H25&amp;"/5")</f>
        <v/>
      </c>
    </row>
    <row r="113">
      <c r="A113">
        <f>IF('Mock 1 Paper 1 Results'!O24="","","Q7 Modelling yield with assumptions: "&amp;'Mock 1 Paper 1 Results'!I24&amp;"/11")</f>
        <v/>
      </c>
      <c r="K113">
        <f>IF('Mock 1 Paper 1 Results'!O25="","","Q7 Modelling yield with assumptions: "&amp;'Mock 1 Paper 1 Results'!I25&amp;"/11")</f>
        <v/>
      </c>
    </row>
    <row r="114">
      <c r="A114">
        <f>IF('Mock 1 Paper 1 Results'!O24="","","Q8 Income tax and National Insurance: "&amp;'Mock 1 Paper 1 Results'!J24&amp;"/11")</f>
        <v/>
      </c>
      <c r="K114">
        <f>IF('Mock 1 Paper 1 Results'!O25="","","Q8 Income tax and National Insurance: "&amp;'Mock 1 Paper 1 Results'!J25&amp;"/11")</f>
        <v/>
      </c>
    </row>
    <row r="115">
      <c r="A115">
        <f>IF('Mock 1 Paper 1 Results'!O24="","","Q9 Cumulative frequency graph and estimate: "&amp;'Mock 1 Paper 1 Results'!K24&amp;"/10")</f>
        <v/>
      </c>
      <c r="K115">
        <f>IF('Mock 1 Paper 1 Results'!O25="","","Q9 Cumulative frequency graph and estimate: "&amp;'Mock 1 Paper 1 Results'!K25&amp;"/10")</f>
        <v/>
      </c>
    </row>
    <row r="116">
      <c r="A116">
        <f>IF('Mock 1 Paper 1 Results'!O24="","","Q10 Annual Equivalent Rate: "&amp;'Mock 1 Paper 1 Results'!L24&amp;"/4")</f>
        <v/>
      </c>
      <c r="K116">
        <f>IF('Mock 1 Paper 1 Results'!O25="","","Q10 Annual Equivalent Rate: "&amp;'Mock 1 Paper 1 Results'!L25&amp;"/4")</f>
        <v/>
      </c>
    </row>
    <row r="117">
      <c r="A117">
        <f>IF('Mock 1 Paper 1 Results'!O26="","","Mock Exam 1 — Paper 1")</f>
        <v/>
      </c>
      <c r="K117">
        <f>IF('Mock 1 Paper 1 Results'!O27="","","Mock Exam 1 — Paper 1")</f>
        <v/>
      </c>
    </row>
    <row r="118">
      <c r="A118">
        <f>IF('Mock 1 Paper 1 Results'!O26="","","Name: "&amp;'Mock 1 Paper 1 Results'!B26&amp;"   Class: "&amp;'Mock 1 Paper 1 Results'!$B$3&amp;"   Date: "&amp;TEXT('Mock 1 Paper 1 Results'!$B$5,"DD/MM/YY"))</f>
        <v/>
      </c>
      <c r="K118">
        <f>IF('Mock 1 Paper 1 Results'!O27="","","Name: "&amp;'Mock 1 Paper 1 Results'!B27&amp;"   Class: "&amp;'Mock 1 Paper 1 Results'!$B$3&amp;"   Date: "&amp;TEXT('Mock 1 Paper 1 Results'!$B$5,"DD/MM/YY"))</f>
        <v/>
      </c>
    </row>
    <row r="119">
      <c r="A119">
        <f>IF('Mock 1 Paper 1 Results'!O26="","","Total: "&amp;'Mock 1 Paper 1 Results'!M26&amp;"/61 ("&amp;TEXT('Mock 1 Paper 1 Results'!N26,"0%")&amp;")   Overall: "&amp;'Mock 1 Paper 1 Results'!O26)</f>
        <v/>
      </c>
      <c r="K119">
        <f>IF('Mock 1 Paper 1 Results'!O27="","","Total: "&amp;'Mock 1 Paper 1 Results'!M27&amp;"/61 ("&amp;TEXT('Mock 1 Paper 1 Results'!N27,"0%")&amp;")   Overall: "&amp;'Mock 1 Paper 1 Results'!O27)</f>
        <v/>
      </c>
    </row>
    <row r="120">
      <c r="A120">
        <f>IF('Mock 1 Paper 1 Results'!O26="","",IF('Mock 1 Paper 1 Results'!O26="Green",Parameters!$C$484,IF('Mock 1 Paper 1 Results'!O26="Yellow",Parameters!$C$483,Parameters!$C$482)))</f>
        <v/>
      </c>
      <c r="K120">
        <f>IF('Mock 1 Paper 1 Results'!O27="","",IF('Mock 1 Paper 1 Results'!O27="Green",Parameters!$C$484,IF('Mock 1 Paper 1 Results'!O27="Yellow",Parameters!$C$483,Parameters!$C$482)))</f>
        <v/>
      </c>
    </row>
    <row r="122">
      <c r="A122">
        <f>IF('Mock 1 Paper 1 Results'!O26="","","Breakdown:")</f>
        <v/>
      </c>
      <c r="K122">
        <f>IF('Mock 1 Paper 1 Results'!O27="","","Breakdown:")</f>
        <v/>
      </c>
    </row>
    <row r="123">
      <c r="A123">
        <f>IF('Mock 1 Paper 1 Results'!O26="","","Q1 Classifying data types: "&amp;'Mock 1 Paper 1 Results'!C26&amp;"/2")</f>
        <v/>
      </c>
      <c r="K123">
        <f>IF('Mock 1 Paper 1 Results'!O27="","","Q1 Classifying data types: "&amp;'Mock 1 Paper 1 Results'!C27&amp;"/2")</f>
        <v/>
      </c>
    </row>
    <row r="124">
      <c r="A124">
        <f>IF('Mock 1 Paper 1 Results'!O26="","","Q2 Stratified sampling calculations: "&amp;'Mock 1 Paper 1 Results'!D26&amp;"/5")</f>
        <v/>
      </c>
      <c r="K124">
        <f>IF('Mock 1 Paper 1 Results'!O27="","","Q2 Stratified sampling calculations: "&amp;'Mock 1 Paper 1 Results'!D27&amp;"/5")</f>
        <v/>
      </c>
    </row>
    <row r="125">
      <c r="A125">
        <f>IF('Mock 1 Paper 1 Results'!O26="","","Q3 Reading graphs and percentage change: "&amp;'Mock 1 Paper 1 Results'!E26&amp;"/5")</f>
        <v/>
      </c>
      <c r="K125">
        <f>IF('Mock 1 Paper 1 Results'!O27="","","Q3 Reading graphs and percentage change: "&amp;'Mock 1 Paper 1 Results'!E27&amp;"/5")</f>
        <v/>
      </c>
    </row>
    <row r="126">
      <c r="A126">
        <f>IF('Mock 1 Paper 1 Results'!O26="","","Q4 Fermi estimation: "&amp;'Mock 1 Paper 1 Results'!F26&amp;"/4")</f>
        <v/>
      </c>
      <c r="K126">
        <f>IF('Mock 1 Paper 1 Results'!O27="","","Q4 Fermi estimation: "&amp;'Mock 1 Paper 1 Results'!F27&amp;"/4")</f>
        <v/>
      </c>
    </row>
    <row r="127">
      <c r="A127">
        <f>IF('Mock 1 Paper 1 Results'!O26="","","Q5 Compound percentage decrease: "&amp;'Mock 1 Paper 1 Results'!G26&amp;"/4")</f>
        <v/>
      </c>
      <c r="K127">
        <f>IF('Mock 1 Paper 1 Results'!O27="","","Q5 Compound percentage decrease: "&amp;'Mock 1 Paper 1 Results'!G27&amp;"/4")</f>
        <v/>
      </c>
    </row>
    <row r="128">
      <c r="A128">
        <f>IF('Mock 1 Paper 1 Results'!O26="","","Q6 Comparing averages and spread: "&amp;'Mock 1 Paper 1 Results'!H26&amp;"/5")</f>
        <v/>
      </c>
      <c r="K128">
        <f>IF('Mock 1 Paper 1 Results'!O27="","","Q6 Comparing averages and spread: "&amp;'Mock 1 Paper 1 Results'!H27&amp;"/5")</f>
        <v/>
      </c>
    </row>
    <row r="129">
      <c r="A129">
        <f>IF('Mock 1 Paper 1 Results'!O26="","","Q7 Modelling yield with assumptions: "&amp;'Mock 1 Paper 1 Results'!I26&amp;"/11")</f>
        <v/>
      </c>
      <c r="K129">
        <f>IF('Mock 1 Paper 1 Results'!O27="","","Q7 Modelling yield with assumptions: "&amp;'Mock 1 Paper 1 Results'!I27&amp;"/11")</f>
        <v/>
      </c>
    </row>
    <row r="130">
      <c r="A130">
        <f>IF('Mock 1 Paper 1 Results'!O26="","","Q8 Income tax and National Insurance: "&amp;'Mock 1 Paper 1 Results'!J26&amp;"/11")</f>
        <v/>
      </c>
      <c r="K130">
        <f>IF('Mock 1 Paper 1 Results'!O27="","","Q8 Income tax and National Insurance: "&amp;'Mock 1 Paper 1 Results'!J27&amp;"/11")</f>
        <v/>
      </c>
    </row>
    <row r="131">
      <c r="A131">
        <f>IF('Mock 1 Paper 1 Results'!O26="","","Q9 Cumulative frequency graph and estimate: "&amp;'Mock 1 Paper 1 Results'!K26&amp;"/10")</f>
        <v/>
      </c>
      <c r="K131">
        <f>IF('Mock 1 Paper 1 Results'!O27="","","Q9 Cumulative frequency graph and estimate: "&amp;'Mock 1 Paper 1 Results'!K27&amp;"/10")</f>
        <v/>
      </c>
    </row>
    <row r="132">
      <c r="A132">
        <f>IF('Mock 1 Paper 1 Results'!O26="","","Q10 Annual Equivalent Rate: "&amp;'Mock 1 Paper 1 Results'!L26&amp;"/4")</f>
        <v/>
      </c>
      <c r="K132">
        <f>IF('Mock 1 Paper 1 Results'!O27="","","Q10 Annual Equivalent Rate: "&amp;'Mock 1 Paper 1 Results'!L27&amp;"/4")</f>
        <v/>
      </c>
    </row>
    <row r="133">
      <c r="A133">
        <f>IF('Mock 1 Paper 1 Results'!O28="","","Mock Exam 1 — Paper 1")</f>
        <v/>
      </c>
      <c r="K133">
        <f>IF('Mock 1 Paper 1 Results'!O29="","","Mock Exam 1 — Paper 1")</f>
        <v/>
      </c>
    </row>
    <row r="134">
      <c r="A134">
        <f>IF('Mock 1 Paper 1 Results'!O28="","","Name: "&amp;'Mock 1 Paper 1 Results'!B28&amp;"   Class: "&amp;'Mock 1 Paper 1 Results'!$B$3&amp;"   Date: "&amp;TEXT('Mock 1 Paper 1 Results'!$B$5,"DD/MM/YY"))</f>
        <v/>
      </c>
      <c r="K134">
        <f>IF('Mock 1 Paper 1 Results'!O29="","","Name: "&amp;'Mock 1 Paper 1 Results'!B29&amp;"   Class: "&amp;'Mock 1 Paper 1 Results'!$B$3&amp;"   Date: "&amp;TEXT('Mock 1 Paper 1 Results'!$B$5,"DD/MM/YY"))</f>
        <v/>
      </c>
    </row>
    <row r="135">
      <c r="A135">
        <f>IF('Mock 1 Paper 1 Results'!O28="","","Total: "&amp;'Mock 1 Paper 1 Results'!M28&amp;"/61 ("&amp;TEXT('Mock 1 Paper 1 Results'!N28,"0%")&amp;")   Overall: "&amp;'Mock 1 Paper 1 Results'!O28)</f>
        <v/>
      </c>
      <c r="K135">
        <f>IF('Mock 1 Paper 1 Results'!O29="","","Total: "&amp;'Mock 1 Paper 1 Results'!M29&amp;"/61 ("&amp;TEXT('Mock 1 Paper 1 Results'!N29,"0%")&amp;")   Overall: "&amp;'Mock 1 Paper 1 Results'!O29)</f>
        <v/>
      </c>
    </row>
    <row r="136">
      <c r="A136">
        <f>IF('Mock 1 Paper 1 Results'!O28="","",IF('Mock 1 Paper 1 Results'!O28="Green",Parameters!$C$484,IF('Mock 1 Paper 1 Results'!O28="Yellow",Parameters!$C$483,Parameters!$C$482)))</f>
        <v/>
      </c>
      <c r="K136">
        <f>IF('Mock 1 Paper 1 Results'!O29="","",IF('Mock 1 Paper 1 Results'!O29="Green",Parameters!$C$484,IF('Mock 1 Paper 1 Results'!O29="Yellow",Parameters!$C$483,Parameters!$C$482)))</f>
        <v/>
      </c>
    </row>
    <row r="138">
      <c r="A138">
        <f>IF('Mock 1 Paper 1 Results'!O28="","","Breakdown:")</f>
        <v/>
      </c>
      <c r="K138">
        <f>IF('Mock 1 Paper 1 Results'!O29="","","Breakdown:")</f>
        <v/>
      </c>
    </row>
    <row r="139">
      <c r="A139">
        <f>IF('Mock 1 Paper 1 Results'!O28="","","Q1 Classifying data types: "&amp;'Mock 1 Paper 1 Results'!C28&amp;"/2")</f>
        <v/>
      </c>
      <c r="K139">
        <f>IF('Mock 1 Paper 1 Results'!O29="","","Q1 Classifying data types: "&amp;'Mock 1 Paper 1 Results'!C29&amp;"/2")</f>
        <v/>
      </c>
    </row>
    <row r="140">
      <c r="A140">
        <f>IF('Mock 1 Paper 1 Results'!O28="","","Q2 Stratified sampling calculations: "&amp;'Mock 1 Paper 1 Results'!D28&amp;"/5")</f>
        <v/>
      </c>
      <c r="K140">
        <f>IF('Mock 1 Paper 1 Results'!O29="","","Q2 Stratified sampling calculations: "&amp;'Mock 1 Paper 1 Results'!D29&amp;"/5")</f>
        <v/>
      </c>
    </row>
    <row r="141">
      <c r="A141">
        <f>IF('Mock 1 Paper 1 Results'!O28="","","Q3 Reading graphs and percentage change: "&amp;'Mock 1 Paper 1 Results'!E28&amp;"/5")</f>
        <v/>
      </c>
      <c r="K141">
        <f>IF('Mock 1 Paper 1 Results'!O29="","","Q3 Reading graphs and percentage change: "&amp;'Mock 1 Paper 1 Results'!E29&amp;"/5")</f>
        <v/>
      </c>
    </row>
    <row r="142">
      <c r="A142">
        <f>IF('Mock 1 Paper 1 Results'!O28="","","Q4 Fermi estimation: "&amp;'Mock 1 Paper 1 Results'!F28&amp;"/4")</f>
        <v/>
      </c>
      <c r="K142">
        <f>IF('Mock 1 Paper 1 Results'!O29="","","Q4 Fermi estimation: "&amp;'Mock 1 Paper 1 Results'!F29&amp;"/4")</f>
        <v/>
      </c>
    </row>
    <row r="143">
      <c r="A143">
        <f>IF('Mock 1 Paper 1 Results'!O28="","","Q5 Compound percentage decrease: "&amp;'Mock 1 Paper 1 Results'!G28&amp;"/4")</f>
        <v/>
      </c>
      <c r="K143">
        <f>IF('Mock 1 Paper 1 Results'!O29="","","Q5 Compound percentage decrease: "&amp;'Mock 1 Paper 1 Results'!G29&amp;"/4")</f>
        <v/>
      </c>
    </row>
    <row r="144">
      <c r="A144">
        <f>IF('Mock 1 Paper 1 Results'!O28="","","Q6 Comparing averages and spread: "&amp;'Mock 1 Paper 1 Results'!H28&amp;"/5")</f>
        <v/>
      </c>
      <c r="K144">
        <f>IF('Mock 1 Paper 1 Results'!O29="","","Q6 Comparing averages and spread: "&amp;'Mock 1 Paper 1 Results'!H29&amp;"/5")</f>
        <v/>
      </c>
    </row>
    <row r="145">
      <c r="A145">
        <f>IF('Mock 1 Paper 1 Results'!O28="","","Q7 Modelling yield with assumptions: "&amp;'Mock 1 Paper 1 Results'!I28&amp;"/11")</f>
        <v/>
      </c>
      <c r="K145">
        <f>IF('Mock 1 Paper 1 Results'!O29="","","Q7 Modelling yield with assumptions: "&amp;'Mock 1 Paper 1 Results'!I29&amp;"/11")</f>
        <v/>
      </c>
    </row>
    <row r="146">
      <c r="A146">
        <f>IF('Mock 1 Paper 1 Results'!O28="","","Q8 Income tax and National Insurance: "&amp;'Mock 1 Paper 1 Results'!J28&amp;"/11")</f>
        <v/>
      </c>
      <c r="K146">
        <f>IF('Mock 1 Paper 1 Results'!O29="","","Q8 Income tax and National Insurance: "&amp;'Mock 1 Paper 1 Results'!J29&amp;"/11")</f>
        <v/>
      </c>
    </row>
    <row r="147">
      <c r="A147">
        <f>IF('Mock 1 Paper 1 Results'!O28="","","Q9 Cumulative frequency graph and estimate: "&amp;'Mock 1 Paper 1 Results'!K28&amp;"/10")</f>
        <v/>
      </c>
      <c r="K147">
        <f>IF('Mock 1 Paper 1 Results'!O29="","","Q9 Cumulative frequency graph and estimate: "&amp;'Mock 1 Paper 1 Results'!K29&amp;"/10")</f>
        <v/>
      </c>
    </row>
    <row r="148">
      <c r="A148">
        <f>IF('Mock 1 Paper 1 Results'!O28="","","Q10 Annual Equivalent Rate: "&amp;'Mock 1 Paper 1 Results'!L28&amp;"/4")</f>
        <v/>
      </c>
      <c r="K148">
        <f>IF('Mock 1 Paper 1 Results'!O29="","","Q10 Annual Equivalent Rate: "&amp;'Mock 1 Paper 1 Results'!L29&amp;"/4")</f>
        <v/>
      </c>
    </row>
    <row r="149">
      <c r="A149">
        <f>IF('Mock 1 Paper 1 Results'!O30="","","Mock Exam 1 — Paper 1")</f>
        <v/>
      </c>
      <c r="K149">
        <f>IF('Mock 1 Paper 1 Results'!O31="","","Mock Exam 1 — Paper 1")</f>
        <v/>
      </c>
    </row>
    <row r="150">
      <c r="A150">
        <f>IF('Mock 1 Paper 1 Results'!O30="","","Name: "&amp;'Mock 1 Paper 1 Results'!B30&amp;"   Class: "&amp;'Mock 1 Paper 1 Results'!$B$3&amp;"   Date: "&amp;TEXT('Mock 1 Paper 1 Results'!$B$5,"DD/MM/YY"))</f>
        <v/>
      </c>
      <c r="K150">
        <f>IF('Mock 1 Paper 1 Results'!O31="","","Name: "&amp;'Mock 1 Paper 1 Results'!B31&amp;"   Class: "&amp;'Mock 1 Paper 1 Results'!$B$3&amp;"   Date: "&amp;TEXT('Mock 1 Paper 1 Results'!$B$5,"DD/MM/YY"))</f>
        <v/>
      </c>
    </row>
    <row r="151">
      <c r="A151">
        <f>IF('Mock 1 Paper 1 Results'!O30="","","Total: "&amp;'Mock 1 Paper 1 Results'!M30&amp;"/61 ("&amp;TEXT('Mock 1 Paper 1 Results'!N30,"0%")&amp;")   Overall: "&amp;'Mock 1 Paper 1 Results'!O30)</f>
        <v/>
      </c>
      <c r="K151">
        <f>IF('Mock 1 Paper 1 Results'!O31="","","Total: "&amp;'Mock 1 Paper 1 Results'!M31&amp;"/61 ("&amp;TEXT('Mock 1 Paper 1 Results'!N31,"0%")&amp;")   Overall: "&amp;'Mock 1 Paper 1 Results'!O31)</f>
        <v/>
      </c>
    </row>
    <row r="152">
      <c r="A152">
        <f>IF('Mock 1 Paper 1 Results'!O30="","",IF('Mock 1 Paper 1 Results'!O30="Green",Parameters!$C$484,IF('Mock 1 Paper 1 Results'!O30="Yellow",Parameters!$C$483,Parameters!$C$482)))</f>
        <v/>
      </c>
      <c r="K152">
        <f>IF('Mock 1 Paper 1 Results'!O31="","",IF('Mock 1 Paper 1 Results'!O31="Green",Parameters!$C$484,IF('Mock 1 Paper 1 Results'!O31="Yellow",Parameters!$C$483,Parameters!$C$482)))</f>
        <v/>
      </c>
    </row>
    <row r="154">
      <c r="A154">
        <f>IF('Mock 1 Paper 1 Results'!O30="","","Breakdown:")</f>
        <v/>
      </c>
      <c r="K154">
        <f>IF('Mock 1 Paper 1 Results'!O31="","","Breakdown:")</f>
        <v/>
      </c>
    </row>
    <row r="155">
      <c r="A155">
        <f>IF('Mock 1 Paper 1 Results'!O30="","","Q1 Classifying data types: "&amp;'Mock 1 Paper 1 Results'!C30&amp;"/2")</f>
        <v/>
      </c>
      <c r="K155">
        <f>IF('Mock 1 Paper 1 Results'!O31="","","Q1 Classifying data types: "&amp;'Mock 1 Paper 1 Results'!C31&amp;"/2")</f>
        <v/>
      </c>
    </row>
    <row r="156">
      <c r="A156">
        <f>IF('Mock 1 Paper 1 Results'!O30="","","Q2 Stratified sampling calculations: "&amp;'Mock 1 Paper 1 Results'!D30&amp;"/5")</f>
        <v/>
      </c>
      <c r="K156">
        <f>IF('Mock 1 Paper 1 Results'!O31="","","Q2 Stratified sampling calculations: "&amp;'Mock 1 Paper 1 Results'!D31&amp;"/5")</f>
        <v/>
      </c>
    </row>
    <row r="157">
      <c r="A157">
        <f>IF('Mock 1 Paper 1 Results'!O30="","","Q3 Reading graphs and percentage change: "&amp;'Mock 1 Paper 1 Results'!E30&amp;"/5")</f>
        <v/>
      </c>
      <c r="K157">
        <f>IF('Mock 1 Paper 1 Results'!O31="","","Q3 Reading graphs and percentage change: "&amp;'Mock 1 Paper 1 Results'!E31&amp;"/5")</f>
        <v/>
      </c>
    </row>
    <row r="158">
      <c r="A158">
        <f>IF('Mock 1 Paper 1 Results'!O30="","","Q4 Fermi estimation: "&amp;'Mock 1 Paper 1 Results'!F30&amp;"/4")</f>
        <v/>
      </c>
      <c r="K158">
        <f>IF('Mock 1 Paper 1 Results'!O31="","","Q4 Fermi estimation: "&amp;'Mock 1 Paper 1 Results'!F31&amp;"/4")</f>
        <v/>
      </c>
    </row>
    <row r="159">
      <c r="A159">
        <f>IF('Mock 1 Paper 1 Results'!O30="","","Q5 Compound percentage decrease: "&amp;'Mock 1 Paper 1 Results'!G30&amp;"/4")</f>
        <v/>
      </c>
      <c r="K159">
        <f>IF('Mock 1 Paper 1 Results'!O31="","","Q5 Compound percentage decrease: "&amp;'Mock 1 Paper 1 Results'!G31&amp;"/4")</f>
        <v/>
      </c>
    </row>
    <row r="160">
      <c r="A160">
        <f>IF('Mock 1 Paper 1 Results'!O30="","","Q6 Comparing averages and spread: "&amp;'Mock 1 Paper 1 Results'!H30&amp;"/5")</f>
        <v/>
      </c>
      <c r="K160">
        <f>IF('Mock 1 Paper 1 Results'!O31="","","Q6 Comparing averages and spread: "&amp;'Mock 1 Paper 1 Results'!H31&amp;"/5")</f>
        <v/>
      </c>
    </row>
    <row r="161">
      <c r="A161">
        <f>IF('Mock 1 Paper 1 Results'!O30="","","Q7 Modelling yield with assumptions: "&amp;'Mock 1 Paper 1 Results'!I30&amp;"/11")</f>
        <v/>
      </c>
      <c r="K161">
        <f>IF('Mock 1 Paper 1 Results'!O31="","","Q7 Modelling yield with assumptions: "&amp;'Mock 1 Paper 1 Results'!I31&amp;"/11")</f>
        <v/>
      </c>
    </row>
    <row r="162">
      <c r="A162">
        <f>IF('Mock 1 Paper 1 Results'!O30="","","Q8 Income tax and National Insurance: "&amp;'Mock 1 Paper 1 Results'!J30&amp;"/11")</f>
        <v/>
      </c>
      <c r="K162">
        <f>IF('Mock 1 Paper 1 Results'!O31="","","Q8 Income tax and National Insurance: "&amp;'Mock 1 Paper 1 Results'!J31&amp;"/11")</f>
        <v/>
      </c>
    </row>
    <row r="163">
      <c r="A163">
        <f>IF('Mock 1 Paper 1 Results'!O30="","","Q9 Cumulative frequency graph and estimate: "&amp;'Mock 1 Paper 1 Results'!K30&amp;"/10")</f>
        <v/>
      </c>
      <c r="K163">
        <f>IF('Mock 1 Paper 1 Results'!O31="","","Q9 Cumulative frequency graph and estimate: "&amp;'Mock 1 Paper 1 Results'!K31&amp;"/10")</f>
        <v/>
      </c>
    </row>
    <row r="164">
      <c r="A164">
        <f>IF('Mock 1 Paper 1 Results'!O30="","","Q10 Annual Equivalent Rate: "&amp;'Mock 1 Paper 1 Results'!L30&amp;"/4")</f>
        <v/>
      </c>
      <c r="K164">
        <f>IF('Mock 1 Paper 1 Results'!O31="","","Q10 Annual Equivalent Rate: "&amp;'Mock 1 Paper 1 Results'!L31&amp;"/4")</f>
        <v/>
      </c>
    </row>
    <row r="165">
      <c r="A165">
        <f>IF('Mock 1 Paper 1 Results'!O32="","","Mock Exam 1 — Paper 1")</f>
        <v/>
      </c>
      <c r="K165">
        <f>IF('Mock 1 Paper 1 Results'!O33="","","Mock Exam 1 — Paper 1")</f>
        <v/>
      </c>
    </row>
    <row r="166">
      <c r="A166">
        <f>IF('Mock 1 Paper 1 Results'!O32="","","Name: "&amp;'Mock 1 Paper 1 Results'!B32&amp;"   Class: "&amp;'Mock 1 Paper 1 Results'!$B$3&amp;"   Date: "&amp;TEXT('Mock 1 Paper 1 Results'!$B$5,"DD/MM/YY"))</f>
        <v/>
      </c>
      <c r="K166">
        <f>IF('Mock 1 Paper 1 Results'!O33="","","Name: "&amp;'Mock 1 Paper 1 Results'!B33&amp;"   Class: "&amp;'Mock 1 Paper 1 Results'!$B$3&amp;"   Date: "&amp;TEXT('Mock 1 Paper 1 Results'!$B$5,"DD/MM/YY"))</f>
        <v/>
      </c>
    </row>
    <row r="167">
      <c r="A167">
        <f>IF('Mock 1 Paper 1 Results'!O32="","","Total: "&amp;'Mock 1 Paper 1 Results'!M32&amp;"/61 ("&amp;TEXT('Mock 1 Paper 1 Results'!N32,"0%")&amp;")   Overall: "&amp;'Mock 1 Paper 1 Results'!O32)</f>
        <v/>
      </c>
      <c r="K167">
        <f>IF('Mock 1 Paper 1 Results'!O33="","","Total: "&amp;'Mock 1 Paper 1 Results'!M33&amp;"/61 ("&amp;TEXT('Mock 1 Paper 1 Results'!N33,"0%")&amp;")   Overall: "&amp;'Mock 1 Paper 1 Results'!O33)</f>
        <v/>
      </c>
    </row>
    <row r="168">
      <c r="A168">
        <f>IF('Mock 1 Paper 1 Results'!O32="","",IF('Mock 1 Paper 1 Results'!O32="Green",Parameters!$C$484,IF('Mock 1 Paper 1 Results'!O32="Yellow",Parameters!$C$483,Parameters!$C$482)))</f>
        <v/>
      </c>
      <c r="K168">
        <f>IF('Mock 1 Paper 1 Results'!O33="","",IF('Mock 1 Paper 1 Results'!O33="Green",Parameters!$C$484,IF('Mock 1 Paper 1 Results'!O33="Yellow",Parameters!$C$483,Parameters!$C$482)))</f>
        <v/>
      </c>
    </row>
    <row r="170">
      <c r="A170">
        <f>IF('Mock 1 Paper 1 Results'!O32="","","Breakdown:")</f>
        <v/>
      </c>
      <c r="K170">
        <f>IF('Mock 1 Paper 1 Results'!O33="","","Breakdown:")</f>
        <v/>
      </c>
    </row>
    <row r="171">
      <c r="A171">
        <f>IF('Mock 1 Paper 1 Results'!O32="","","Q1 Classifying data types: "&amp;'Mock 1 Paper 1 Results'!C32&amp;"/2")</f>
        <v/>
      </c>
      <c r="K171">
        <f>IF('Mock 1 Paper 1 Results'!O33="","","Q1 Classifying data types: "&amp;'Mock 1 Paper 1 Results'!C33&amp;"/2")</f>
        <v/>
      </c>
    </row>
    <row r="172">
      <c r="A172">
        <f>IF('Mock 1 Paper 1 Results'!O32="","","Q2 Stratified sampling calculations: "&amp;'Mock 1 Paper 1 Results'!D32&amp;"/5")</f>
        <v/>
      </c>
      <c r="K172">
        <f>IF('Mock 1 Paper 1 Results'!O33="","","Q2 Stratified sampling calculations: "&amp;'Mock 1 Paper 1 Results'!D33&amp;"/5")</f>
        <v/>
      </c>
    </row>
    <row r="173">
      <c r="A173">
        <f>IF('Mock 1 Paper 1 Results'!O32="","","Q3 Reading graphs and percentage change: "&amp;'Mock 1 Paper 1 Results'!E32&amp;"/5")</f>
        <v/>
      </c>
      <c r="K173">
        <f>IF('Mock 1 Paper 1 Results'!O33="","","Q3 Reading graphs and percentage change: "&amp;'Mock 1 Paper 1 Results'!E33&amp;"/5")</f>
        <v/>
      </c>
    </row>
    <row r="174">
      <c r="A174">
        <f>IF('Mock 1 Paper 1 Results'!O32="","","Q4 Fermi estimation: "&amp;'Mock 1 Paper 1 Results'!F32&amp;"/4")</f>
        <v/>
      </c>
      <c r="K174">
        <f>IF('Mock 1 Paper 1 Results'!O33="","","Q4 Fermi estimation: "&amp;'Mock 1 Paper 1 Results'!F33&amp;"/4")</f>
        <v/>
      </c>
    </row>
    <row r="175">
      <c r="A175">
        <f>IF('Mock 1 Paper 1 Results'!O32="","","Q5 Compound percentage decrease: "&amp;'Mock 1 Paper 1 Results'!G32&amp;"/4")</f>
        <v/>
      </c>
      <c r="K175">
        <f>IF('Mock 1 Paper 1 Results'!O33="","","Q5 Compound percentage decrease: "&amp;'Mock 1 Paper 1 Results'!G33&amp;"/4")</f>
        <v/>
      </c>
    </row>
    <row r="176">
      <c r="A176">
        <f>IF('Mock 1 Paper 1 Results'!O32="","","Q6 Comparing averages and spread: "&amp;'Mock 1 Paper 1 Results'!H32&amp;"/5")</f>
        <v/>
      </c>
      <c r="K176">
        <f>IF('Mock 1 Paper 1 Results'!O33="","","Q6 Comparing averages and spread: "&amp;'Mock 1 Paper 1 Results'!H33&amp;"/5")</f>
        <v/>
      </c>
    </row>
    <row r="177">
      <c r="A177">
        <f>IF('Mock 1 Paper 1 Results'!O32="","","Q7 Modelling yield with assumptions: "&amp;'Mock 1 Paper 1 Results'!I32&amp;"/11")</f>
        <v/>
      </c>
      <c r="K177">
        <f>IF('Mock 1 Paper 1 Results'!O33="","","Q7 Modelling yield with assumptions: "&amp;'Mock 1 Paper 1 Results'!I33&amp;"/11")</f>
        <v/>
      </c>
    </row>
    <row r="178">
      <c r="A178">
        <f>IF('Mock 1 Paper 1 Results'!O32="","","Q8 Income tax and National Insurance: "&amp;'Mock 1 Paper 1 Results'!J32&amp;"/11")</f>
        <v/>
      </c>
      <c r="K178">
        <f>IF('Mock 1 Paper 1 Results'!O33="","","Q8 Income tax and National Insurance: "&amp;'Mock 1 Paper 1 Results'!J33&amp;"/11")</f>
        <v/>
      </c>
    </row>
    <row r="179">
      <c r="A179">
        <f>IF('Mock 1 Paper 1 Results'!O32="","","Q9 Cumulative frequency graph and estimate: "&amp;'Mock 1 Paper 1 Results'!K32&amp;"/10")</f>
        <v/>
      </c>
      <c r="K179">
        <f>IF('Mock 1 Paper 1 Results'!O33="","","Q9 Cumulative frequency graph and estimate: "&amp;'Mock 1 Paper 1 Results'!K33&amp;"/10")</f>
        <v/>
      </c>
    </row>
    <row r="180">
      <c r="A180">
        <f>IF('Mock 1 Paper 1 Results'!O32="","","Q10 Annual Equivalent Rate: "&amp;'Mock 1 Paper 1 Results'!L32&amp;"/4")</f>
        <v/>
      </c>
      <c r="K180">
        <f>IF('Mock 1 Paper 1 Results'!O33="","","Q10 Annual Equivalent Rate: "&amp;'Mock 1 Paper 1 Results'!L33&amp;"/4")</f>
        <v/>
      </c>
    </row>
    <row r="181">
      <c r="A181">
        <f>IF('Mock 1 Paper 1 Results'!O34="","","Mock Exam 1 — Paper 1")</f>
        <v/>
      </c>
      <c r="K181">
        <f>IF('Mock 1 Paper 1 Results'!O35="","","Mock Exam 1 — Paper 1")</f>
        <v/>
      </c>
    </row>
    <row r="182">
      <c r="A182">
        <f>IF('Mock 1 Paper 1 Results'!O34="","","Name: "&amp;'Mock 1 Paper 1 Results'!B34&amp;"   Class: "&amp;'Mock 1 Paper 1 Results'!$B$3&amp;"   Date: "&amp;TEXT('Mock 1 Paper 1 Results'!$B$5,"DD/MM/YY"))</f>
        <v/>
      </c>
      <c r="K182">
        <f>IF('Mock 1 Paper 1 Results'!O35="","","Name: "&amp;'Mock 1 Paper 1 Results'!B35&amp;"   Class: "&amp;'Mock 1 Paper 1 Results'!$B$3&amp;"   Date: "&amp;TEXT('Mock 1 Paper 1 Results'!$B$5,"DD/MM/YY"))</f>
        <v/>
      </c>
    </row>
    <row r="183">
      <c r="A183">
        <f>IF('Mock 1 Paper 1 Results'!O34="","","Total: "&amp;'Mock 1 Paper 1 Results'!M34&amp;"/61 ("&amp;TEXT('Mock 1 Paper 1 Results'!N34,"0%")&amp;")   Overall: "&amp;'Mock 1 Paper 1 Results'!O34)</f>
        <v/>
      </c>
      <c r="K183">
        <f>IF('Mock 1 Paper 1 Results'!O35="","","Total: "&amp;'Mock 1 Paper 1 Results'!M35&amp;"/61 ("&amp;TEXT('Mock 1 Paper 1 Results'!N35,"0%")&amp;")   Overall: "&amp;'Mock 1 Paper 1 Results'!O35)</f>
        <v/>
      </c>
    </row>
    <row r="184">
      <c r="A184">
        <f>IF('Mock 1 Paper 1 Results'!O34="","",IF('Mock 1 Paper 1 Results'!O34="Green",Parameters!$C$484,IF('Mock 1 Paper 1 Results'!O34="Yellow",Parameters!$C$483,Parameters!$C$482)))</f>
        <v/>
      </c>
      <c r="K184">
        <f>IF('Mock 1 Paper 1 Results'!O35="","",IF('Mock 1 Paper 1 Results'!O35="Green",Parameters!$C$484,IF('Mock 1 Paper 1 Results'!O35="Yellow",Parameters!$C$483,Parameters!$C$482)))</f>
        <v/>
      </c>
    </row>
    <row r="186">
      <c r="A186">
        <f>IF('Mock 1 Paper 1 Results'!O34="","","Breakdown:")</f>
        <v/>
      </c>
      <c r="K186">
        <f>IF('Mock 1 Paper 1 Results'!O35="","","Breakdown:")</f>
        <v/>
      </c>
    </row>
    <row r="187">
      <c r="A187">
        <f>IF('Mock 1 Paper 1 Results'!O34="","","Q1 Classifying data types: "&amp;'Mock 1 Paper 1 Results'!C34&amp;"/2")</f>
        <v/>
      </c>
      <c r="K187">
        <f>IF('Mock 1 Paper 1 Results'!O35="","","Q1 Classifying data types: "&amp;'Mock 1 Paper 1 Results'!C35&amp;"/2")</f>
        <v/>
      </c>
    </row>
    <row r="188">
      <c r="A188">
        <f>IF('Mock 1 Paper 1 Results'!O34="","","Q2 Stratified sampling calculations: "&amp;'Mock 1 Paper 1 Results'!D34&amp;"/5")</f>
        <v/>
      </c>
      <c r="K188">
        <f>IF('Mock 1 Paper 1 Results'!O35="","","Q2 Stratified sampling calculations: "&amp;'Mock 1 Paper 1 Results'!D35&amp;"/5")</f>
        <v/>
      </c>
    </row>
    <row r="189">
      <c r="A189">
        <f>IF('Mock 1 Paper 1 Results'!O34="","","Q3 Reading graphs and percentage change: "&amp;'Mock 1 Paper 1 Results'!E34&amp;"/5")</f>
        <v/>
      </c>
      <c r="K189">
        <f>IF('Mock 1 Paper 1 Results'!O35="","","Q3 Reading graphs and percentage change: "&amp;'Mock 1 Paper 1 Results'!E35&amp;"/5")</f>
        <v/>
      </c>
    </row>
    <row r="190">
      <c r="A190">
        <f>IF('Mock 1 Paper 1 Results'!O34="","","Q4 Fermi estimation: "&amp;'Mock 1 Paper 1 Results'!F34&amp;"/4")</f>
        <v/>
      </c>
      <c r="K190">
        <f>IF('Mock 1 Paper 1 Results'!O35="","","Q4 Fermi estimation: "&amp;'Mock 1 Paper 1 Results'!F35&amp;"/4")</f>
        <v/>
      </c>
    </row>
    <row r="191">
      <c r="A191">
        <f>IF('Mock 1 Paper 1 Results'!O34="","","Q5 Compound percentage decrease: "&amp;'Mock 1 Paper 1 Results'!G34&amp;"/4")</f>
        <v/>
      </c>
      <c r="K191">
        <f>IF('Mock 1 Paper 1 Results'!O35="","","Q5 Compound percentage decrease: "&amp;'Mock 1 Paper 1 Results'!G35&amp;"/4")</f>
        <v/>
      </c>
    </row>
    <row r="192">
      <c r="A192">
        <f>IF('Mock 1 Paper 1 Results'!O34="","","Q6 Comparing averages and spread: "&amp;'Mock 1 Paper 1 Results'!H34&amp;"/5")</f>
        <v/>
      </c>
      <c r="K192">
        <f>IF('Mock 1 Paper 1 Results'!O35="","","Q6 Comparing averages and spread: "&amp;'Mock 1 Paper 1 Results'!H35&amp;"/5")</f>
        <v/>
      </c>
    </row>
    <row r="193">
      <c r="A193">
        <f>IF('Mock 1 Paper 1 Results'!O34="","","Q7 Modelling yield with assumptions: "&amp;'Mock 1 Paper 1 Results'!I34&amp;"/11")</f>
        <v/>
      </c>
      <c r="K193">
        <f>IF('Mock 1 Paper 1 Results'!O35="","","Q7 Modelling yield with assumptions: "&amp;'Mock 1 Paper 1 Results'!I35&amp;"/11")</f>
        <v/>
      </c>
    </row>
    <row r="194">
      <c r="A194">
        <f>IF('Mock 1 Paper 1 Results'!O34="","","Q8 Income tax and National Insurance: "&amp;'Mock 1 Paper 1 Results'!J34&amp;"/11")</f>
        <v/>
      </c>
      <c r="K194">
        <f>IF('Mock 1 Paper 1 Results'!O35="","","Q8 Income tax and National Insurance: "&amp;'Mock 1 Paper 1 Results'!J35&amp;"/11")</f>
        <v/>
      </c>
    </row>
    <row r="195">
      <c r="A195">
        <f>IF('Mock 1 Paper 1 Results'!O34="","","Q9 Cumulative frequency graph and estimate: "&amp;'Mock 1 Paper 1 Results'!K34&amp;"/10")</f>
        <v/>
      </c>
      <c r="K195">
        <f>IF('Mock 1 Paper 1 Results'!O35="","","Q9 Cumulative frequency graph and estimate: "&amp;'Mock 1 Paper 1 Results'!K35&amp;"/10")</f>
        <v/>
      </c>
    </row>
    <row r="196">
      <c r="A196">
        <f>IF('Mock 1 Paper 1 Results'!O34="","","Q10 Annual Equivalent Rate: "&amp;'Mock 1 Paper 1 Results'!L34&amp;"/4")</f>
        <v/>
      </c>
      <c r="K196">
        <f>IF('Mock 1 Paper 1 Results'!O35="","","Q10 Annual Equivalent Rate: "&amp;'Mock 1 Paper 1 Results'!L35&amp;"/4")</f>
        <v/>
      </c>
    </row>
    <row r="197">
      <c r="A197">
        <f>IF('Mock 1 Paper 1 Results'!O36="","","Mock Exam 1 — Paper 1")</f>
        <v/>
      </c>
      <c r="K197">
        <f>IF('Mock 1 Paper 1 Results'!O37="","","Mock Exam 1 — Paper 1")</f>
        <v/>
      </c>
    </row>
    <row r="198">
      <c r="A198">
        <f>IF('Mock 1 Paper 1 Results'!O36="","","Name: "&amp;'Mock 1 Paper 1 Results'!B36&amp;"   Class: "&amp;'Mock 1 Paper 1 Results'!$B$3&amp;"   Date: "&amp;TEXT('Mock 1 Paper 1 Results'!$B$5,"DD/MM/YY"))</f>
        <v/>
      </c>
      <c r="K198">
        <f>IF('Mock 1 Paper 1 Results'!O37="","","Name: "&amp;'Mock 1 Paper 1 Results'!B37&amp;"   Class: "&amp;'Mock 1 Paper 1 Results'!$B$3&amp;"   Date: "&amp;TEXT('Mock 1 Paper 1 Results'!$B$5,"DD/MM/YY"))</f>
        <v/>
      </c>
    </row>
    <row r="199">
      <c r="A199">
        <f>IF('Mock 1 Paper 1 Results'!O36="","","Total: "&amp;'Mock 1 Paper 1 Results'!M36&amp;"/61 ("&amp;TEXT('Mock 1 Paper 1 Results'!N36,"0%")&amp;")   Overall: "&amp;'Mock 1 Paper 1 Results'!O36)</f>
        <v/>
      </c>
      <c r="K199">
        <f>IF('Mock 1 Paper 1 Results'!O37="","","Total: "&amp;'Mock 1 Paper 1 Results'!M37&amp;"/61 ("&amp;TEXT('Mock 1 Paper 1 Results'!N37,"0%")&amp;")   Overall: "&amp;'Mock 1 Paper 1 Results'!O37)</f>
        <v/>
      </c>
    </row>
    <row r="200">
      <c r="A200">
        <f>IF('Mock 1 Paper 1 Results'!O36="","",IF('Mock 1 Paper 1 Results'!O36="Green",Parameters!$C$484,IF('Mock 1 Paper 1 Results'!O36="Yellow",Parameters!$C$483,Parameters!$C$482)))</f>
        <v/>
      </c>
      <c r="K200">
        <f>IF('Mock 1 Paper 1 Results'!O37="","",IF('Mock 1 Paper 1 Results'!O37="Green",Parameters!$C$484,IF('Mock 1 Paper 1 Results'!O37="Yellow",Parameters!$C$483,Parameters!$C$482)))</f>
        <v/>
      </c>
    </row>
    <row r="202">
      <c r="A202">
        <f>IF('Mock 1 Paper 1 Results'!O36="","","Breakdown:")</f>
        <v/>
      </c>
      <c r="K202">
        <f>IF('Mock 1 Paper 1 Results'!O37="","","Breakdown:")</f>
        <v/>
      </c>
    </row>
    <row r="203">
      <c r="A203">
        <f>IF('Mock 1 Paper 1 Results'!O36="","","Q1 Classifying data types: "&amp;'Mock 1 Paper 1 Results'!C36&amp;"/2")</f>
        <v/>
      </c>
      <c r="K203">
        <f>IF('Mock 1 Paper 1 Results'!O37="","","Q1 Classifying data types: "&amp;'Mock 1 Paper 1 Results'!C37&amp;"/2")</f>
        <v/>
      </c>
    </row>
    <row r="204">
      <c r="A204">
        <f>IF('Mock 1 Paper 1 Results'!O36="","","Q2 Stratified sampling calculations: "&amp;'Mock 1 Paper 1 Results'!D36&amp;"/5")</f>
        <v/>
      </c>
      <c r="K204">
        <f>IF('Mock 1 Paper 1 Results'!O37="","","Q2 Stratified sampling calculations: "&amp;'Mock 1 Paper 1 Results'!D37&amp;"/5")</f>
        <v/>
      </c>
    </row>
    <row r="205">
      <c r="A205">
        <f>IF('Mock 1 Paper 1 Results'!O36="","","Q3 Reading graphs and percentage change: "&amp;'Mock 1 Paper 1 Results'!E36&amp;"/5")</f>
        <v/>
      </c>
      <c r="K205">
        <f>IF('Mock 1 Paper 1 Results'!O37="","","Q3 Reading graphs and percentage change: "&amp;'Mock 1 Paper 1 Results'!E37&amp;"/5")</f>
        <v/>
      </c>
    </row>
    <row r="206">
      <c r="A206">
        <f>IF('Mock 1 Paper 1 Results'!O36="","","Q4 Fermi estimation: "&amp;'Mock 1 Paper 1 Results'!F36&amp;"/4")</f>
        <v/>
      </c>
      <c r="K206">
        <f>IF('Mock 1 Paper 1 Results'!O37="","","Q4 Fermi estimation: "&amp;'Mock 1 Paper 1 Results'!F37&amp;"/4")</f>
        <v/>
      </c>
    </row>
    <row r="207">
      <c r="A207">
        <f>IF('Mock 1 Paper 1 Results'!O36="","","Q5 Compound percentage decrease: "&amp;'Mock 1 Paper 1 Results'!G36&amp;"/4")</f>
        <v/>
      </c>
      <c r="K207">
        <f>IF('Mock 1 Paper 1 Results'!O37="","","Q5 Compound percentage decrease: "&amp;'Mock 1 Paper 1 Results'!G37&amp;"/4")</f>
        <v/>
      </c>
    </row>
    <row r="208">
      <c r="A208">
        <f>IF('Mock 1 Paper 1 Results'!O36="","","Q6 Comparing averages and spread: "&amp;'Mock 1 Paper 1 Results'!H36&amp;"/5")</f>
        <v/>
      </c>
      <c r="K208">
        <f>IF('Mock 1 Paper 1 Results'!O37="","","Q6 Comparing averages and spread: "&amp;'Mock 1 Paper 1 Results'!H37&amp;"/5")</f>
        <v/>
      </c>
    </row>
    <row r="209">
      <c r="A209">
        <f>IF('Mock 1 Paper 1 Results'!O36="","","Q7 Modelling yield with assumptions: "&amp;'Mock 1 Paper 1 Results'!I36&amp;"/11")</f>
        <v/>
      </c>
      <c r="K209">
        <f>IF('Mock 1 Paper 1 Results'!O37="","","Q7 Modelling yield with assumptions: "&amp;'Mock 1 Paper 1 Results'!I37&amp;"/11")</f>
        <v/>
      </c>
    </row>
    <row r="210">
      <c r="A210">
        <f>IF('Mock 1 Paper 1 Results'!O36="","","Q8 Income tax and National Insurance: "&amp;'Mock 1 Paper 1 Results'!J36&amp;"/11")</f>
        <v/>
      </c>
      <c r="K210">
        <f>IF('Mock 1 Paper 1 Results'!O37="","","Q8 Income tax and National Insurance: "&amp;'Mock 1 Paper 1 Results'!J37&amp;"/11")</f>
        <v/>
      </c>
    </row>
    <row r="211">
      <c r="A211">
        <f>IF('Mock 1 Paper 1 Results'!O36="","","Q9 Cumulative frequency graph and estimate: "&amp;'Mock 1 Paper 1 Results'!K36&amp;"/10")</f>
        <v/>
      </c>
      <c r="K211">
        <f>IF('Mock 1 Paper 1 Results'!O37="","","Q9 Cumulative frequency graph and estimate: "&amp;'Mock 1 Paper 1 Results'!K37&amp;"/10")</f>
        <v/>
      </c>
    </row>
    <row r="212">
      <c r="A212">
        <f>IF('Mock 1 Paper 1 Results'!O36="","","Q10 Annual Equivalent Rate: "&amp;'Mock 1 Paper 1 Results'!L36&amp;"/4")</f>
        <v/>
      </c>
      <c r="K212">
        <f>IF('Mock 1 Paper 1 Results'!O37="","","Q10 Annual Equivalent Rate: "&amp;'Mock 1 Paper 1 Results'!L37&amp;"/4")</f>
        <v/>
      </c>
    </row>
    <row r="213">
      <c r="A213">
        <f>IF('Mock 1 Paper 1 Results'!O38="","","Mock Exam 1 — Paper 1")</f>
        <v/>
      </c>
      <c r="K213">
        <f>IF('Mock 1 Paper 1 Results'!O39="","","Mock Exam 1 — Paper 1")</f>
        <v/>
      </c>
    </row>
    <row r="214">
      <c r="A214">
        <f>IF('Mock 1 Paper 1 Results'!O38="","","Name: "&amp;'Mock 1 Paper 1 Results'!B38&amp;"   Class: "&amp;'Mock 1 Paper 1 Results'!$B$3&amp;"   Date: "&amp;TEXT('Mock 1 Paper 1 Results'!$B$5,"DD/MM/YY"))</f>
        <v/>
      </c>
      <c r="K214">
        <f>IF('Mock 1 Paper 1 Results'!O39="","","Name: "&amp;'Mock 1 Paper 1 Results'!B39&amp;"   Class: "&amp;'Mock 1 Paper 1 Results'!$B$3&amp;"   Date: "&amp;TEXT('Mock 1 Paper 1 Results'!$B$5,"DD/MM/YY"))</f>
        <v/>
      </c>
    </row>
    <row r="215">
      <c r="A215">
        <f>IF('Mock 1 Paper 1 Results'!O38="","","Total: "&amp;'Mock 1 Paper 1 Results'!M38&amp;"/61 ("&amp;TEXT('Mock 1 Paper 1 Results'!N38,"0%")&amp;")   Overall: "&amp;'Mock 1 Paper 1 Results'!O38)</f>
        <v/>
      </c>
      <c r="K215">
        <f>IF('Mock 1 Paper 1 Results'!O39="","","Total: "&amp;'Mock 1 Paper 1 Results'!M39&amp;"/61 ("&amp;TEXT('Mock 1 Paper 1 Results'!N39,"0%")&amp;")   Overall: "&amp;'Mock 1 Paper 1 Results'!O39)</f>
        <v/>
      </c>
    </row>
    <row r="216">
      <c r="A216">
        <f>IF('Mock 1 Paper 1 Results'!O38="","",IF('Mock 1 Paper 1 Results'!O38="Green",Parameters!$C$484,IF('Mock 1 Paper 1 Results'!O38="Yellow",Parameters!$C$483,Parameters!$C$482)))</f>
        <v/>
      </c>
      <c r="K216">
        <f>IF('Mock 1 Paper 1 Results'!O39="","",IF('Mock 1 Paper 1 Results'!O39="Green",Parameters!$C$484,IF('Mock 1 Paper 1 Results'!O39="Yellow",Parameters!$C$483,Parameters!$C$482)))</f>
        <v/>
      </c>
    </row>
    <row r="218">
      <c r="A218">
        <f>IF('Mock 1 Paper 1 Results'!O38="","","Breakdown:")</f>
        <v/>
      </c>
      <c r="K218">
        <f>IF('Mock 1 Paper 1 Results'!O39="","","Breakdown:")</f>
        <v/>
      </c>
    </row>
    <row r="219">
      <c r="A219">
        <f>IF('Mock 1 Paper 1 Results'!O38="","","Q1 Classifying data types: "&amp;'Mock 1 Paper 1 Results'!C38&amp;"/2")</f>
        <v/>
      </c>
      <c r="K219">
        <f>IF('Mock 1 Paper 1 Results'!O39="","","Q1 Classifying data types: "&amp;'Mock 1 Paper 1 Results'!C39&amp;"/2")</f>
        <v/>
      </c>
    </row>
    <row r="220">
      <c r="A220">
        <f>IF('Mock 1 Paper 1 Results'!O38="","","Q2 Stratified sampling calculations: "&amp;'Mock 1 Paper 1 Results'!D38&amp;"/5")</f>
        <v/>
      </c>
      <c r="K220">
        <f>IF('Mock 1 Paper 1 Results'!O39="","","Q2 Stratified sampling calculations: "&amp;'Mock 1 Paper 1 Results'!D39&amp;"/5")</f>
        <v/>
      </c>
    </row>
    <row r="221">
      <c r="A221">
        <f>IF('Mock 1 Paper 1 Results'!O38="","","Q3 Reading graphs and percentage change: "&amp;'Mock 1 Paper 1 Results'!E38&amp;"/5")</f>
        <v/>
      </c>
      <c r="K221">
        <f>IF('Mock 1 Paper 1 Results'!O39="","","Q3 Reading graphs and percentage change: "&amp;'Mock 1 Paper 1 Results'!E39&amp;"/5")</f>
        <v/>
      </c>
    </row>
    <row r="222">
      <c r="A222">
        <f>IF('Mock 1 Paper 1 Results'!O38="","","Q4 Fermi estimation: "&amp;'Mock 1 Paper 1 Results'!F38&amp;"/4")</f>
        <v/>
      </c>
      <c r="K222">
        <f>IF('Mock 1 Paper 1 Results'!O39="","","Q4 Fermi estimation: "&amp;'Mock 1 Paper 1 Results'!F39&amp;"/4")</f>
        <v/>
      </c>
    </row>
    <row r="223">
      <c r="A223">
        <f>IF('Mock 1 Paper 1 Results'!O38="","","Q5 Compound percentage decrease: "&amp;'Mock 1 Paper 1 Results'!G38&amp;"/4")</f>
        <v/>
      </c>
      <c r="K223">
        <f>IF('Mock 1 Paper 1 Results'!O39="","","Q5 Compound percentage decrease: "&amp;'Mock 1 Paper 1 Results'!G39&amp;"/4")</f>
        <v/>
      </c>
    </row>
    <row r="224">
      <c r="A224">
        <f>IF('Mock 1 Paper 1 Results'!O38="","","Q6 Comparing averages and spread: "&amp;'Mock 1 Paper 1 Results'!H38&amp;"/5")</f>
        <v/>
      </c>
      <c r="K224">
        <f>IF('Mock 1 Paper 1 Results'!O39="","","Q6 Comparing averages and spread: "&amp;'Mock 1 Paper 1 Results'!H39&amp;"/5")</f>
        <v/>
      </c>
    </row>
    <row r="225">
      <c r="A225">
        <f>IF('Mock 1 Paper 1 Results'!O38="","","Q7 Modelling yield with assumptions: "&amp;'Mock 1 Paper 1 Results'!I38&amp;"/11")</f>
        <v/>
      </c>
      <c r="K225">
        <f>IF('Mock 1 Paper 1 Results'!O39="","","Q7 Modelling yield with assumptions: "&amp;'Mock 1 Paper 1 Results'!I39&amp;"/11")</f>
        <v/>
      </c>
    </row>
    <row r="226">
      <c r="A226">
        <f>IF('Mock 1 Paper 1 Results'!O38="","","Q8 Income tax and National Insurance: "&amp;'Mock 1 Paper 1 Results'!J38&amp;"/11")</f>
        <v/>
      </c>
      <c r="K226">
        <f>IF('Mock 1 Paper 1 Results'!O39="","","Q8 Income tax and National Insurance: "&amp;'Mock 1 Paper 1 Results'!J39&amp;"/11")</f>
        <v/>
      </c>
    </row>
    <row r="227">
      <c r="A227">
        <f>IF('Mock 1 Paper 1 Results'!O38="","","Q9 Cumulative frequency graph and estimate: "&amp;'Mock 1 Paper 1 Results'!K38&amp;"/10")</f>
        <v/>
      </c>
      <c r="K227">
        <f>IF('Mock 1 Paper 1 Results'!O39="","","Q9 Cumulative frequency graph and estimate: "&amp;'Mock 1 Paper 1 Results'!K39&amp;"/10")</f>
        <v/>
      </c>
    </row>
    <row r="228">
      <c r="A228">
        <f>IF('Mock 1 Paper 1 Results'!O38="","","Q10 Annual Equivalent Rate: "&amp;'Mock 1 Paper 1 Results'!L38&amp;"/4")</f>
        <v/>
      </c>
      <c r="K228">
        <f>IF('Mock 1 Paper 1 Results'!O39="","","Q10 Annual Equivalent Rate: "&amp;'Mock 1 Paper 1 Results'!L39&amp;"/4")</f>
        <v/>
      </c>
    </row>
    <row r="229">
      <c r="A229">
        <f>IF('Mock 1 Paper 1 Results'!O40="","","Mock Exam 1 — Paper 1")</f>
        <v/>
      </c>
      <c r="K229">
        <f>IF('Mock 1 Paper 1 Results'!O41="","","Mock Exam 1 — Paper 1")</f>
        <v/>
      </c>
    </row>
    <row r="230">
      <c r="A230">
        <f>IF('Mock 1 Paper 1 Results'!O40="","","Name: "&amp;'Mock 1 Paper 1 Results'!B40&amp;"   Class: "&amp;'Mock 1 Paper 1 Results'!$B$3&amp;"   Date: "&amp;TEXT('Mock 1 Paper 1 Results'!$B$5,"DD/MM/YY"))</f>
        <v/>
      </c>
      <c r="K230">
        <f>IF('Mock 1 Paper 1 Results'!O41="","","Name: "&amp;'Mock 1 Paper 1 Results'!B41&amp;"   Class: "&amp;'Mock 1 Paper 1 Results'!$B$3&amp;"   Date: "&amp;TEXT('Mock 1 Paper 1 Results'!$B$5,"DD/MM/YY"))</f>
        <v/>
      </c>
    </row>
    <row r="231">
      <c r="A231">
        <f>IF('Mock 1 Paper 1 Results'!O40="","","Total: "&amp;'Mock 1 Paper 1 Results'!M40&amp;"/61 ("&amp;TEXT('Mock 1 Paper 1 Results'!N40,"0%")&amp;")   Overall: "&amp;'Mock 1 Paper 1 Results'!O40)</f>
        <v/>
      </c>
      <c r="K231">
        <f>IF('Mock 1 Paper 1 Results'!O41="","","Total: "&amp;'Mock 1 Paper 1 Results'!M41&amp;"/61 ("&amp;TEXT('Mock 1 Paper 1 Results'!N41,"0%")&amp;")   Overall: "&amp;'Mock 1 Paper 1 Results'!O41)</f>
        <v/>
      </c>
    </row>
    <row r="232">
      <c r="A232">
        <f>IF('Mock 1 Paper 1 Results'!O40="","",IF('Mock 1 Paper 1 Results'!O40="Green",Parameters!$C$484,IF('Mock 1 Paper 1 Results'!O40="Yellow",Parameters!$C$483,Parameters!$C$482)))</f>
        <v/>
      </c>
      <c r="K232">
        <f>IF('Mock 1 Paper 1 Results'!O41="","",IF('Mock 1 Paper 1 Results'!O41="Green",Parameters!$C$484,IF('Mock 1 Paper 1 Results'!O41="Yellow",Parameters!$C$483,Parameters!$C$482)))</f>
        <v/>
      </c>
    </row>
    <row r="234">
      <c r="A234">
        <f>IF('Mock 1 Paper 1 Results'!O40="","","Breakdown:")</f>
        <v/>
      </c>
      <c r="K234">
        <f>IF('Mock 1 Paper 1 Results'!O41="","","Breakdown:")</f>
        <v/>
      </c>
    </row>
    <row r="235">
      <c r="A235">
        <f>IF('Mock 1 Paper 1 Results'!O40="","","Q1 Classifying data types: "&amp;'Mock 1 Paper 1 Results'!C40&amp;"/2")</f>
        <v/>
      </c>
      <c r="K235">
        <f>IF('Mock 1 Paper 1 Results'!O41="","","Q1 Classifying data types: "&amp;'Mock 1 Paper 1 Results'!C41&amp;"/2")</f>
        <v/>
      </c>
    </row>
    <row r="236">
      <c r="A236">
        <f>IF('Mock 1 Paper 1 Results'!O40="","","Q2 Stratified sampling calculations: "&amp;'Mock 1 Paper 1 Results'!D40&amp;"/5")</f>
        <v/>
      </c>
      <c r="K236">
        <f>IF('Mock 1 Paper 1 Results'!O41="","","Q2 Stratified sampling calculations: "&amp;'Mock 1 Paper 1 Results'!D41&amp;"/5")</f>
        <v/>
      </c>
    </row>
    <row r="237">
      <c r="A237">
        <f>IF('Mock 1 Paper 1 Results'!O40="","","Q3 Reading graphs and percentage change: "&amp;'Mock 1 Paper 1 Results'!E40&amp;"/5")</f>
        <v/>
      </c>
      <c r="K237">
        <f>IF('Mock 1 Paper 1 Results'!O41="","","Q3 Reading graphs and percentage change: "&amp;'Mock 1 Paper 1 Results'!E41&amp;"/5")</f>
        <v/>
      </c>
    </row>
    <row r="238">
      <c r="A238">
        <f>IF('Mock 1 Paper 1 Results'!O40="","","Q4 Fermi estimation: "&amp;'Mock 1 Paper 1 Results'!F40&amp;"/4")</f>
        <v/>
      </c>
      <c r="K238">
        <f>IF('Mock 1 Paper 1 Results'!O41="","","Q4 Fermi estimation: "&amp;'Mock 1 Paper 1 Results'!F41&amp;"/4")</f>
        <v/>
      </c>
    </row>
    <row r="239">
      <c r="A239">
        <f>IF('Mock 1 Paper 1 Results'!O40="","","Q5 Compound percentage decrease: "&amp;'Mock 1 Paper 1 Results'!G40&amp;"/4")</f>
        <v/>
      </c>
      <c r="K239">
        <f>IF('Mock 1 Paper 1 Results'!O41="","","Q5 Compound percentage decrease: "&amp;'Mock 1 Paper 1 Results'!G41&amp;"/4")</f>
        <v/>
      </c>
    </row>
    <row r="240">
      <c r="A240">
        <f>IF('Mock 1 Paper 1 Results'!O40="","","Q6 Comparing averages and spread: "&amp;'Mock 1 Paper 1 Results'!H40&amp;"/5")</f>
        <v/>
      </c>
      <c r="K240">
        <f>IF('Mock 1 Paper 1 Results'!O41="","","Q6 Comparing averages and spread: "&amp;'Mock 1 Paper 1 Results'!H41&amp;"/5")</f>
        <v/>
      </c>
    </row>
    <row r="241">
      <c r="A241">
        <f>IF('Mock 1 Paper 1 Results'!O40="","","Q7 Modelling yield with assumptions: "&amp;'Mock 1 Paper 1 Results'!I40&amp;"/11")</f>
        <v/>
      </c>
      <c r="K241">
        <f>IF('Mock 1 Paper 1 Results'!O41="","","Q7 Modelling yield with assumptions: "&amp;'Mock 1 Paper 1 Results'!I41&amp;"/11")</f>
        <v/>
      </c>
    </row>
    <row r="242">
      <c r="A242">
        <f>IF('Mock 1 Paper 1 Results'!O40="","","Q8 Income tax and National Insurance: "&amp;'Mock 1 Paper 1 Results'!J40&amp;"/11")</f>
        <v/>
      </c>
      <c r="K242">
        <f>IF('Mock 1 Paper 1 Results'!O41="","","Q8 Income tax and National Insurance: "&amp;'Mock 1 Paper 1 Results'!J41&amp;"/11")</f>
        <v/>
      </c>
    </row>
    <row r="243">
      <c r="A243">
        <f>IF('Mock 1 Paper 1 Results'!O40="","","Q9 Cumulative frequency graph and estimate: "&amp;'Mock 1 Paper 1 Results'!K40&amp;"/10")</f>
        <v/>
      </c>
      <c r="K243">
        <f>IF('Mock 1 Paper 1 Results'!O41="","","Q9 Cumulative frequency graph and estimate: "&amp;'Mock 1 Paper 1 Results'!K41&amp;"/10")</f>
        <v/>
      </c>
    </row>
    <row r="244">
      <c r="A244">
        <f>IF('Mock 1 Paper 1 Results'!O40="","","Q10 Annual Equivalent Rate: "&amp;'Mock 1 Paper 1 Results'!L40&amp;"/4")</f>
        <v/>
      </c>
      <c r="K244">
        <f>IF('Mock 1 Paper 1 Results'!O41="","","Q10 Annual Equivalent Rate: "&amp;'Mock 1 Paper 1 Results'!L41&amp;"/4")</f>
        <v/>
      </c>
    </row>
    <row r="245">
      <c r="A245">
        <f>IF(OR('Mock 1 Paper 1 Results'!O40="",'Mock 1 Paper 1 Results'!P40=""),"",'Mock 1 Paper 1 Results'!P40)</f>
        <v/>
      </c>
      <c r="K245">
        <f>IF(OR('Mock 1 Paper 1 Results'!O41="",'Mock 1 Paper 1 Results'!P41=""),"",'Mock 1 Paper 1 Results'!P41)</f>
        <v/>
      </c>
    </row>
    <row r="247">
      <c r="A247">
        <f>IF('Mock 1 Paper 1 Results'!O40="","","Comments:")</f>
        <v/>
      </c>
      <c r="K247">
        <f>IF('Mock 1 Paper 1 Results'!O41="","","Comments:")</f>
        <v/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V41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0" customWidth="1" min="11" max="11"/>
    <col width="8" customWidth="1" min="12" max="12"/>
    <col width="10" customWidth="1" min="13" max="13"/>
    <col width="45" customWidth="1" min="14" max="14"/>
  </cols>
  <sheetData>
    <row r="1">
      <c r="A1" s="11" t="inlineStr">
        <is>
          <t>Mock Exam 1 — Paper 2A — Results Tracker</t>
        </is>
      </c>
    </row>
    <row r="2">
      <c r="A2" t="inlineStr">
        <is>
          <t>School:</t>
        </is>
      </c>
    </row>
    <row r="3">
      <c r="A3" t="inlineStr">
        <is>
          <t>Class:</t>
        </is>
      </c>
    </row>
    <row r="4">
      <c r="A4" t="inlineStr">
        <is>
          <t>Teacher:</t>
        </is>
      </c>
    </row>
    <row r="5">
      <c r="A5" t="inlineStr">
        <is>
          <t>Date:</t>
        </is>
      </c>
      <c r="B5">
        <f>TODAY()</f>
        <v/>
      </c>
    </row>
    <row r="7">
      <c r="A7" s="2" t="inlineStr">
        <is>
          <t>Legend: yellow cells are for you to fill in. Enter each pupil's TOTAL mark for each question (not each sub-part) — all questions must be filled in before the total/RAG/feedback appear for that row. Row 11 is a worked example — overwrite the pupil rows below it with your own class list (add more rows if needed; the helper %% columns after 'Focus for next steps' are working columns — safe to ignore, don't delete them).</t>
        </is>
      </c>
    </row>
    <row r="9">
      <c r="A9" s="12" t="inlineStr">
        <is>
          <t>No.</t>
        </is>
      </c>
      <c r="B9" s="12" t="inlineStr">
        <is>
          <t>Pupil name</t>
        </is>
      </c>
      <c r="C9" s="12" t="inlineStr">
        <is>
          <t>Q1
Ratios &amp; constraints
(/7)</t>
        </is>
      </c>
      <c r="D9" s="12" t="inlineStr">
        <is>
          <t>Q2
Critical analysis
(/13)</t>
        </is>
      </c>
      <c r="E9" s="12" t="inlineStr">
        <is>
          <t>Q3
Standard normal values
(/2)</t>
        </is>
      </c>
      <c r="F9" s="12" t="inlineStr">
        <is>
          <t>Q4
CI for a mean
(/6)</t>
        </is>
      </c>
      <c r="G9" s="12" t="inlineStr">
        <is>
          <t>Q5
Point estimates
(/9)</t>
        </is>
      </c>
      <c r="H9" s="12" t="inlineStr">
        <is>
          <t>Q6
PMCC &amp; correlation
(/3)</t>
        </is>
      </c>
      <c r="I9" s="12" t="inlineStr">
        <is>
          <t>Q7
Normal probabilities
(/8)</t>
        </is>
      </c>
      <c r="J9" s="12" t="inlineStr">
        <is>
          <t>Q8
Regression line
(/12)</t>
        </is>
      </c>
      <c r="K9" s="12" t="inlineStr">
        <is>
          <t>Total
(/60)</t>
        </is>
      </c>
      <c r="L9" s="12" t="inlineStr">
        <is>
          <t>%</t>
        </is>
      </c>
      <c r="M9" s="12" t="inlineStr">
        <is>
          <t>Overall</t>
        </is>
      </c>
      <c r="N9" s="12" t="inlineStr">
        <is>
          <t>Focus for next steps</t>
        </is>
      </c>
      <c r="O9" s="12" t="inlineStr">
        <is>
          <t>Q1%</t>
        </is>
      </c>
      <c r="P9" s="12" t="inlineStr">
        <is>
          <t>Q2%</t>
        </is>
      </c>
      <c r="Q9" s="12" t="inlineStr">
        <is>
          <t>Q3%</t>
        </is>
      </c>
      <c r="R9" s="12" t="inlineStr">
        <is>
          <t>Q4%</t>
        </is>
      </c>
      <c r="S9" s="12" t="inlineStr">
        <is>
          <t>Q5%</t>
        </is>
      </c>
      <c r="T9" s="12" t="inlineStr">
        <is>
          <t>Q6%</t>
        </is>
      </c>
      <c r="U9" s="12" t="inlineStr">
        <is>
          <t>Q7%</t>
        </is>
      </c>
      <c r="V9" s="12" t="inlineStr">
        <is>
          <t>Q8%</t>
        </is>
      </c>
    </row>
    <row r="10">
      <c r="A10" s="3" t="n"/>
      <c r="B10" s="3" t="inlineStr">
        <is>
          <t>Max marks</t>
        </is>
      </c>
      <c r="C10" s="3" t="n">
        <v>7</v>
      </c>
      <c r="D10" s="3" t="n">
        <v>13</v>
      </c>
      <c r="E10" s="3" t="n">
        <v>2</v>
      </c>
      <c r="F10" s="3" t="n">
        <v>6</v>
      </c>
      <c r="G10" s="3" t="n">
        <v>9</v>
      </c>
      <c r="H10" s="3" t="n">
        <v>3</v>
      </c>
      <c r="I10" s="3" t="n">
        <v>8</v>
      </c>
      <c r="J10" s="3" t="n">
        <v>12</v>
      </c>
      <c r="K10" s="3" t="n">
        <v>60</v>
      </c>
      <c r="L10" s="3" t="inlineStr">
        <is>
          <t>100%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</row>
    <row r="11">
      <c r="A11" s="13" t="n">
        <v>1</v>
      </c>
      <c r="B11" s="13" t="inlineStr">
        <is>
          <t>Example pupil (edit me)</t>
        </is>
      </c>
      <c r="C11" s="13" t="n">
        <v>6</v>
      </c>
      <c r="D11" s="13" t="n">
        <v>10</v>
      </c>
      <c r="E11" s="13" t="n">
        <v>2</v>
      </c>
      <c r="F11" s="13" t="n">
        <v>5</v>
      </c>
      <c r="G11" s="13" t="n">
        <v>7</v>
      </c>
      <c r="H11" s="13" t="n">
        <v>2</v>
      </c>
      <c r="I11" s="13" t="n">
        <v>6</v>
      </c>
      <c r="J11" s="13" t="n">
        <v>10</v>
      </c>
      <c r="K11" s="13">
        <f>IF(COUNT(C11:J11)&lt;8,"",SUM(C11:J11))</f>
        <v/>
      </c>
      <c r="L11" s="13">
        <f>IF(COUNT(C11:J11)&lt;8,"",K11/60)</f>
        <v/>
      </c>
      <c r="M11" s="13">
        <f>IF(COUNT(C11:J11)&lt;8,"",IF(L11&gt;=0.8,"Green",IF(L11&gt;=0.5,"Yellow","Red")))</f>
        <v/>
      </c>
      <c r="N11" s="13">
        <f>IF(COUNT(C11:J11)&lt;8,"",IF(M11="Green","Well done! "&amp;Parameters!$C$503,"Revise: "&amp;_xlfn.TEXTJOIN(", ",TRUE(),IF(O11&lt;1,Parameters!$A$490,""),IF(P11&lt;1,Parameters!$A$491,""),IF(Q11&lt;1,Parameters!$A$492,""),IF(R11&lt;1,Parameters!$A$493,""),IF(S11&lt;1,Parameters!$A$494,""),IF(T11&lt;1,Parameters!$A$495,""),IF(U11&lt;1,Parameters!$A$496,""),IF(V11&lt;1,Parameters!$A$497,""))))</f>
        <v/>
      </c>
      <c r="O11" s="13">
        <f>IF(C11="","",C11/7)</f>
        <v/>
      </c>
      <c r="P11" s="13">
        <f>IF(D11="","",D11/13)</f>
        <v/>
      </c>
      <c r="Q11" s="13">
        <f>IF(E11="","",E11/2)</f>
        <v/>
      </c>
      <c r="R11" s="13">
        <f>IF(F11="","",F11/6)</f>
        <v/>
      </c>
      <c r="S11" s="13">
        <f>IF(G11="","",G11/9)</f>
        <v/>
      </c>
      <c r="T11" s="13">
        <f>IF(H11="","",H11/3)</f>
        <v/>
      </c>
      <c r="U11" s="13">
        <f>IF(I11="","",I11/8)</f>
        <v/>
      </c>
      <c r="V11" s="13">
        <f>IF(J11="","",J11/12)</f>
        <v/>
      </c>
    </row>
    <row r="12">
      <c r="A12" s="13" t="n">
        <v>1</v>
      </c>
      <c r="B12" s="13">
        <f>IF('Class Roster'!B12="","",'Class Roster'!B12&amp;" "&amp;'Class Roster'!C12)</f>
        <v/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K12" s="13">
        <f>IF(COUNT(C12:J12)&lt;8,"",SUM(C12:J12))</f>
        <v/>
      </c>
      <c r="L12" s="13">
        <f>IF(COUNT(C12:J12)&lt;8,"",K12/60)</f>
        <v/>
      </c>
      <c r="M12" s="13">
        <f>IF(COUNT(C12:J12)&lt;8,"",IF(L12&gt;=0.8,"Green",IF(L12&gt;=0.5,"Yellow","Red")))</f>
        <v/>
      </c>
      <c r="N12" s="13">
        <f>IF(COUNT(C12:J12)&lt;8,"",IF(M12="Green","Well done! "&amp;Parameters!$C$503,"Revise: "&amp;_xlfn.TEXTJOIN(", ",TRUE(),IF(O12&lt;1,Parameters!$A$490,""),IF(P12&lt;1,Parameters!$A$491,""),IF(Q12&lt;1,Parameters!$A$492,""),IF(R12&lt;1,Parameters!$A$493,""),IF(S12&lt;1,Parameters!$A$494,""),IF(T12&lt;1,Parameters!$A$495,""),IF(U12&lt;1,Parameters!$A$496,""),IF(V12&lt;1,Parameters!$A$497,""))))</f>
        <v/>
      </c>
      <c r="O12" s="13">
        <f>IF(C12="","",C12/7)</f>
        <v/>
      </c>
      <c r="P12" s="13">
        <f>IF(D12="","",D12/13)</f>
        <v/>
      </c>
      <c r="Q12" s="13">
        <f>IF(E12="","",E12/2)</f>
        <v/>
      </c>
      <c r="R12" s="13">
        <f>IF(F12="","",F12/6)</f>
        <v/>
      </c>
      <c r="S12" s="13">
        <f>IF(G12="","",G12/9)</f>
        <v/>
      </c>
      <c r="T12" s="13">
        <f>IF(H12="","",H12/3)</f>
        <v/>
      </c>
      <c r="U12" s="13">
        <f>IF(I12="","",I12/8)</f>
        <v/>
      </c>
      <c r="V12" s="13">
        <f>IF(J12="","",J12/12)</f>
        <v/>
      </c>
    </row>
    <row r="13">
      <c r="A13" s="13" t="n">
        <v>2</v>
      </c>
      <c r="B13" s="13">
        <f>IF('Class Roster'!B13="","",'Class Roster'!B13&amp;" "&amp;'Class Roster'!C13)</f>
        <v/>
      </c>
      <c r="C13" s="14" t="n"/>
      <c r="D13" s="14" t="n"/>
      <c r="E13" s="14" t="n"/>
      <c r="F13" s="14" t="n"/>
      <c r="G13" s="14" t="n"/>
      <c r="H13" s="14" t="n"/>
      <c r="I13" s="14" t="n"/>
      <c r="J13" s="14" t="n"/>
      <c r="K13" s="13">
        <f>IF(COUNT(C13:J13)&lt;8,"",SUM(C13:J13))</f>
        <v/>
      </c>
      <c r="L13" s="13">
        <f>IF(COUNT(C13:J13)&lt;8,"",K13/60)</f>
        <v/>
      </c>
      <c r="M13" s="13">
        <f>IF(COUNT(C13:J13)&lt;8,"",IF(L13&gt;=0.8,"Green",IF(L13&gt;=0.5,"Yellow","Red")))</f>
        <v/>
      </c>
      <c r="N13" s="13">
        <f>IF(COUNT(C13:J13)&lt;8,"",IF(M13="Green","Well done! "&amp;Parameters!$C$503,"Revise: "&amp;_xlfn.TEXTJOIN(", ",TRUE(),IF(O13&lt;1,Parameters!$A$490,""),IF(P13&lt;1,Parameters!$A$491,""),IF(Q13&lt;1,Parameters!$A$492,""),IF(R13&lt;1,Parameters!$A$493,""),IF(S13&lt;1,Parameters!$A$494,""),IF(T13&lt;1,Parameters!$A$495,""),IF(U13&lt;1,Parameters!$A$496,""),IF(V13&lt;1,Parameters!$A$497,""))))</f>
        <v/>
      </c>
      <c r="O13" s="13">
        <f>IF(C13="","",C13/7)</f>
        <v/>
      </c>
      <c r="P13" s="13">
        <f>IF(D13="","",D13/13)</f>
        <v/>
      </c>
      <c r="Q13" s="13">
        <f>IF(E13="","",E13/2)</f>
        <v/>
      </c>
      <c r="R13" s="13">
        <f>IF(F13="","",F13/6)</f>
        <v/>
      </c>
      <c r="S13" s="13">
        <f>IF(G13="","",G13/9)</f>
        <v/>
      </c>
      <c r="T13" s="13">
        <f>IF(H13="","",H13/3)</f>
        <v/>
      </c>
      <c r="U13" s="13">
        <f>IF(I13="","",I13/8)</f>
        <v/>
      </c>
      <c r="V13" s="13">
        <f>IF(J13="","",J13/12)</f>
        <v/>
      </c>
    </row>
    <row r="14">
      <c r="A14" s="13" t="n">
        <v>3</v>
      </c>
      <c r="B14" s="13">
        <f>IF('Class Roster'!B14="","",'Class Roster'!B14&amp;" "&amp;'Class Roster'!C14)</f>
        <v/>
      </c>
      <c r="C14" s="14" t="n"/>
      <c r="D14" s="14" t="n"/>
      <c r="E14" s="14" t="n"/>
      <c r="F14" s="14" t="n"/>
      <c r="G14" s="14" t="n"/>
      <c r="H14" s="14" t="n"/>
      <c r="I14" s="14" t="n"/>
      <c r="J14" s="14" t="n"/>
      <c r="K14" s="13">
        <f>IF(COUNT(C14:J14)&lt;8,"",SUM(C14:J14))</f>
        <v/>
      </c>
      <c r="L14" s="13">
        <f>IF(COUNT(C14:J14)&lt;8,"",K14/60)</f>
        <v/>
      </c>
      <c r="M14" s="13">
        <f>IF(COUNT(C14:J14)&lt;8,"",IF(L14&gt;=0.8,"Green",IF(L14&gt;=0.5,"Yellow","Red")))</f>
        <v/>
      </c>
      <c r="N14" s="13">
        <f>IF(COUNT(C14:J14)&lt;8,"",IF(M14="Green","Well done! "&amp;Parameters!$C$503,"Revise: "&amp;_xlfn.TEXTJOIN(", ",TRUE(),IF(O14&lt;1,Parameters!$A$490,""),IF(P14&lt;1,Parameters!$A$491,""),IF(Q14&lt;1,Parameters!$A$492,""),IF(R14&lt;1,Parameters!$A$493,""),IF(S14&lt;1,Parameters!$A$494,""),IF(T14&lt;1,Parameters!$A$495,""),IF(U14&lt;1,Parameters!$A$496,""),IF(V14&lt;1,Parameters!$A$497,""))))</f>
        <v/>
      </c>
      <c r="O14" s="13">
        <f>IF(C14="","",C14/7)</f>
        <v/>
      </c>
      <c r="P14" s="13">
        <f>IF(D14="","",D14/13)</f>
        <v/>
      </c>
      <c r="Q14" s="13">
        <f>IF(E14="","",E14/2)</f>
        <v/>
      </c>
      <c r="R14" s="13">
        <f>IF(F14="","",F14/6)</f>
        <v/>
      </c>
      <c r="S14" s="13">
        <f>IF(G14="","",G14/9)</f>
        <v/>
      </c>
      <c r="T14" s="13">
        <f>IF(H14="","",H14/3)</f>
        <v/>
      </c>
      <c r="U14" s="13">
        <f>IF(I14="","",I14/8)</f>
        <v/>
      </c>
      <c r="V14" s="13">
        <f>IF(J14="","",J14/12)</f>
        <v/>
      </c>
    </row>
    <row r="15">
      <c r="A15" s="13" t="n">
        <v>4</v>
      </c>
      <c r="B15" s="13">
        <f>IF('Class Roster'!B15="","",'Class Roster'!B15&amp;" "&amp;'Class Roster'!C15)</f>
        <v/>
      </c>
      <c r="C15" s="14" t="n"/>
      <c r="D15" s="14" t="n"/>
      <c r="E15" s="14" t="n"/>
      <c r="F15" s="14" t="n"/>
      <c r="G15" s="14" t="n"/>
      <c r="H15" s="14" t="n"/>
      <c r="I15" s="14" t="n"/>
      <c r="J15" s="14" t="n"/>
      <c r="K15" s="13">
        <f>IF(COUNT(C15:J15)&lt;8,"",SUM(C15:J15))</f>
        <v/>
      </c>
      <c r="L15" s="13">
        <f>IF(COUNT(C15:J15)&lt;8,"",K15/60)</f>
        <v/>
      </c>
      <c r="M15" s="13">
        <f>IF(COUNT(C15:J15)&lt;8,"",IF(L15&gt;=0.8,"Green",IF(L15&gt;=0.5,"Yellow","Red")))</f>
        <v/>
      </c>
      <c r="N15" s="13">
        <f>IF(COUNT(C15:J15)&lt;8,"",IF(M15="Green","Well done! "&amp;Parameters!$C$503,"Revise: "&amp;_xlfn.TEXTJOIN(", ",TRUE(),IF(O15&lt;1,Parameters!$A$490,""),IF(P15&lt;1,Parameters!$A$491,""),IF(Q15&lt;1,Parameters!$A$492,""),IF(R15&lt;1,Parameters!$A$493,""),IF(S15&lt;1,Parameters!$A$494,""),IF(T15&lt;1,Parameters!$A$495,""),IF(U15&lt;1,Parameters!$A$496,""),IF(V15&lt;1,Parameters!$A$497,""))))</f>
        <v/>
      </c>
      <c r="O15" s="13">
        <f>IF(C15="","",C15/7)</f>
        <v/>
      </c>
      <c r="P15" s="13">
        <f>IF(D15="","",D15/13)</f>
        <v/>
      </c>
      <c r="Q15" s="13">
        <f>IF(E15="","",E15/2)</f>
        <v/>
      </c>
      <c r="R15" s="13">
        <f>IF(F15="","",F15/6)</f>
        <v/>
      </c>
      <c r="S15" s="13">
        <f>IF(G15="","",G15/9)</f>
        <v/>
      </c>
      <c r="T15" s="13">
        <f>IF(H15="","",H15/3)</f>
        <v/>
      </c>
      <c r="U15" s="13">
        <f>IF(I15="","",I15/8)</f>
        <v/>
      </c>
      <c r="V15" s="13">
        <f>IF(J15="","",J15/12)</f>
        <v/>
      </c>
    </row>
    <row r="16">
      <c r="A16" s="13" t="n">
        <v>5</v>
      </c>
      <c r="B16" s="13">
        <f>IF('Class Roster'!B16="","",'Class Roster'!B16&amp;" "&amp;'Class Roster'!C16)</f>
        <v/>
      </c>
      <c r="C16" s="14" t="n"/>
      <c r="D16" s="14" t="n"/>
      <c r="E16" s="14" t="n"/>
      <c r="F16" s="14" t="n"/>
      <c r="G16" s="14" t="n"/>
      <c r="H16" s="14" t="n"/>
      <c r="I16" s="14" t="n"/>
      <c r="J16" s="14" t="n"/>
      <c r="K16" s="13">
        <f>IF(COUNT(C16:J16)&lt;8,"",SUM(C16:J16))</f>
        <v/>
      </c>
      <c r="L16" s="13">
        <f>IF(COUNT(C16:J16)&lt;8,"",K16/60)</f>
        <v/>
      </c>
      <c r="M16" s="13">
        <f>IF(COUNT(C16:J16)&lt;8,"",IF(L16&gt;=0.8,"Green",IF(L16&gt;=0.5,"Yellow","Red")))</f>
        <v/>
      </c>
      <c r="N16" s="13">
        <f>IF(COUNT(C16:J16)&lt;8,"",IF(M16="Green","Well done! "&amp;Parameters!$C$503,"Revise: "&amp;_xlfn.TEXTJOIN(", ",TRUE(),IF(O16&lt;1,Parameters!$A$490,""),IF(P16&lt;1,Parameters!$A$491,""),IF(Q16&lt;1,Parameters!$A$492,""),IF(R16&lt;1,Parameters!$A$493,""),IF(S16&lt;1,Parameters!$A$494,""),IF(T16&lt;1,Parameters!$A$495,""),IF(U16&lt;1,Parameters!$A$496,""),IF(V16&lt;1,Parameters!$A$497,""))))</f>
        <v/>
      </c>
      <c r="O16" s="13">
        <f>IF(C16="","",C16/7)</f>
        <v/>
      </c>
      <c r="P16" s="13">
        <f>IF(D16="","",D16/13)</f>
        <v/>
      </c>
      <c r="Q16" s="13">
        <f>IF(E16="","",E16/2)</f>
        <v/>
      </c>
      <c r="R16" s="13">
        <f>IF(F16="","",F16/6)</f>
        <v/>
      </c>
      <c r="S16" s="13">
        <f>IF(G16="","",G16/9)</f>
        <v/>
      </c>
      <c r="T16" s="13">
        <f>IF(H16="","",H16/3)</f>
        <v/>
      </c>
      <c r="U16" s="13">
        <f>IF(I16="","",I16/8)</f>
        <v/>
      </c>
      <c r="V16" s="13">
        <f>IF(J16="","",J16/12)</f>
        <v/>
      </c>
    </row>
    <row r="17">
      <c r="A17" s="13" t="n">
        <v>6</v>
      </c>
      <c r="B17" s="13">
        <f>IF('Class Roster'!B17="","",'Class Roster'!B17&amp;" "&amp;'Class Roster'!C17)</f>
        <v/>
      </c>
      <c r="C17" s="14" t="n"/>
      <c r="D17" s="14" t="n"/>
      <c r="E17" s="14" t="n"/>
      <c r="F17" s="14" t="n"/>
      <c r="G17" s="14" t="n"/>
      <c r="H17" s="14" t="n"/>
      <c r="I17" s="14" t="n"/>
      <c r="J17" s="14" t="n"/>
      <c r="K17" s="13">
        <f>IF(COUNT(C17:J17)&lt;8,"",SUM(C17:J17))</f>
        <v/>
      </c>
      <c r="L17" s="13">
        <f>IF(COUNT(C17:J17)&lt;8,"",K17/60)</f>
        <v/>
      </c>
      <c r="M17" s="13">
        <f>IF(COUNT(C17:J17)&lt;8,"",IF(L17&gt;=0.8,"Green",IF(L17&gt;=0.5,"Yellow","Red")))</f>
        <v/>
      </c>
      <c r="N17" s="13">
        <f>IF(COUNT(C17:J17)&lt;8,"",IF(M17="Green","Well done! "&amp;Parameters!$C$503,"Revise: "&amp;_xlfn.TEXTJOIN(", ",TRUE(),IF(O17&lt;1,Parameters!$A$490,""),IF(P17&lt;1,Parameters!$A$491,""),IF(Q17&lt;1,Parameters!$A$492,""),IF(R17&lt;1,Parameters!$A$493,""),IF(S17&lt;1,Parameters!$A$494,""),IF(T17&lt;1,Parameters!$A$495,""),IF(U17&lt;1,Parameters!$A$496,""),IF(V17&lt;1,Parameters!$A$497,""))))</f>
        <v/>
      </c>
      <c r="O17" s="13">
        <f>IF(C17="","",C17/7)</f>
        <v/>
      </c>
      <c r="P17" s="13">
        <f>IF(D17="","",D17/13)</f>
        <v/>
      </c>
      <c r="Q17" s="13">
        <f>IF(E17="","",E17/2)</f>
        <v/>
      </c>
      <c r="R17" s="13">
        <f>IF(F17="","",F17/6)</f>
        <v/>
      </c>
      <c r="S17" s="13">
        <f>IF(G17="","",G17/9)</f>
        <v/>
      </c>
      <c r="T17" s="13">
        <f>IF(H17="","",H17/3)</f>
        <v/>
      </c>
      <c r="U17" s="13">
        <f>IF(I17="","",I17/8)</f>
        <v/>
      </c>
      <c r="V17" s="13">
        <f>IF(J17="","",J17/12)</f>
        <v/>
      </c>
    </row>
    <row r="18">
      <c r="A18" s="13" t="n">
        <v>7</v>
      </c>
      <c r="B18" s="13">
        <f>IF('Class Roster'!B18="","",'Class Roster'!B18&amp;" "&amp;'Class Roster'!C18)</f>
        <v/>
      </c>
      <c r="C18" s="14" t="n"/>
      <c r="D18" s="14" t="n"/>
      <c r="E18" s="14" t="n"/>
      <c r="F18" s="14" t="n"/>
      <c r="G18" s="14" t="n"/>
      <c r="H18" s="14" t="n"/>
      <c r="I18" s="14" t="n"/>
      <c r="J18" s="14" t="n"/>
      <c r="K18" s="13">
        <f>IF(COUNT(C18:J18)&lt;8,"",SUM(C18:J18))</f>
        <v/>
      </c>
      <c r="L18" s="13">
        <f>IF(COUNT(C18:J18)&lt;8,"",K18/60)</f>
        <v/>
      </c>
      <c r="M18" s="13">
        <f>IF(COUNT(C18:J18)&lt;8,"",IF(L18&gt;=0.8,"Green",IF(L18&gt;=0.5,"Yellow","Red")))</f>
        <v/>
      </c>
      <c r="N18" s="13">
        <f>IF(COUNT(C18:J18)&lt;8,"",IF(M18="Green","Well done! "&amp;Parameters!$C$503,"Revise: "&amp;_xlfn.TEXTJOIN(", ",TRUE(),IF(O18&lt;1,Parameters!$A$490,""),IF(P18&lt;1,Parameters!$A$491,""),IF(Q18&lt;1,Parameters!$A$492,""),IF(R18&lt;1,Parameters!$A$493,""),IF(S18&lt;1,Parameters!$A$494,""),IF(T18&lt;1,Parameters!$A$495,""),IF(U18&lt;1,Parameters!$A$496,""),IF(V18&lt;1,Parameters!$A$497,""))))</f>
        <v/>
      </c>
      <c r="O18" s="13">
        <f>IF(C18="","",C18/7)</f>
        <v/>
      </c>
      <c r="P18" s="13">
        <f>IF(D18="","",D18/13)</f>
        <v/>
      </c>
      <c r="Q18" s="13">
        <f>IF(E18="","",E18/2)</f>
        <v/>
      </c>
      <c r="R18" s="13">
        <f>IF(F18="","",F18/6)</f>
        <v/>
      </c>
      <c r="S18" s="13">
        <f>IF(G18="","",G18/9)</f>
        <v/>
      </c>
      <c r="T18" s="13">
        <f>IF(H18="","",H18/3)</f>
        <v/>
      </c>
      <c r="U18" s="13">
        <f>IF(I18="","",I18/8)</f>
        <v/>
      </c>
      <c r="V18" s="13">
        <f>IF(J18="","",J18/12)</f>
        <v/>
      </c>
    </row>
    <row r="19">
      <c r="A19" s="13" t="n">
        <v>8</v>
      </c>
      <c r="B19" s="13">
        <f>IF('Class Roster'!B19="","",'Class Roster'!B19&amp;" "&amp;'Class Roster'!C19)</f>
        <v/>
      </c>
      <c r="C19" s="14" t="n"/>
      <c r="D19" s="14" t="n"/>
      <c r="E19" s="14" t="n"/>
      <c r="F19" s="14" t="n"/>
      <c r="G19" s="14" t="n"/>
      <c r="H19" s="14" t="n"/>
      <c r="I19" s="14" t="n"/>
      <c r="J19" s="14" t="n"/>
      <c r="K19" s="13">
        <f>IF(COUNT(C19:J19)&lt;8,"",SUM(C19:J19))</f>
        <v/>
      </c>
      <c r="L19" s="13">
        <f>IF(COUNT(C19:J19)&lt;8,"",K19/60)</f>
        <v/>
      </c>
      <c r="M19" s="13">
        <f>IF(COUNT(C19:J19)&lt;8,"",IF(L19&gt;=0.8,"Green",IF(L19&gt;=0.5,"Yellow","Red")))</f>
        <v/>
      </c>
      <c r="N19" s="13">
        <f>IF(COUNT(C19:J19)&lt;8,"",IF(M19="Green","Well done! "&amp;Parameters!$C$503,"Revise: "&amp;_xlfn.TEXTJOIN(", ",TRUE(),IF(O19&lt;1,Parameters!$A$490,""),IF(P19&lt;1,Parameters!$A$491,""),IF(Q19&lt;1,Parameters!$A$492,""),IF(R19&lt;1,Parameters!$A$493,""),IF(S19&lt;1,Parameters!$A$494,""),IF(T19&lt;1,Parameters!$A$495,""),IF(U19&lt;1,Parameters!$A$496,""),IF(V19&lt;1,Parameters!$A$497,""))))</f>
        <v/>
      </c>
      <c r="O19" s="13">
        <f>IF(C19="","",C19/7)</f>
        <v/>
      </c>
      <c r="P19" s="13">
        <f>IF(D19="","",D19/13)</f>
        <v/>
      </c>
      <c r="Q19" s="13">
        <f>IF(E19="","",E19/2)</f>
        <v/>
      </c>
      <c r="R19" s="13">
        <f>IF(F19="","",F19/6)</f>
        <v/>
      </c>
      <c r="S19" s="13">
        <f>IF(G19="","",G19/9)</f>
        <v/>
      </c>
      <c r="T19" s="13">
        <f>IF(H19="","",H19/3)</f>
        <v/>
      </c>
      <c r="U19" s="13">
        <f>IF(I19="","",I19/8)</f>
        <v/>
      </c>
      <c r="V19" s="13">
        <f>IF(J19="","",J19/12)</f>
        <v/>
      </c>
    </row>
    <row r="20">
      <c r="A20" s="13" t="n">
        <v>9</v>
      </c>
      <c r="B20" s="13">
        <f>IF('Class Roster'!B20="","",'Class Roster'!B20&amp;" "&amp;'Class Roster'!C20)</f>
        <v/>
      </c>
      <c r="C20" s="14" t="n"/>
      <c r="D20" s="14" t="n"/>
      <c r="E20" s="14" t="n"/>
      <c r="F20" s="14" t="n"/>
      <c r="G20" s="14" t="n"/>
      <c r="H20" s="14" t="n"/>
      <c r="I20" s="14" t="n"/>
      <c r="J20" s="14" t="n"/>
      <c r="K20" s="13">
        <f>IF(COUNT(C20:J20)&lt;8,"",SUM(C20:J20))</f>
        <v/>
      </c>
      <c r="L20" s="13">
        <f>IF(COUNT(C20:J20)&lt;8,"",K20/60)</f>
        <v/>
      </c>
      <c r="M20" s="13">
        <f>IF(COUNT(C20:J20)&lt;8,"",IF(L20&gt;=0.8,"Green",IF(L20&gt;=0.5,"Yellow","Red")))</f>
        <v/>
      </c>
      <c r="N20" s="13">
        <f>IF(COUNT(C20:J20)&lt;8,"",IF(M20="Green","Well done! "&amp;Parameters!$C$503,"Revise: "&amp;_xlfn.TEXTJOIN(", ",TRUE(),IF(O20&lt;1,Parameters!$A$490,""),IF(P20&lt;1,Parameters!$A$491,""),IF(Q20&lt;1,Parameters!$A$492,""),IF(R20&lt;1,Parameters!$A$493,""),IF(S20&lt;1,Parameters!$A$494,""),IF(T20&lt;1,Parameters!$A$495,""),IF(U20&lt;1,Parameters!$A$496,""),IF(V20&lt;1,Parameters!$A$497,""))))</f>
        <v/>
      </c>
      <c r="O20" s="13">
        <f>IF(C20="","",C20/7)</f>
        <v/>
      </c>
      <c r="P20" s="13">
        <f>IF(D20="","",D20/13)</f>
        <v/>
      </c>
      <c r="Q20" s="13">
        <f>IF(E20="","",E20/2)</f>
        <v/>
      </c>
      <c r="R20" s="13">
        <f>IF(F20="","",F20/6)</f>
        <v/>
      </c>
      <c r="S20" s="13">
        <f>IF(G20="","",G20/9)</f>
        <v/>
      </c>
      <c r="T20" s="13">
        <f>IF(H20="","",H20/3)</f>
        <v/>
      </c>
      <c r="U20" s="13">
        <f>IF(I20="","",I20/8)</f>
        <v/>
      </c>
      <c r="V20" s="13">
        <f>IF(J20="","",J20/12)</f>
        <v/>
      </c>
    </row>
    <row r="21">
      <c r="A21" s="13" t="n">
        <v>10</v>
      </c>
      <c r="B21" s="13">
        <f>IF('Class Roster'!B21="","",'Class Roster'!B21&amp;" "&amp;'Class Roster'!C21)</f>
        <v/>
      </c>
      <c r="C21" s="14" t="n"/>
      <c r="D21" s="14" t="n"/>
      <c r="E21" s="14" t="n"/>
      <c r="F21" s="14" t="n"/>
      <c r="G21" s="14" t="n"/>
      <c r="H21" s="14" t="n"/>
      <c r="I21" s="14" t="n"/>
      <c r="J21" s="14" t="n"/>
      <c r="K21" s="13">
        <f>IF(COUNT(C21:J21)&lt;8,"",SUM(C21:J21))</f>
        <v/>
      </c>
      <c r="L21" s="13">
        <f>IF(COUNT(C21:J21)&lt;8,"",K21/60)</f>
        <v/>
      </c>
      <c r="M21" s="13">
        <f>IF(COUNT(C21:J21)&lt;8,"",IF(L21&gt;=0.8,"Green",IF(L21&gt;=0.5,"Yellow","Red")))</f>
        <v/>
      </c>
      <c r="N21" s="13">
        <f>IF(COUNT(C21:J21)&lt;8,"",IF(M21="Green","Well done! "&amp;Parameters!$C$503,"Revise: "&amp;_xlfn.TEXTJOIN(", ",TRUE(),IF(O21&lt;1,Parameters!$A$490,""),IF(P21&lt;1,Parameters!$A$491,""),IF(Q21&lt;1,Parameters!$A$492,""),IF(R21&lt;1,Parameters!$A$493,""),IF(S21&lt;1,Parameters!$A$494,""),IF(T21&lt;1,Parameters!$A$495,""),IF(U21&lt;1,Parameters!$A$496,""),IF(V21&lt;1,Parameters!$A$497,""))))</f>
        <v/>
      </c>
      <c r="O21" s="13">
        <f>IF(C21="","",C21/7)</f>
        <v/>
      </c>
      <c r="P21" s="13">
        <f>IF(D21="","",D21/13)</f>
        <v/>
      </c>
      <c r="Q21" s="13">
        <f>IF(E21="","",E21/2)</f>
        <v/>
      </c>
      <c r="R21" s="13">
        <f>IF(F21="","",F21/6)</f>
        <v/>
      </c>
      <c r="S21" s="13">
        <f>IF(G21="","",G21/9)</f>
        <v/>
      </c>
      <c r="T21" s="13">
        <f>IF(H21="","",H21/3)</f>
        <v/>
      </c>
      <c r="U21" s="13">
        <f>IF(I21="","",I21/8)</f>
        <v/>
      </c>
      <c r="V21" s="13">
        <f>IF(J21="","",J21/12)</f>
        <v/>
      </c>
    </row>
    <row r="22">
      <c r="A22" s="13" t="n">
        <v>11</v>
      </c>
      <c r="B22" s="13">
        <f>IF('Class Roster'!B22="","",'Class Roster'!B22&amp;" "&amp;'Class Roster'!C22)</f>
        <v/>
      </c>
      <c r="C22" s="14" t="n"/>
      <c r="D22" s="14" t="n"/>
      <c r="E22" s="14" t="n"/>
      <c r="F22" s="14" t="n"/>
      <c r="G22" s="14" t="n"/>
      <c r="H22" s="14" t="n"/>
      <c r="I22" s="14" t="n"/>
      <c r="J22" s="14" t="n"/>
      <c r="K22" s="13">
        <f>IF(COUNT(C22:J22)&lt;8,"",SUM(C22:J22))</f>
        <v/>
      </c>
      <c r="L22" s="13">
        <f>IF(COUNT(C22:J22)&lt;8,"",K22/60)</f>
        <v/>
      </c>
      <c r="M22" s="13">
        <f>IF(COUNT(C22:J22)&lt;8,"",IF(L22&gt;=0.8,"Green",IF(L22&gt;=0.5,"Yellow","Red")))</f>
        <v/>
      </c>
      <c r="N22" s="13">
        <f>IF(COUNT(C22:J22)&lt;8,"",IF(M22="Green","Well done! "&amp;Parameters!$C$503,"Revise: "&amp;_xlfn.TEXTJOIN(", ",TRUE(),IF(O22&lt;1,Parameters!$A$490,""),IF(P22&lt;1,Parameters!$A$491,""),IF(Q22&lt;1,Parameters!$A$492,""),IF(R22&lt;1,Parameters!$A$493,""),IF(S22&lt;1,Parameters!$A$494,""),IF(T22&lt;1,Parameters!$A$495,""),IF(U22&lt;1,Parameters!$A$496,""),IF(V22&lt;1,Parameters!$A$497,""))))</f>
        <v/>
      </c>
      <c r="O22" s="13">
        <f>IF(C22="","",C22/7)</f>
        <v/>
      </c>
      <c r="P22" s="13">
        <f>IF(D22="","",D22/13)</f>
        <v/>
      </c>
      <c r="Q22" s="13">
        <f>IF(E22="","",E22/2)</f>
        <v/>
      </c>
      <c r="R22" s="13">
        <f>IF(F22="","",F22/6)</f>
        <v/>
      </c>
      <c r="S22" s="13">
        <f>IF(G22="","",G22/9)</f>
        <v/>
      </c>
      <c r="T22" s="13">
        <f>IF(H22="","",H22/3)</f>
        <v/>
      </c>
      <c r="U22" s="13">
        <f>IF(I22="","",I22/8)</f>
        <v/>
      </c>
      <c r="V22" s="13">
        <f>IF(J22="","",J22/12)</f>
        <v/>
      </c>
    </row>
    <row r="23">
      <c r="A23" s="13" t="n">
        <v>12</v>
      </c>
      <c r="B23" s="13">
        <f>IF('Class Roster'!B23="","",'Class Roster'!B23&amp;" "&amp;'Class Roster'!C23)</f>
        <v/>
      </c>
      <c r="C23" s="14" t="n"/>
      <c r="D23" s="14" t="n"/>
      <c r="E23" s="14" t="n"/>
      <c r="F23" s="14" t="n"/>
      <c r="G23" s="14" t="n"/>
      <c r="H23" s="14" t="n"/>
      <c r="I23" s="14" t="n"/>
      <c r="J23" s="14" t="n"/>
      <c r="K23" s="13">
        <f>IF(COUNT(C23:J23)&lt;8,"",SUM(C23:J23))</f>
        <v/>
      </c>
      <c r="L23" s="13">
        <f>IF(COUNT(C23:J23)&lt;8,"",K23/60)</f>
        <v/>
      </c>
      <c r="M23" s="13">
        <f>IF(COUNT(C23:J23)&lt;8,"",IF(L23&gt;=0.8,"Green",IF(L23&gt;=0.5,"Yellow","Red")))</f>
        <v/>
      </c>
      <c r="N23" s="13">
        <f>IF(COUNT(C23:J23)&lt;8,"",IF(M23="Green","Well done! "&amp;Parameters!$C$503,"Revise: "&amp;_xlfn.TEXTJOIN(", ",TRUE(),IF(O23&lt;1,Parameters!$A$490,""),IF(P23&lt;1,Parameters!$A$491,""),IF(Q23&lt;1,Parameters!$A$492,""),IF(R23&lt;1,Parameters!$A$493,""),IF(S23&lt;1,Parameters!$A$494,""),IF(T23&lt;1,Parameters!$A$495,""),IF(U23&lt;1,Parameters!$A$496,""),IF(V23&lt;1,Parameters!$A$497,""))))</f>
        <v/>
      </c>
      <c r="O23" s="13">
        <f>IF(C23="","",C23/7)</f>
        <v/>
      </c>
      <c r="P23" s="13">
        <f>IF(D23="","",D23/13)</f>
        <v/>
      </c>
      <c r="Q23" s="13">
        <f>IF(E23="","",E23/2)</f>
        <v/>
      </c>
      <c r="R23" s="13">
        <f>IF(F23="","",F23/6)</f>
        <v/>
      </c>
      <c r="S23" s="13">
        <f>IF(G23="","",G23/9)</f>
        <v/>
      </c>
      <c r="T23" s="13">
        <f>IF(H23="","",H23/3)</f>
        <v/>
      </c>
      <c r="U23" s="13">
        <f>IF(I23="","",I23/8)</f>
        <v/>
      </c>
      <c r="V23" s="13">
        <f>IF(J23="","",J23/12)</f>
        <v/>
      </c>
    </row>
    <row r="24">
      <c r="A24" s="13" t="n">
        <v>13</v>
      </c>
      <c r="B24" s="13">
        <f>IF('Class Roster'!B24="","",'Class Roster'!B24&amp;" "&amp;'Class Roster'!C24)</f>
        <v/>
      </c>
      <c r="C24" s="14" t="n"/>
      <c r="D24" s="14" t="n"/>
      <c r="E24" s="14" t="n"/>
      <c r="F24" s="14" t="n"/>
      <c r="G24" s="14" t="n"/>
      <c r="H24" s="14" t="n"/>
      <c r="I24" s="14" t="n"/>
      <c r="J24" s="14" t="n"/>
      <c r="K24" s="13">
        <f>IF(COUNT(C24:J24)&lt;8,"",SUM(C24:J24))</f>
        <v/>
      </c>
      <c r="L24" s="13">
        <f>IF(COUNT(C24:J24)&lt;8,"",K24/60)</f>
        <v/>
      </c>
      <c r="M24" s="13">
        <f>IF(COUNT(C24:J24)&lt;8,"",IF(L24&gt;=0.8,"Green",IF(L24&gt;=0.5,"Yellow","Red")))</f>
        <v/>
      </c>
      <c r="N24" s="13">
        <f>IF(COUNT(C24:J24)&lt;8,"",IF(M24="Green","Well done! "&amp;Parameters!$C$503,"Revise: "&amp;_xlfn.TEXTJOIN(", ",TRUE(),IF(O24&lt;1,Parameters!$A$490,""),IF(P24&lt;1,Parameters!$A$491,""),IF(Q24&lt;1,Parameters!$A$492,""),IF(R24&lt;1,Parameters!$A$493,""),IF(S24&lt;1,Parameters!$A$494,""),IF(T24&lt;1,Parameters!$A$495,""),IF(U24&lt;1,Parameters!$A$496,""),IF(V24&lt;1,Parameters!$A$497,""))))</f>
        <v/>
      </c>
      <c r="O24" s="13">
        <f>IF(C24="","",C24/7)</f>
        <v/>
      </c>
      <c r="P24" s="13">
        <f>IF(D24="","",D24/13)</f>
        <v/>
      </c>
      <c r="Q24" s="13">
        <f>IF(E24="","",E24/2)</f>
        <v/>
      </c>
      <c r="R24" s="13">
        <f>IF(F24="","",F24/6)</f>
        <v/>
      </c>
      <c r="S24" s="13">
        <f>IF(G24="","",G24/9)</f>
        <v/>
      </c>
      <c r="T24" s="13">
        <f>IF(H24="","",H24/3)</f>
        <v/>
      </c>
      <c r="U24" s="13">
        <f>IF(I24="","",I24/8)</f>
        <v/>
      </c>
      <c r="V24" s="13">
        <f>IF(J24="","",J24/12)</f>
        <v/>
      </c>
    </row>
    <row r="25">
      <c r="A25" s="13" t="n">
        <v>14</v>
      </c>
      <c r="B25" s="13">
        <f>IF('Class Roster'!B25="","",'Class Roster'!B25&amp;" "&amp;'Class Roster'!C25)</f>
        <v/>
      </c>
      <c r="C25" s="14" t="n"/>
      <c r="D25" s="14" t="n"/>
      <c r="E25" s="14" t="n"/>
      <c r="F25" s="14" t="n"/>
      <c r="G25" s="14" t="n"/>
      <c r="H25" s="14" t="n"/>
      <c r="I25" s="14" t="n"/>
      <c r="J25" s="14" t="n"/>
      <c r="K25" s="13">
        <f>IF(COUNT(C25:J25)&lt;8,"",SUM(C25:J25))</f>
        <v/>
      </c>
      <c r="L25" s="13">
        <f>IF(COUNT(C25:J25)&lt;8,"",K25/60)</f>
        <v/>
      </c>
      <c r="M25" s="13">
        <f>IF(COUNT(C25:J25)&lt;8,"",IF(L25&gt;=0.8,"Green",IF(L25&gt;=0.5,"Yellow","Red")))</f>
        <v/>
      </c>
      <c r="N25" s="13">
        <f>IF(COUNT(C25:J25)&lt;8,"",IF(M25="Green","Well done! "&amp;Parameters!$C$503,"Revise: "&amp;_xlfn.TEXTJOIN(", ",TRUE(),IF(O25&lt;1,Parameters!$A$490,""),IF(P25&lt;1,Parameters!$A$491,""),IF(Q25&lt;1,Parameters!$A$492,""),IF(R25&lt;1,Parameters!$A$493,""),IF(S25&lt;1,Parameters!$A$494,""),IF(T25&lt;1,Parameters!$A$495,""),IF(U25&lt;1,Parameters!$A$496,""),IF(V25&lt;1,Parameters!$A$497,""))))</f>
        <v/>
      </c>
      <c r="O25" s="13">
        <f>IF(C25="","",C25/7)</f>
        <v/>
      </c>
      <c r="P25" s="13">
        <f>IF(D25="","",D25/13)</f>
        <v/>
      </c>
      <c r="Q25" s="13">
        <f>IF(E25="","",E25/2)</f>
        <v/>
      </c>
      <c r="R25" s="13">
        <f>IF(F25="","",F25/6)</f>
        <v/>
      </c>
      <c r="S25" s="13">
        <f>IF(G25="","",G25/9)</f>
        <v/>
      </c>
      <c r="T25" s="13">
        <f>IF(H25="","",H25/3)</f>
        <v/>
      </c>
      <c r="U25" s="13">
        <f>IF(I25="","",I25/8)</f>
        <v/>
      </c>
      <c r="V25" s="13">
        <f>IF(J25="","",J25/12)</f>
        <v/>
      </c>
    </row>
    <row r="26">
      <c r="A26" s="13" t="n">
        <v>15</v>
      </c>
      <c r="B26" s="13">
        <f>IF('Class Roster'!B26="","",'Class Roster'!B26&amp;" "&amp;'Class Roster'!C26)</f>
        <v/>
      </c>
      <c r="C26" s="14" t="n"/>
      <c r="D26" s="14" t="n"/>
      <c r="E26" s="14" t="n"/>
      <c r="F26" s="14" t="n"/>
      <c r="G26" s="14" t="n"/>
      <c r="H26" s="14" t="n"/>
      <c r="I26" s="14" t="n"/>
      <c r="J26" s="14" t="n"/>
      <c r="K26" s="13">
        <f>IF(COUNT(C26:J26)&lt;8,"",SUM(C26:J26))</f>
        <v/>
      </c>
      <c r="L26" s="13">
        <f>IF(COUNT(C26:J26)&lt;8,"",K26/60)</f>
        <v/>
      </c>
      <c r="M26" s="13">
        <f>IF(COUNT(C26:J26)&lt;8,"",IF(L26&gt;=0.8,"Green",IF(L26&gt;=0.5,"Yellow","Red")))</f>
        <v/>
      </c>
      <c r="N26" s="13">
        <f>IF(COUNT(C26:J26)&lt;8,"",IF(M26="Green","Well done! "&amp;Parameters!$C$503,"Revise: "&amp;_xlfn.TEXTJOIN(", ",TRUE(),IF(O26&lt;1,Parameters!$A$490,""),IF(P26&lt;1,Parameters!$A$491,""),IF(Q26&lt;1,Parameters!$A$492,""),IF(R26&lt;1,Parameters!$A$493,""),IF(S26&lt;1,Parameters!$A$494,""),IF(T26&lt;1,Parameters!$A$495,""),IF(U26&lt;1,Parameters!$A$496,""),IF(V26&lt;1,Parameters!$A$497,""))))</f>
        <v/>
      </c>
      <c r="O26" s="13">
        <f>IF(C26="","",C26/7)</f>
        <v/>
      </c>
      <c r="P26" s="13">
        <f>IF(D26="","",D26/13)</f>
        <v/>
      </c>
      <c r="Q26" s="13">
        <f>IF(E26="","",E26/2)</f>
        <v/>
      </c>
      <c r="R26" s="13">
        <f>IF(F26="","",F26/6)</f>
        <v/>
      </c>
      <c r="S26" s="13">
        <f>IF(G26="","",G26/9)</f>
        <v/>
      </c>
      <c r="T26" s="13">
        <f>IF(H26="","",H26/3)</f>
        <v/>
      </c>
      <c r="U26" s="13">
        <f>IF(I26="","",I26/8)</f>
        <v/>
      </c>
      <c r="V26" s="13">
        <f>IF(J26="","",J26/12)</f>
        <v/>
      </c>
    </row>
    <row r="27">
      <c r="A27" s="13" t="n">
        <v>16</v>
      </c>
      <c r="B27" s="13">
        <f>IF('Class Roster'!B27="","",'Class Roster'!B27&amp;" "&amp;'Class Roster'!C27)</f>
        <v/>
      </c>
      <c r="C27" s="14" t="n"/>
      <c r="D27" s="14" t="n"/>
      <c r="E27" s="14" t="n"/>
      <c r="F27" s="14" t="n"/>
      <c r="G27" s="14" t="n"/>
      <c r="H27" s="14" t="n"/>
      <c r="I27" s="14" t="n"/>
      <c r="J27" s="14" t="n"/>
      <c r="K27" s="13">
        <f>IF(COUNT(C27:J27)&lt;8,"",SUM(C27:J27))</f>
        <v/>
      </c>
      <c r="L27" s="13">
        <f>IF(COUNT(C27:J27)&lt;8,"",K27/60)</f>
        <v/>
      </c>
      <c r="M27" s="13">
        <f>IF(COUNT(C27:J27)&lt;8,"",IF(L27&gt;=0.8,"Green",IF(L27&gt;=0.5,"Yellow","Red")))</f>
        <v/>
      </c>
      <c r="N27" s="13">
        <f>IF(COUNT(C27:J27)&lt;8,"",IF(M27="Green","Well done! "&amp;Parameters!$C$503,"Revise: "&amp;_xlfn.TEXTJOIN(", ",TRUE(),IF(O27&lt;1,Parameters!$A$490,""),IF(P27&lt;1,Parameters!$A$491,""),IF(Q27&lt;1,Parameters!$A$492,""),IF(R27&lt;1,Parameters!$A$493,""),IF(S27&lt;1,Parameters!$A$494,""),IF(T27&lt;1,Parameters!$A$495,""),IF(U27&lt;1,Parameters!$A$496,""),IF(V27&lt;1,Parameters!$A$497,""))))</f>
        <v/>
      </c>
      <c r="O27" s="13">
        <f>IF(C27="","",C27/7)</f>
        <v/>
      </c>
      <c r="P27" s="13">
        <f>IF(D27="","",D27/13)</f>
        <v/>
      </c>
      <c r="Q27" s="13">
        <f>IF(E27="","",E27/2)</f>
        <v/>
      </c>
      <c r="R27" s="13">
        <f>IF(F27="","",F27/6)</f>
        <v/>
      </c>
      <c r="S27" s="13">
        <f>IF(G27="","",G27/9)</f>
        <v/>
      </c>
      <c r="T27" s="13">
        <f>IF(H27="","",H27/3)</f>
        <v/>
      </c>
      <c r="U27" s="13">
        <f>IF(I27="","",I27/8)</f>
        <v/>
      </c>
      <c r="V27" s="13">
        <f>IF(J27="","",J27/12)</f>
        <v/>
      </c>
    </row>
    <row r="28">
      <c r="A28" s="13" t="n">
        <v>17</v>
      </c>
      <c r="B28" s="13">
        <f>IF('Class Roster'!B28="","",'Class Roster'!B28&amp;" "&amp;'Class Roster'!C28)</f>
        <v/>
      </c>
      <c r="C28" s="14" t="n"/>
      <c r="D28" s="14" t="n"/>
      <c r="E28" s="14" t="n"/>
      <c r="F28" s="14" t="n"/>
      <c r="G28" s="14" t="n"/>
      <c r="H28" s="14" t="n"/>
      <c r="I28" s="14" t="n"/>
      <c r="J28" s="14" t="n"/>
      <c r="K28" s="13">
        <f>IF(COUNT(C28:J28)&lt;8,"",SUM(C28:J28))</f>
        <v/>
      </c>
      <c r="L28" s="13">
        <f>IF(COUNT(C28:J28)&lt;8,"",K28/60)</f>
        <v/>
      </c>
      <c r="M28" s="13">
        <f>IF(COUNT(C28:J28)&lt;8,"",IF(L28&gt;=0.8,"Green",IF(L28&gt;=0.5,"Yellow","Red")))</f>
        <v/>
      </c>
      <c r="N28" s="13">
        <f>IF(COUNT(C28:J28)&lt;8,"",IF(M28="Green","Well done! "&amp;Parameters!$C$503,"Revise: "&amp;_xlfn.TEXTJOIN(", ",TRUE(),IF(O28&lt;1,Parameters!$A$490,""),IF(P28&lt;1,Parameters!$A$491,""),IF(Q28&lt;1,Parameters!$A$492,""),IF(R28&lt;1,Parameters!$A$493,""),IF(S28&lt;1,Parameters!$A$494,""),IF(T28&lt;1,Parameters!$A$495,""),IF(U28&lt;1,Parameters!$A$496,""),IF(V28&lt;1,Parameters!$A$497,""))))</f>
        <v/>
      </c>
      <c r="O28" s="13">
        <f>IF(C28="","",C28/7)</f>
        <v/>
      </c>
      <c r="P28" s="13">
        <f>IF(D28="","",D28/13)</f>
        <v/>
      </c>
      <c r="Q28" s="13">
        <f>IF(E28="","",E28/2)</f>
        <v/>
      </c>
      <c r="R28" s="13">
        <f>IF(F28="","",F28/6)</f>
        <v/>
      </c>
      <c r="S28" s="13">
        <f>IF(G28="","",G28/9)</f>
        <v/>
      </c>
      <c r="T28" s="13">
        <f>IF(H28="","",H28/3)</f>
        <v/>
      </c>
      <c r="U28" s="13">
        <f>IF(I28="","",I28/8)</f>
        <v/>
      </c>
      <c r="V28" s="13">
        <f>IF(J28="","",J28/12)</f>
        <v/>
      </c>
    </row>
    <row r="29">
      <c r="A29" s="13" t="n">
        <v>18</v>
      </c>
      <c r="B29" s="13">
        <f>IF('Class Roster'!B29="","",'Class Roster'!B29&amp;" "&amp;'Class Roster'!C29)</f>
        <v/>
      </c>
      <c r="C29" s="14" t="n"/>
      <c r="D29" s="14" t="n"/>
      <c r="E29" s="14" t="n"/>
      <c r="F29" s="14" t="n"/>
      <c r="G29" s="14" t="n"/>
      <c r="H29" s="14" t="n"/>
      <c r="I29" s="14" t="n"/>
      <c r="J29" s="14" t="n"/>
      <c r="K29" s="13">
        <f>IF(COUNT(C29:J29)&lt;8,"",SUM(C29:J29))</f>
        <v/>
      </c>
      <c r="L29" s="13">
        <f>IF(COUNT(C29:J29)&lt;8,"",K29/60)</f>
        <v/>
      </c>
      <c r="M29" s="13">
        <f>IF(COUNT(C29:J29)&lt;8,"",IF(L29&gt;=0.8,"Green",IF(L29&gt;=0.5,"Yellow","Red")))</f>
        <v/>
      </c>
      <c r="N29" s="13">
        <f>IF(COUNT(C29:J29)&lt;8,"",IF(M29="Green","Well done! "&amp;Parameters!$C$503,"Revise: "&amp;_xlfn.TEXTJOIN(", ",TRUE(),IF(O29&lt;1,Parameters!$A$490,""),IF(P29&lt;1,Parameters!$A$491,""),IF(Q29&lt;1,Parameters!$A$492,""),IF(R29&lt;1,Parameters!$A$493,""),IF(S29&lt;1,Parameters!$A$494,""),IF(T29&lt;1,Parameters!$A$495,""),IF(U29&lt;1,Parameters!$A$496,""),IF(V29&lt;1,Parameters!$A$497,""))))</f>
        <v/>
      </c>
      <c r="O29" s="13">
        <f>IF(C29="","",C29/7)</f>
        <v/>
      </c>
      <c r="P29" s="13">
        <f>IF(D29="","",D29/13)</f>
        <v/>
      </c>
      <c r="Q29" s="13">
        <f>IF(E29="","",E29/2)</f>
        <v/>
      </c>
      <c r="R29" s="13">
        <f>IF(F29="","",F29/6)</f>
        <v/>
      </c>
      <c r="S29" s="13">
        <f>IF(G29="","",G29/9)</f>
        <v/>
      </c>
      <c r="T29" s="13">
        <f>IF(H29="","",H29/3)</f>
        <v/>
      </c>
      <c r="U29" s="13">
        <f>IF(I29="","",I29/8)</f>
        <v/>
      </c>
      <c r="V29" s="13">
        <f>IF(J29="","",J29/12)</f>
        <v/>
      </c>
    </row>
    <row r="30">
      <c r="A30" s="13" t="n">
        <v>19</v>
      </c>
      <c r="B30" s="13">
        <f>IF('Class Roster'!B30="","",'Class Roster'!B30&amp;" "&amp;'Class Roster'!C30)</f>
        <v/>
      </c>
      <c r="C30" s="14" t="n"/>
      <c r="D30" s="14" t="n"/>
      <c r="E30" s="14" t="n"/>
      <c r="F30" s="14" t="n"/>
      <c r="G30" s="14" t="n"/>
      <c r="H30" s="14" t="n"/>
      <c r="I30" s="14" t="n"/>
      <c r="J30" s="14" t="n"/>
      <c r="K30" s="13">
        <f>IF(COUNT(C30:J30)&lt;8,"",SUM(C30:J30))</f>
        <v/>
      </c>
      <c r="L30" s="13">
        <f>IF(COUNT(C30:J30)&lt;8,"",K30/60)</f>
        <v/>
      </c>
      <c r="M30" s="13">
        <f>IF(COUNT(C30:J30)&lt;8,"",IF(L30&gt;=0.8,"Green",IF(L30&gt;=0.5,"Yellow","Red")))</f>
        <v/>
      </c>
      <c r="N30" s="13">
        <f>IF(COUNT(C30:J30)&lt;8,"",IF(M30="Green","Well done! "&amp;Parameters!$C$503,"Revise: "&amp;_xlfn.TEXTJOIN(", ",TRUE(),IF(O30&lt;1,Parameters!$A$490,""),IF(P30&lt;1,Parameters!$A$491,""),IF(Q30&lt;1,Parameters!$A$492,""),IF(R30&lt;1,Parameters!$A$493,""),IF(S30&lt;1,Parameters!$A$494,""),IF(T30&lt;1,Parameters!$A$495,""),IF(U30&lt;1,Parameters!$A$496,""),IF(V30&lt;1,Parameters!$A$497,""))))</f>
        <v/>
      </c>
      <c r="O30" s="13">
        <f>IF(C30="","",C30/7)</f>
        <v/>
      </c>
      <c r="P30" s="13">
        <f>IF(D30="","",D30/13)</f>
        <v/>
      </c>
      <c r="Q30" s="13">
        <f>IF(E30="","",E30/2)</f>
        <v/>
      </c>
      <c r="R30" s="13">
        <f>IF(F30="","",F30/6)</f>
        <v/>
      </c>
      <c r="S30" s="13">
        <f>IF(G30="","",G30/9)</f>
        <v/>
      </c>
      <c r="T30" s="13">
        <f>IF(H30="","",H30/3)</f>
        <v/>
      </c>
      <c r="U30" s="13">
        <f>IF(I30="","",I30/8)</f>
        <v/>
      </c>
      <c r="V30" s="13">
        <f>IF(J30="","",J30/12)</f>
        <v/>
      </c>
    </row>
    <row r="31">
      <c r="A31" s="13" t="n">
        <v>20</v>
      </c>
      <c r="B31" s="13">
        <f>IF('Class Roster'!B31="","",'Class Roster'!B31&amp;" "&amp;'Class Roster'!C31)</f>
        <v/>
      </c>
      <c r="C31" s="14" t="n"/>
      <c r="D31" s="14" t="n"/>
      <c r="E31" s="14" t="n"/>
      <c r="F31" s="14" t="n"/>
      <c r="G31" s="14" t="n"/>
      <c r="H31" s="14" t="n"/>
      <c r="I31" s="14" t="n"/>
      <c r="J31" s="14" t="n"/>
      <c r="K31" s="13">
        <f>IF(COUNT(C31:J31)&lt;8,"",SUM(C31:J31))</f>
        <v/>
      </c>
      <c r="L31" s="13">
        <f>IF(COUNT(C31:J31)&lt;8,"",K31/60)</f>
        <v/>
      </c>
      <c r="M31" s="13">
        <f>IF(COUNT(C31:J31)&lt;8,"",IF(L31&gt;=0.8,"Green",IF(L31&gt;=0.5,"Yellow","Red")))</f>
        <v/>
      </c>
      <c r="N31" s="13">
        <f>IF(COUNT(C31:J31)&lt;8,"",IF(M31="Green","Well done! "&amp;Parameters!$C$503,"Revise: "&amp;_xlfn.TEXTJOIN(", ",TRUE(),IF(O31&lt;1,Parameters!$A$490,""),IF(P31&lt;1,Parameters!$A$491,""),IF(Q31&lt;1,Parameters!$A$492,""),IF(R31&lt;1,Parameters!$A$493,""),IF(S31&lt;1,Parameters!$A$494,""),IF(T31&lt;1,Parameters!$A$495,""),IF(U31&lt;1,Parameters!$A$496,""),IF(V31&lt;1,Parameters!$A$497,""))))</f>
        <v/>
      </c>
      <c r="O31" s="13">
        <f>IF(C31="","",C31/7)</f>
        <v/>
      </c>
      <c r="P31" s="13">
        <f>IF(D31="","",D31/13)</f>
        <v/>
      </c>
      <c r="Q31" s="13">
        <f>IF(E31="","",E31/2)</f>
        <v/>
      </c>
      <c r="R31" s="13">
        <f>IF(F31="","",F31/6)</f>
        <v/>
      </c>
      <c r="S31" s="13">
        <f>IF(G31="","",G31/9)</f>
        <v/>
      </c>
      <c r="T31" s="13">
        <f>IF(H31="","",H31/3)</f>
        <v/>
      </c>
      <c r="U31" s="13">
        <f>IF(I31="","",I31/8)</f>
        <v/>
      </c>
      <c r="V31" s="13">
        <f>IF(J31="","",J31/12)</f>
        <v/>
      </c>
    </row>
    <row r="32">
      <c r="A32" s="13" t="n">
        <v>21</v>
      </c>
      <c r="B32" s="13">
        <f>IF('Class Roster'!B32="","",'Class Roster'!B32&amp;" "&amp;'Class Roster'!C32)</f>
        <v/>
      </c>
      <c r="C32" s="14" t="n"/>
      <c r="D32" s="14" t="n"/>
      <c r="E32" s="14" t="n"/>
      <c r="F32" s="14" t="n"/>
      <c r="G32" s="14" t="n"/>
      <c r="H32" s="14" t="n"/>
      <c r="I32" s="14" t="n"/>
      <c r="J32" s="14" t="n"/>
      <c r="K32" s="13">
        <f>IF(COUNT(C32:J32)&lt;8,"",SUM(C32:J32))</f>
        <v/>
      </c>
      <c r="L32" s="13">
        <f>IF(COUNT(C32:J32)&lt;8,"",K32/60)</f>
        <v/>
      </c>
      <c r="M32" s="13">
        <f>IF(COUNT(C32:J32)&lt;8,"",IF(L32&gt;=0.8,"Green",IF(L32&gt;=0.5,"Yellow","Red")))</f>
        <v/>
      </c>
      <c r="N32" s="13">
        <f>IF(COUNT(C32:J32)&lt;8,"",IF(M32="Green","Well done! "&amp;Parameters!$C$503,"Revise: "&amp;_xlfn.TEXTJOIN(", ",TRUE(),IF(O32&lt;1,Parameters!$A$490,""),IF(P32&lt;1,Parameters!$A$491,""),IF(Q32&lt;1,Parameters!$A$492,""),IF(R32&lt;1,Parameters!$A$493,""),IF(S32&lt;1,Parameters!$A$494,""),IF(T32&lt;1,Parameters!$A$495,""),IF(U32&lt;1,Parameters!$A$496,""),IF(V32&lt;1,Parameters!$A$497,""))))</f>
        <v/>
      </c>
      <c r="O32" s="13">
        <f>IF(C32="","",C32/7)</f>
        <v/>
      </c>
      <c r="P32" s="13">
        <f>IF(D32="","",D32/13)</f>
        <v/>
      </c>
      <c r="Q32" s="13">
        <f>IF(E32="","",E32/2)</f>
        <v/>
      </c>
      <c r="R32" s="13">
        <f>IF(F32="","",F32/6)</f>
        <v/>
      </c>
      <c r="S32" s="13">
        <f>IF(G32="","",G32/9)</f>
        <v/>
      </c>
      <c r="T32" s="13">
        <f>IF(H32="","",H32/3)</f>
        <v/>
      </c>
      <c r="U32" s="13">
        <f>IF(I32="","",I32/8)</f>
        <v/>
      </c>
      <c r="V32" s="13">
        <f>IF(J32="","",J32/12)</f>
        <v/>
      </c>
    </row>
    <row r="33">
      <c r="A33" s="13" t="n">
        <v>22</v>
      </c>
      <c r="B33" s="13">
        <f>IF('Class Roster'!B33="","",'Class Roster'!B33&amp;" "&amp;'Class Roster'!C33)</f>
        <v/>
      </c>
      <c r="C33" s="14" t="n"/>
      <c r="D33" s="14" t="n"/>
      <c r="E33" s="14" t="n"/>
      <c r="F33" s="14" t="n"/>
      <c r="G33" s="14" t="n"/>
      <c r="H33" s="14" t="n"/>
      <c r="I33" s="14" t="n"/>
      <c r="J33" s="14" t="n"/>
      <c r="K33" s="13">
        <f>IF(COUNT(C33:J33)&lt;8,"",SUM(C33:J33))</f>
        <v/>
      </c>
      <c r="L33" s="13">
        <f>IF(COUNT(C33:J33)&lt;8,"",K33/60)</f>
        <v/>
      </c>
      <c r="M33" s="13">
        <f>IF(COUNT(C33:J33)&lt;8,"",IF(L33&gt;=0.8,"Green",IF(L33&gt;=0.5,"Yellow","Red")))</f>
        <v/>
      </c>
      <c r="N33" s="13">
        <f>IF(COUNT(C33:J33)&lt;8,"",IF(M33="Green","Well done! "&amp;Parameters!$C$503,"Revise: "&amp;_xlfn.TEXTJOIN(", ",TRUE(),IF(O33&lt;1,Parameters!$A$490,""),IF(P33&lt;1,Parameters!$A$491,""),IF(Q33&lt;1,Parameters!$A$492,""),IF(R33&lt;1,Parameters!$A$493,""),IF(S33&lt;1,Parameters!$A$494,""),IF(T33&lt;1,Parameters!$A$495,""),IF(U33&lt;1,Parameters!$A$496,""),IF(V33&lt;1,Parameters!$A$497,""))))</f>
        <v/>
      </c>
      <c r="O33" s="13">
        <f>IF(C33="","",C33/7)</f>
        <v/>
      </c>
      <c r="P33" s="13">
        <f>IF(D33="","",D33/13)</f>
        <v/>
      </c>
      <c r="Q33" s="13">
        <f>IF(E33="","",E33/2)</f>
        <v/>
      </c>
      <c r="R33" s="13">
        <f>IF(F33="","",F33/6)</f>
        <v/>
      </c>
      <c r="S33" s="13">
        <f>IF(G33="","",G33/9)</f>
        <v/>
      </c>
      <c r="T33" s="13">
        <f>IF(H33="","",H33/3)</f>
        <v/>
      </c>
      <c r="U33" s="13">
        <f>IF(I33="","",I33/8)</f>
        <v/>
      </c>
      <c r="V33" s="13">
        <f>IF(J33="","",J33/12)</f>
        <v/>
      </c>
    </row>
    <row r="34">
      <c r="A34" s="13" t="n">
        <v>23</v>
      </c>
      <c r="B34" s="13">
        <f>IF('Class Roster'!B34="","",'Class Roster'!B34&amp;" "&amp;'Class Roster'!C34)</f>
        <v/>
      </c>
      <c r="C34" s="14" t="n"/>
      <c r="D34" s="14" t="n"/>
      <c r="E34" s="14" t="n"/>
      <c r="F34" s="14" t="n"/>
      <c r="G34" s="14" t="n"/>
      <c r="H34" s="14" t="n"/>
      <c r="I34" s="14" t="n"/>
      <c r="J34" s="14" t="n"/>
      <c r="K34" s="13">
        <f>IF(COUNT(C34:J34)&lt;8,"",SUM(C34:J34))</f>
        <v/>
      </c>
      <c r="L34" s="13">
        <f>IF(COUNT(C34:J34)&lt;8,"",K34/60)</f>
        <v/>
      </c>
      <c r="M34" s="13">
        <f>IF(COUNT(C34:J34)&lt;8,"",IF(L34&gt;=0.8,"Green",IF(L34&gt;=0.5,"Yellow","Red")))</f>
        <v/>
      </c>
      <c r="N34" s="13">
        <f>IF(COUNT(C34:J34)&lt;8,"",IF(M34="Green","Well done! "&amp;Parameters!$C$503,"Revise: "&amp;_xlfn.TEXTJOIN(", ",TRUE(),IF(O34&lt;1,Parameters!$A$490,""),IF(P34&lt;1,Parameters!$A$491,""),IF(Q34&lt;1,Parameters!$A$492,""),IF(R34&lt;1,Parameters!$A$493,""),IF(S34&lt;1,Parameters!$A$494,""),IF(T34&lt;1,Parameters!$A$495,""),IF(U34&lt;1,Parameters!$A$496,""),IF(V34&lt;1,Parameters!$A$497,""))))</f>
        <v/>
      </c>
      <c r="O34" s="13">
        <f>IF(C34="","",C34/7)</f>
        <v/>
      </c>
      <c r="P34" s="13">
        <f>IF(D34="","",D34/13)</f>
        <v/>
      </c>
      <c r="Q34" s="13">
        <f>IF(E34="","",E34/2)</f>
        <v/>
      </c>
      <c r="R34" s="13">
        <f>IF(F34="","",F34/6)</f>
        <v/>
      </c>
      <c r="S34" s="13">
        <f>IF(G34="","",G34/9)</f>
        <v/>
      </c>
      <c r="T34" s="13">
        <f>IF(H34="","",H34/3)</f>
        <v/>
      </c>
      <c r="U34" s="13">
        <f>IF(I34="","",I34/8)</f>
        <v/>
      </c>
      <c r="V34" s="13">
        <f>IF(J34="","",J34/12)</f>
        <v/>
      </c>
    </row>
    <row r="35">
      <c r="A35" s="13" t="n">
        <v>24</v>
      </c>
      <c r="B35" s="13">
        <f>IF('Class Roster'!B35="","",'Class Roster'!B35&amp;" "&amp;'Class Roster'!C35)</f>
        <v/>
      </c>
      <c r="C35" s="14" t="n"/>
      <c r="D35" s="14" t="n"/>
      <c r="E35" s="14" t="n"/>
      <c r="F35" s="14" t="n"/>
      <c r="G35" s="14" t="n"/>
      <c r="H35" s="14" t="n"/>
      <c r="I35" s="14" t="n"/>
      <c r="J35" s="14" t="n"/>
      <c r="K35" s="13">
        <f>IF(COUNT(C35:J35)&lt;8,"",SUM(C35:J35))</f>
        <v/>
      </c>
      <c r="L35" s="13">
        <f>IF(COUNT(C35:J35)&lt;8,"",K35/60)</f>
        <v/>
      </c>
      <c r="M35" s="13">
        <f>IF(COUNT(C35:J35)&lt;8,"",IF(L35&gt;=0.8,"Green",IF(L35&gt;=0.5,"Yellow","Red")))</f>
        <v/>
      </c>
      <c r="N35" s="13">
        <f>IF(COUNT(C35:J35)&lt;8,"",IF(M35="Green","Well done! "&amp;Parameters!$C$503,"Revise: "&amp;_xlfn.TEXTJOIN(", ",TRUE(),IF(O35&lt;1,Parameters!$A$490,""),IF(P35&lt;1,Parameters!$A$491,""),IF(Q35&lt;1,Parameters!$A$492,""),IF(R35&lt;1,Parameters!$A$493,""),IF(S35&lt;1,Parameters!$A$494,""),IF(T35&lt;1,Parameters!$A$495,""),IF(U35&lt;1,Parameters!$A$496,""),IF(V35&lt;1,Parameters!$A$497,""))))</f>
        <v/>
      </c>
      <c r="O35" s="13">
        <f>IF(C35="","",C35/7)</f>
        <v/>
      </c>
      <c r="P35" s="13">
        <f>IF(D35="","",D35/13)</f>
        <v/>
      </c>
      <c r="Q35" s="13">
        <f>IF(E35="","",E35/2)</f>
        <v/>
      </c>
      <c r="R35" s="13">
        <f>IF(F35="","",F35/6)</f>
        <v/>
      </c>
      <c r="S35" s="13">
        <f>IF(G35="","",G35/9)</f>
        <v/>
      </c>
      <c r="T35" s="13">
        <f>IF(H35="","",H35/3)</f>
        <v/>
      </c>
      <c r="U35" s="13">
        <f>IF(I35="","",I35/8)</f>
        <v/>
      </c>
      <c r="V35" s="13">
        <f>IF(J35="","",J35/12)</f>
        <v/>
      </c>
    </row>
    <row r="36">
      <c r="A36" s="13" t="n">
        <v>25</v>
      </c>
      <c r="B36" s="13">
        <f>IF('Class Roster'!B36="","",'Class Roster'!B36&amp;" "&amp;'Class Roster'!C36)</f>
        <v/>
      </c>
      <c r="C36" s="14" t="n"/>
      <c r="D36" s="14" t="n"/>
      <c r="E36" s="14" t="n"/>
      <c r="F36" s="14" t="n"/>
      <c r="G36" s="14" t="n"/>
      <c r="H36" s="14" t="n"/>
      <c r="I36" s="14" t="n"/>
      <c r="J36" s="14" t="n"/>
      <c r="K36" s="13">
        <f>IF(COUNT(C36:J36)&lt;8,"",SUM(C36:J36))</f>
        <v/>
      </c>
      <c r="L36" s="13">
        <f>IF(COUNT(C36:J36)&lt;8,"",K36/60)</f>
        <v/>
      </c>
      <c r="M36" s="13">
        <f>IF(COUNT(C36:J36)&lt;8,"",IF(L36&gt;=0.8,"Green",IF(L36&gt;=0.5,"Yellow","Red")))</f>
        <v/>
      </c>
      <c r="N36" s="13">
        <f>IF(COUNT(C36:J36)&lt;8,"",IF(M36="Green","Well done! "&amp;Parameters!$C$503,"Revise: "&amp;_xlfn.TEXTJOIN(", ",TRUE(),IF(O36&lt;1,Parameters!$A$490,""),IF(P36&lt;1,Parameters!$A$491,""),IF(Q36&lt;1,Parameters!$A$492,""),IF(R36&lt;1,Parameters!$A$493,""),IF(S36&lt;1,Parameters!$A$494,""),IF(T36&lt;1,Parameters!$A$495,""),IF(U36&lt;1,Parameters!$A$496,""),IF(V36&lt;1,Parameters!$A$497,""))))</f>
        <v/>
      </c>
      <c r="O36" s="13">
        <f>IF(C36="","",C36/7)</f>
        <v/>
      </c>
      <c r="P36" s="13">
        <f>IF(D36="","",D36/13)</f>
        <v/>
      </c>
      <c r="Q36" s="13">
        <f>IF(E36="","",E36/2)</f>
        <v/>
      </c>
      <c r="R36" s="13">
        <f>IF(F36="","",F36/6)</f>
        <v/>
      </c>
      <c r="S36" s="13">
        <f>IF(G36="","",G36/9)</f>
        <v/>
      </c>
      <c r="T36" s="13">
        <f>IF(H36="","",H36/3)</f>
        <v/>
      </c>
      <c r="U36" s="13">
        <f>IF(I36="","",I36/8)</f>
        <v/>
      </c>
      <c r="V36" s="13">
        <f>IF(J36="","",J36/12)</f>
        <v/>
      </c>
    </row>
    <row r="37">
      <c r="A37" s="13" t="n">
        <v>26</v>
      </c>
      <c r="B37" s="13">
        <f>IF('Class Roster'!B37="","",'Class Roster'!B37&amp;" "&amp;'Class Roster'!C37)</f>
        <v/>
      </c>
      <c r="C37" s="14" t="n"/>
      <c r="D37" s="14" t="n"/>
      <c r="E37" s="14" t="n"/>
      <c r="F37" s="14" t="n"/>
      <c r="G37" s="14" t="n"/>
      <c r="H37" s="14" t="n"/>
      <c r="I37" s="14" t="n"/>
      <c r="J37" s="14" t="n"/>
      <c r="K37" s="13">
        <f>IF(COUNT(C37:J37)&lt;8,"",SUM(C37:J37))</f>
        <v/>
      </c>
      <c r="L37" s="13">
        <f>IF(COUNT(C37:J37)&lt;8,"",K37/60)</f>
        <v/>
      </c>
      <c r="M37" s="13">
        <f>IF(COUNT(C37:J37)&lt;8,"",IF(L37&gt;=0.8,"Green",IF(L37&gt;=0.5,"Yellow","Red")))</f>
        <v/>
      </c>
      <c r="N37" s="13">
        <f>IF(COUNT(C37:J37)&lt;8,"",IF(M37="Green","Well done! "&amp;Parameters!$C$503,"Revise: "&amp;_xlfn.TEXTJOIN(", ",TRUE(),IF(O37&lt;1,Parameters!$A$490,""),IF(P37&lt;1,Parameters!$A$491,""),IF(Q37&lt;1,Parameters!$A$492,""),IF(R37&lt;1,Parameters!$A$493,""),IF(S37&lt;1,Parameters!$A$494,""),IF(T37&lt;1,Parameters!$A$495,""),IF(U37&lt;1,Parameters!$A$496,""),IF(V37&lt;1,Parameters!$A$497,""))))</f>
        <v/>
      </c>
      <c r="O37" s="13">
        <f>IF(C37="","",C37/7)</f>
        <v/>
      </c>
      <c r="P37" s="13">
        <f>IF(D37="","",D37/13)</f>
        <v/>
      </c>
      <c r="Q37" s="13">
        <f>IF(E37="","",E37/2)</f>
        <v/>
      </c>
      <c r="R37" s="13">
        <f>IF(F37="","",F37/6)</f>
        <v/>
      </c>
      <c r="S37" s="13">
        <f>IF(G37="","",G37/9)</f>
        <v/>
      </c>
      <c r="T37" s="13">
        <f>IF(H37="","",H37/3)</f>
        <v/>
      </c>
      <c r="U37" s="13">
        <f>IF(I37="","",I37/8)</f>
        <v/>
      </c>
      <c r="V37" s="13">
        <f>IF(J37="","",J37/12)</f>
        <v/>
      </c>
    </row>
    <row r="38">
      <c r="A38" s="13" t="n">
        <v>27</v>
      </c>
      <c r="B38" s="13">
        <f>IF('Class Roster'!B38="","",'Class Roster'!B38&amp;" "&amp;'Class Roster'!C38)</f>
        <v/>
      </c>
      <c r="C38" s="14" t="n"/>
      <c r="D38" s="14" t="n"/>
      <c r="E38" s="14" t="n"/>
      <c r="F38" s="14" t="n"/>
      <c r="G38" s="14" t="n"/>
      <c r="H38" s="14" t="n"/>
      <c r="I38" s="14" t="n"/>
      <c r="J38" s="14" t="n"/>
      <c r="K38" s="13">
        <f>IF(COUNT(C38:J38)&lt;8,"",SUM(C38:J38))</f>
        <v/>
      </c>
      <c r="L38" s="13">
        <f>IF(COUNT(C38:J38)&lt;8,"",K38/60)</f>
        <v/>
      </c>
      <c r="M38" s="13">
        <f>IF(COUNT(C38:J38)&lt;8,"",IF(L38&gt;=0.8,"Green",IF(L38&gt;=0.5,"Yellow","Red")))</f>
        <v/>
      </c>
      <c r="N38" s="13">
        <f>IF(COUNT(C38:J38)&lt;8,"",IF(M38="Green","Well done! "&amp;Parameters!$C$503,"Revise: "&amp;_xlfn.TEXTJOIN(", ",TRUE(),IF(O38&lt;1,Parameters!$A$490,""),IF(P38&lt;1,Parameters!$A$491,""),IF(Q38&lt;1,Parameters!$A$492,""),IF(R38&lt;1,Parameters!$A$493,""),IF(S38&lt;1,Parameters!$A$494,""),IF(T38&lt;1,Parameters!$A$495,""),IF(U38&lt;1,Parameters!$A$496,""),IF(V38&lt;1,Parameters!$A$497,""))))</f>
        <v/>
      </c>
      <c r="O38" s="13">
        <f>IF(C38="","",C38/7)</f>
        <v/>
      </c>
      <c r="P38" s="13">
        <f>IF(D38="","",D38/13)</f>
        <v/>
      </c>
      <c r="Q38" s="13">
        <f>IF(E38="","",E38/2)</f>
        <v/>
      </c>
      <c r="R38" s="13">
        <f>IF(F38="","",F38/6)</f>
        <v/>
      </c>
      <c r="S38" s="13">
        <f>IF(G38="","",G38/9)</f>
        <v/>
      </c>
      <c r="T38" s="13">
        <f>IF(H38="","",H38/3)</f>
        <v/>
      </c>
      <c r="U38" s="13">
        <f>IF(I38="","",I38/8)</f>
        <v/>
      </c>
      <c r="V38" s="13">
        <f>IF(J38="","",J38/12)</f>
        <v/>
      </c>
    </row>
    <row r="39">
      <c r="A39" s="13" t="n">
        <v>28</v>
      </c>
      <c r="B39" s="13">
        <f>IF('Class Roster'!B39="","",'Class Roster'!B39&amp;" "&amp;'Class Roster'!C39)</f>
        <v/>
      </c>
      <c r="C39" s="14" t="n"/>
      <c r="D39" s="14" t="n"/>
      <c r="E39" s="14" t="n"/>
      <c r="F39" s="14" t="n"/>
      <c r="G39" s="14" t="n"/>
      <c r="H39" s="14" t="n"/>
      <c r="I39" s="14" t="n"/>
      <c r="J39" s="14" t="n"/>
      <c r="K39" s="13">
        <f>IF(COUNT(C39:J39)&lt;8,"",SUM(C39:J39))</f>
        <v/>
      </c>
      <c r="L39" s="13">
        <f>IF(COUNT(C39:J39)&lt;8,"",K39/60)</f>
        <v/>
      </c>
      <c r="M39" s="13">
        <f>IF(COUNT(C39:J39)&lt;8,"",IF(L39&gt;=0.8,"Green",IF(L39&gt;=0.5,"Yellow","Red")))</f>
        <v/>
      </c>
      <c r="N39" s="13">
        <f>IF(COUNT(C39:J39)&lt;8,"",IF(M39="Green","Well done! "&amp;Parameters!$C$503,"Revise: "&amp;_xlfn.TEXTJOIN(", ",TRUE(),IF(O39&lt;1,Parameters!$A$490,""),IF(P39&lt;1,Parameters!$A$491,""),IF(Q39&lt;1,Parameters!$A$492,""),IF(R39&lt;1,Parameters!$A$493,""),IF(S39&lt;1,Parameters!$A$494,""),IF(T39&lt;1,Parameters!$A$495,""),IF(U39&lt;1,Parameters!$A$496,""),IF(V39&lt;1,Parameters!$A$497,""))))</f>
        <v/>
      </c>
      <c r="O39" s="13">
        <f>IF(C39="","",C39/7)</f>
        <v/>
      </c>
      <c r="P39" s="13">
        <f>IF(D39="","",D39/13)</f>
        <v/>
      </c>
      <c r="Q39" s="13">
        <f>IF(E39="","",E39/2)</f>
        <v/>
      </c>
      <c r="R39" s="13">
        <f>IF(F39="","",F39/6)</f>
        <v/>
      </c>
      <c r="S39" s="13">
        <f>IF(G39="","",G39/9)</f>
        <v/>
      </c>
      <c r="T39" s="13">
        <f>IF(H39="","",H39/3)</f>
        <v/>
      </c>
      <c r="U39" s="13">
        <f>IF(I39="","",I39/8)</f>
        <v/>
      </c>
      <c r="V39" s="13">
        <f>IF(J39="","",J39/12)</f>
        <v/>
      </c>
    </row>
    <row r="40">
      <c r="A40" s="13" t="n">
        <v>29</v>
      </c>
      <c r="B40" s="13">
        <f>IF('Class Roster'!B40="","",'Class Roster'!B40&amp;" "&amp;'Class Roster'!C40)</f>
        <v/>
      </c>
      <c r="C40" s="14" t="n"/>
      <c r="D40" s="14" t="n"/>
      <c r="E40" s="14" t="n"/>
      <c r="F40" s="14" t="n"/>
      <c r="G40" s="14" t="n"/>
      <c r="H40" s="14" t="n"/>
      <c r="I40" s="14" t="n"/>
      <c r="J40" s="14" t="n"/>
      <c r="K40" s="13">
        <f>IF(COUNT(C40:J40)&lt;8,"",SUM(C40:J40))</f>
        <v/>
      </c>
      <c r="L40" s="13">
        <f>IF(COUNT(C40:J40)&lt;8,"",K40/60)</f>
        <v/>
      </c>
      <c r="M40" s="13">
        <f>IF(COUNT(C40:J40)&lt;8,"",IF(L40&gt;=0.8,"Green",IF(L40&gt;=0.5,"Yellow","Red")))</f>
        <v/>
      </c>
      <c r="N40" s="13">
        <f>IF(COUNT(C40:J40)&lt;8,"",IF(M40="Green","Well done! "&amp;Parameters!$C$503,"Revise: "&amp;_xlfn.TEXTJOIN(", ",TRUE(),IF(O40&lt;1,Parameters!$A$490,""),IF(P40&lt;1,Parameters!$A$491,""),IF(Q40&lt;1,Parameters!$A$492,""),IF(R40&lt;1,Parameters!$A$493,""),IF(S40&lt;1,Parameters!$A$494,""),IF(T40&lt;1,Parameters!$A$495,""),IF(U40&lt;1,Parameters!$A$496,""),IF(V40&lt;1,Parameters!$A$497,""))))</f>
        <v/>
      </c>
      <c r="O40" s="13">
        <f>IF(C40="","",C40/7)</f>
        <v/>
      </c>
      <c r="P40" s="13">
        <f>IF(D40="","",D40/13)</f>
        <v/>
      </c>
      <c r="Q40" s="13">
        <f>IF(E40="","",E40/2)</f>
        <v/>
      </c>
      <c r="R40" s="13">
        <f>IF(F40="","",F40/6)</f>
        <v/>
      </c>
      <c r="S40" s="13">
        <f>IF(G40="","",G40/9)</f>
        <v/>
      </c>
      <c r="T40" s="13">
        <f>IF(H40="","",H40/3)</f>
        <v/>
      </c>
      <c r="U40" s="13">
        <f>IF(I40="","",I40/8)</f>
        <v/>
      </c>
      <c r="V40" s="13">
        <f>IF(J40="","",J40/12)</f>
        <v/>
      </c>
    </row>
    <row r="41">
      <c r="A41" s="13" t="n">
        <v>30</v>
      </c>
      <c r="B41" s="13">
        <f>IF('Class Roster'!B41="","",'Class Roster'!B41&amp;" "&amp;'Class Roster'!C41)</f>
        <v/>
      </c>
      <c r="C41" s="14" t="n"/>
      <c r="D41" s="14" t="n"/>
      <c r="E41" s="14" t="n"/>
      <c r="F41" s="14" t="n"/>
      <c r="G41" s="14" t="n"/>
      <c r="H41" s="14" t="n"/>
      <c r="I41" s="14" t="n"/>
      <c r="J41" s="14" t="n"/>
      <c r="K41" s="13">
        <f>IF(COUNT(C41:J41)&lt;8,"",SUM(C41:J41))</f>
        <v/>
      </c>
      <c r="L41" s="13">
        <f>IF(COUNT(C41:J41)&lt;8,"",K41/60)</f>
        <v/>
      </c>
      <c r="M41" s="13">
        <f>IF(COUNT(C41:J41)&lt;8,"",IF(L41&gt;=0.8,"Green",IF(L41&gt;=0.5,"Yellow","Red")))</f>
        <v/>
      </c>
      <c r="N41" s="13">
        <f>IF(COUNT(C41:J41)&lt;8,"",IF(M41="Green","Well done! "&amp;Parameters!$C$503,"Revise: "&amp;_xlfn.TEXTJOIN(", ",TRUE(),IF(O41&lt;1,Parameters!$A$490,""),IF(P41&lt;1,Parameters!$A$491,""),IF(Q41&lt;1,Parameters!$A$492,""),IF(R41&lt;1,Parameters!$A$493,""),IF(S41&lt;1,Parameters!$A$494,""),IF(T41&lt;1,Parameters!$A$495,""),IF(U41&lt;1,Parameters!$A$496,""),IF(V41&lt;1,Parameters!$A$497,""))))</f>
        <v/>
      </c>
      <c r="O41" s="13">
        <f>IF(C41="","",C41/7)</f>
        <v/>
      </c>
      <c r="P41" s="13">
        <f>IF(D41="","",D41/13)</f>
        <v/>
      </c>
      <c r="Q41" s="13">
        <f>IF(E41="","",E41/2)</f>
        <v/>
      </c>
      <c r="R41" s="13">
        <f>IF(F41="","",F41/6)</f>
        <v/>
      </c>
      <c r="S41" s="13">
        <f>IF(G41="","",G41/9)</f>
        <v/>
      </c>
      <c r="T41" s="13">
        <f>IF(H41="","",H41/3)</f>
        <v/>
      </c>
      <c r="U41" s="13">
        <f>IF(I41="","",I41/8)</f>
        <v/>
      </c>
      <c r="V41" s="13">
        <f>IF(J41="","",J41/12)</f>
        <v/>
      </c>
    </row>
  </sheetData>
  <conditionalFormatting sqref="C11">
    <cfRule type="expression" priority="1" dxfId="0">
      <formula>AND(COUNT(C11:J11)=8,C11=7)</formula>
    </cfRule>
    <cfRule type="expression" priority="2" dxfId="1">
      <formula>AND(COUNT(C11:J11)=8,C11&lt;7*0.4)</formula>
    </cfRule>
    <cfRule type="expression" priority="3" dxfId="2">
      <formula>AND(COUNT(C11:J11)=8,C11&gt;=7*0.4,C11&lt;7)</formula>
    </cfRule>
  </conditionalFormatting>
  <conditionalFormatting sqref="C12">
    <cfRule type="expression" priority="4" dxfId="0">
      <formula>AND(COUNT(C12:J12)=8,C12=7)</formula>
    </cfRule>
    <cfRule type="expression" priority="5" dxfId="1">
      <formula>AND(COUNT(C12:J12)=8,C12&lt;7*0.4)</formula>
    </cfRule>
    <cfRule type="expression" priority="6" dxfId="2">
      <formula>AND(COUNT(C12:J12)=8,C12&gt;=7*0.4,C12&lt;7)</formula>
    </cfRule>
  </conditionalFormatting>
  <conditionalFormatting sqref="C13">
    <cfRule type="expression" priority="7" dxfId="0">
      <formula>AND(COUNT(C13:J13)=8,C13=7)</formula>
    </cfRule>
    <cfRule type="expression" priority="8" dxfId="1">
      <formula>AND(COUNT(C13:J13)=8,C13&lt;7*0.4)</formula>
    </cfRule>
    <cfRule type="expression" priority="9" dxfId="2">
      <formula>AND(COUNT(C13:J13)=8,C13&gt;=7*0.4,C13&lt;7)</formula>
    </cfRule>
  </conditionalFormatting>
  <conditionalFormatting sqref="C14">
    <cfRule type="expression" priority="10" dxfId="0">
      <formula>AND(COUNT(C14:J14)=8,C14=7)</formula>
    </cfRule>
    <cfRule type="expression" priority="11" dxfId="1">
      <formula>AND(COUNT(C14:J14)=8,C14&lt;7*0.4)</formula>
    </cfRule>
    <cfRule type="expression" priority="12" dxfId="2">
      <formula>AND(COUNT(C14:J14)=8,C14&gt;=7*0.4,C14&lt;7)</formula>
    </cfRule>
  </conditionalFormatting>
  <conditionalFormatting sqref="C15">
    <cfRule type="expression" priority="13" dxfId="0">
      <formula>AND(COUNT(C15:J15)=8,C15=7)</formula>
    </cfRule>
    <cfRule type="expression" priority="14" dxfId="1">
      <formula>AND(COUNT(C15:J15)=8,C15&lt;7*0.4)</formula>
    </cfRule>
    <cfRule type="expression" priority="15" dxfId="2">
      <formula>AND(COUNT(C15:J15)=8,C15&gt;=7*0.4,C15&lt;7)</formula>
    </cfRule>
  </conditionalFormatting>
  <conditionalFormatting sqref="C16">
    <cfRule type="expression" priority="16" dxfId="0">
      <formula>AND(COUNT(C16:J16)=8,C16=7)</formula>
    </cfRule>
    <cfRule type="expression" priority="17" dxfId="1">
      <formula>AND(COUNT(C16:J16)=8,C16&lt;7*0.4)</formula>
    </cfRule>
    <cfRule type="expression" priority="18" dxfId="2">
      <formula>AND(COUNT(C16:J16)=8,C16&gt;=7*0.4,C16&lt;7)</formula>
    </cfRule>
  </conditionalFormatting>
  <conditionalFormatting sqref="C17">
    <cfRule type="expression" priority="19" dxfId="0">
      <formula>AND(COUNT(C17:J17)=8,C17=7)</formula>
    </cfRule>
    <cfRule type="expression" priority="20" dxfId="1">
      <formula>AND(COUNT(C17:J17)=8,C17&lt;7*0.4)</formula>
    </cfRule>
    <cfRule type="expression" priority="21" dxfId="2">
      <formula>AND(COUNT(C17:J17)=8,C17&gt;=7*0.4,C17&lt;7)</formula>
    </cfRule>
  </conditionalFormatting>
  <conditionalFormatting sqref="C18">
    <cfRule type="expression" priority="22" dxfId="0">
      <formula>AND(COUNT(C18:J18)=8,C18=7)</formula>
    </cfRule>
    <cfRule type="expression" priority="23" dxfId="1">
      <formula>AND(COUNT(C18:J18)=8,C18&lt;7*0.4)</formula>
    </cfRule>
    <cfRule type="expression" priority="24" dxfId="2">
      <formula>AND(COUNT(C18:J18)=8,C18&gt;=7*0.4,C18&lt;7)</formula>
    </cfRule>
  </conditionalFormatting>
  <conditionalFormatting sqref="C19">
    <cfRule type="expression" priority="25" dxfId="0">
      <formula>AND(COUNT(C19:J19)=8,C19=7)</formula>
    </cfRule>
    <cfRule type="expression" priority="26" dxfId="1">
      <formula>AND(COUNT(C19:J19)=8,C19&lt;7*0.4)</formula>
    </cfRule>
    <cfRule type="expression" priority="27" dxfId="2">
      <formula>AND(COUNT(C19:J19)=8,C19&gt;=7*0.4,C19&lt;7)</formula>
    </cfRule>
  </conditionalFormatting>
  <conditionalFormatting sqref="C20">
    <cfRule type="expression" priority="28" dxfId="0">
      <formula>AND(COUNT(C20:J20)=8,C20=7)</formula>
    </cfRule>
    <cfRule type="expression" priority="29" dxfId="1">
      <formula>AND(COUNT(C20:J20)=8,C20&lt;7*0.4)</formula>
    </cfRule>
    <cfRule type="expression" priority="30" dxfId="2">
      <formula>AND(COUNT(C20:J20)=8,C20&gt;=7*0.4,C20&lt;7)</formula>
    </cfRule>
  </conditionalFormatting>
  <conditionalFormatting sqref="C21">
    <cfRule type="expression" priority="31" dxfId="0">
      <formula>AND(COUNT(C21:J21)=8,C21=7)</formula>
    </cfRule>
    <cfRule type="expression" priority="32" dxfId="1">
      <formula>AND(COUNT(C21:J21)=8,C21&lt;7*0.4)</formula>
    </cfRule>
    <cfRule type="expression" priority="33" dxfId="2">
      <formula>AND(COUNT(C21:J21)=8,C21&gt;=7*0.4,C21&lt;7)</formula>
    </cfRule>
  </conditionalFormatting>
  <conditionalFormatting sqref="C22">
    <cfRule type="expression" priority="34" dxfId="0">
      <formula>AND(COUNT(C22:J22)=8,C22=7)</formula>
    </cfRule>
    <cfRule type="expression" priority="35" dxfId="1">
      <formula>AND(COUNT(C22:J22)=8,C22&lt;7*0.4)</formula>
    </cfRule>
    <cfRule type="expression" priority="36" dxfId="2">
      <formula>AND(COUNT(C22:J22)=8,C22&gt;=7*0.4,C22&lt;7)</formula>
    </cfRule>
  </conditionalFormatting>
  <conditionalFormatting sqref="C23">
    <cfRule type="expression" priority="37" dxfId="0">
      <formula>AND(COUNT(C23:J23)=8,C23=7)</formula>
    </cfRule>
    <cfRule type="expression" priority="38" dxfId="1">
      <formula>AND(COUNT(C23:J23)=8,C23&lt;7*0.4)</formula>
    </cfRule>
    <cfRule type="expression" priority="39" dxfId="2">
      <formula>AND(COUNT(C23:J23)=8,C23&gt;=7*0.4,C23&lt;7)</formula>
    </cfRule>
  </conditionalFormatting>
  <conditionalFormatting sqref="C24">
    <cfRule type="expression" priority="40" dxfId="0">
      <formula>AND(COUNT(C24:J24)=8,C24=7)</formula>
    </cfRule>
    <cfRule type="expression" priority="41" dxfId="1">
      <formula>AND(COUNT(C24:J24)=8,C24&lt;7*0.4)</formula>
    </cfRule>
    <cfRule type="expression" priority="42" dxfId="2">
      <formula>AND(COUNT(C24:J24)=8,C24&gt;=7*0.4,C24&lt;7)</formula>
    </cfRule>
  </conditionalFormatting>
  <conditionalFormatting sqref="C25">
    <cfRule type="expression" priority="43" dxfId="0">
      <formula>AND(COUNT(C25:J25)=8,C25=7)</formula>
    </cfRule>
    <cfRule type="expression" priority="44" dxfId="1">
      <formula>AND(COUNT(C25:J25)=8,C25&lt;7*0.4)</formula>
    </cfRule>
    <cfRule type="expression" priority="45" dxfId="2">
      <formula>AND(COUNT(C25:J25)=8,C25&gt;=7*0.4,C25&lt;7)</formula>
    </cfRule>
  </conditionalFormatting>
  <conditionalFormatting sqref="C26">
    <cfRule type="expression" priority="46" dxfId="0">
      <formula>AND(COUNT(C26:J26)=8,C26=7)</formula>
    </cfRule>
    <cfRule type="expression" priority="47" dxfId="1">
      <formula>AND(COUNT(C26:J26)=8,C26&lt;7*0.4)</formula>
    </cfRule>
    <cfRule type="expression" priority="48" dxfId="2">
      <formula>AND(COUNT(C26:J26)=8,C26&gt;=7*0.4,C26&lt;7)</formula>
    </cfRule>
  </conditionalFormatting>
  <conditionalFormatting sqref="C27">
    <cfRule type="expression" priority="49" dxfId="0">
      <formula>AND(COUNT(C27:J27)=8,C27=7)</formula>
    </cfRule>
    <cfRule type="expression" priority="50" dxfId="1">
      <formula>AND(COUNT(C27:J27)=8,C27&lt;7*0.4)</formula>
    </cfRule>
    <cfRule type="expression" priority="51" dxfId="2">
      <formula>AND(COUNT(C27:J27)=8,C27&gt;=7*0.4,C27&lt;7)</formula>
    </cfRule>
  </conditionalFormatting>
  <conditionalFormatting sqref="C28">
    <cfRule type="expression" priority="52" dxfId="0">
      <formula>AND(COUNT(C28:J28)=8,C28=7)</formula>
    </cfRule>
    <cfRule type="expression" priority="53" dxfId="1">
      <formula>AND(COUNT(C28:J28)=8,C28&lt;7*0.4)</formula>
    </cfRule>
    <cfRule type="expression" priority="54" dxfId="2">
      <formula>AND(COUNT(C28:J28)=8,C28&gt;=7*0.4,C28&lt;7)</formula>
    </cfRule>
  </conditionalFormatting>
  <conditionalFormatting sqref="C29">
    <cfRule type="expression" priority="55" dxfId="0">
      <formula>AND(COUNT(C29:J29)=8,C29=7)</formula>
    </cfRule>
    <cfRule type="expression" priority="56" dxfId="1">
      <formula>AND(COUNT(C29:J29)=8,C29&lt;7*0.4)</formula>
    </cfRule>
    <cfRule type="expression" priority="57" dxfId="2">
      <formula>AND(COUNT(C29:J29)=8,C29&gt;=7*0.4,C29&lt;7)</formula>
    </cfRule>
  </conditionalFormatting>
  <conditionalFormatting sqref="C30">
    <cfRule type="expression" priority="58" dxfId="0">
      <formula>AND(COUNT(C30:J30)=8,C30=7)</formula>
    </cfRule>
    <cfRule type="expression" priority="59" dxfId="1">
      <formula>AND(COUNT(C30:J30)=8,C30&lt;7*0.4)</formula>
    </cfRule>
    <cfRule type="expression" priority="60" dxfId="2">
      <formula>AND(COUNT(C30:J30)=8,C30&gt;=7*0.4,C30&lt;7)</formula>
    </cfRule>
  </conditionalFormatting>
  <conditionalFormatting sqref="C31">
    <cfRule type="expression" priority="61" dxfId="0">
      <formula>AND(COUNT(C31:J31)=8,C31=7)</formula>
    </cfRule>
    <cfRule type="expression" priority="62" dxfId="1">
      <formula>AND(COUNT(C31:J31)=8,C31&lt;7*0.4)</formula>
    </cfRule>
    <cfRule type="expression" priority="63" dxfId="2">
      <formula>AND(COUNT(C31:J31)=8,C31&gt;=7*0.4,C31&lt;7)</formula>
    </cfRule>
  </conditionalFormatting>
  <conditionalFormatting sqref="C32">
    <cfRule type="expression" priority="64" dxfId="0">
      <formula>AND(COUNT(C32:J32)=8,C32=7)</formula>
    </cfRule>
    <cfRule type="expression" priority="65" dxfId="1">
      <formula>AND(COUNT(C32:J32)=8,C32&lt;7*0.4)</formula>
    </cfRule>
    <cfRule type="expression" priority="66" dxfId="2">
      <formula>AND(COUNT(C32:J32)=8,C32&gt;=7*0.4,C32&lt;7)</formula>
    </cfRule>
  </conditionalFormatting>
  <conditionalFormatting sqref="C33">
    <cfRule type="expression" priority="67" dxfId="0">
      <formula>AND(COUNT(C33:J33)=8,C33=7)</formula>
    </cfRule>
    <cfRule type="expression" priority="68" dxfId="1">
      <formula>AND(COUNT(C33:J33)=8,C33&lt;7*0.4)</formula>
    </cfRule>
    <cfRule type="expression" priority="69" dxfId="2">
      <formula>AND(COUNT(C33:J33)=8,C33&gt;=7*0.4,C33&lt;7)</formula>
    </cfRule>
  </conditionalFormatting>
  <conditionalFormatting sqref="C34">
    <cfRule type="expression" priority="70" dxfId="0">
      <formula>AND(COUNT(C34:J34)=8,C34=7)</formula>
    </cfRule>
    <cfRule type="expression" priority="71" dxfId="1">
      <formula>AND(COUNT(C34:J34)=8,C34&lt;7*0.4)</formula>
    </cfRule>
    <cfRule type="expression" priority="72" dxfId="2">
      <formula>AND(COUNT(C34:J34)=8,C34&gt;=7*0.4,C34&lt;7)</formula>
    </cfRule>
  </conditionalFormatting>
  <conditionalFormatting sqref="C35">
    <cfRule type="expression" priority="73" dxfId="0">
      <formula>AND(COUNT(C35:J35)=8,C35=7)</formula>
    </cfRule>
    <cfRule type="expression" priority="74" dxfId="1">
      <formula>AND(COUNT(C35:J35)=8,C35&lt;7*0.4)</formula>
    </cfRule>
    <cfRule type="expression" priority="75" dxfId="2">
      <formula>AND(COUNT(C35:J35)=8,C35&gt;=7*0.4,C35&lt;7)</formula>
    </cfRule>
  </conditionalFormatting>
  <conditionalFormatting sqref="C36">
    <cfRule type="expression" priority="76" dxfId="0">
      <formula>AND(COUNT(C36:J36)=8,C36=7)</formula>
    </cfRule>
    <cfRule type="expression" priority="77" dxfId="1">
      <formula>AND(COUNT(C36:J36)=8,C36&lt;7*0.4)</formula>
    </cfRule>
    <cfRule type="expression" priority="78" dxfId="2">
      <formula>AND(COUNT(C36:J36)=8,C36&gt;=7*0.4,C36&lt;7)</formula>
    </cfRule>
  </conditionalFormatting>
  <conditionalFormatting sqref="C37">
    <cfRule type="expression" priority="79" dxfId="0">
      <formula>AND(COUNT(C37:J37)=8,C37=7)</formula>
    </cfRule>
    <cfRule type="expression" priority="80" dxfId="1">
      <formula>AND(COUNT(C37:J37)=8,C37&lt;7*0.4)</formula>
    </cfRule>
    <cfRule type="expression" priority="81" dxfId="2">
      <formula>AND(COUNT(C37:J37)=8,C37&gt;=7*0.4,C37&lt;7)</formula>
    </cfRule>
  </conditionalFormatting>
  <conditionalFormatting sqref="C38">
    <cfRule type="expression" priority="82" dxfId="0">
      <formula>AND(COUNT(C38:J38)=8,C38=7)</formula>
    </cfRule>
    <cfRule type="expression" priority="83" dxfId="1">
      <formula>AND(COUNT(C38:J38)=8,C38&lt;7*0.4)</formula>
    </cfRule>
    <cfRule type="expression" priority="84" dxfId="2">
      <formula>AND(COUNT(C38:J38)=8,C38&gt;=7*0.4,C38&lt;7)</formula>
    </cfRule>
  </conditionalFormatting>
  <conditionalFormatting sqref="C39">
    <cfRule type="expression" priority="85" dxfId="0">
      <formula>AND(COUNT(C39:J39)=8,C39=7)</formula>
    </cfRule>
    <cfRule type="expression" priority="86" dxfId="1">
      <formula>AND(COUNT(C39:J39)=8,C39&lt;7*0.4)</formula>
    </cfRule>
    <cfRule type="expression" priority="87" dxfId="2">
      <formula>AND(COUNT(C39:J39)=8,C39&gt;=7*0.4,C39&lt;7)</formula>
    </cfRule>
  </conditionalFormatting>
  <conditionalFormatting sqref="C40">
    <cfRule type="expression" priority="88" dxfId="0">
      <formula>AND(COUNT(C40:J40)=8,C40=7)</formula>
    </cfRule>
    <cfRule type="expression" priority="89" dxfId="1">
      <formula>AND(COUNT(C40:J40)=8,C40&lt;7*0.4)</formula>
    </cfRule>
    <cfRule type="expression" priority="90" dxfId="2">
      <formula>AND(COUNT(C40:J40)=8,C40&gt;=7*0.4,C40&lt;7)</formula>
    </cfRule>
  </conditionalFormatting>
  <conditionalFormatting sqref="C41">
    <cfRule type="expression" priority="91" dxfId="0">
      <formula>AND(COUNT(C41:J41)=8,C41=7)</formula>
    </cfRule>
    <cfRule type="expression" priority="92" dxfId="1">
      <formula>AND(COUNT(C41:J41)=8,C41&lt;7*0.4)</formula>
    </cfRule>
    <cfRule type="expression" priority="93" dxfId="2">
      <formula>AND(COUNT(C41:J41)=8,C41&gt;=7*0.4,C41&lt;7)</formula>
    </cfRule>
  </conditionalFormatting>
  <conditionalFormatting sqref="D11">
    <cfRule type="expression" priority="94" dxfId="0">
      <formula>AND(COUNT(C11:J11)=8,D11=13)</formula>
    </cfRule>
    <cfRule type="expression" priority="95" dxfId="1">
      <formula>AND(COUNT(C11:J11)=8,D11&lt;13*0.4)</formula>
    </cfRule>
    <cfRule type="expression" priority="96" dxfId="2">
      <formula>AND(COUNT(C11:J11)=8,D11&gt;=13*0.4,D11&lt;13)</formula>
    </cfRule>
  </conditionalFormatting>
  <conditionalFormatting sqref="D12">
    <cfRule type="expression" priority="97" dxfId="0">
      <formula>AND(COUNT(C12:J12)=8,D12=13)</formula>
    </cfRule>
    <cfRule type="expression" priority="98" dxfId="1">
      <formula>AND(COUNT(C12:J12)=8,D12&lt;13*0.4)</formula>
    </cfRule>
    <cfRule type="expression" priority="99" dxfId="2">
      <formula>AND(COUNT(C12:J12)=8,D12&gt;=13*0.4,D12&lt;13)</formula>
    </cfRule>
  </conditionalFormatting>
  <conditionalFormatting sqref="D13">
    <cfRule type="expression" priority="100" dxfId="0">
      <formula>AND(COUNT(C13:J13)=8,D13=13)</formula>
    </cfRule>
    <cfRule type="expression" priority="101" dxfId="1">
      <formula>AND(COUNT(C13:J13)=8,D13&lt;13*0.4)</formula>
    </cfRule>
    <cfRule type="expression" priority="102" dxfId="2">
      <formula>AND(COUNT(C13:J13)=8,D13&gt;=13*0.4,D13&lt;13)</formula>
    </cfRule>
  </conditionalFormatting>
  <conditionalFormatting sqref="D14">
    <cfRule type="expression" priority="103" dxfId="0">
      <formula>AND(COUNT(C14:J14)=8,D14=13)</formula>
    </cfRule>
    <cfRule type="expression" priority="104" dxfId="1">
      <formula>AND(COUNT(C14:J14)=8,D14&lt;13*0.4)</formula>
    </cfRule>
    <cfRule type="expression" priority="105" dxfId="2">
      <formula>AND(COUNT(C14:J14)=8,D14&gt;=13*0.4,D14&lt;13)</formula>
    </cfRule>
  </conditionalFormatting>
  <conditionalFormatting sqref="D15">
    <cfRule type="expression" priority="106" dxfId="0">
      <formula>AND(COUNT(C15:J15)=8,D15=13)</formula>
    </cfRule>
    <cfRule type="expression" priority="107" dxfId="1">
      <formula>AND(COUNT(C15:J15)=8,D15&lt;13*0.4)</formula>
    </cfRule>
    <cfRule type="expression" priority="108" dxfId="2">
      <formula>AND(COUNT(C15:J15)=8,D15&gt;=13*0.4,D15&lt;13)</formula>
    </cfRule>
  </conditionalFormatting>
  <conditionalFormatting sqref="D16">
    <cfRule type="expression" priority="109" dxfId="0">
      <formula>AND(COUNT(C16:J16)=8,D16=13)</formula>
    </cfRule>
    <cfRule type="expression" priority="110" dxfId="1">
      <formula>AND(COUNT(C16:J16)=8,D16&lt;13*0.4)</formula>
    </cfRule>
    <cfRule type="expression" priority="111" dxfId="2">
      <formula>AND(COUNT(C16:J16)=8,D16&gt;=13*0.4,D16&lt;13)</formula>
    </cfRule>
  </conditionalFormatting>
  <conditionalFormatting sqref="D17">
    <cfRule type="expression" priority="112" dxfId="0">
      <formula>AND(COUNT(C17:J17)=8,D17=13)</formula>
    </cfRule>
    <cfRule type="expression" priority="113" dxfId="1">
      <formula>AND(COUNT(C17:J17)=8,D17&lt;13*0.4)</formula>
    </cfRule>
    <cfRule type="expression" priority="114" dxfId="2">
      <formula>AND(COUNT(C17:J17)=8,D17&gt;=13*0.4,D17&lt;13)</formula>
    </cfRule>
  </conditionalFormatting>
  <conditionalFormatting sqref="D18">
    <cfRule type="expression" priority="115" dxfId="0">
      <formula>AND(COUNT(C18:J18)=8,D18=13)</formula>
    </cfRule>
    <cfRule type="expression" priority="116" dxfId="1">
      <formula>AND(COUNT(C18:J18)=8,D18&lt;13*0.4)</formula>
    </cfRule>
    <cfRule type="expression" priority="117" dxfId="2">
      <formula>AND(COUNT(C18:J18)=8,D18&gt;=13*0.4,D18&lt;13)</formula>
    </cfRule>
  </conditionalFormatting>
  <conditionalFormatting sqref="D19">
    <cfRule type="expression" priority="118" dxfId="0">
      <formula>AND(COUNT(C19:J19)=8,D19=13)</formula>
    </cfRule>
    <cfRule type="expression" priority="119" dxfId="1">
      <formula>AND(COUNT(C19:J19)=8,D19&lt;13*0.4)</formula>
    </cfRule>
    <cfRule type="expression" priority="120" dxfId="2">
      <formula>AND(COUNT(C19:J19)=8,D19&gt;=13*0.4,D19&lt;13)</formula>
    </cfRule>
  </conditionalFormatting>
  <conditionalFormatting sqref="D20">
    <cfRule type="expression" priority="121" dxfId="0">
      <formula>AND(COUNT(C20:J20)=8,D20=13)</formula>
    </cfRule>
    <cfRule type="expression" priority="122" dxfId="1">
      <formula>AND(COUNT(C20:J20)=8,D20&lt;13*0.4)</formula>
    </cfRule>
    <cfRule type="expression" priority="123" dxfId="2">
      <formula>AND(COUNT(C20:J20)=8,D20&gt;=13*0.4,D20&lt;13)</formula>
    </cfRule>
  </conditionalFormatting>
  <conditionalFormatting sqref="D21">
    <cfRule type="expression" priority="124" dxfId="0">
      <formula>AND(COUNT(C21:J21)=8,D21=13)</formula>
    </cfRule>
    <cfRule type="expression" priority="125" dxfId="1">
      <formula>AND(COUNT(C21:J21)=8,D21&lt;13*0.4)</formula>
    </cfRule>
    <cfRule type="expression" priority="126" dxfId="2">
      <formula>AND(COUNT(C21:J21)=8,D21&gt;=13*0.4,D21&lt;13)</formula>
    </cfRule>
  </conditionalFormatting>
  <conditionalFormatting sqref="D22">
    <cfRule type="expression" priority="127" dxfId="0">
      <formula>AND(COUNT(C22:J22)=8,D22=13)</formula>
    </cfRule>
    <cfRule type="expression" priority="128" dxfId="1">
      <formula>AND(COUNT(C22:J22)=8,D22&lt;13*0.4)</formula>
    </cfRule>
    <cfRule type="expression" priority="129" dxfId="2">
      <formula>AND(COUNT(C22:J22)=8,D22&gt;=13*0.4,D22&lt;13)</formula>
    </cfRule>
  </conditionalFormatting>
  <conditionalFormatting sqref="D23">
    <cfRule type="expression" priority="130" dxfId="0">
      <formula>AND(COUNT(C23:J23)=8,D23=13)</formula>
    </cfRule>
    <cfRule type="expression" priority="131" dxfId="1">
      <formula>AND(COUNT(C23:J23)=8,D23&lt;13*0.4)</formula>
    </cfRule>
    <cfRule type="expression" priority="132" dxfId="2">
      <formula>AND(COUNT(C23:J23)=8,D23&gt;=13*0.4,D23&lt;13)</formula>
    </cfRule>
  </conditionalFormatting>
  <conditionalFormatting sqref="D24">
    <cfRule type="expression" priority="133" dxfId="0">
      <formula>AND(COUNT(C24:J24)=8,D24=13)</formula>
    </cfRule>
    <cfRule type="expression" priority="134" dxfId="1">
      <formula>AND(COUNT(C24:J24)=8,D24&lt;13*0.4)</formula>
    </cfRule>
    <cfRule type="expression" priority="135" dxfId="2">
      <formula>AND(COUNT(C24:J24)=8,D24&gt;=13*0.4,D24&lt;13)</formula>
    </cfRule>
  </conditionalFormatting>
  <conditionalFormatting sqref="D25">
    <cfRule type="expression" priority="136" dxfId="0">
      <formula>AND(COUNT(C25:J25)=8,D25=13)</formula>
    </cfRule>
    <cfRule type="expression" priority="137" dxfId="1">
      <formula>AND(COUNT(C25:J25)=8,D25&lt;13*0.4)</formula>
    </cfRule>
    <cfRule type="expression" priority="138" dxfId="2">
      <formula>AND(COUNT(C25:J25)=8,D25&gt;=13*0.4,D25&lt;13)</formula>
    </cfRule>
  </conditionalFormatting>
  <conditionalFormatting sqref="D26">
    <cfRule type="expression" priority="139" dxfId="0">
      <formula>AND(COUNT(C26:J26)=8,D26=13)</formula>
    </cfRule>
    <cfRule type="expression" priority="140" dxfId="1">
      <formula>AND(COUNT(C26:J26)=8,D26&lt;13*0.4)</formula>
    </cfRule>
    <cfRule type="expression" priority="141" dxfId="2">
      <formula>AND(COUNT(C26:J26)=8,D26&gt;=13*0.4,D26&lt;13)</formula>
    </cfRule>
  </conditionalFormatting>
  <conditionalFormatting sqref="D27">
    <cfRule type="expression" priority="142" dxfId="0">
      <formula>AND(COUNT(C27:J27)=8,D27=13)</formula>
    </cfRule>
    <cfRule type="expression" priority="143" dxfId="1">
      <formula>AND(COUNT(C27:J27)=8,D27&lt;13*0.4)</formula>
    </cfRule>
    <cfRule type="expression" priority="144" dxfId="2">
      <formula>AND(COUNT(C27:J27)=8,D27&gt;=13*0.4,D27&lt;13)</formula>
    </cfRule>
  </conditionalFormatting>
  <conditionalFormatting sqref="D28">
    <cfRule type="expression" priority="145" dxfId="0">
      <formula>AND(COUNT(C28:J28)=8,D28=13)</formula>
    </cfRule>
    <cfRule type="expression" priority="146" dxfId="1">
      <formula>AND(COUNT(C28:J28)=8,D28&lt;13*0.4)</formula>
    </cfRule>
    <cfRule type="expression" priority="147" dxfId="2">
      <formula>AND(COUNT(C28:J28)=8,D28&gt;=13*0.4,D28&lt;13)</formula>
    </cfRule>
  </conditionalFormatting>
  <conditionalFormatting sqref="D29">
    <cfRule type="expression" priority="148" dxfId="0">
      <formula>AND(COUNT(C29:J29)=8,D29=13)</formula>
    </cfRule>
    <cfRule type="expression" priority="149" dxfId="1">
      <formula>AND(COUNT(C29:J29)=8,D29&lt;13*0.4)</formula>
    </cfRule>
    <cfRule type="expression" priority="150" dxfId="2">
      <formula>AND(COUNT(C29:J29)=8,D29&gt;=13*0.4,D29&lt;13)</formula>
    </cfRule>
  </conditionalFormatting>
  <conditionalFormatting sqref="D30">
    <cfRule type="expression" priority="151" dxfId="0">
      <formula>AND(COUNT(C30:J30)=8,D30=13)</formula>
    </cfRule>
    <cfRule type="expression" priority="152" dxfId="1">
      <formula>AND(COUNT(C30:J30)=8,D30&lt;13*0.4)</formula>
    </cfRule>
    <cfRule type="expression" priority="153" dxfId="2">
      <formula>AND(COUNT(C30:J30)=8,D30&gt;=13*0.4,D30&lt;13)</formula>
    </cfRule>
  </conditionalFormatting>
  <conditionalFormatting sqref="D31">
    <cfRule type="expression" priority="154" dxfId="0">
      <formula>AND(COUNT(C31:J31)=8,D31=13)</formula>
    </cfRule>
    <cfRule type="expression" priority="155" dxfId="1">
      <formula>AND(COUNT(C31:J31)=8,D31&lt;13*0.4)</formula>
    </cfRule>
    <cfRule type="expression" priority="156" dxfId="2">
      <formula>AND(COUNT(C31:J31)=8,D31&gt;=13*0.4,D31&lt;13)</formula>
    </cfRule>
  </conditionalFormatting>
  <conditionalFormatting sqref="D32">
    <cfRule type="expression" priority="157" dxfId="0">
      <formula>AND(COUNT(C32:J32)=8,D32=13)</formula>
    </cfRule>
    <cfRule type="expression" priority="158" dxfId="1">
      <formula>AND(COUNT(C32:J32)=8,D32&lt;13*0.4)</formula>
    </cfRule>
    <cfRule type="expression" priority="159" dxfId="2">
      <formula>AND(COUNT(C32:J32)=8,D32&gt;=13*0.4,D32&lt;13)</formula>
    </cfRule>
  </conditionalFormatting>
  <conditionalFormatting sqref="D33">
    <cfRule type="expression" priority="160" dxfId="0">
      <formula>AND(COUNT(C33:J33)=8,D33=13)</formula>
    </cfRule>
    <cfRule type="expression" priority="161" dxfId="1">
      <formula>AND(COUNT(C33:J33)=8,D33&lt;13*0.4)</formula>
    </cfRule>
    <cfRule type="expression" priority="162" dxfId="2">
      <formula>AND(COUNT(C33:J33)=8,D33&gt;=13*0.4,D33&lt;13)</formula>
    </cfRule>
  </conditionalFormatting>
  <conditionalFormatting sqref="D34">
    <cfRule type="expression" priority="163" dxfId="0">
      <formula>AND(COUNT(C34:J34)=8,D34=13)</formula>
    </cfRule>
    <cfRule type="expression" priority="164" dxfId="1">
      <formula>AND(COUNT(C34:J34)=8,D34&lt;13*0.4)</formula>
    </cfRule>
    <cfRule type="expression" priority="165" dxfId="2">
      <formula>AND(COUNT(C34:J34)=8,D34&gt;=13*0.4,D34&lt;13)</formula>
    </cfRule>
  </conditionalFormatting>
  <conditionalFormatting sqref="D35">
    <cfRule type="expression" priority="166" dxfId="0">
      <formula>AND(COUNT(C35:J35)=8,D35=13)</formula>
    </cfRule>
    <cfRule type="expression" priority="167" dxfId="1">
      <formula>AND(COUNT(C35:J35)=8,D35&lt;13*0.4)</formula>
    </cfRule>
    <cfRule type="expression" priority="168" dxfId="2">
      <formula>AND(COUNT(C35:J35)=8,D35&gt;=13*0.4,D35&lt;13)</formula>
    </cfRule>
  </conditionalFormatting>
  <conditionalFormatting sqref="D36">
    <cfRule type="expression" priority="169" dxfId="0">
      <formula>AND(COUNT(C36:J36)=8,D36=13)</formula>
    </cfRule>
    <cfRule type="expression" priority="170" dxfId="1">
      <formula>AND(COUNT(C36:J36)=8,D36&lt;13*0.4)</formula>
    </cfRule>
    <cfRule type="expression" priority="171" dxfId="2">
      <formula>AND(COUNT(C36:J36)=8,D36&gt;=13*0.4,D36&lt;13)</formula>
    </cfRule>
  </conditionalFormatting>
  <conditionalFormatting sqref="D37">
    <cfRule type="expression" priority="172" dxfId="0">
      <formula>AND(COUNT(C37:J37)=8,D37=13)</formula>
    </cfRule>
    <cfRule type="expression" priority="173" dxfId="1">
      <formula>AND(COUNT(C37:J37)=8,D37&lt;13*0.4)</formula>
    </cfRule>
    <cfRule type="expression" priority="174" dxfId="2">
      <formula>AND(COUNT(C37:J37)=8,D37&gt;=13*0.4,D37&lt;13)</formula>
    </cfRule>
  </conditionalFormatting>
  <conditionalFormatting sqref="D38">
    <cfRule type="expression" priority="175" dxfId="0">
      <formula>AND(COUNT(C38:J38)=8,D38=13)</formula>
    </cfRule>
    <cfRule type="expression" priority="176" dxfId="1">
      <formula>AND(COUNT(C38:J38)=8,D38&lt;13*0.4)</formula>
    </cfRule>
    <cfRule type="expression" priority="177" dxfId="2">
      <formula>AND(COUNT(C38:J38)=8,D38&gt;=13*0.4,D38&lt;13)</formula>
    </cfRule>
  </conditionalFormatting>
  <conditionalFormatting sqref="D39">
    <cfRule type="expression" priority="178" dxfId="0">
      <formula>AND(COUNT(C39:J39)=8,D39=13)</formula>
    </cfRule>
    <cfRule type="expression" priority="179" dxfId="1">
      <formula>AND(COUNT(C39:J39)=8,D39&lt;13*0.4)</formula>
    </cfRule>
    <cfRule type="expression" priority="180" dxfId="2">
      <formula>AND(COUNT(C39:J39)=8,D39&gt;=13*0.4,D39&lt;13)</formula>
    </cfRule>
  </conditionalFormatting>
  <conditionalFormatting sqref="D40">
    <cfRule type="expression" priority="181" dxfId="0">
      <formula>AND(COUNT(C40:J40)=8,D40=13)</formula>
    </cfRule>
    <cfRule type="expression" priority="182" dxfId="1">
      <formula>AND(COUNT(C40:J40)=8,D40&lt;13*0.4)</formula>
    </cfRule>
    <cfRule type="expression" priority="183" dxfId="2">
      <formula>AND(COUNT(C40:J40)=8,D40&gt;=13*0.4,D40&lt;13)</formula>
    </cfRule>
  </conditionalFormatting>
  <conditionalFormatting sqref="D41">
    <cfRule type="expression" priority="184" dxfId="0">
      <formula>AND(COUNT(C41:J41)=8,D41=13)</formula>
    </cfRule>
    <cfRule type="expression" priority="185" dxfId="1">
      <formula>AND(COUNT(C41:J41)=8,D41&lt;13*0.4)</formula>
    </cfRule>
    <cfRule type="expression" priority="186" dxfId="2">
      <formula>AND(COUNT(C41:J41)=8,D41&gt;=13*0.4,D41&lt;13)</formula>
    </cfRule>
  </conditionalFormatting>
  <conditionalFormatting sqref="E11">
    <cfRule type="expression" priority="187" dxfId="0">
      <formula>AND(COUNT(C11:J11)=8,E11=2)</formula>
    </cfRule>
    <cfRule type="expression" priority="188" dxfId="1">
      <formula>AND(COUNT(C11:J11)=8,E11&lt;2*0.4)</formula>
    </cfRule>
    <cfRule type="expression" priority="189" dxfId="2">
      <formula>AND(COUNT(C11:J11)=8,E11&gt;=2*0.4,E11&lt;2)</formula>
    </cfRule>
  </conditionalFormatting>
  <conditionalFormatting sqref="E12">
    <cfRule type="expression" priority="190" dxfId="0">
      <formula>AND(COUNT(C12:J12)=8,E12=2)</formula>
    </cfRule>
    <cfRule type="expression" priority="191" dxfId="1">
      <formula>AND(COUNT(C12:J12)=8,E12&lt;2*0.4)</formula>
    </cfRule>
    <cfRule type="expression" priority="192" dxfId="2">
      <formula>AND(COUNT(C12:J12)=8,E12&gt;=2*0.4,E12&lt;2)</formula>
    </cfRule>
  </conditionalFormatting>
  <conditionalFormatting sqref="E13">
    <cfRule type="expression" priority="193" dxfId="0">
      <formula>AND(COUNT(C13:J13)=8,E13=2)</formula>
    </cfRule>
    <cfRule type="expression" priority="194" dxfId="1">
      <formula>AND(COUNT(C13:J13)=8,E13&lt;2*0.4)</formula>
    </cfRule>
    <cfRule type="expression" priority="195" dxfId="2">
      <formula>AND(COUNT(C13:J13)=8,E13&gt;=2*0.4,E13&lt;2)</formula>
    </cfRule>
  </conditionalFormatting>
  <conditionalFormatting sqref="E14">
    <cfRule type="expression" priority="196" dxfId="0">
      <formula>AND(COUNT(C14:J14)=8,E14=2)</formula>
    </cfRule>
    <cfRule type="expression" priority="197" dxfId="1">
      <formula>AND(COUNT(C14:J14)=8,E14&lt;2*0.4)</formula>
    </cfRule>
    <cfRule type="expression" priority="198" dxfId="2">
      <formula>AND(COUNT(C14:J14)=8,E14&gt;=2*0.4,E14&lt;2)</formula>
    </cfRule>
  </conditionalFormatting>
  <conditionalFormatting sqref="E15">
    <cfRule type="expression" priority="199" dxfId="0">
      <formula>AND(COUNT(C15:J15)=8,E15=2)</formula>
    </cfRule>
    <cfRule type="expression" priority="200" dxfId="1">
      <formula>AND(COUNT(C15:J15)=8,E15&lt;2*0.4)</formula>
    </cfRule>
    <cfRule type="expression" priority="201" dxfId="2">
      <formula>AND(COUNT(C15:J15)=8,E15&gt;=2*0.4,E15&lt;2)</formula>
    </cfRule>
  </conditionalFormatting>
  <conditionalFormatting sqref="E16">
    <cfRule type="expression" priority="202" dxfId="0">
      <formula>AND(COUNT(C16:J16)=8,E16=2)</formula>
    </cfRule>
    <cfRule type="expression" priority="203" dxfId="1">
      <formula>AND(COUNT(C16:J16)=8,E16&lt;2*0.4)</formula>
    </cfRule>
    <cfRule type="expression" priority="204" dxfId="2">
      <formula>AND(COUNT(C16:J16)=8,E16&gt;=2*0.4,E16&lt;2)</formula>
    </cfRule>
  </conditionalFormatting>
  <conditionalFormatting sqref="E17">
    <cfRule type="expression" priority="205" dxfId="0">
      <formula>AND(COUNT(C17:J17)=8,E17=2)</formula>
    </cfRule>
    <cfRule type="expression" priority="206" dxfId="1">
      <formula>AND(COUNT(C17:J17)=8,E17&lt;2*0.4)</formula>
    </cfRule>
    <cfRule type="expression" priority="207" dxfId="2">
      <formula>AND(COUNT(C17:J17)=8,E17&gt;=2*0.4,E17&lt;2)</formula>
    </cfRule>
  </conditionalFormatting>
  <conditionalFormatting sqref="E18">
    <cfRule type="expression" priority="208" dxfId="0">
      <formula>AND(COUNT(C18:J18)=8,E18=2)</formula>
    </cfRule>
    <cfRule type="expression" priority="209" dxfId="1">
      <formula>AND(COUNT(C18:J18)=8,E18&lt;2*0.4)</formula>
    </cfRule>
    <cfRule type="expression" priority="210" dxfId="2">
      <formula>AND(COUNT(C18:J18)=8,E18&gt;=2*0.4,E18&lt;2)</formula>
    </cfRule>
  </conditionalFormatting>
  <conditionalFormatting sqref="E19">
    <cfRule type="expression" priority="211" dxfId="0">
      <formula>AND(COUNT(C19:J19)=8,E19=2)</formula>
    </cfRule>
    <cfRule type="expression" priority="212" dxfId="1">
      <formula>AND(COUNT(C19:J19)=8,E19&lt;2*0.4)</formula>
    </cfRule>
    <cfRule type="expression" priority="213" dxfId="2">
      <formula>AND(COUNT(C19:J19)=8,E19&gt;=2*0.4,E19&lt;2)</formula>
    </cfRule>
  </conditionalFormatting>
  <conditionalFormatting sqref="E20">
    <cfRule type="expression" priority="214" dxfId="0">
      <formula>AND(COUNT(C20:J20)=8,E20=2)</formula>
    </cfRule>
    <cfRule type="expression" priority="215" dxfId="1">
      <formula>AND(COUNT(C20:J20)=8,E20&lt;2*0.4)</formula>
    </cfRule>
    <cfRule type="expression" priority="216" dxfId="2">
      <formula>AND(COUNT(C20:J20)=8,E20&gt;=2*0.4,E20&lt;2)</formula>
    </cfRule>
  </conditionalFormatting>
  <conditionalFormatting sqref="E21">
    <cfRule type="expression" priority="217" dxfId="0">
      <formula>AND(COUNT(C21:J21)=8,E21=2)</formula>
    </cfRule>
    <cfRule type="expression" priority="218" dxfId="1">
      <formula>AND(COUNT(C21:J21)=8,E21&lt;2*0.4)</formula>
    </cfRule>
    <cfRule type="expression" priority="219" dxfId="2">
      <formula>AND(COUNT(C21:J21)=8,E21&gt;=2*0.4,E21&lt;2)</formula>
    </cfRule>
  </conditionalFormatting>
  <conditionalFormatting sqref="E22">
    <cfRule type="expression" priority="220" dxfId="0">
      <formula>AND(COUNT(C22:J22)=8,E22=2)</formula>
    </cfRule>
    <cfRule type="expression" priority="221" dxfId="1">
      <formula>AND(COUNT(C22:J22)=8,E22&lt;2*0.4)</formula>
    </cfRule>
    <cfRule type="expression" priority="222" dxfId="2">
      <formula>AND(COUNT(C22:J22)=8,E22&gt;=2*0.4,E22&lt;2)</formula>
    </cfRule>
  </conditionalFormatting>
  <conditionalFormatting sqref="E23">
    <cfRule type="expression" priority="223" dxfId="0">
      <formula>AND(COUNT(C23:J23)=8,E23=2)</formula>
    </cfRule>
    <cfRule type="expression" priority="224" dxfId="1">
      <formula>AND(COUNT(C23:J23)=8,E23&lt;2*0.4)</formula>
    </cfRule>
    <cfRule type="expression" priority="225" dxfId="2">
      <formula>AND(COUNT(C23:J23)=8,E23&gt;=2*0.4,E23&lt;2)</formula>
    </cfRule>
  </conditionalFormatting>
  <conditionalFormatting sqref="E24">
    <cfRule type="expression" priority="226" dxfId="0">
      <formula>AND(COUNT(C24:J24)=8,E24=2)</formula>
    </cfRule>
    <cfRule type="expression" priority="227" dxfId="1">
      <formula>AND(COUNT(C24:J24)=8,E24&lt;2*0.4)</formula>
    </cfRule>
    <cfRule type="expression" priority="228" dxfId="2">
      <formula>AND(COUNT(C24:J24)=8,E24&gt;=2*0.4,E24&lt;2)</formula>
    </cfRule>
  </conditionalFormatting>
  <conditionalFormatting sqref="E25">
    <cfRule type="expression" priority="229" dxfId="0">
      <formula>AND(COUNT(C25:J25)=8,E25=2)</formula>
    </cfRule>
    <cfRule type="expression" priority="230" dxfId="1">
      <formula>AND(COUNT(C25:J25)=8,E25&lt;2*0.4)</formula>
    </cfRule>
    <cfRule type="expression" priority="231" dxfId="2">
      <formula>AND(COUNT(C25:J25)=8,E25&gt;=2*0.4,E25&lt;2)</formula>
    </cfRule>
  </conditionalFormatting>
  <conditionalFormatting sqref="E26">
    <cfRule type="expression" priority="232" dxfId="0">
      <formula>AND(COUNT(C26:J26)=8,E26=2)</formula>
    </cfRule>
    <cfRule type="expression" priority="233" dxfId="1">
      <formula>AND(COUNT(C26:J26)=8,E26&lt;2*0.4)</formula>
    </cfRule>
    <cfRule type="expression" priority="234" dxfId="2">
      <formula>AND(COUNT(C26:J26)=8,E26&gt;=2*0.4,E26&lt;2)</formula>
    </cfRule>
  </conditionalFormatting>
  <conditionalFormatting sqref="E27">
    <cfRule type="expression" priority="235" dxfId="0">
      <formula>AND(COUNT(C27:J27)=8,E27=2)</formula>
    </cfRule>
    <cfRule type="expression" priority="236" dxfId="1">
      <formula>AND(COUNT(C27:J27)=8,E27&lt;2*0.4)</formula>
    </cfRule>
    <cfRule type="expression" priority="237" dxfId="2">
      <formula>AND(COUNT(C27:J27)=8,E27&gt;=2*0.4,E27&lt;2)</formula>
    </cfRule>
  </conditionalFormatting>
  <conditionalFormatting sqref="E28">
    <cfRule type="expression" priority="238" dxfId="0">
      <formula>AND(COUNT(C28:J28)=8,E28=2)</formula>
    </cfRule>
    <cfRule type="expression" priority="239" dxfId="1">
      <formula>AND(COUNT(C28:J28)=8,E28&lt;2*0.4)</formula>
    </cfRule>
    <cfRule type="expression" priority="240" dxfId="2">
      <formula>AND(COUNT(C28:J28)=8,E28&gt;=2*0.4,E28&lt;2)</formula>
    </cfRule>
  </conditionalFormatting>
  <conditionalFormatting sqref="E29">
    <cfRule type="expression" priority="241" dxfId="0">
      <formula>AND(COUNT(C29:J29)=8,E29=2)</formula>
    </cfRule>
    <cfRule type="expression" priority="242" dxfId="1">
      <formula>AND(COUNT(C29:J29)=8,E29&lt;2*0.4)</formula>
    </cfRule>
    <cfRule type="expression" priority="243" dxfId="2">
      <formula>AND(COUNT(C29:J29)=8,E29&gt;=2*0.4,E29&lt;2)</formula>
    </cfRule>
  </conditionalFormatting>
  <conditionalFormatting sqref="E30">
    <cfRule type="expression" priority="244" dxfId="0">
      <formula>AND(COUNT(C30:J30)=8,E30=2)</formula>
    </cfRule>
    <cfRule type="expression" priority="245" dxfId="1">
      <formula>AND(COUNT(C30:J30)=8,E30&lt;2*0.4)</formula>
    </cfRule>
    <cfRule type="expression" priority="246" dxfId="2">
      <formula>AND(COUNT(C30:J30)=8,E30&gt;=2*0.4,E30&lt;2)</formula>
    </cfRule>
  </conditionalFormatting>
  <conditionalFormatting sqref="E31">
    <cfRule type="expression" priority="247" dxfId="0">
      <formula>AND(COUNT(C31:J31)=8,E31=2)</formula>
    </cfRule>
    <cfRule type="expression" priority="248" dxfId="1">
      <formula>AND(COUNT(C31:J31)=8,E31&lt;2*0.4)</formula>
    </cfRule>
    <cfRule type="expression" priority="249" dxfId="2">
      <formula>AND(COUNT(C31:J31)=8,E31&gt;=2*0.4,E31&lt;2)</formula>
    </cfRule>
  </conditionalFormatting>
  <conditionalFormatting sqref="E32">
    <cfRule type="expression" priority="250" dxfId="0">
      <formula>AND(COUNT(C32:J32)=8,E32=2)</formula>
    </cfRule>
    <cfRule type="expression" priority="251" dxfId="1">
      <formula>AND(COUNT(C32:J32)=8,E32&lt;2*0.4)</formula>
    </cfRule>
    <cfRule type="expression" priority="252" dxfId="2">
      <formula>AND(COUNT(C32:J32)=8,E32&gt;=2*0.4,E32&lt;2)</formula>
    </cfRule>
  </conditionalFormatting>
  <conditionalFormatting sqref="E33">
    <cfRule type="expression" priority="253" dxfId="0">
      <formula>AND(COUNT(C33:J33)=8,E33=2)</formula>
    </cfRule>
    <cfRule type="expression" priority="254" dxfId="1">
      <formula>AND(COUNT(C33:J33)=8,E33&lt;2*0.4)</formula>
    </cfRule>
    <cfRule type="expression" priority="255" dxfId="2">
      <formula>AND(COUNT(C33:J33)=8,E33&gt;=2*0.4,E33&lt;2)</formula>
    </cfRule>
  </conditionalFormatting>
  <conditionalFormatting sqref="E34">
    <cfRule type="expression" priority="256" dxfId="0">
      <formula>AND(COUNT(C34:J34)=8,E34=2)</formula>
    </cfRule>
    <cfRule type="expression" priority="257" dxfId="1">
      <formula>AND(COUNT(C34:J34)=8,E34&lt;2*0.4)</formula>
    </cfRule>
    <cfRule type="expression" priority="258" dxfId="2">
      <formula>AND(COUNT(C34:J34)=8,E34&gt;=2*0.4,E34&lt;2)</formula>
    </cfRule>
  </conditionalFormatting>
  <conditionalFormatting sqref="E35">
    <cfRule type="expression" priority="259" dxfId="0">
      <formula>AND(COUNT(C35:J35)=8,E35=2)</formula>
    </cfRule>
    <cfRule type="expression" priority="260" dxfId="1">
      <formula>AND(COUNT(C35:J35)=8,E35&lt;2*0.4)</formula>
    </cfRule>
    <cfRule type="expression" priority="261" dxfId="2">
      <formula>AND(COUNT(C35:J35)=8,E35&gt;=2*0.4,E35&lt;2)</formula>
    </cfRule>
  </conditionalFormatting>
  <conditionalFormatting sqref="E36">
    <cfRule type="expression" priority="262" dxfId="0">
      <formula>AND(COUNT(C36:J36)=8,E36=2)</formula>
    </cfRule>
    <cfRule type="expression" priority="263" dxfId="1">
      <formula>AND(COUNT(C36:J36)=8,E36&lt;2*0.4)</formula>
    </cfRule>
    <cfRule type="expression" priority="264" dxfId="2">
      <formula>AND(COUNT(C36:J36)=8,E36&gt;=2*0.4,E36&lt;2)</formula>
    </cfRule>
  </conditionalFormatting>
  <conditionalFormatting sqref="E37">
    <cfRule type="expression" priority="265" dxfId="0">
      <formula>AND(COUNT(C37:J37)=8,E37=2)</formula>
    </cfRule>
    <cfRule type="expression" priority="266" dxfId="1">
      <formula>AND(COUNT(C37:J37)=8,E37&lt;2*0.4)</formula>
    </cfRule>
    <cfRule type="expression" priority="267" dxfId="2">
      <formula>AND(COUNT(C37:J37)=8,E37&gt;=2*0.4,E37&lt;2)</formula>
    </cfRule>
  </conditionalFormatting>
  <conditionalFormatting sqref="E38">
    <cfRule type="expression" priority="268" dxfId="0">
      <formula>AND(COUNT(C38:J38)=8,E38=2)</formula>
    </cfRule>
    <cfRule type="expression" priority="269" dxfId="1">
      <formula>AND(COUNT(C38:J38)=8,E38&lt;2*0.4)</formula>
    </cfRule>
    <cfRule type="expression" priority="270" dxfId="2">
      <formula>AND(COUNT(C38:J38)=8,E38&gt;=2*0.4,E38&lt;2)</formula>
    </cfRule>
  </conditionalFormatting>
  <conditionalFormatting sqref="E39">
    <cfRule type="expression" priority="271" dxfId="0">
      <formula>AND(COUNT(C39:J39)=8,E39=2)</formula>
    </cfRule>
    <cfRule type="expression" priority="272" dxfId="1">
      <formula>AND(COUNT(C39:J39)=8,E39&lt;2*0.4)</formula>
    </cfRule>
    <cfRule type="expression" priority="273" dxfId="2">
      <formula>AND(COUNT(C39:J39)=8,E39&gt;=2*0.4,E39&lt;2)</formula>
    </cfRule>
  </conditionalFormatting>
  <conditionalFormatting sqref="E40">
    <cfRule type="expression" priority="274" dxfId="0">
      <formula>AND(COUNT(C40:J40)=8,E40=2)</formula>
    </cfRule>
    <cfRule type="expression" priority="275" dxfId="1">
      <formula>AND(COUNT(C40:J40)=8,E40&lt;2*0.4)</formula>
    </cfRule>
    <cfRule type="expression" priority="276" dxfId="2">
      <formula>AND(COUNT(C40:J40)=8,E40&gt;=2*0.4,E40&lt;2)</formula>
    </cfRule>
  </conditionalFormatting>
  <conditionalFormatting sqref="E41">
    <cfRule type="expression" priority="277" dxfId="0">
      <formula>AND(COUNT(C41:J41)=8,E41=2)</formula>
    </cfRule>
    <cfRule type="expression" priority="278" dxfId="1">
      <formula>AND(COUNT(C41:J41)=8,E41&lt;2*0.4)</formula>
    </cfRule>
    <cfRule type="expression" priority="279" dxfId="2">
      <formula>AND(COUNT(C41:J41)=8,E41&gt;=2*0.4,E41&lt;2)</formula>
    </cfRule>
  </conditionalFormatting>
  <conditionalFormatting sqref="F11">
    <cfRule type="expression" priority="280" dxfId="0">
      <formula>AND(COUNT(C11:J11)=8,F11=6)</formula>
    </cfRule>
    <cfRule type="expression" priority="281" dxfId="1">
      <formula>AND(COUNT(C11:J11)=8,F11&lt;6*0.4)</formula>
    </cfRule>
    <cfRule type="expression" priority="282" dxfId="2">
      <formula>AND(COUNT(C11:J11)=8,F11&gt;=6*0.4,F11&lt;6)</formula>
    </cfRule>
  </conditionalFormatting>
  <conditionalFormatting sqref="F12">
    <cfRule type="expression" priority="283" dxfId="0">
      <formula>AND(COUNT(C12:J12)=8,F12=6)</formula>
    </cfRule>
    <cfRule type="expression" priority="284" dxfId="1">
      <formula>AND(COUNT(C12:J12)=8,F12&lt;6*0.4)</formula>
    </cfRule>
    <cfRule type="expression" priority="285" dxfId="2">
      <formula>AND(COUNT(C12:J12)=8,F12&gt;=6*0.4,F12&lt;6)</formula>
    </cfRule>
  </conditionalFormatting>
  <conditionalFormatting sqref="F13">
    <cfRule type="expression" priority="286" dxfId="0">
      <formula>AND(COUNT(C13:J13)=8,F13=6)</formula>
    </cfRule>
    <cfRule type="expression" priority="287" dxfId="1">
      <formula>AND(COUNT(C13:J13)=8,F13&lt;6*0.4)</formula>
    </cfRule>
    <cfRule type="expression" priority="288" dxfId="2">
      <formula>AND(COUNT(C13:J13)=8,F13&gt;=6*0.4,F13&lt;6)</formula>
    </cfRule>
  </conditionalFormatting>
  <conditionalFormatting sqref="F14">
    <cfRule type="expression" priority="289" dxfId="0">
      <formula>AND(COUNT(C14:J14)=8,F14=6)</formula>
    </cfRule>
    <cfRule type="expression" priority="290" dxfId="1">
      <formula>AND(COUNT(C14:J14)=8,F14&lt;6*0.4)</formula>
    </cfRule>
    <cfRule type="expression" priority="291" dxfId="2">
      <formula>AND(COUNT(C14:J14)=8,F14&gt;=6*0.4,F14&lt;6)</formula>
    </cfRule>
  </conditionalFormatting>
  <conditionalFormatting sqref="F15">
    <cfRule type="expression" priority="292" dxfId="0">
      <formula>AND(COUNT(C15:J15)=8,F15=6)</formula>
    </cfRule>
    <cfRule type="expression" priority="293" dxfId="1">
      <formula>AND(COUNT(C15:J15)=8,F15&lt;6*0.4)</formula>
    </cfRule>
    <cfRule type="expression" priority="294" dxfId="2">
      <formula>AND(COUNT(C15:J15)=8,F15&gt;=6*0.4,F15&lt;6)</formula>
    </cfRule>
  </conditionalFormatting>
  <conditionalFormatting sqref="F16">
    <cfRule type="expression" priority="295" dxfId="0">
      <formula>AND(COUNT(C16:J16)=8,F16=6)</formula>
    </cfRule>
    <cfRule type="expression" priority="296" dxfId="1">
      <formula>AND(COUNT(C16:J16)=8,F16&lt;6*0.4)</formula>
    </cfRule>
    <cfRule type="expression" priority="297" dxfId="2">
      <formula>AND(COUNT(C16:J16)=8,F16&gt;=6*0.4,F16&lt;6)</formula>
    </cfRule>
  </conditionalFormatting>
  <conditionalFormatting sqref="F17">
    <cfRule type="expression" priority="298" dxfId="0">
      <formula>AND(COUNT(C17:J17)=8,F17=6)</formula>
    </cfRule>
    <cfRule type="expression" priority="299" dxfId="1">
      <formula>AND(COUNT(C17:J17)=8,F17&lt;6*0.4)</formula>
    </cfRule>
    <cfRule type="expression" priority="300" dxfId="2">
      <formula>AND(COUNT(C17:J17)=8,F17&gt;=6*0.4,F17&lt;6)</formula>
    </cfRule>
  </conditionalFormatting>
  <conditionalFormatting sqref="F18">
    <cfRule type="expression" priority="301" dxfId="0">
      <formula>AND(COUNT(C18:J18)=8,F18=6)</formula>
    </cfRule>
    <cfRule type="expression" priority="302" dxfId="1">
      <formula>AND(COUNT(C18:J18)=8,F18&lt;6*0.4)</formula>
    </cfRule>
    <cfRule type="expression" priority="303" dxfId="2">
      <formula>AND(COUNT(C18:J18)=8,F18&gt;=6*0.4,F18&lt;6)</formula>
    </cfRule>
  </conditionalFormatting>
  <conditionalFormatting sqref="F19">
    <cfRule type="expression" priority="304" dxfId="0">
      <formula>AND(COUNT(C19:J19)=8,F19=6)</formula>
    </cfRule>
    <cfRule type="expression" priority="305" dxfId="1">
      <formula>AND(COUNT(C19:J19)=8,F19&lt;6*0.4)</formula>
    </cfRule>
    <cfRule type="expression" priority="306" dxfId="2">
      <formula>AND(COUNT(C19:J19)=8,F19&gt;=6*0.4,F19&lt;6)</formula>
    </cfRule>
  </conditionalFormatting>
  <conditionalFormatting sqref="F20">
    <cfRule type="expression" priority="307" dxfId="0">
      <formula>AND(COUNT(C20:J20)=8,F20=6)</formula>
    </cfRule>
    <cfRule type="expression" priority="308" dxfId="1">
      <formula>AND(COUNT(C20:J20)=8,F20&lt;6*0.4)</formula>
    </cfRule>
    <cfRule type="expression" priority="309" dxfId="2">
      <formula>AND(COUNT(C20:J20)=8,F20&gt;=6*0.4,F20&lt;6)</formula>
    </cfRule>
  </conditionalFormatting>
  <conditionalFormatting sqref="F21">
    <cfRule type="expression" priority="310" dxfId="0">
      <formula>AND(COUNT(C21:J21)=8,F21=6)</formula>
    </cfRule>
    <cfRule type="expression" priority="311" dxfId="1">
      <formula>AND(COUNT(C21:J21)=8,F21&lt;6*0.4)</formula>
    </cfRule>
    <cfRule type="expression" priority="312" dxfId="2">
      <formula>AND(COUNT(C21:J21)=8,F21&gt;=6*0.4,F21&lt;6)</formula>
    </cfRule>
  </conditionalFormatting>
  <conditionalFormatting sqref="F22">
    <cfRule type="expression" priority="313" dxfId="0">
      <formula>AND(COUNT(C22:J22)=8,F22=6)</formula>
    </cfRule>
    <cfRule type="expression" priority="314" dxfId="1">
      <formula>AND(COUNT(C22:J22)=8,F22&lt;6*0.4)</formula>
    </cfRule>
    <cfRule type="expression" priority="315" dxfId="2">
      <formula>AND(COUNT(C22:J22)=8,F22&gt;=6*0.4,F22&lt;6)</formula>
    </cfRule>
  </conditionalFormatting>
  <conditionalFormatting sqref="F23">
    <cfRule type="expression" priority="316" dxfId="0">
      <formula>AND(COUNT(C23:J23)=8,F23=6)</formula>
    </cfRule>
    <cfRule type="expression" priority="317" dxfId="1">
      <formula>AND(COUNT(C23:J23)=8,F23&lt;6*0.4)</formula>
    </cfRule>
    <cfRule type="expression" priority="318" dxfId="2">
      <formula>AND(COUNT(C23:J23)=8,F23&gt;=6*0.4,F23&lt;6)</formula>
    </cfRule>
  </conditionalFormatting>
  <conditionalFormatting sqref="F24">
    <cfRule type="expression" priority="319" dxfId="0">
      <formula>AND(COUNT(C24:J24)=8,F24=6)</formula>
    </cfRule>
    <cfRule type="expression" priority="320" dxfId="1">
      <formula>AND(COUNT(C24:J24)=8,F24&lt;6*0.4)</formula>
    </cfRule>
    <cfRule type="expression" priority="321" dxfId="2">
      <formula>AND(COUNT(C24:J24)=8,F24&gt;=6*0.4,F24&lt;6)</formula>
    </cfRule>
  </conditionalFormatting>
  <conditionalFormatting sqref="F25">
    <cfRule type="expression" priority="322" dxfId="0">
      <formula>AND(COUNT(C25:J25)=8,F25=6)</formula>
    </cfRule>
    <cfRule type="expression" priority="323" dxfId="1">
      <formula>AND(COUNT(C25:J25)=8,F25&lt;6*0.4)</formula>
    </cfRule>
    <cfRule type="expression" priority="324" dxfId="2">
      <formula>AND(COUNT(C25:J25)=8,F25&gt;=6*0.4,F25&lt;6)</formula>
    </cfRule>
  </conditionalFormatting>
  <conditionalFormatting sqref="F26">
    <cfRule type="expression" priority="325" dxfId="0">
      <formula>AND(COUNT(C26:J26)=8,F26=6)</formula>
    </cfRule>
    <cfRule type="expression" priority="326" dxfId="1">
      <formula>AND(COUNT(C26:J26)=8,F26&lt;6*0.4)</formula>
    </cfRule>
    <cfRule type="expression" priority="327" dxfId="2">
      <formula>AND(COUNT(C26:J26)=8,F26&gt;=6*0.4,F26&lt;6)</formula>
    </cfRule>
  </conditionalFormatting>
  <conditionalFormatting sqref="F27">
    <cfRule type="expression" priority="328" dxfId="0">
      <formula>AND(COUNT(C27:J27)=8,F27=6)</formula>
    </cfRule>
    <cfRule type="expression" priority="329" dxfId="1">
      <formula>AND(COUNT(C27:J27)=8,F27&lt;6*0.4)</formula>
    </cfRule>
    <cfRule type="expression" priority="330" dxfId="2">
      <formula>AND(COUNT(C27:J27)=8,F27&gt;=6*0.4,F27&lt;6)</formula>
    </cfRule>
  </conditionalFormatting>
  <conditionalFormatting sqref="F28">
    <cfRule type="expression" priority="331" dxfId="0">
      <formula>AND(COUNT(C28:J28)=8,F28=6)</formula>
    </cfRule>
    <cfRule type="expression" priority="332" dxfId="1">
      <formula>AND(COUNT(C28:J28)=8,F28&lt;6*0.4)</formula>
    </cfRule>
    <cfRule type="expression" priority="333" dxfId="2">
      <formula>AND(COUNT(C28:J28)=8,F28&gt;=6*0.4,F28&lt;6)</formula>
    </cfRule>
  </conditionalFormatting>
  <conditionalFormatting sqref="F29">
    <cfRule type="expression" priority="334" dxfId="0">
      <formula>AND(COUNT(C29:J29)=8,F29=6)</formula>
    </cfRule>
    <cfRule type="expression" priority="335" dxfId="1">
      <formula>AND(COUNT(C29:J29)=8,F29&lt;6*0.4)</formula>
    </cfRule>
    <cfRule type="expression" priority="336" dxfId="2">
      <formula>AND(COUNT(C29:J29)=8,F29&gt;=6*0.4,F29&lt;6)</formula>
    </cfRule>
  </conditionalFormatting>
  <conditionalFormatting sqref="F30">
    <cfRule type="expression" priority="337" dxfId="0">
      <formula>AND(COUNT(C30:J30)=8,F30=6)</formula>
    </cfRule>
    <cfRule type="expression" priority="338" dxfId="1">
      <formula>AND(COUNT(C30:J30)=8,F30&lt;6*0.4)</formula>
    </cfRule>
    <cfRule type="expression" priority="339" dxfId="2">
      <formula>AND(COUNT(C30:J30)=8,F30&gt;=6*0.4,F30&lt;6)</formula>
    </cfRule>
  </conditionalFormatting>
  <conditionalFormatting sqref="F31">
    <cfRule type="expression" priority="340" dxfId="0">
      <formula>AND(COUNT(C31:J31)=8,F31=6)</formula>
    </cfRule>
    <cfRule type="expression" priority="341" dxfId="1">
      <formula>AND(COUNT(C31:J31)=8,F31&lt;6*0.4)</formula>
    </cfRule>
    <cfRule type="expression" priority="342" dxfId="2">
      <formula>AND(COUNT(C31:J31)=8,F31&gt;=6*0.4,F31&lt;6)</formula>
    </cfRule>
  </conditionalFormatting>
  <conditionalFormatting sqref="F32">
    <cfRule type="expression" priority="343" dxfId="0">
      <formula>AND(COUNT(C32:J32)=8,F32=6)</formula>
    </cfRule>
    <cfRule type="expression" priority="344" dxfId="1">
      <formula>AND(COUNT(C32:J32)=8,F32&lt;6*0.4)</formula>
    </cfRule>
    <cfRule type="expression" priority="345" dxfId="2">
      <formula>AND(COUNT(C32:J32)=8,F32&gt;=6*0.4,F32&lt;6)</formula>
    </cfRule>
  </conditionalFormatting>
  <conditionalFormatting sqref="F33">
    <cfRule type="expression" priority="346" dxfId="0">
      <formula>AND(COUNT(C33:J33)=8,F33=6)</formula>
    </cfRule>
    <cfRule type="expression" priority="347" dxfId="1">
      <formula>AND(COUNT(C33:J33)=8,F33&lt;6*0.4)</formula>
    </cfRule>
    <cfRule type="expression" priority="348" dxfId="2">
      <formula>AND(COUNT(C33:J33)=8,F33&gt;=6*0.4,F33&lt;6)</formula>
    </cfRule>
  </conditionalFormatting>
  <conditionalFormatting sqref="F34">
    <cfRule type="expression" priority="349" dxfId="0">
      <formula>AND(COUNT(C34:J34)=8,F34=6)</formula>
    </cfRule>
    <cfRule type="expression" priority="350" dxfId="1">
      <formula>AND(COUNT(C34:J34)=8,F34&lt;6*0.4)</formula>
    </cfRule>
    <cfRule type="expression" priority="351" dxfId="2">
      <formula>AND(COUNT(C34:J34)=8,F34&gt;=6*0.4,F34&lt;6)</formula>
    </cfRule>
  </conditionalFormatting>
  <conditionalFormatting sqref="F35">
    <cfRule type="expression" priority="352" dxfId="0">
      <formula>AND(COUNT(C35:J35)=8,F35=6)</formula>
    </cfRule>
    <cfRule type="expression" priority="353" dxfId="1">
      <formula>AND(COUNT(C35:J35)=8,F35&lt;6*0.4)</formula>
    </cfRule>
    <cfRule type="expression" priority="354" dxfId="2">
      <formula>AND(COUNT(C35:J35)=8,F35&gt;=6*0.4,F35&lt;6)</formula>
    </cfRule>
  </conditionalFormatting>
  <conditionalFormatting sqref="F36">
    <cfRule type="expression" priority="355" dxfId="0">
      <formula>AND(COUNT(C36:J36)=8,F36=6)</formula>
    </cfRule>
    <cfRule type="expression" priority="356" dxfId="1">
      <formula>AND(COUNT(C36:J36)=8,F36&lt;6*0.4)</formula>
    </cfRule>
    <cfRule type="expression" priority="357" dxfId="2">
      <formula>AND(COUNT(C36:J36)=8,F36&gt;=6*0.4,F36&lt;6)</formula>
    </cfRule>
  </conditionalFormatting>
  <conditionalFormatting sqref="F37">
    <cfRule type="expression" priority="358" dxfId="0">
      <formula>AND(COUNT(C37:J37)=8,F37=6)</formula>
    </cfRule>
    <cfRule type="expression" priority="359" dxfId="1">
      <formula>AND(COUNT(C37:J37)=8,F37&lt;6*0.4)</formula>
    </cfRule>
    <cfRule type="expression" priority="360" dxfId="2">
      <formula>AND(COUNT(C37:J37)=8,F37&gt;=6*0.4,F37&lt;6)</formula>
    </cfRule>
  </conditionalFormatting>
  <conditionalFormatting sqref="F38">
    <cfRule type="expression" priority="361" dxfId="0">
      <formula>AND(COUNT(C38:J38)=8,F38=6)</formula>
    </cfRule>
    <cfRule type="expression" priority="362" dxfId="1">
      <formula>AND(COUNT(C38:J38)=8,F38&lt;6*0.4)</formula>
    </cfRule>
    <cfRule type="expression" priority="363" dxfId="2">
      <formula>AND(COUNT(C38:J38)=8,F38&gt;=6*0.4,F38&lt;6)</formula>
    </cfRule>
  </conditionalFormatting>
  <conditionalFormatting sqref="F39">
    <cfRule type="expression" priority="364" dxfId="0">
      <formula>AND(COUNT(C39:J39)=8,F39=6)</formula>
    </cfRule>
    <cfRule type="expression" priority="365" dxfId="1">
      <formula>AND(COUNT(C39:J39)=8,F39&lt;6*0.4)</formula>
    </cfRule>
    <cfRule type="expression" priority="366" dxfId="2">
      <formula>AND(COUNT(C39:J39)=8,F39&gt;=6*0.4,F39&lt;6)</formula>
    </cfRule>
  </conditionalFormatting>
  <conditionalFormatting sqref="F40">
    <cfRule type="expression" priority="367" dxfId="0">
      <formula>AND(COUNT(C40:J40)=8,F40=6)</formula>
    </cfRule>
    <cfRule type="expression" priority="368" dxfId="1">
      <formula>AND(COUNT(C40:J40)=8,F40&lt;6*0.4)</formula>
    </cfRule>
    <cfRule type="expression" priority="369" dxfId="2">
      <formula>AND(COUNT(C40:J40)=8,F40&gt;=6*0.4,F40&lt;6)</formula>
    </cfRule>
  </conditionalFormatting>
  <conditionalFormatting sqref="F41">
    <cfRule type="expression" priority="370" dxfId="0">
      <formula>AND(COUNT(C41:J41)=8,F41=6)</formula>
    </cfRule>
    <cfRule type="expression" priority="371" dxfId="1">
      <formula>AND(COUNT(C41:J41)=8,F41&lt;6*0.4)</formula>
    </cfRule>
    <cfRule type="expression" priority="372" dxfId="2">
      <formula>AND(COUNT(C41:J41)=8,F41&gt;=6*0.4,F41&lt;6)</formula>
    </cfRule>
  </conditionalFormatting>
  <conditionalFormatting sqref="G11">
    <cfRule type="expression" priority="373" dxfId="0">
      <formula>AND(COUNT(C11:J11)=8,G11=9)</formula>
    </cfRule>
    <cfRule type="expression" priority="374" dxfId="1">
      <formula>AND(COUNT(C11:J11)=8,G11&lt;9*0.4)</formula>
    </cfRule>
    <cfRule type="expression" priority="375" dxfId="2">
      <formula>AND(COUNT(C11:J11)=8,G11&gt;=9*0.4,G11&lt;9)</formula>
    </cfRule>
  </conditionalFormatting>
  <conditionalFormatting sqref="G12">
    <cfRule type="expression" priority="376" dxfId="0">
      <formula>AND(COUNT(C12:J12)=8,G12=9)</formula>
    </cfRule>
    <cfRule type="expression" priority="377" dxfId="1">
      <formula>AND(COUNT(C12:J12)=8,G12&lt;9*0.4)</formula>
    </cfRule>
    <cfRule type="expression" priority="378" dxfId="2">
      <formula>AND(COUNT(C12:J12)=8,G12&gt;=9*0.4,G12&lt;9)</formula>
    </cfRule>
  </conditionalFormatting>
  <conditionalFormatting sqref="G13">
    <cfRule type="expression" priority="379" dxfId="0">
      <formula>AND(COUNT(C13:J13)=8,G13=9)</formula>
    </cfRule>
    <cfRule type="expression" priority="380" dxfId="1">
      <formula>AND(COUNT(C13:J13)=8,G13&lt;9*0.4)</formula>
    </cfRule>
    <cfRule type="expression" priority="381" dxfId="2">
      <formula>AND(COUNT(C13:J13)=8,G13&gt;=9*0.4,G13&lt;9)</formula>
    </cfRule>
  </conditionalFormatting>
  <conditionalFormatting sqref="G14">
    <cfRule type="expression" priority="382" dxfId="0">
      <formula>AND(COUNT(C14:J14)=8,G14=9)</formula>
    </cfRule>
    <cfRule type="expression" priority="383" dxfId="1">
      <formula>AND(COUNT(C14:J14)=8,G14&lt;9*0.4)</formula>
    </cfRule>
    <cfRule type="expression" priority="384" dxfId="2">
      <formula>AND(COUNT(C14:J14)=8,G14&gt;=9*0.4,G14&lt;9)</formula>
    </cfRule>
  </conditionalFormatting>
  <conditionalFormatting sqref="G15">
    <cfRule type="expression" priority="385" dxfId="0">
      <formula>AND(COUNT(C15:J15)=8,G15=9)</formula>
    </cfRule>
    <cfRule type="expression" priority="386" dxfId="1">
      <formula>AND(COUNT(C15:J15)=8,G15&lt;9*0.4)</formula>
    </cfRule>
    <cfRule type="expression" priority="387" dxfId="2">
      <formula>AND(COUNT(C15:J15)=8,G15&gt;=9*0.4,G15&lt;9)</formula>
    </cfRule>
  </conditionalFormatting>
  <conditionalFormatting sqref="G16">
    <cfRule type="expression" priority="388" dxfId="0">
      <formula>AND(COUNT(C16:J16)=8,G16=9)</formula>
    </cfRule>
    <cfRule type="expression" priority="389" dxfId="1">
      <formula>AND(COUNT(C16:J16)=8,G16&lt;9*0.4)</formula>
    </cfRule>
    <cfRule type="expression" priority="390" dxfId="2">
      <formula>AND(COUNT(C16:J16)=8,G16&gt;=9*0.4,G16&lt;9)</formula>
    </cfRule>
  </conditionalFormatting>
  <conditionalFormatting sqref="G17">
    <cfRule type="expression" priority="391" dxfId="0">
      <formula>AND(COUNT(C17:J17)=8,G17=9)</formula>
    </cfRule>
    <cfRule type="expression" priority="392" dxfId="1">
      <formula>AND(COUNT(C17:J17)=8,G17&lt;9*0.4)</formula>
    </cfRule>
    <cfRule type="expression" priority="393" dxfId="2">
      <formula>AND(COUNT(C17:J17)=8,G17&gt;=9*0.4,G17&lt;9)</formula>
    </cfRule>
  </conditionalFormatting>
  <conditionalFormatting sqref="G18">
    <cfRule type="expression" priority="394" dxfId="0">
      <formula>AND(COUNT(C18:J18)=8,G18=9)</formula>
    </cfRule>
    <cfRule type="expression" priority="395" dxfId="1">
      <formula>AND(COUNT(C18:J18)=8,G18&lt;9*0.4)</formula>
    </cfRule>
    <cfRule type="expression" priority="396" dxfId="2">
      <formula>AND(COUNT(C18:J18)=8,G18&gt;=9*0.4,G18&lt;9)</formula>
    </cfRule>
  </conditionalFormatting>
  <conditionalFormatting sqref="G19">
    <cfRule type="expression" priority="397" dxfId="0">
      <formula>AND(COUNT(C19:J19)=8,G19=9)</formula>
    </cfRule>
    <cfRule type="expression" priority="398" dxfId="1">
      <formula>AND(COUNT(C19:J19)=8,G19&lt;9*0.4)</formula>
    </cfRule>
    <cfRule type="expression" priority="399" dxfId="2">
      <formula>AND(COUNT(C19:J19)=8,G19&gt;=9*0.4,G19&lt;9)</formula>
    </cfRule>
  </conditionalFormatting>
  <conditionalFormatting sqref="G20">
    <cfRule type="expression" priority="400" dxfId="0">
      <formula>AND(COUNT(C20:J20)=8,G20=9)</formula>
    </cfRule>
    <cfRule type="expression" priority="401" dxfId="1">
      <formula>AND(COUNT(C20:J20)=8,G20&lt;9*0.4)</formula>
    </cfRule>
    <cfRule type="expression" priority="402" dxfId="2">
      <formula>AND(COUNT(C20:J20)=8,G20&gt;=9*0.4,G20&lt;9)</formula>
    </cfRule>
  </conditionalFormatting>
  <conditionalFormatting sqref="G21">
    <cfRule type="expression" priority="403" dxfId="0">
      <formula>AND(COUNT(C21:J21)=8,G21=9)</formula>
    </cfRule>
    <cfRule type="expression" priority="404" dxfId="1">
      <formula>AND(COUNT(C21:J21)=8,G21&lt;9*0.4)</formula>
    </cfRule>
    <cfRule type="expression" priority="405" dxfId="2">
      <formula>AND(COUNT(C21:J21)=8,G21&gt;=9*0.4,G21&lt;9)</formula>
    </cfRule>
  </conditionalFormatting>
  <conditionalFormatting sqref="G22">
    <cfRule type="expression" priority="406" dxfId="0">
      <formula>AND(COUNT(C22:J22)=8,G22=9)</formula>
    </cfRule>
    <cfRule type="expression" priority="407" dxfId="1">
      <formula>AND(COUNT(C22:J22)=8,G22&lt;9*0.4)</formula>
    </cfRule>
    <cfRule type="expression" priority="408" dxfId="2">
      <formula>AND(COUNT(C22:J22)=8,G22&gt;=9*0.4,G22&lt;9)</formula>
    </cfRule>
  </conditionalFormatting>
  <conditionalFormatting sqref="G23">
    <cfRule type="expression" priority="409" dxfId="0">
      <formula>AND(COUNT(C23:J23)=8,G23=9)</formula>
    </cfRule>
    <cfRule type="expression" priority="410" dxfId="1">
      <formula>AND(COUNT(C23:J23)=8,G23&lt;9*0.4)</formula>
    </cfRule>
    <cfRule type="expression" priority="411" dxfId="2">
      <formula>AND(COUNT(C23:J23)=8,G23&gt;=9*0.4,G23&lt;9)</formula>
    </cfRule>
  </conditionalFormatting>
  <conditionalFormatting sqref="G24">
    <cfRule type="expression" priority="412" dxfId="0">
      <formula>AND(COUNT(C24:J24)=8,G24=9)</formula>
    </cfRule>
    <cfRule type="expression" priority="413" dxfId="1">
      <formula>AND(COUNT(C24:J24)=8,G24&lt;9*0.4)</formula>
    </cfRule>
    <cfRule type="expression" priority="414" dxfId="2">
      <formula>AND(COUNT(C24:J24)=8,G24&gt;=9*0.4,G24&lt;9)</formula>
    </cfRule>
  </conditionalFormatting>
  <conditionalFormatting sqref="G25">
    <cfRule type="expression" priority="415" dxfId="0">
      <formula>AND(COUNT(C25:J25)=8,G25=9)</formula>
    </cfRule>
    <cfRule type="expression" priority="416" dxfId="1">
      <formula>AND(COUNT(C25:J25)=8,G25&lt;9*0.4)</formula>
    </cfRule>
    <cfRule type="expression" priority="417" dxfId="2">
      <formula>AND(COUNT(C25:J25)=8,G25&gt;=9*0.4,G25&lt;9)</formula>
    </cfRule>
  </conditionalFormatting>
  <conditionalFormatting sqref="G26">
    <cfRule type="expression" priority="418" dxfId="0">
      <formula>AND(COUNT(C26:J26)=8,G26=9)</formula>
    </cfRule>
    <cfRule type="expression" priority="419" dxfId="1">
      <formula>AND(COUNT(C26:J26)=8,G26&lt;9*0.4)</formula>
    </cfRule>
    <cfRule type="expression" priority="420" dxfId="2">
      <formula>AND(COUNT(C26:J26)=8,G26&gt;=9*0.4,G26&lt;9)</formula>
    </cfRule>
  </conditionalFormatting>
  <conditionalFormatting sqref="G27">
    <cfRule type="expression" priority="421" dxfId="0">
      <formula>AND(COUNT(C27:J27)=8,G27=9)</formula>
    </cfRule>
    <cfRule type="expression" priority="422" dxfId="1">
      <formula>AND(COUNT(C27:J27)=8,G27&lt;9*0.4)</formula>
    </cfRule>
    <cfRule type="expression" priority="423" dxfId="2">
      <formula>AND(COUNT(C27:J27)=8,G27&gt;=9*0.4,G27&lt;9)</formula>
    </cfRule>
  </conditionalFormatting>
  <conditionalFormatting sqref="G28">
    <cfRule type="expression" priority="424" dxfId="0">
      <formula>AND(COUNT(C28:J28)=8,G28=9)</formula>
    </cfRule>
    <cfRule type="expression" priority="425" dxfId="1">
      <formula>AND(COUNT(C28:J28)=8,G28&lt;9*0.4)</formula>
    </cfRule>
    <cfRule type="expression" priority="426" dxfId="2">
      <formula>AND(COUNT(C28:J28)=8,G28&gt;=9*0.4,G28&lt;9)</formula>
    </cfRule>
  </conditionalFormatting>
  <conditionalFormatting sqref="G29">
    <cfRule type="expression" priority="427" dxfId="0">
      <formula>AND(COUNT(C29:J29)=8,G29=9)</formula>
    </cfRule>
    <cfRule type="expression" priority="428" dxfId="1">
      <formula>AND(COUNT(C29:J29)=8,G29&lt;9*0.4)</formula>
    </cfRule>
    <cfRule type="expression" priority="429" dxfId="2">
      <formula>AND(COUNT(C29:J29)=8,G29&gt;=9*0.4,G29&lt;9)</formula>
    </cfRule>
  </conditionalFormatting>
  <conditionalFormatting sqref="G30">
    <cfRule type="expression" priority="430" dxfId="0">
      <formula>AND(COUNT(C30:J30)=8,G30=9)</formula>
    </cfRule>
    <cfRule type="expression" priority="431" dxfId="1">
      <formula>AND(COUNT(C30:J30)=8,G30&lt;9*0.4)</formula>
    </cfRule>
    <cfRule type="expression" priority="432" dxfId="2">
      <formula>AND(COUNT(C30:J30)=8,G30&gt;=9*0.4,G30&lt;9)</formula>
    </cfRule>
  </conditionalFormatting>
  <conditionalFormatting sqref="G31">
    <cfRule type="expression" priority="433" dxfId="0">
      <formula>AND(COUNT(C31:J31)=8,G31=9)</formula>
    </cfRule>
    <cfRule type="expression" priority="434" dxfId="1">
      <formula>AND(COUNT(C31:J31)=8,G31&lt;9*0.4)</formula>
    </cfRule>
    <cfRule type="expression" priority="435" dxfId="2">
      <formula>AND(COUNT(C31:J31)=8,G31&gt;=9*0.4,G31&lt;9)</formula>
    </cfRule>
  </conditionalFormatting>
  <conditionalFormatting sqref="G32">
    <cfRule type="expression" priority="436" dxfId="0">
      <formula>AND(COUNT(C32:J32)=8,G32=9)</formula>
    </cfRule>
    <cfRule type="expression" priority="437" dxfId="1">
      <formula>AND(COUNT(C32:J32)=8,G32&lt;9*0.4)</formula>
    </cfRule>
    <cfRule type="expression" priority="438" dxfId="2">
      <formula>AND(COUNT(C32:J32)=8,G32&gt;=9*0.4,G32&lt;9)</formula>
    </cfRule>
  </conditionalFormatting>
  <conditionalFormatting sqref="G33">
    <cfRule type="expression" priority="439" dxfId="0">
      <formula>AND(COUNT(C33:J33)=8,G33=9)</formula>
    </cfRule>
    <cfRule type="expression" priority="440" dxfId="1">
      <formula>AND(COUNT(C33:J33)=8,G33&lt;9*0.4)</formula>
    </cfRule>
    <cfRule type="expression" priority="441" dxfId="2">
      <formula>AND(COUNT(C33:J33)=8,G33&gt;=9*0.4,G33&lt;9)</formula>
    </cfRule>
  </conditionalFormatting>
  <conditionalFormatting sqref="G34">
    <cfRule type="expression" priority="442" dxfId="0">
      <formula>AND(COUNT(C34:J34)=8,G34=9)</formula>
    </cfRule>
    <cfRule type="expression" priority="443" dxfId="1">
      <formula>AND(COUNT(C34:J34)=8,G34&lt;9*0.4)</formula>
    </cfRule>
    <cfRule type="expression" priority="444" dxfId="2">
      <formula>AND(COUNT(C34:J34)=8,G34&gt;=9*0.4,G34&lt;9)</formula>
    </cfRule>
  </conditionalFormatting>
  <conditionalFormatting sqref="G35">
    <cfRule type="expression" priority="445" dxfId="0">
      <formula>AND(COUNT(C35:J35)=8,G35=9)</formula>
    </cfRule>
    <cfRule type="expression" priority="446" dxfId="1">
      <formula>AND(COUNT(C35:J35)=8,G35&lt;9*0.4)</formula>
    </cfRule>
    <cfRule type="expression" priority="447" dxfId="2">
      <formula>AND(COUNT(C35:J35)=8,G35&gt;=9*0.4,G35&lt;9)</formula>
    </cfRule>
  </conditionalFormatting>
  <conditionalFormatting sqref="G36">
    <cfRule type="expression" priority="448" dxfId="0">
      <formula>AND(COUNT(C36:J36)=8,G36=9)</formula>
    </cfRule>
    <cfRule type="expression" priority="449" dxfId="1">
      <formula>AND(COUNT(C36:J36)=8,G36&lt;9*0.4)</formula>
    </cfRule>
    <cfRule type="expression" priority="450" dxfId="2">
      <formula>AND(COUNT(C36:J36)=8,G36&gt;=9*0.4,G36&lt;9)</formula>
    </cfRule>
  </conditionalFormatting>
  <conditionalFormatting sqref="G37">
    <cfRule type="expression" priority="451" dxfId="0">
      <formula>AND(COUNT(C37:J37)=8,G37=9)</formula>
    </cfRule>
    <cfRule type="expression" priority="452" dxfId="1">
      <formula>AND(COUNT(C37:J37)=8,G37&lt;9*0.4)</formula>
    </cfRule>
    <cfRule type="expression" priority="453" dxfId="2">
      <formula>AND(COUNT(C37:J37)=8,G37&gt;=9*0.4,G37&lt;9)</formula>
    </cfRule>
  </conditionalFormatting>
  <conditionalFormatting sqref="G38">
    <cfRule type="expression" priority="454" dxfId="0">
      <formula>AND(COUNT(C38:J38)=8,G38=9)</formula>
    </cfRule>
    <cfRule type="expression" priority="455" dxfId="1">
      <formula>AND(COUNT(C38:J38)=8,G38&lt;9*0.4)</formula>
    </cfRule>
    <cfRule type="expression" priority="456" dxfId="2">
      <formula>AND(COUNT(C38:J38)=8,G38&gt;=9*0.4,G38&lt;9)</formula>
    </cfRule>
  </conditionalFormatting>
  <conditionalFormatting sqref="G39">
    <cfRule type="expression" priority="457" dxfId="0">
      <formula>AND(COUNT(C39:J39)=8,G39=9)</formula>
    </cfRule>
    <cfRule type="expression" priority="458" dxfId="1">
      <formula>AND(COUNT(C39:J39)=8,G39&lt;9*0.4)</formula>
    </cfRule>
    <cfRule type="expression" priority="459" dxfId="2">
      <formula>AND(COUNT(C39:J39)=8,G39&gt;=9*0.4,G39&lt;9)</formula>
    </cfRule>
  </conditionalFormatting>
  <conditionalFormatting sqref="G40">
    <cfRule type="expression" priority="460" dxfId="0">
      <formula>AND(COUNT(C40:J40)=8,G40=9)</formula>
    </cfRule>
    <cfRule type="expression" priority="461" dxfId="1">
      <formula>AND(COUNT(C40:J40)=8,G40&lt;9*0.4)</formula>
    </cfRule>
    <cfRule type="expression" priority="462" dxfId="2">
      <formula>AND(COUNT(C40:J40)=8,G40&gt;=9*0.4,G40&lt;9)</formula>
    </cfRule>
  </conditionalFormatting>
  <conditionalFormatting sqref="G41">
    <cfRule type="expression" priority="463" dxfId="0">
      <formula>AND(COUNT(C41:J41)=8,G41=9)</formula>
    </cfRule>
    <cfRule type="expression" priority="464" dxfId="1">
      <formula>AND(COUNT(C41:J41)=8,G41&lt;9*0.4)</formula>
    </cfRule>
    <cfRule type="expression" priority="465" dxfId="2">
      <formula>AND(COUNT(C41:J41)=8,G41&gt;=9*0.4,G41&lt;9)</formula>
    </cfRule>
  </conditionalFormatting>
  <conditionalFormatting sqref="H11">
    <cfRule type="expression" priority="466" dxfId="0">
      <formula>AND(COUNT(C11:J11)=8,H11=3)</formula>
    </cfRule>
    <cfRule type="expression" priority="467" dxfId="1">
      <formula>AND(COUNT(C11:J11)=8,H11&lt;3*0.4)</formula>
    </cfRule>
    <cfRule type="expression" priority="468" dxfId="2">
      <formula>AND(COUNT(C11:J11)=8,H11&gt;=3*0.4,H11&lt;3)</formula>
    </cfRule>
  </conditionalFormatting>
  <conditionalFormatting sqref="H12">
    <cfRule type="expression" priority="469" dxfId="0">
      <formula>AND(COUNT(C12:J12)=8,H12=3)</formula>
    </cfRule>
    <cfRule type="expression" priority="470" dxfId="1">
      <formula>AND(COUNT(C12:J12)=8,H12&lt;3*0.4)</formula>
    </cfRule>
    <cfRule type="expression" priority="471" dxfId="2">
      <formula>AND(COUNT(C12:J12)=8,H12&gt;=3*0.4,H12&lt;3)</formula>
    </cfRule>
  </conditionalFormatting>
  <conditionalFormatting sqref="H13">
    <cfRule type="expression" priority="472" dxfId="0">
      <formula>AND(COUNT(C13:J13)=8,H13=3)</formula>
    </cfRule>
    <cfRule type="expression" priority="473" dxfId="1">
      <formula>AND(COUNT(C13:J13)=8,H13&lt;3*0.4)</formula>
    </cfRule>
    <cfRule type="expression" priority="474" dxfId="2">
      <formula>AND(COUNT(C13:J13)=8,H13&gt;=3*0.4,H13&lt;3)</formula>
    </cfRule>
  </conditionalFormatting>
  <conditionalFormatting sqref="H14">
    <cfRule type="expression" priority="475" dxfId="0">
      <formula>AND(COUNT(C14:J14)=8,H14=3)</formula>
    </cfRule>
    <cfRule type="expression" priority="476" dxfId="1">
      <formula>AND(COUNT(C14:J14)=8,H14&lt;3*0.4)</formula>
    </cfRule>
    <cfRule type="expression" priority="477" dxfId="2">
      <formula>AND(COUNT(C14:J14)=8,H14&gt;=3*0.4,H14&lt;3)</formula>
    </cfRule>
  </conditionalFormatting>
  <conditionalFormatting sqref="H15">
    <cfRule type="expression" priority="478" dxfId="0">
      <formula>AND(COUNT(C15:J15)=8,H15=3)</formula>
    </cfRule>
    <cfRule type="expression" priority="479" dxfId="1">
      <formula>AND(COUNT(C15:J15)=8,H15&lt;3*0.4)</formula>
    </cfRule>
    <cfRule type="expression" priority="480" dxfId="2">
      <formula>AND(COUNT(C15:J15)=8,H15&gt;=3*0.4,H15&lt;3)</formula>
    </cfRule>
  </conditionalFormatting>
  <conditionalFormatting sqref="H16">
    <cfRule type="expression" priority="481" dxfId="0">
      <formula>AND(COUNT(C16:J16)=8,H16=3)</formula>
    </cfRule>
    <cfRule type="expression" priority="482" dxfId="1">
      <formula>AND(COUNT(C16:J16)=8,H16&lt;3*0.4)</formula>
    </cfRule>
    <cfRule type="expression" priority="483" dxfId="2">
      <formula>AND(COUNT(C16:J16)=8,H16&gt;=3*0.4,H16&lt;3)</formula>
    </cfRule>
  </conditionalFormatting>
  <conditionalFormatting sqref="H17">
    <cfRule type="expression" priority="484" dxfId="0">
      <formula>AND(COUNT(C17:J17)=8,H17=3)</formula>
    </cfRule>
    <cfRule type="expression" priority="485" dxfId="1">
      <formula>AND(COUNT(C17:J17)=8,H17&lt;3*0.4)</formula>
    </cfRule>
    <cfRule type="expression" priority="486" dxfId="2">
      <formula>AND(COUNT(C17:J17)=8,H17&gt;=3*0.4,H17&lt;3)</formula>
    </cfRule>
  </conditionalFormatting>
  <conditionalFormatting sqref="H18">
    <cfRule type="expression" priority="487" dxfId="0">
      <formula>AND(COUNT(C18:J18)=8,H18=3)</formula>
    </cfRule>
    <cfRule type="expression" priority="488" dxfId="1">
      <formula>AND(COUNT(C18:J18)=8,H18&lt;3*0.4)</formula>
    </cfRule>
    <cfRule type="expression" priority="489" dxfId="2">
      <formula>AND(COUNT(C18:J18)=8,H18&gt;=3*0.4,H18&lt;3)</formula>
    </cfRule>
  </conditionalFormatting>
  <conditionalFormatting sqref="H19">
    <cfRule type="expression" priority="490" dxfId="0">
      <formula>AND(COUNT(C19:J19)=8,H19=3)</formula>
    </cfRule>
    <cfRule type="expression" priority="491" dxfId="1">
      <formula>AND(COUNT(C19:J19)=8,H19&lt;3*0.4)</formula>
    </cfRule>
    <cfRule type="expression" priority="492" dxfId="2">
      <formula>AND(COUNT(C19:J19)=8,H19&gt;=3*0.4,H19&lt;3)</formula>
    </cfRule>
  </conditionalFormatting>
  <conditionalFormatting sqref="H20">
    <cfRule type="expression" priority="493" dxfId="0">
      <formula>AND(COUNT(C20:J20)=8,H20=3)</formula>
    </cfRule>
    <cfRule type="expression" priority="494" dxfId="1">
      <formula>AND(COUNT(C20:J20)=8,H20&lt;3*0.4)</formula>
    </cfRule>
    <cfRule type="expression" priority="495" dxfId="2">
      <formula>AND(COUNT(C20:J20)=8,H20&gt;=3*0.4,H20&lt;3)</formula>
    </cfRule>
  </conditionalFormatting>
  <conditionalFormatting sqref="H21">
    <cfRule type="expression" priority="496" dxfId="0">
      <formula>AND(COUNT(C21:J21)=8,H21=3)</formula>
    </cfRule>
    <cfRule type="expression" priority="497" dxfId="1">
      <formula>AND(COUNT(C21:J21)=8,H21&lt;3*0.4)</formula>
    </cfRule>
    <cfRule type="expression" priority="498" dxfId="2">
      <formula>AND(COUNT(C21:J21)=8,H21&gt;=3*0.4,H21&lt;3)</formula>
    </cfRule>
  </conditionalFormatting>
  <conditionalFormatting sqref="H22">
    <cfRule type="expression" priority="499" dxfId="0">
      <formula>AND(COUNT(C22:J22)=8,H22=3)</formula>
    </cfRule>
    <cfRule type="expression" priority="500" dxfId="1">
      <formula>AND(COUNT(C22:J22)=8,H22&lt;3*0.4)</formula>
    </cfRule>
    <cfRule type="expression" priority="501" dxfId="2">
      <formula>AND(COUNT(C22:J22)=8,H22&gt;=3*0.4,H22&lt;3)</formula>
    </cfRule>
  </conditionalFormatting>
  <conditionalFormatting sqref="H23">
    <cfRule type="expression" priority="502" dxfId="0">
      <formula>AND(COUNT(C23:J23)=8,H23=3)</formula>
    </cfRule>
    <cfRule type="expression" priority="503" dxfId="1">
      <formula>AND(COUNT(C23:J23)=8,H23&lt;3*0.4)</formula>
    </cfRule>
    <cfRule type="expression" priority="504" dxfId="2">
      <formula>AND(COUNT(C23:J23)=8,H23&gt;=3*0.4,H23&lt;3)</formula>
    </cfRule>
  </conditionalFormatting>
  <conditionalFormatting sqref="H24">
    <cfRule type="expression" priority="505" dxfId="0">
      <formula>AND(COUNT(C24:J24)=8,H24=3)</formula>
    </cfRule>
    <cfRule type="expression" priority="506" dxfId="1">
      <formula>AND(COUNT(C24:J24)=8,H24&lt;3*0.4)</formula>
    </cfRule>
    <cfRule type="expression" priority="507" dxfId="2">
      <formula>AND(COUNT(C24:J24)=8,H24&gt;=3*0.4,H24&lt;3)</formula>
    </cfRule>
  </conditionalFormatting>
  <conditionalFormatting sqref="H25">
    <cfRule type="expression" priority="508" dxfId="0">
      <formula>AND(COUNT(C25:J25)=8,H25=3)</formula>
    </cfRule>
    <cfRule type="expression" priority="509" dxfId="1">
      <formula>AND(COUNT(C25:J25)=8,H25&lt;3*0.4)</formula>
    </cfRule>
    <cfRule type="expression" priority="510" dxfId="2">
      <formula>AND(COUNT(C25:J25)=8,H25&gt;=3*0.4,H25&lt;3)</formula>
    </cfRule>
  </conditionalFormatting>
  <conditionalFormatting sqref="H26">
    <cfRule type="expression" priority="511" dxfId="0">
      <formula>AND(COUNT(C26:J26)=8,H26=3)</formula>
    </cfRule>
    <cfRule type="expression" priority="512" dxfId="1">
      <formula>AND(COUNT(C26:J26)=8,H26&lt;3*0.4)</formula>
    </cfRule>
    <cfRule type="expression" priority="513" dxfId="2">
      <formula>AND(COUNT(C26:J26)=8,H26&gt;=3*0.4,H26&lt;3)</formula>
    </cfRule>
  </conditionalFormatting>
  <conditionalFormatting sqref="H27">
    <cfRule type="expression" priority="514" dxfId="0">
      <formula>AND(COUNT(C27:J27)=8,H27=3)</formula>
    </cfRule>
    <cfRule type="expression" priority="515" dxfId="1">
      <formula>AND(COUNT(C27:J27)=8,H27&lt;3*0.4)</formula>
    </cfRule>
    <cfRule type="expression" priority="516" dxfId="2">
      <formula>AND(COUNT(C27:J27)=8,H27&gt;=3*0.4,H27&lt;3)</formula>
    </cfRule>
  </conditionalFormatting>
  <conditionalFormatting sqref="H28">
    <cfRule type="expression" priority="517" dxfId="0">
      <formula>AND(COUNT(C28:J28)=8,H28=3)</formula>
    </cfRule>
    <cfRule type="expression" priority="518" dxfId="1">
      <formula>AND(COUNT(C28:J28)=8,H28&lt;3*0.4)</formula>
    </cfRule>
    <cfRule type="expression" priority="519" dxfId="2">
      <formula>AND(COUNT(C28:J28)=8,H28&gt;=3*0.4,H28&lt;3)</formula>
    </cfRule>
  </conditionalFormatting>
  <conditionalFormatting sqref="H29">
    <cfRule type="expression" priority="520" dxfId="0">
      <formula>AND(COUNT(C29:J29)=8,H29=3)</formula>
    </cfRule>
    <cfRule type="expression" priority="521" dxfId="1">
      <formula>AND(COUNT(C29:J29)=8,H29&lt;3*0.4)</formula>
    </cfRule>
    <cfRule type="expression" priority="522" dxfId="2">
      <formula>AND(COUNT(C29:J29)=8,H29&gt;=3*0.4,H29&lt;3)</formula>
    </cfRule>
  </conditionalFormatting>
  <conditionalFormatting sqref="H30">
    <cfRule type="expression" priority="523" dxfId="0">
      <formula>AND(COUNT(C30:J30)=8,H30=3)</formula>
    </cfRule>
    <cfRule type="expression" priority="524" dxfId="1">
      <formula>AND(COUNT(C30:J30)=8,H30&lt;3*0.4)</formula>
    </cfRule>
    <cfRule type="expression" priority="525" dxfId="2">
      <formula>AND(COUNT(C30:J30)=8,H30&gt;=3*0.4,H30&lt;3)</formula>
    </cfRule>
  </conditionalFormatting>
  <conditionalFormatting sqref="H31">
    <cfRule type="expression" priority="526" dxfId="0">
      <formula>AND(COUNT(C31:J31)=8,H31=3)</formula>
    </cfRule>
    <cfRule type="expression" priority="527" dxfId="1">
      <formula>AND(COUNT(C31:J31)=8,H31&lt;3*0.4)</formula>
    </cfRule>
    <cfRule type="expression" priority="528" dxfId="2">
      <formula>AND(COUNT(C31:J31)=8,H31&gt;=3*0.4,H31&lt;3)</formula>
    </cfRule>
  </conditionalFormatting>
  <conditionalFormatting sqref="H32">
    <cfRule type="expression" priority="529" dxfId="0">
      <formula>AND(COUNT(C32:J32)=8,H32=3)</formula>
    </cfRule>
    <cfRule type="expression" priority="530" dxfId="1">
      <formula>AND(COUNT(C32:J32)=8,H32&lt;3*0.4)</formula>
    </cfRule>
    <cfRule type="expression" priority="531" dxfId="2">
      <formula>AND(COUNT(C32:J32)=8,H32&gt;=3*0.4,H32&lt;3)</formula>
    </cfRule>
  </conditionalFormatting>
  <conditionalFormatting sqref="H33">
    <cfRule type="expression" priority="532" dxfId="0">
      <formula>AND(COUNT(C33:J33)=8,H33=3)</formula>
    </cfRule>
    <cfRule type="expression" priority="533" dxfId="1">
      <formula>AND(COUNT(C33:J33)=8,H33&lt;3*0.4)</formula>
    </cfRule>
    <cfRule type="expression" priority="534" dxfId="2">
      <formula>AND(COUNT(C33:J33)=8,H33&gt;=3*0.4,H33&lt;3)</formula>
    </cfRule>
  </conditionalFormatting>
  <conditionalFormatting sqref="H34">
    <cfRule type="expression" priority="535" dxfId="0">
      <formula>AND(COUNT(C34:J34)=8,H34=3)</formula>
    </cfRule>
    <cfRule type="expression" priority="536" dxfId="1">
      <formula>AND(COUNT(C34:J34)=8,H34&lt;3*0.4)</formula>
    </cfRule>
    <cfRule type="expression" priority="537" dxfId="2">
      <formula>AND(COUNT(C34:J34)=8,H34&gt;=3*0.4,H34&lt;3)</formula>
    </cfRule>
  </conditionalFormatting>
  <conditionalFormatting sqref="H35">
    <cfRule type="expression" priority="538" dxfId="0">
      <formula>AND(COUNT(C35:J35)=8,H35=3)</formula>
    </cfRule>
    <cfRule type="expression" priority="539" dxfId="1">
      <formula>AND(COUNT(C35:J35)=8,H35&lt;3*0.4)</formula>
    </cfRule>
    <cfRule type="expression" priority="540" dxfId="2">
      <formula>AND(COUNT(C35:J35)=8,H35&gt;=3*0.4,H35&lt;3)</formula>
    </cfRule>
  </conditionalFormatting>
  <conditionalFormatting sqref="H36">
    <cfRule type="expression" priority="541" dxfId="0">
      <formula>AND(COUNT(C36:J36)=8,H36=3)</formula>
    </cfRule>
    <cfRule type="expression" priority="542" dxfId="1">
      <formula>AND(COUNT(C36:J36)=8,H36&lt;3*0.4)</formula>
    </cfRule>
    <cfRule type="expression" priority="543" dxfId="2">
      <formula>AND(COUNT(C36:J36)=8,H36&gt;=3*0.4,H36&lt;3)</formula>
    </cfRule>
  </conditionalFormatting>
  <conditionalFormatting sqref="H37">
    <cfRule type="expression" priority="544" dxfId="0">
      <formula>AND(COUNT(C37:J37)=8,H37=3)</formula>
    </cfRule>
    <cfRule type="expression" priority="545" dxfId="1">
      <formula>AND(COUNT(C37:J37)=8,H37&lt;3*0.4)</formula>
    </cfRule>
    <cfRule type="expression" priority="546" dxfId="2">
      <formula>AND(COUNT(C37:J37)=8,H37&gt;=3*0.4,H37&lt;3)</formula>
    </cfRule>
  </conditionalFormatting>
  <conditionalFormatting sqref="H38">
    <cfRule type="expression" priority="547" dxfId="0">
      <formula>AND(COUNT(C38:J38)=8,H38=3)</formula>
    </cfRule>
    <cfRule type="expression" priority="548" dxfId="1">
      <formula>AND(COUNT(C38:J38)=8,H38&lt;3*0.4)</formula>
    </cfRule>
    <cfRule type="expression" priority="549" dxfId="2">
      <formula>AND(COUNT(C38:J38)=8,H38&gt;=3*0.4,H38&lt;3)</formula>
    </cfRule>
  </conditionalFormatting>
  <conditionalFormatting sqref="H39">
    <cfRule type="expression" priority="550" dxfId="0">
      <formula>AND(COUNT(C39:J39)=8,H39=3)</formula>
    </cfRule>
    <cfRule type="expression" priority="551" dxfId="1">
      <formula>AND(COUNT(C39:J39)=8,H39&lt;3*0.4)</formula>
    </cfRule>
    <cfRule type="expression" priority="552" dxfId="2">
      <formula>AND(COUNT(C39:J39)=8,H39&gt;=3*0.4,H39&lt;3)</formula>
    </cfRule>
  </conditionalFormatting>
  <conditionalFormatting sqref="H40">
    <cfRule type="expression" priority="553" dxfId="0">
      <formula>AND(COUNT(C40:J40)=8,H40=3)</formula>
    </cfRule>
    <cfRule type="expression" priority="554" dxfId="1">
      <formula>AND(COUNT(C40:J40)=8,H40&lt;3*0.4)</formula>
    </cfRule>
    <cfRule type="expression" priority="555" dxfId="2">
      <formula>AND(COUNT(C40:J40)=8,H40&gt;=3*0.4,H40&lt;3)</formula>
    </cfRule>
  </conditionalFormatting>
  <conditionalFormatting sqref="H41">
    <cfRule type="expression" priority="556" dxfId="0">
      <formula>AND(COUNT(C41:J41)=8,H41=3)</formula>
    </cfRule>
    <cfRule type="expression" priority="557" dxfId="1">
      <formula>AND(COUNT(C41:J41)=8,H41&lt;3*0.4)</formula>
    </cfRule>
    <cfRule type="expression" priority="558" dxfId="2">
      <formula>AND(COUNT(C41:J41)=8,H41&gt;=3*0.4,H41&lt;3)</formula>
    </cfRule>
  </conditionalFormatting>
  <conditionalFormatting sqref="I11">
    <cfRule type="expression" priority="559" dxfId="0">
      <formula>AND(COUNT(C11:J11)=8,I11=8)</formula>
    </cfRule>
    <cfRule type="expression" priority="560" dxfId="1">
      <formula>AND(COUNT(C11:J11)=8,I11&lt;8*0.4)</formula>
    </cfRule>
    <cfRule type="expression" priority="561" dxfId="2">
      <formula>AND(COUNT(C11:J11)=8,I11&gt;=8*0.4,I11&lt;8)</formula>
    </cfRule>
  </conditionalFormatting>
  <conditionalFormatting sqref="I12">
    <cfRule type="expression" priority="562" dxfId="0">
      <formula>AND(COUNT(C12:J12)=8,I12=8)</formula>
    </cfRule>
    <cfRule type="expression" priority="563" dxfId="1">
      <formula>AND(COUNT(C12:J12)=8,I12&lt;8*0.4)</formula>
    </cfRule>
    <cfRule type="expression" priority="564" dxfId="2">
      <formula>AND(COUNT(C12:J12)=8,I12&gt;=8*0.4,I12&lt;8)</formula>
    </cfRule>
  </conditionalFormatting>
  <conditionalFormatting sqref="I13">
    <cfRule type="expression" priority="565" dxfId="0">
      <formula>AND(COUNT(C13:J13)=8,I13=8)</formula>
    </cfRule>
    <cfRule type="expression" priority="566" dxfId="1">
      <formula>AND(COUNT(C13:J13)=8,I13&lt;8*0.4)</formula>
    </cfRule>
    <cfRule type="expression" priority="567" dxfId="2">
      <formula>AND(COUNT(C13:J13)=8,I13&gt;=8*0.4,I13&lt;8)</formula>
    </cfRule>
  </conditionalFormatting>
  <conditionalFormatting sqref="I14">
    <cfRule type="expression" priority="568" dxfId="0">
      <formula>AND(COUNT(C14:J14)=8,I14=8)</formula>
    </cfRule>
    <cfRule type="expression" priority="569" dxfId="1">
      <formula>AND(COUNT(C14:J14)=8,I14&lt;8*0.4)</formula>
    </cfRule>
    <cfRule type="expression" priority="570" dxfId="2">
      <formula>AND(COUNT(C14:J14)=8,I14&gt;=8*0.4,I14&lt;8)</formula>
    </cfRule>
  </conditionalFormatting>
  <conditionalFormatting sqref="I15">
    <cfRule type="expression" priority="571" dxfId="0">
      <formula>AND(COUNT(C15:J15)=8,I15=8)</formula>
    </cfRule>
    <cfRule type="expression" priority="572" dxfId="1">
      <formula>AND(COUNT(C15:J15)=8,I15&lt;8*0.4)</formula>
    </cfRule>
    <cfRule type="expression" priority="573" dxfId="2">
      <formula>AND(COUNT(C15:J15)=8,I15&gt;=8*0.4,I15&lt;8)</formula>
    </cfRule>
  </conditionalFormatting>
  <conditionalFormatting sqref="I16">
    <cfRule type="expression" priority="574" dxfId="0">
      <formula>AND(COUNT(C16:J16)=8,I16=8)</formula>
    </cfRule>
    <cfRule type="expression" priority="575" dxfId="1">
      <formula>AND(COUNT(C16:J16)=8,I16&lt;8*0.4)</formula>
    </cfRule>
    <cfRule type="expression" priority="576" dxfId="2">
      <formula>AND(COUNT(C16:J16)=8,I16&gt;=8*0.4,I16&lt;8)</formula>
    </cfRule>
  </conditionalFormatting>
  <conditionalFormatting sqref="I17">
    <cfRule type="expression" priority="577" dxfId="0">
      <formula>AND(COUNT(C17:J17)=8,I17=8)</formula>
    </cfRule>
    <cfRule type="expression" priority="578" dxfId="1">
      <formula>AND(COUNT(C17:J17)=8,I17&lt;8*0.4)</formula>
    </cfRule>
    <cfRule type="expression" priority="579" dxfId="2">
      <formula>AND(COUNT(C17:J17)=8,I17&gt;=8*0.4,I17&lt;8)</formula>
    </cfRule>
  </conditionalFormatting>
  <conditionalFormatting sqref="I18">
    <cfRule type="expression" priority="580" dxfId="0">
      <formula>AND(COUNT(C18:J18)=8,I18=8)</formula>
    </cfRule>
    <cfRule type="expression" priority="581" dxfId="1">
      <formula>AND(COUNT(C18:J18)=8,I18&lt;8*0.4)</formula>
    </cfRule>
    <cfRule type="expression" priority="582" dxfId="2">
      <formula>AND(COUNT(C18:J18)=8,I18&gt;=8*0.4,I18&lt;8)</formula>
    </cfRule>
  </conditionalFormatting>
  <conditionalFormatting sqref="I19">
    <cfRule type="expression" priority="583" dxfId="0">
      <formula>AND(COUNT(C19:J19)=8,I19=8)</formula>
    </cfRule>
    <cfRule type="expression" priority="584" dxfId="1">
      <formula>AND(COUNT(C19:J19)=8,I19&lt;8*0.4)</formula>
    </cfRule>
    <cfRule type="expression" priority="585" dxfId="2">
      <formula>AND(COUNT(C19:J19)=8,I19&gt;=8*0.4,I19&lt;8)</formula>
    </cfRule>
  </conditionalFormatting>
  <conditionalFormatting sqref="I20">
    <cfRule type="expression" priority="586" dxfId="0">
      <formula>AND(COUNT(C20:J20)=8,I20=8)</formula>
    </cfRule>
    <cfRule type="expression" priority="587" dxfId="1">
      <formula>AND(COUNT(C20:J20)=8,I20&lt;8*0.4)</formula>
    </cfRule>
    <cfRule type="expression" priority="588" dxfId="2">
      <formula>AND(COUNT(C20:J20)=8,I20&gt;=8*0.4,I20&lt;8)</formula>
    </cfRule>
  </conditionalFormatting>
  <conditionalFormatting sqref="I21">
    <cfRule type="expression" priority="589" dxfId="0">
      <formula>AND(COUNT(C21:J21)=8,I21=8)</formula>
    </cfRule>
    <cfRule type="expression" priority="590" dxfId="1">
      <formula>AND(COUNT(C21:J21)=8,I21&lt;8*0.4)</formula>
    </cfRule>
    <cfRule type="expression" priority="591" dxfId="2">
      <formula>AND(COUNT(C21:J21)=8,I21&gt;=8*0.4,I21&lt;8)</formula>
    </cfRule>
  </conditionalFormatting>
  <conditionalFormatting sqref="I22">
    <cfRule type="expression" priority="592" dxfId="0">
      <formula>AND(COUNT(C22:J22)=8,I22=8)</formula>
    </cfRule>
    <cfRule type="expression" priority="593" dxfId="1">
      <formula>AND(COUNT(C22:J22)=8,I22&lt;8*0.4)</formula>
    </cfRule>
    <cfRule type="expression" priority="594" dxfId="2">
      <formula>AND(COUNT(C22:J22)=8,I22&gt;=8*0.4,I22&lt;8)</formula>
    </cfRule>
  </conditionalFormatting>
  <conditionalFormatting sqref="I23">
    <cfRule type="expression" priority="595" dxfId="0">
      <formula>AND(COUNT(C23:J23)=8,I23=8)</formula>
    </cfRule>
    <cfRule type="expression" priority="596" dxfId="1">
      <formula>AND(COUNT(C23:J23)=8,I23&lt;8*0.4)</formula>
    </cfRule>
    <cfRule type="expression" priority="597" dxfId="2">
      <formula>AND(COUNT(C23:J23)=8,I23&gt;=8*0.4,I23&lt;8)</formula>
    </cfRule>
  </conditionalFormatting>
  <conditionalFormatting sqref="I24">
    <cfRule type="expression" priority="598" dxfId="0">
      <formula>AND(COUNT(C24:J24)=8,I24=8)</formula>
    </cfRule>
    <cfRule type="expression" priority="599" dxfId="1">
      <formula>AND(COUNT(C24:J24)=8,I24&lt;8*0.4)</formula>
    </cfRule>
    <cfRule type="expression" priority="600" dxfId="2">
      <formula>AND(COUNT(C24:J24)=8,I24&gt;=8*0.4,I24&lt;8)</formula>
    </cfRule>
  </conditionalFormatting>
  <conditionalFormatting sqref="I25">
    <cfRule type="expression" priority="601" dxfId="0">
      <formula>AND(COUNT(C25:J25)=8,I25=8)</formula>
    </cfRule>
    <cfRule type="expression" priority="602" dxfId="1">
      <formula>AND(COUNT(C25:J25)=8,I25&lt;8*0.4)</formula>
    </cfRule>
    <cfRule type="expression" priority="603" dxfId="2">
      <formula>AND(COUNT(C25:J25)=8,I25&gt;=8*0.4,I25&lt;8)</formula>
    </cfRule>
  </conditionalFormatting>
  <conditionalFormatting sqref="I26">
    <cfRule type="expression" priority="604" dxfId="0">
      <formula>AND(COUNT(C26:J26)=8,I26=8)</formula>
    </cfRule>
    <cfRule type="expression" priority="605" dxfId="1">
      <formula>AND(COUNT(C26:J26)=8,I26&lt;8*0.4)</formula>
    </cfRule>
    <cfRule type="expression" priority="606" dxfId="2">
      <formula>AND(COUNT(C26:J26)=8,I26&gt;=8*0.4,I26&lt;8)</formula>
    </cfRule>
  </conditionalFormatting>
  <conditionalFormatting sqref="I27">
    <cfRule type="expression" priority="607" dxfId="0">
      <formula>AND(COUNT(C27:J27)=8,I27=8)</formula>
    </cfRule>
    <cfRule type="expression" priority="608" dxfId="1">
      <formula>AND(COUNT(C27:J27)=8,I27&lt;8*0.4)</formula>
    </cfRule>
    <cfRule type="expression" priority="609" dxfId="2">
      <formula>AND(COUNT(C27:J27)=8,I27&gt;=8*0.4,I27&lt;8)</formula>
    </cfRule>
  </conditionalFormatting>
  <conditionalFormatting sqref="I28">
    <cfRule type="expression" priority="610" dxfId="0">
      <formula>AND(COUNT(C28:J28)=8,I28=8)</formula>
    </cfRule>
    <cfRule type="expression" priority="611" dxfId="1">
      <formula>AND(COUNT(C28:J28)=8,I28&lt;8*0.4)</formula>
    </cfRule>
    <cfRule type="expression" priority="612" dxfId="2">
      <formula>AND(COUNT(C28:J28)=8,I28&gt;=8*0.4,I28&lt;8)</formula>
    </cfRule>
  </conditionalFormatting>
  <conditionalFormatting sqref="I29">
    <cfRule type="expression" priority="613" dxfId="0">
      <formula>AND(COUNT(C29:J29)=8,I29=8)</formula>
    </cfRule>
    <cfRule type="expression" priority="614" dxfId="1">
      <formula>AND(COUNT(C29:J29)=8,I29&lt;8*0.4)</formula>
    </cfRule>
    <cfRule type="expression" priority="615" dxfId="2">
      <formula>AND(COUNT(C29:J29)=8,I29&gt;=8*0.4,I29&lt;8)</formula>
    </cfRule>
  </conditionalFormatting>
  <conditionalFormatting sqref="I30">
    <cfRule type="expression" priority="616" dxfId="0">
      <formula>AND(COUNT(C30:J30)=8,I30=8)</formula>
    </cfRule>
    <cfRule type="expression" priority="617" dxfId="1">
      <formula>AND(COUNT(C30:J30)=8,I30&lt;8*0.4)</formula>
    </cfRule>
    <cfRule type="expression" priority="618" dxfId="2">
      <formula>AND(COUNT(C30:J30)=8,I30&gt;=8*0.4,I30&lt;8)</formula>
    </cfRule>
  </conditionalFormatting>
  <conditionalFormatting sqref="I31">
    <cfRule type="expression" priority="619" dxfId="0">
      <formula>AND(COUNT(C31:J31)=8,I31=8)</formula>
    </cfRule>
    <cfRule type="expression" priority="620" dxfId="1">
      <formula>AND(COUNT(C31:J31)=8,I31&lt;8*0.4)</formula>
    </cfRule>
    <cfRule type="expression" priority="621" dxfId="2">
      <formula>AND(COUNT(C31:J31)=8,I31&gt;=8*0.4,I31&lt;8)</formula>
    </cfRule>
  </conditionalFormatting>
  <conditionalFormatting sqref="I32">
    <cfRule type="expression" priority="622" dxfId="0">
      <formula>AND(COUNT(C32:J32)=8,I32=8)</formula>
    </cfRule>
    <cfRule type="expression" priority="623" dxfId="1">
      <formula>AND(COUNT(C32:J32)=8,I32&lt;8*0.4)</formula>
    </cfRule>
    <cfRule type="expression" priority="624" dxfId="2">
      <formula>AND(COUNT(C32:J32)=8,I32&gt;=8*0.4,I32&lt;8)</formula>
    </cfRule>
  </conditionalFormatting>
  <conditionalFormatting sqref="I33">
    <cfRule type="expression" priority="625" dxfId="0">
      <formula>AND(COUNT(C33:J33)=8,I33=8)</formula>
    </cfRule>
    <cfRule type="expression" priority="626" dxfId="1">
      <formula>AND(COUNT(C33:J33)=8,I33&lt;8*0.4)</formula>
    </cfRule>
    <cfRule type="expression" priority="627" dxfId="2">
      <formula>AND(COUNT(C33:J33)=8,I33&gt;=8*0.4,I33&lt;8)</formula>
    </cfRule>
  </conditionalFormatting>
  <conditionalFormatting sqref="I34">
    <cfRule type="expression" priority="628" dxfId="0">
      <formula>AND(COUNT(C34:J34)=8,I34=8)</formula>
    </cfRule>
    <cfRule type="expression" priority="629" dxfId="1">
      <formula>AND(COUNT(C34:J34)=8,I34&lt;8*0.4)</formula>
    </cfRule>
    <cfRule type="expression" priority="630" dxfId="2">
      <formula>AND(COUNT(C34:J34)=8,I34&gt;=8*0.4,I34&lt;8)</formula>
    </cfRule>
  </conditionalFormatting>
  <conditionalFormatting sqref="I35">
    <cfRule type="expression" priority="631" dxfId="0">
      <formula>AND(COUNT(C35:J35)=8,I35=8)</formula>
    </cfRule>
    <cfRule type="expression" priority="632" dxfId="1">
      <formula>AND(COUNT(C35:J35)=8,I35&lt;8*0.4)</formula>
    </cfRule>
    <cfRule type="expression" priority="633" dxfId="2">
      <formula>AND(COUNT(C35:J35)=8,I35&gt;=8*0.4,I35&lt;8)</formula>
    </cfRule>
  </conditionalFormatting>
  <conditionalFormatting sqref="I36">
    <cfRule type="expression" priority="634" dxfId="0">
      <formula>AND(COUNT(C36:J36)=8,I36=8)</formula>
    </cfRule>
    <cfRule type="expression" priority="635" dxfId="1">
      <formula>AND(COUNT(C36:J36)=8,I36&lt;8*0.4)</formula>
    </cfRule>
    <cfRule type="expression" priority="636" dxfId="2">
      <formula>AND(COUNT(C36:J36)=8,I36&gt;=8*0.4,I36&lt;8)</formula>
    </cfRule>
  </conditionalFormatting>
  <conditionalFormatting sqref="I37">
    <cfRule type="expression" priority="637" dxfId="0">
      <formula>AND(COUNT(C37:J37)=8,I37=8)</formula>
    </cfRule>
    <cfRule type="expression" priority="638" dxfId="1">
      <formula>AND(COUNT(C37:J37)=8,I37&lt;8*0.4)</formula>
    </cfRule>
    <cfRule type="expression" priority="639" dxfId="2">
      <formula>AND(COUNT(C37:J37)=8,I37&gt;=8*0.4,I37&lt;8)</formula>
    </cfRule>
  </conditionalFormatting>
  <conditionalFormatting sqref="I38">
    <cfRule type="expression" priority="640" dxfId="0">
      <formula>AND(COUNT(C38:J38)=8,I38=8)</formula>
    </cfRule>
    <cfRule type="expression" priority="641" dxfId="1">
      <formula>AND(COUNT(C38:J38)=8,I38&lt;8*0.4)</formula>
    </cfRule>
    <cfRule type="expression" priority="642" dxfId="2">
      <formula>AND(COUNT(C38:J38)=8,I38&gt;=8*0.4,I38&lt;8)</formula>
    </cfRule>
  </conditionalFormatting>
  <conditionalFormatting sqref="I39">
    <cfRule type="expression" priority="643" dxfId="0">
      <formula>AND(COUNT(C39:J39)=8,I39=8)</formula>
    </cfRule>
    <cfRule type="expression" priority="644" dxfId="1">
      <formula>AND(COUNT(C39:J39)=8,I39&lt;8*0.4)</formula>
    </cfRule>
    <cfRule type="expression" priority="645" dxfId="2">
      <formula>AND(COUNT(C39:J39)=8,I39&gt;=8*0.4,I39&lt;8)</formula>
    </cfRule>
  </conditionalFormatting>
  <conditionalFormatting sqref="I40">
    <cfRule type="expression" priority="646" dxfId="0">
      <formula>AND(COUNT(C40:J40)=8,I40=8)</formula>
    </cfRule>
    <cfRule type="expression" priority="647" dxfId="1">
      <formula>AND(COUNT(C40:J40)=8,I40&lt;8*0.4)</formula>
    </cfRule>
    <cfRule type="expression" priority="648" dxfId="2">
      <formula>AND(COUNT(C40:J40)=8,I40&gt;=8*0.4,I40&lt;8)</formula>
    </cfRule>
  </conditionalFormatting>
  <conditionalFormatting sqref="I41">
    <cfRule type="expression" priority="649" dxfId="0">
      <formula>AND(COUNT(C41:J41)=8,I41=8)</formula>
    </cfRule>
    <cfRule type="expression" priority="650" dxfId="1">
      <formula>AND(COUNT(C41:J41)=8,I41&lt;8*0.4)</formula>
    </cfRule>
    <cfRule type="expression" priority="651" dxfId="2">
      <formula>AND(COUNT(C41:J41)=8,I41&gt;=8*0.4,I41&lt;8)</formula>
    </cfRule>
  </conditionalFormatting>
  <conditionalFormatting sqref="J11">
    <cfRule type="expression" priority="652" dxfId="0">
      <formula>AND(COUNT(C11:J11)=8,J11=12)</formula>
    </cfRule>
    <cfRule type="expression" priority="653" dxfId="1">
      <formula>AND(COUNT(C11:J11)=8,J11&lt;12*0.4)</formula>
    </cfRule>
    <cfRule type="expression" priority="654" dxfId="2">
      <formula>AND(COUNT(C11:J11)=8,J11&gt;=12*0.4,J11&lt;12)</formula>
    </cfRule>
  </conditionalFormatting>
  <conditionalFormatting sqref="J12">
    <cfRule type="expression" priority="655" dxfId="0">
      <formula>AND(COUNT(C12:J12)=8,J12=12)</formula>
    </cfRule>
    <cfRule type="expression" priority="656" dxfId="1">
      <formula>AND(COUNT(C12:J12)=8,J12&lt;12*0.4)</formula>
    </cfRule>
    <cfRule type="expression" priority="657" dxfId="2">
      <formula>AND(COUNT(C12:J12)=8,J12&gt;=12*0.4,J12&lt;12)</formula>
    </cfRule>
  </conditionalFormatting>
  <conditionalFormatting sqref="J13">
    <cfRule type="expression" priority="658" dxfId="0">
      <formula>AND(COUNT(C13:J13)=8,J13=12)</formula>
    </cfRule>
    <cfRule type="expression" priority="659" dxfId="1">
      <formula>AND(COUNT(C13:J13)=8,J13&lt;12*0.4)</formula>
    </cfRule>
    <cfRule type="expression" priority="660" dxfId="2">
      <formula>AND(COUNT(C13:J13)=8,J13&gt;=12*0.4,J13&lt;12)</formula>
    </cfRule>
  </conditionalFormatting>
  <conditionalFormatting sqref="J14">
    <cfRule type="expression" priority="661" dxfId="0">
      <formula>AND(COUNT(C14:J14)=8,J14=12)</formula>
    </cfRule>
    <cfRule type="expression" priority="662" dxfId="1">
      <formula>AND(COUNT(C14:J14)=8,J14&lt;12*0.4)</formula>
    </cfRule>
    <cfRule type="expression" priority="663" dxfId="2">
      <formula>AND(COUNT(C14:J14)=8,J14&gt;=12*0.4,J14&lt;12)</formula>
    </cfRule>
  </conditionalFormatting>
  <conditionalFormatting sqref="J15">
    <cfRule type="expression" priority="664" dxfId="0">
      <formula>AND(COUNT(C15:J15)=8,J15=12)</formula>
    </cfRule>
    <cfRule type="expression" priority="665" dxfId="1">
      <formula>AND(COUNT(C15:J15)=8,J15&lt;12*0.4)</formula>
    </cfRule>
    <cfRule type="expression" priority="666" dxfId="2">
      <formula>AND(COUNT(C15:J15)=8,J15&gt;=12*0.4,J15&lt;12)</formula>
    </cfRule>
  </conditionalFormatting>
  <conditionalFormatting sqref="J16">
    <cfRule type="expression" priority="667" dxfId="0">
      <formula>AND(COUNT(C16:J16)=8,J16=12)</formula>
    </cfRule>
    <cfRule type="expression" priority="668" dxfId="1">
      <formula>AND(COUNT(C16:J16)=8,J16&lt;12*0.4)</formula>
    </cfRule>
    <cfRule type="expression" priority="669" dxfId="2">
      <formula>AND(COUNT(C16:J16)=8,J16&gt;=12*0.4,J16&lt;12)</formula>
    </cfRule>
  </conditionalFormatting>
  <conditionalFormatting sqref="J17">
    <cfRule type="expression" priority="670" dxfId="0">
      <formula>AND(COUNT(C17:J17)=8,J17=12)</formula>
    </cfRule>
    <cfRule type="expression" priority="671" dxfId="1">
      <formula>AND(COUNT(C17:J17)=8,J17&lt;12*0.4)</formula>
    </cfRule>
    <cfRule type="expression" priority="672" dxfId="2">
      <formula>AND(COUNT(C17:J17)=8,J17&gt;=12*0.4,J17&lt;12)</formula>
    </cfRule>
  </conditionalFormatting>
  <conditionalFormatting sqref="J18">
    <cfRule type="expression" priority="673" dxfId="0">
      <formula>AND(COUNT(C18:J18)=8,J18=12)</formula>
    </cfRule>
    <cfRule type="expression" priority="674" dxfId="1">
      <formula>AND(COUNT(C18:J18)=8,J18&lt;12*0.4)</formula>
    </cfRule>
    <cfRule type="expression" priority="675" dxfId="2">
      <formula>AND(COUNT(C18:J18)=8,J18&gt;=12*0.4,J18&lt;12)</formula>
    </cfRule>
  </conditionalFormatting>
  <conditionalFormatting sqref="J19">
    <cfRule type="expression" priority="676" dxfId="0">
      <formula>AND(COUNT(C19:J19)=8,J19=12)</formula>
    </cfRule>
    <cfRule type="expression" priority="677" dxfId="1">
      <formula>AND(COUNT(C19:J19)=8,J19&lt;12*0.4)</formula>
    </cfRule>
    <cfRule type="expression" priority="678" dxfId="2">
      <formula>AND(COUNT(C19:J19)=8,J19&gt;=12*0.4,J19&lt;12)</formula>
    </cfRule>
  </conditionalFormatting>
  <conditionalFormatting sqref="J20">
    <cfRule type="expression" priority="679" dxfId="0">
      <formula>AND(COUNT(C20:J20)=8,J20=12)</formula>
    </cfRule>
    <cfRule type="expression" priority="680" dxfId="1">
      <formula>AND(COUNT(C20:J20)=8,J20&lt;12*0.4)</formula>
    </cfRule>
    <cfRule type="expression" priority="681" dxfId="2">
      <formula>AND(COUNT(C20:J20)=8,J20&gt;=12*0.4,J20&lt;12)</formula>
    </cfRule>
  </conditionalFormatting>
  <conditionalFormatting sqref="J21">
    <cfRule type="expression" priority="682" dxfId="0">
      <formula>AND(COUNT(C21:J21)=8,J21=12)</formula>
    </cfRule>
    <cfRule type="expression" priority="683" dxfId="1">
      <formula>AND(COUNT(C21:J21)=8,J21&lt;12*0.4)</formula>
    </cfRule>
    <cfRule type="expression" priority="684" dxfId="2">
      <formula>AND(COUNT(C21:J21)=8,J21&gt;=12*0.4,J21&lt;12)</formula>
    </cfRule>
  </conditionalFormatting>
  <conditionalFormatting sqref="J22">
    <cfRule type="expression" priority="685" dxfId="0">
      <formula>AND(COUNT(C22:J22)=8,J22=12)</formula>
    </cfRule>
    <cfRule type="expression" priority="686" dxfId="1">
      <formula>AND(COUNT(C22:J22)=8,J22&lt;12*0.4)</formula>
    </cfRule>
    <cfRule type="expression" priority="687" dxfId="2">
      <formula>AND(COUNT(C22:J22)=8,J22&gt;=12*0.4,J22&lt;12)</formula>
    </cfRule>
  </conditionalFormatting>
  <conditionalFormatting sqref="J23">
    <cfRule type="expression" priority="688" dxfId="0">
      <formula>AND(COUNT(C23:J23)=8,J23=12)</formula>
    </cfRule>
    <cfRule type="expression" priority="689" dxfId="1">
      <formula>AND(COUNT(C23:J23)=8,J23&lt;12*0.4)</formula>
    </cfRule>
    <cfRule type="expression" priority="690" dxfId="2">
      <formula>AND(COUNT(C23:J23)=8,J23&gt;=12*0.4,J23&lt;12)</formula>
    </cfRule>
  </conditionalFormatting>
  <conditionalFormatting sqref="J24">
    <cfRule type="expression" priority="691" dxfId="0">
      <formula>AND(COUNT(C24:J24)=8,J24=12)</formula>
    </cfRule>
    <cfRule type="expression" priority="692" dxfId="1">
      <formula>AND(COUNT(C24:J24)=8,J24&lt;12*0.4)</formula>
    </cfRule>
    <cfRule type="expression" priority="693" dxfId="2">
      <formula>AND(COUNT(C24:J24)=8,J24&gt;=12*0.4,J24&lt;12)</formula>
    </cfRule>
  </conditionalFormatting>
  <conditionalFormatting sqref="J25">
    <cfRule type="expression" priority="694" dxfId="0">
      <formula>AND(COUNT(C25:J25)=8,J25=12)</formula>
    </cfRule>
    <cfRule type="expression" priority="695" dxfId="1">
      <formula>AND(COUNT(C25:J25)=8,J25&lt;12*0.4)</formula>
    </cfRule>
    <cfRule type="expression" priority="696" dxfId="2">
      <formula>AND(COUNT(C25:J25)=8,J25&gt;=12*0.4,J25&lt;12)</formula>
    </cfRule>
  </conditionalFormatting>
  <conditionalFormatting sqref="J26">
    <cfRule type="expression" priority="697" dxfId="0">
      <formula>AND(COUNT(C26:J26)=8,J26=12)</formula>
    </cfRule>
    <cfRule type="expression" priority="698" dxfId="1">
      <formula>AND(COUNT(C26:J26)=8,J26&lt;12*0.4)</formula>
    </cfRule>
    <cfRule type="expression" priority="699" dxfId="2">
      <formula>AND(COUNT(C26:J26)=8,J26&gt;=12*0.4,J26&lt;12)</formula>
    </cfRule>
  </conditionalFormatting>
  <conditionalFormatting sqref="J27">
    <cfRule type="expression" priority="700" dxfId="0">
      <formula>AND(COUNT(C27:J27)=8,J27=12)</formula>
    </cfRule>
    <cfRule type="expression" priority="701" dxfId="1">
      <formula>AND(COUNT(C27:J27)=8,J27&lt;12*0.4)</formula>
    </cfRule>
    <cfRule type="expression" priority="702" dxfId="2">
      <formula>AND(COUNT(C27:J27)=8,J27&gt;=12*0.4,J27&lt;12)</formula>
    </cfRule>
  </conditionalFormatting>
  <conditionalFormatting sqref="J28">
    <cfRule type="expression" priority="703" dxfId="0">
      <formula>AND(COUNT(C28:J28)=8,J28=12)</formula>
    </cfRule>
    <cfRule type="expression" priority="704" dxfId="1">
      <formula>AND(COUNT(C28:J28)=8,J28&lt;12*0.4)</formula>
    </cfRule>
    <cfRule type="expression" priority="705" dxfId="2">
      <formula>AND(COUNT(C28:J28)=8,J28&gt;=12*0.4,J28&lt;12)</formula>
    </cfRule>
  </conditionalFormatting>
  <conditionalFormatting sqref="J29">
    <cfRule type="expression" priority="706" dxfId="0">
      <formula>AND(COUNT(C29:J29)=8,J29=12)</formula>
    </cfRule>
    <cfRule type="expression" priority="707" dxfId="1">
      <formula>AND(COUNT(C29:J29)=8,J29&lt;12*0.4)</formula>
    </cfRule>
    <cfRule type="expression" priority="708" dxfId="2">
      <formula>AND(COUNT(C29:J29)=8,J29&gt;=12*0.4,J29&lt;12)</formula>
    </cfRule>
  </conditionalFormatting>
  <conditionalFormatting sqref="J30">
    <cfRule type="expression" priority="709" dxfId="0">
      <formula>AND(COUNT(C30:J30)=8,J30=12)</formula>
    </cfRule>
    <cfRule type="expression" priority="710" dxfId="1">
      <formula>AND(COUNT(C30:J30)=8,J30&lt;12*0.4)</formula>
    </cfRule>
    <cfRule type="expression" priority="711" dxfId="2">
      <formula>AND(COUNT(C30:J30)=8,J30&gt;=12*0.4,J30&lt;12)</formula>
    </cfRule>
  </conditionalFormatting>
  <conditionalFormatting sqref="J31">
    <cfRule type="expression" priority="712" dxfId="0">
      <formula>AND(COUNT(C31:J31)=8,J31=12)</formula>
    </cfRule>
    <cfRule type="expression" priority="713" dxfId="1">
      <formula>AND(COUNT(C31:J31)=8,J31&lt;12*0.4)</formula>
    </cfRule>
    <cfRule type="expression" priority="714" dxfId="2">
      <formula>AND(COUNT(C31:J31)=8,J31&gt;=12*0.4,J31&lt;12)</formula>
    </cfRule>
  </conditionalFormatting>
  <conditionalFormatting sqref="J32">
    <cfRule type="expression" priority="715" dxfId="0">
      <formula>AND(COUNT(C32:J32)=8,J32=12)</formula>
    </cfRule>
    <cfRule type="expression" priority="716" dxfId="1">
      <formula>AND(COUNT(C32:J32)=8,J32&lt;12*0.4)</formula>
    </cfRule>
    <cfRule type="expression" priority="717" dxfId="2">
      <formula>AND(COUNT(C32:J32)=8,J32&gt;=12*0.4,J32&lt;12)</formula>
    </cfRule>
  </conditionalFormatting>
  <conditionalFormatting sqref="J33">
    <cfRule type="expression" priority="718" dxfId="0">
      <formula>AND(COUNT(C33:J33)=8,J33=12)</formula>
    </cfRule>
    <cfRule type="expression" priority="719" dxfId="1">
      <formula>AND(COUNT(C33:J33)=8,J33&lt;12*0.4)</formula>
    </cfRule>
    <cfRule type="expression" priority="720" dxfId="2">
      <formula>AND(COUNT(C33:J33)=8,J33&gt;=12*0.4,J33&lt;12)</formula>
    </cfRule>
  </conditionalFormatting>
  <conditionalFormatting sqref="J34">
    <cfRule type="expression" priority="721" dxfId="0">
      <formula>AND(COUNT(C34:J34)=8,J34=12)</formula>
    </cfRule>
    <cfRule type="expression" priority="722" dxfId="1">
      <formula>AND(COUNT(C34:J34)=8,J34&lt;12*0.4)</formula>
    </cfRule>
    <cfRule type="expression" priority="723" dxfId="2">
      <formula>AND(COUNT(C34:J34)=8,J34&gt;=12*0.4,J34&lt;12)</formula>
    </cfRule>
  </conditionalFormatting>
  <conditionalFormatting sqref="J35">
    <cfRule type="expression" priority="724" dxfId="0">
      <formula>AND(COUNT(C35:J35)=8,J35=12)</formula>
    </cfRule>
    <cfRule type="expression" priority="725" dxfId="1">
      <formula>AND(COUNT(C35:J35)=8,J35&lt;12*0.4)</formula>
    </cfRule>
    <cfRule type="expression" priority="726" dxfId="2">
      <formula>AND(COUNT(C35:J35)=8,J35&gt;=12*0.4,J35&lt;12)</formula>
    </cfRule>
  </conditionalFormatting>
  <conditionalFormatting sqref="J36">
    <cfRule type="expression" priority="727" dxfId="0">
      <formula>AND(COUNT(C36:J36)=8,J36=12)</formula>
    </cfRule>
    <cfRule type="expression" priority="728" dxfId="1">
      <formula>AND(COUNT(C36:J36)=8,J36&lt;12*0.4)</formula>
    </cfRule>
    <cfRule type="expression" priority="729" dxfId="2">
      <formula>AND(COUNT(C36:J36)=8,J36&gt;=12*0.4,J36&lt;12)</formula>
    </cfRule>
  </conditionalFormatting>
  <conditionalFormatting sqref="J37">
    <cfRule type="expression" priority="730" dxfId="0">
      <formula>AND(COUNT(C37:J37)=8,J37=12)</formula>
    </cfRule>
    <cfRule type="expression" priority="731" dxfId="1">
      <formula>AND(COUNT(C37:J37)=8,J37&lt;12*0.4)</formula>
    </cfRule>
    <cfRule type="expression" priority="732" dxfId="2">
      <formula>AND(COUNT(C37:J37)=8,J37&gt;=12*0.4,J37&lt;12)</formula>
    </cfRule>
  </conditionalFormatting>
  <conditionalFormatting sqref="J38">
    <cfRule type="expression" priority="733" dxfId="0">
      <formula>AND(COUNT(C38:J38)=8,J38=12)</formula>
    </cfRule>
    <cfRule type="expression" priority="734" dxfId="1">
      <formula>AND(COUNT(C38:J38)=8,J38&lt;12*0.4)</formula>
    </cfRule>
    <cfRule type="expression" priority="735" dxfId="2">
      <formula>AND(COUNT(C38:J38)=8,J38&gt;=12*0.4,J38&lt;12)</formula>
    </cfRule>
  </conditionalFormatting>
  <conditionalFormatting sqref="J39">
    <cfRule type="expression" priority="736" dxfId="0">
      <formula>AND(COUNT(C39:J39)=8,J39=12)</formula>
    </cfRule>
    <cfRule type="expression" priority="737" dxfId="1">
      <formula>AND(COUNT(C39:J39)=8,J39&lt;12*0.4)</formula>
    </cfRule>
    <cfRule type="expression" priority="738" dxfId="2">
      <formula>AND(COUNT(C39:J39)=8,J39&gt;=12*0.4,J39&lt;12)</formula>
    </cfRule>
  </conditionalFormatting>
  <conditionalFormatting sqref="J40">
    <cfRule type="expression" priority="739" dxfId="0">
      <formula>AND(COUNT(C40:J40)=8,J40=12)</formula>
    </cfRule>
    <cfRule type="expression" priority="740" dxfId="1">
      <formula>AND(COUNT(C40:J40)=8,J40&lt;12*0.4)</formula>
    </cfRule>
    <cfRule type="expression" priority="741" dxfId="2">
      <formula>AND(COUNT(C40:J40)=8,J40&gt;=12*0.4,J40&lt;12)</formula>
    </cfRule>
  </conditionalFormatting>
  <conditionalFormatting sqref="J41">
    <cfRule type="expression" priority="742" dxfId="0">
      <formula>AND(COUNT(C41:J41)=8,J41=12)</formula>
    </cfRule>
    <cfRule type="expression" priority="743" dxfId="1">
      <formula>AND(COUNT(C41:J41)=8,J41&lt;12*0.4)</formula>
    </cfRule>
    <cfRule type="expression" priority="744" dxfId="2">
      <formula>AND(COUNT(C41:J41)=8,J41&gt;=12*0.4,J41&lt;12)</formula>
    </cfRule>
  </conditionalFormatting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245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11" max="11"/>
  </cols>
  <sheetData>
    <row r="1">
      <c r="A1" s="15" t="inlineStr">
        <is>
          <t>Feedback stickers — Mock Exam 1 — Paper 2A</t>
        </is>
      </c>
    </row>
    <row r="2">
      <c r="A2" s="2" t="inlineStr">
        <is>
          <t>Every block below pulls live from 'Mock 1 Paper 2A Results'. Blocks for pupil rows with no name entered yet are completely blank. Print layout is fixed at 6 stickers per A4 page (2 across, 3 down) — just print the page range below.</t>
        </is>
      </c>
    </row>
    <row r="3">
      <c r="A3" t="inlineStr">
        <is>
          <t>Pupils with results entered so far:</t>
        </is>
      </c>
      <c r="D3">
        <f>SUMPRODUCT(--ISNUMBER('Mock 1 Paper 2A Results'!M12:M41))</f>
        <v/>
      </c>
      <c r="E3" t="inlineStr">
        <is>
          <t xml:space="preserve">  -&gt;  print pages 1 to</t>
        </is>
      </c>
      <c r="G3">
        <f>ROUNDUP(D3/6,0)</f>
        <v/>
      </c>
      <c r="H3" t="inlineStr">
        <is>
          <t>(6 pupils per printed page)</t>
        </is>
      </c>
    </row>
    <row r="5">
      <c r="A5">
        <f>IF('Mock 1 Paper 2A Results'!M12="","","Mock Exam 1 — Paper 2A")</f>
        <v/>
      </c>
      <c r="K5">
        <f>IF('Mock 1 Paper 2A Results'!M13="","","Mock Exam 1 — Paper 2A")</f>
        <v/>
      </c>
    </row>
    <row r="6">
      <c r="A6">
        <f>IF('Mock 1 Paper 2A Results'!M12="","","Name: "&amp;'Mock 1 Paper 2A Results'!B12&amp;"   Class: "&amp;'Mock 1 Paper 2A Results'!$B$3&amp;"   Date: "&amp;TEXT('Mock 1 Paper 2A Results'!$B$5,"DD/MM/YY"))</f>
        <v/>
      </c>
      <c r="K6">
        <f>IF('Mock 1 Paper 2A Results'!M13="","","Name: "&amp;'Mock 1 Paper 2A Results'!B13&amp;"   Class: "&amp;'Mock 1 Paper 2A Results'!$B$3&amp;"   Date: "&amp;TEXT('Mock 1 Paper 2A Results'!$B$5,"DD/MM/YY"))</f>
        <v/>
      </c>
    </row>
    <row r="7">
      <c r="A7">
        <f>IF('Mock 1 Paper 2A Results'!M12="","","Total: "&amp;'Mock 1 Paper 2A Results'!K12&amp;"/60 ("&amp;TEXT('Mock 1 Paper 2A Results'!L12,"0%")&amp;")   Overall: "&amp;'Mock 1 Paper 2A Results'!M12)</f>
        <v/>
      </c>
      <c r="K7">
        <f>IF('Mock 1 Paper 2A Results'!M13="","","Total: "&amp;'Mock 1 Paper 2A Results'!K13&amp;"/60 ("&amp;TEXT('Mock 1 Paper 2A Results'!L13,"0%")&amp;")   Overall: "&amp;'Mock 1 Paper 2A Results'!M13)</f>
        <v/>
      </c>
    </row>
    <row r="8">
      <c r="A8">
        <f>IF('Mock 1 Paper 2A Results'!M12="","",IF('Mock 1 Paper 2A Results'!M12="Green",Parameters!$C$503,IF('Mock 1 Paper 2A Results'!M12="Yellow",Parameters!$C$502,Parameters!$C$501)))</f>
        <v/>
      </c>
      <c r="K8">
        <f>IF('Mock 1 Paper 2A Results'!M13="","",IF('Mock 1 Paper 2A Results'!M13="Green",Parameters!$C$503,IF('Mock 1 Paper 2A Results'!M13="Yellow",Parameters!$C$502,Parameters!$C$501)))</f>
        <v/>
      </c>
    </row>
    <row r="10">
      <c r="A10">
        <f>IF('Mock 1 Paper 2A Results'!M12="","","Breakdown:")</f>
        <v/>
      </c>
      <c r="K10">
        <f>IF('Mock 1 Paper 2A Results'!M13="","","Breakdown:")</f>
        <v/>
      </c>
    </row>
    <row r="11">
      <c r="A11">
        <f>IF('Mock 1 Paper 2A Results'!M12="","","Q1 Ratios and percentage constraints: "&amp;'Mock 1 Paper 2A Results'!C12&amp;"/7")</f>
        <v/>
      </c>
      <c r="K11">
        <f>IF('Mock 1 Paper 2A Results'!M13="","","Q1 Ratios and percentage constraints: "&amp;'Mock 1 Paper 2A Results'!C13&amp;"/7")</f>
        <v/>
      </c>
    </row>
    <row r="12">
      <c r="A12">
        <f>IF('Mock 1 Paper 2A Results'!M12="","","Q2 Critical analysis of claims and data: "&amp;'Mock 1 Paper 2A Results'!D12&amp;"/13")</f>
        <v/>
      </c>
      <c r="K12">
        <f>IF('Mock 1 Paper 2A Results'!M13="","","Q2 Critical analysis of claims and data: "&amp;'Mock 1 Paper 2A Results'!D13&amp;"/13")</f>
        <v/>
      </c>
    </row>
    <row r="13">
      <c r="A13">
        <f>IF('Mock 1 Paper 2A Results'!M12="","","Q3 Standard normal distribution notation: "&amp;'Mock 1 Paper 2A Results'!E12&amp;"/2")</f>
        <v/>
      </c>
      <c r="K13">
        <f>IF('Mock 1 Paper 2A Results'!M13="","","Q3 Standard normal distribution notation: "&amp;'Mock 1 Paper 2A Results'!E13&amp;"/2")</f>
        <v/>
      </c>
    </row>
    <row r="14">
      <c r="A14">
        <f>IF('Mock 1 Paper 2A Results'!M12="","","Q4 Confidence interval for a mean: "&amp;'Mock 1 Paper 2A Results'!F12&amp;"/6")</f>
        <v/>
      </c>
      <c r="K14">
        <f>IF('Mock 1 Paper 2A Results'!M13="","","Q4 Confidence interval for a mean: "&amp;'Mock 1 Paper 2A Results'!F13&amp;"/6")</f>
        <v/>
      </c>
    </row>
    <row r="15">
      <c r="A15">
        <f>IF('Mock 1 Paper 2A Results'!M12="","","Q5 Point estimates and sample size: "&amp;'Mock 1 Paper 2A Results'!G12&amp;"/9")</f>
        <v/>
      </c>
      <c r="K15">
        <f>IF('Mock 1 Paper 2A Results'!M13="","","Q5 Point estimates and sample size: "&amp;'Mock 1 Paper 2A Results'!G13&amp;"/9")</f>
        <v/>
      </c>
    </row>
    <row r="16">
      <c r="A16">
        <f>IF('Mock 1 Paper 2A Results'!M12="","","Q6 Correlation and PMCC: "&amp;'Mock 1 Paper 2A Results'!H12&amp;"/3")</f>
        <v/>
      </c>
      <c r="K16">
        <f>IF('Mock 1 Paper 2A Results'!M13="","","Q6 Correlation and PMCC: "&amp;'Mock 1 Paper 2A Results'!H13&amp;"/3")</f>
        <v/>
      </c>
    </row>
    <row r="17">
      <c r="A17">
        <f>IF('Mock 1 Paper 2A Results'!M12="","","Q7 Normal distribution probabilities: "&amp;'Mock 1 Paper 2A Results'!I12&amp;"/8")</f>
        <v/>
      </c>
      <c r="K17">
        <f>IF('Mock 1 Paper 2A Results'!M13="","","Q7 Normal distribution probabilities: "&amp;'Mock 1 Paper 2A Results'!I13&amp;"/8")</f>
        <v/>
      </c>
    </row>
    <row r="18">
      <c r="A18">
        <f>IF('Mock 1 Paper 2A Results'!M12="","","Q8 Regression line and interpolation: "&amp;'Mock 1 Paper 2A Results'!J12&amp;"/12")</f>
        <v/>
      </c>
      <c r="K18">
        <f>IF('Mock 1 Paper 2A Results'!M13="","","Q8 Regression line and interpolation: "&amp;'Mock 1 Paper 2A Results'!J13&amp;"/12")</f>
        <v/>
      </c>
    </row>
    <row r="19">
      <c r="A19">
        <f>IF(OR('Mock 1 Paper 2A Results'!M12="",'Mock 1 Paper 2A Results'!N12=""),"",'Mock 1 Paper 2A Results'!N12)</f>
        <v/>
      </c>
      <c r="K19">
        <f>IF(OR('Mock 1 Paper 2A Results'!M13="",'Mock 1 Paper 2A Results'!N13=""),"",'Mock 1 Paper 2A Results'!N13)</f>
        <v/>
      </c>
    </row>
    <row r="21">
      <c r="A21">
        <f>IF('Mock 1 Paper 2A Results'!M14="","","Mock Exam 1 — Paper 2A")</f>
        <v/>
      </c>
      <c r="K21">
        <f>IF('Mock 1 Paper 2A Results'!M15="","","Mock Exam 1 — Paper 2A")</f>
        <v/>
      </c>
    </row>
    <row r="22">
      <c r="A22">
        <f>IF('Mock 1 Paper 2A Results'!M14="","","Name: "&amp;'Mock 1 Paper 2A Results'!B14&amp;"   Class: "&amp;'Mock 1 Paper 2A Results'!$B$3&amp;"   Date: "&amp;TEXT('Mock 1 Paper 2A Results'!$B$5,"DD/MM/YY"))</f>
        <v/>
      </c>
      <c r="K22">
        <f>IF('Mock 1 Paper 2A Results'!M15="","","Name: "&amp;'Mock 1 Paper 2A Results'!B15&amp;"   Class: "&amp;'Mock 1 Paper 2A Results'!$B$3&amp;"   Date: "&amp;TEXT('Mock 1 Paper 2A Results'!$B$5,"DD/MM/YY"))</f>
        <v/>
      </c>
    </row>
    <row r="23">
      <c r="A23">
        <f>IF('Mock 1 Paper 2A Results'!M14="","","Total: "&amp;'Mock 1 Paper 2A Results'!K14&amp;"/60 ("&amp;TEXT('Mock 1 Paper 2A Results'!L14,"0%")&amp;")   Overall: "&amp;'Mock 1 Paper 2A Results'!M14)</f>
        <v/>
      </c>
      <c r="K23">
        <f>IF('Mock 1 Paper 2A Results'!M15="","","Total: "&amp;'Mock 1 Paper 2A Results'!K15&amp;"/60 ("&amp;TEXT('Mock 1 Paper 2A Results'!L15,"0%")&amp;")   Overall: "&amp;'Mock 1 Paper 2A Results'!M15)</f>
        <v/>
      </c>
    </row>
    <row r="24">
      <c r="A24">
        <f>IF('Mock 1 Paper 2A Results'!M14="","",IF('Mock 1 Paper 2A Results'!M14="Green",Parameters!$C$503,IF('Mock 1 Paper 2A Results'!M14="Yellow",Parameters!$C$502,Parameters!$C$501)))</f>
        <v/>
      </c>
      <c r="K24">
        <f>IF('Mock 1 Paper 2A Results'!M15="","",IF('Mock 1 Paper 2A Results'!M15="Green",Parameters!$C$503,IF('Mock 1 Paper 2A Results'!M15="Yellow",Parameters!$C$502,Parameters!$C$501)))</f>
        <v/>
      </c>
    </row>
    <row r="26">
      <c r="A26">
        <f>IF('Mock 1 Paper 2A Results'!M14="","","Breakdown:")</f>
        <v/>
      </c>
      <c r="K26">
        <f>IF('Mock 1 Paper 2A Results'!M15="","","Breakdown:")</f>
        <v/>
      </c>
    </row>
    <row r="27">
      <c r="A27">
        <f>IF('Mock 1 Paper 2A Results'!M14="","","Q1 Ratios and percentage constraints: "&amp;'Mock 1 Paper 2A Results'!C14&amp;"/7")</f>
        <v/>
      </c>
      <c r="K27">
        <f>IF('Mock 1 Paper 2A Results'!M15="","","Q1 Ratios and percentage constraints: "&amp;'Mock 1 Paper 2A Results'!C15&amp;"/7")</f>
        <v/>
      </c>
    </row>
    <row r="28">
      <c r="A28">
        <f>IF('Mock 1 Paper 2A Results'!M14="","","Q2 Critical analysis of claims and data: "&amp;'Mock 1 Paper 2A Results'!D14&amp;"/13")</f>
        <v/>
      </c>
      <c r="K28">
        <f>IF('Mock 1 Paper 2A Results'!M15="","","Q2 Critical analysis of claims and data: "&amp;'Mock 1 Paper 2A Results'!D15&amp;"/13")</f>
        <v/>
      </c>
    </row>
    <row r="29">
      <c r="A29">
        <f>IF('Mock 1 Paper 2A Results'!M14="","","Q3 Standard normal distribution notation: "&amp;'Mock 1 Paper 2A Results'!E14&amp;"/2")</f>
        <v/>
      </c>
      <c r="K29">
        <f>IF('Mock 1 Paper 2A Results'!M15="","","Q3 Standard normal distribution notation: "&amp;'Mock 1 Paper 2A Results'!E15&amp;"/2")</f>
        <v/>
      </c>
    </row>
    <row r="30">
      <c r="A30">
        <f>IF('Mock 1 Paper 2A Results'!M14="","","Q4 Confidence interval for a mean: "&amp;'Mock 1 Paper 2A Results'!F14&amp;"/6")</f>
        <v/>
      </c>
      <c r="K30">
        <f>IF('Mock 1 Paper 2A Results'!M15="","","Q4 Confidence interval for a mean: "&amp;'Mock 1 Paper 2A Results'!F15&amp;"/6")</f>
        <v/>
      </c>
    </row>
    <row r="31">
      <c r="A31">
        <f>IF('Mock 1 Paper 2A Results'!M14="","","Q5 Point estimates and sample size: "&amp;'Mock 1 Paper 2A Results'!G14&amp;"/9")</f>
        <v/>
      </c>
      <c r="K31">
        <f>IF('Mock 1 Paper 2A Results'!M15="","","Q5 Point estimates and sample size: "&amp;'Mock 1 Paper 2A Results'!G15&amp;"/9")</f>
        <v/>
      </c>
    </row>
    <row r="32">
      <c r="A32">
        <f>IF('Mock 1 Paper 2A Results'!M14="","","Q6 Correlation and PMCC: "&amp;'Mock 1 Paper 2A Results'!H14&amp;"/3")</f>
        <v/>
      </c>
      <c r="K32">
        <f>IF('Mock 1 Paper 2A Results'!M15="","","Q6 Correlation and PMCC: "&amp;'Mock 1 Paper 2A Results'!H15&amp;"/3")</f>
        <v/>
      </c>
    </row>
    <row r="33">
      <c r="A33">
        <f>IF('Mock 1 Paper 2A Results'!M14="","","Q7 Normal distribution probabilities: "&amp;'Mock 1 Paper 2A Results'!I14&amp;"/8")</f>
        <v/>
      </c>
      <c r="K33">
        <f>IF('Mock 1 Paper 2A Results'!M15="","","Q7 Normal distribution probabilities: "&amp;'Mock 1 Paper 2A Results'!I15&amp;"/8")</f>
        <v/>
      </c>
    </row>
    <row r="34">
      <c r="A34">
        <f>IF('Mock 1 Paper 2A Results'!M14="","","Q8 Regression line and interpolation: "&amp;'Mock 1 Paper 2A Results'!J14&amp;"/12")</f>
        <v/>
      </c>
      <c r="K34">
        <f>IF('Mock 1 Paper 2A Results'!M15="","","Q8 Regression line and interpolation: "&amp;'Mock 1 Paper 2A Results'!J15&amp;"/12")</f>
        <v/>
      </c>
    </row>
    <row r="35">
      <c r="A35">
        <f>IF(OR('Mock 1 Paper 2A Results'!M14="",'Mock 1 Paper 2A Results'!N14=""),"",'Mock 1 Paper 2A Results'!N14)</f>
        <v/>
      </c>
      <c r="K35">
        <f>IF(OR('Mock 1 Paper 2A Results'!M15="",'Mock 1 Paper 2A Results'!N15=""),"",'Mock 1 Paper 2A Results'!N15)</f>
        <v/>
      </c>
    </row>
    <row r="37">
      <c r="A37">
        <f>IF('Mock 1 Paper 2A Results'!M16="","","Mock Exam 1 — Paper 2A")</f>
        <v/>
      </c>
      <c r="K37">
        <f>IF('Mock 1 Paper 2A Results'!M17="","","Mock Exam 1 — Paper 2A")</f>
        <v/>
      </c>
    </row>
    <row r="38">
      <c r="A38">
        <f>IF('Mock 1 Paper 2A Results'!M16="","","Name: "&amp;'Mock 1 Paper 2A Results'!B16&amp;"   Class: "&amp;'Mock 1 Paper 2A Results'!$B$3&amp;"   Date: "&amp;TEXT('Mock 1 Paper 2A Results'!$B$5,"DD/MM/YY"))</f>
        <v/>
      </c>
      <c r="K38">
        <f>IF('Mock 1 Paper 2A Results'!M17="","","Name: "&amp;'Mock 1 Paper 2A Results'!B17&amp;"   Class: "&amp;'Mock 1 Paper 2A Results'!$B$3&amp;"   Date: "&amp;TEXT('Mock 1 Paper 2A Results'!$B$5,"DD/MM/YY"))</f>
        <v/>
      </c>
    </row>
    <row r="39">
      <c r="A39">
        <f>IF('Mock 1 Paper 2A Results'!M16="","","Total: "&amp;'Mock 1 Paper 2A Results'!K16&amp;"/60 ("&amp;TEXT('Mock 1 Paper 2A Results'!L16,"0%")&amp;")   Overall: "&amp;'Mock 1 Paper 2A Results'!M16)</f>
        <v/>
      </c>
      <c r="K39">
        <f>IF('Mock 1 Paper 2A Results'!M17="","","Total: "&amp;'Mock 1 Paper 2A Results'!K17&amp;"/60 ("&amp;TEXT('Mock 1 Paper 2A Results'!L17,"0%")&amp;")   Overall: "&amp;'Mock 1 Paper 2A Results'!M17)</f>
        <v/>
      </c>
    </row>
    <row r="40">
      <c r="A40">
        <f>IF('Mock 1 Paper 2A Results'!M16="","",IF('Mock 1 Paper 2A Results'!M16="Green",Parameters!$C$503,IF('Mock 1 Paper 2A Results'!M16="Yellow",Parameters!$C$502,Parameters!$C$501)))</f>
        <v/>
      </c>
      <c r="K40">
        <f>IF('Mock 1 Paper 2A Results'!M17="","",IF('Mock 1 Paper 2A Results'!M17="Green",Parameters!$C$503,IF('Mock 1 Paper 2A Results'!M17="Yellow",Parameters!$C$502,Parameters!$C$501)))</f>
        <v/>
      </c>
    </row>
    <row r="42">
      <c r="A42">
        <f>IF('Mock 1 Paper 2A Results'!M16="","","Breakdown:")</f>
        <v/>
      </c>
      <c r="K42">
        <f>IF('Mock 1 Paper 2A Results'!M17="","","Breakdown:")</f>
        <v/>
      </c>
    </row>
    <row r="43">
      <c r="A43">
        <f>IF('Mock 1 Paper 2A Results'!M16="","","Q1 Ratios and percentage constraints: "&amp;'Mock 1 Paper 2A Results'!C16&amp;"/7")</f>
        <v/>
      </c>
      <c r="K43">
        <f>IF('Mock 1 Paper 2A Results'!M17="","","Q1 Ratios and percentage constraints: "&amp;'Mock 1 Paper 2A Results'!C17&amp;"/7")</f>
        <v/>
      </c>
    </row>
    <row r="44">
      <c r="A44">
        <f>IF('Mock 1 Paper 2A Results'!M16="","","Q2 Critical analysis of claims and data: "&amp;'Mock 1 Paper 2A Results'!D16&amp;"/13")</f>
        <v/>
      </c>
      <c r="K44">
        <f>IF('Mock 1 Paper 2A Results'!M17="","","Q2 Critical analysis of claims and data: "&amp;'Mock 1 Paper 2A Results'!D17&amp;"/13")</f>
        <v/>
      </c>
    </row>
    <row r="45">
      <c r="A45">
        <f>IF('Mock 1 Paper 2A Results'!M16="","","Q3 Standard normal distribution notation: "&amp;'Mock 1 Paper 2A Results'!E16&amp;"/2")</f>
        <v/>
      </c>
      <c r="K45">
        <f>IF('Mock 1 Paper 2A Results'!M17="","","Q3 Standard normal distribution notation: "&amp;'Mock 1 Paper 2A Results'!E17&amp;"/2")</f>
        <v/>
      </c>
    </row>
    <row r="46">
      <c r="A46">
        <f>IF('Mock 1 Paper 2A Results'!M16="","","Q4 Confidence interval for a mean: "&amp;'Mock 1 Paper 2A Results'!F16&amp;"/6")</f>
        <v/>
      </c>
      <c r="K46">
        <f>IF('Mock 1 Paper 2A Results'!M17="","","Q4 Confidence interval for a mean: "&amp;'Mock 1 Paper 2A Results'!F17&amp;"/6")</f>
        <v/>
      </c>
    </row>
    <row r="47">
      <c r="A47">
        <f>IF('Mock 1 Paper 2A Results'!M16="","","Q5 Point estimates and sample size: "&amp;'Mock 1 Paper 2A Results'!G16&amp;"/9")</f>
        <v/>
      </c>
      <c r="K47">
        <f>IF('Mock 1 Paper 2A Results'!M17="","","Q5 Point estimates and sample size: "&amp;'Mock 1 Paper 2A Results'!G17&amp;"/9")</f>
        <v/>
      </c>
    </row>
    <row r="48">
      <c r="A48">
        <f>IF('Mock 1 Paper 2A Results'!M16="","","Q6 Correlation and PMCC: "&amp;'Mock 1 Paper 2A Results'!H16&amp;"/3")</f>
        <v/>
      </c>
      <c r="K48">
        <f>IF('Mock 1 Paper 2A Results'!M17="","","Q6 Correlation and PMCC: "&amp;'Mock 1 Paper 2A Results'!H17&amp;"/3")</f>
        <v/>
      </c>
    </row>
    <row r="49">
      <c r="A49">
        <f>IF('Mock 1 Paper 2A Results'!M16="","","Q7 Normal distribution probabilities: "&amp;'Mock 1 Paper 2A Results'!I16&amp;"/8")</f>
        <v/>
      </c>
      <c r="K49">
        <f>IF('Mock 1 Paper 2A Results'!M17="","","Q7 Normal distribution probabilities: "&amp;'Mock 1 Paper 2A Results'!I17&amp;"/8")</f>
        <v/>
      </c>
    </row>
    <row r="50">
      <c r="A50">
        <f>IF('Mock 1 Paper 2A Results'!M16="","","Q8 Regression line and interpolation: "&amp;'Mock 1 Paper 2A Results'!J16&amp;"/12")</f>
        <v/>
      </c>
      <c r="K50">
        <f>IF('Mock 1 Paper 2A Results'!M17="","","Q8 Regression line and interpolation: "&amp;'Mock 1 Paper 2A Results'!J17&amp;"/12")</f>
        <v/>
      </c>
    </row>
    <row r="51">
      <c r="A51">
        <f>IF(OR('Mock 1 Paper 2A Results'!M16="",'Mock 1 Paper 2A Results'!N16=""),"",'Mock 1 Paper 2A Results'!N16)</f>
        <v/>
      </c>
      <c r="K51">
        <f>IF(OR('Mock 1 Paper 2A Results'!M17="",'Mock 1 Paper 2A Results'!N17=""),"",'Mock 1 Paper 2A Results'!N17)</f>
        <v/>
      </c>
    </row>
    <row r="53">
      <c r="A53">
        <f>IF('Mock 1 Paper 2A Results'!M18="","","Mock Exam 1 — Paper 2A")</f>
        <v/>
      </c>
      <c r="K53">
        <f>IF('Mock 1 Paper 2A Results'!M19="","","Mock Exam 1 — Paper 2A")</f>
        <v/>
      </c>
    </row>
    <row r="54">
      <c r="A54">
        <f>IF('Mock 1 Paper 2A Results'!M18="","","Name: "&amp;'Mock 1 Paper 2A Results'!B18&amp;"   Class: "&amp;'Mock 1 Paper 2A Results'!$B$3&amp;"   Date: "&amp;TEXT('Mock 1 Paper 2A Results'!$B$5,"DD/MM/YY"))</f>
        <v/>
      </c>
      <c r="K54">
        <f>IF('Mock 1 Paper 2A Results'!M19="","","Name: "&amp;'Mock 1 Paper 2A Results'!B19&amp;"   Class: "&amp;'Mock 1 Paper 2A Results'!$B$3&amp;"   Date: "&amp;TEXT('Mock 1 Paper 2A Results'!$B$5,"DD/MM/YY"))</f>
        <v/>
      </c>
    </row>
    <row r="55">
      <c r="A55">
        <f>IF('Mock 1 Paper 2A Results'!M18="","","Total: "&amp;'Mock 1 Paper 2A Results'!K18&amp;"/60 ("&amp;TEXT('Mock 1 Paper 2A Results'!L18,"0%")&amp;")   Overall: "&amp;'Mock 1 Paper 2A Results'!M18)</f>
        <v/>
      </c>
      <c r="K55">
        <f>IF('Mock 1 Paper 2A Results'!M19="","","Total: "&amp;'Mock 1 Paper 2A Results'!K19&amp;"/60 ("&amp;TEXT('Mock 1 Paper 2A Results'!L19,"0%")&amp;")   Overall: "&amp;'Mock 1 Paper 2A Results'!M19)</f>
        <v/>
      </c>
    </row>
    <row r="56">
      <c r="A56">
        <f>IF('Mock 1 Paper 2A Results'!M18="","",IF('Mock 1 Paper 2A Results'!M18="Green",Parameters!$C$503,IF('Mock 1 Paper 2A Results'!M18="Yellow",Parameters!$C$502,Parameters!$C$501)))</f>
        <v/>
      </c>
      <c r="K56">
        <f>IF('Mock 1 Paper 2A Results'!M19="","",IF('Mock 1 Paper 2A Results'!M19="Green",Parameters!$C$503,IF('Mock 1 Paper 2A Results'!M19="Yellow",Parameters!$C$502,Parameters!$C$501)))</f>
        <v/>
      </c>
    </row>
    <row r="58">
      <c r="A58">
        <f>IF('Mock 1 Paper 2A Results'!M18="","","Breakdown:")</f>
        <v/>
      </c>
      <c r="K58">
        <f>IF('Mock 1 Paper 2A Results'!M19="","","Breakdown:")</f>
        <v/>
      </c>
    </row>
    <row r="59">
      <c r="A59">
        <f>IF('Mock 1 Paper 2A Results'!M18="","","Q1 Ratios and percentage constraints: "&amp;'Mock 1 Paper 2A Results'!C18&amp;"/7")</f>
        <v/>
      </c>
      <c r="K59">
        <f>IF('Mock 1 Paper 2A Results'!M19="","","Q1 Ratios and percentage constraints: "&amp;'Mock 1 Paper 2A Results'!C19&amp;"/7")</f>
        <v/>
      </c>
    </row>
    <row r="60">
      <c r="A60">
        <f>IF('Mock 1 Paper 2A Results'!M18="","","Q2 Critical analysis of claims and data: "&amp;'Mock 1 Paper 2A Results'!D18&amp;"/13")</f>
        <v/>
      </c>
      <c r="K60">
        <f>IF('Mock 1 Paper 2A Results'!M19="","","Q2 Critical analysis of claims and data: "&amp;'Mock 1 Paper 2A Results'!D19&amp;"/13")</f>
        <v/>
      </c>
    </row>
    <row r="61">
      <c r="A61">
        <f>IF('Mock 1 Paper 2A Results'!M18="","","Q3 Standard normal distribution notation: "&amp;'Mock 1 Paper 2A Results'!E18&amp;"/2")</f>
        <v/>
      </c>
      <c r="K61">
        <f>IF('Mock 1 Paper 2A Results'!M19="","","Q3 Standard normal distribution notation: "&amp;'Mock 1 Paper 2A Results'!E19&amp;"/2")</f>
        <v/>
      </c>
    </row>
    <row r="62">
      <c r="A62">
        <f>IF('Mock 1 Paper 2A Results'!M18="","","Q4 Confidence interval for a mean: "&amp;'Mock 1 Paper 2A Results'!F18&amp;"/6")</f>
        <v/>
      </c>
      <c r="K62">
        <f>IF('Mock 1 Paper 2A Results'!M19="","","Q4 Confidence interval for a mean: "&amp;'Mock 1 Paper 2A Results'!F19&amp;"/6")</f>
        <v/>
      </c>
    </row>
    <row r="63">
      <c r="A63">
        <f>IF('Mock 1 Paper 2A Results'!M18="","","Q5 Point estimates and sample size: "&amp;'Mock 1 Paper 2A Results'!G18&amp;"/9")</f>
        <v/>
      </c>
      <c r="K63">
        <f>IF('Mock 1 Paper 2A Results'!M19="","","Q5 Point estimates and sample size: "&amp;'Mock 1 Paper 2A Results'!G19&amp;"/9")</f>
        <v/>
      </c>
    </row>
    <row r="64">
      <c r="A64">
        <f>IF('Mock 1 Paper 2A Results'!M18="","","Q6 Correlation and PMCC: "&amp;'Mock 1 Paper 2A Results'!H18&amp;"/3")</f>
        <v/>
      </c>
      <c r="K64">
        <f>IF('Mock 1 Paper 2A Results'!M19="","","Q6 Correlation and PMCC: "&amp;'Mock 1 Paper 2A Results'!H19&amp;"/3")</f>
        <v/>
      </c>
    </row>
    <row r="65">
      <c r="A65">
        <f>IF('Mock 1 Paper 2A Results'!M18="","","Q7 Normal distribution probabilities: "&amp;'Mock 1 Paper 2A Results'!I18&amp;"/8")</f>
        <v/>
      </c>
      <c r="K65">
        <f>IF('Mock 1 Paper 2A Results'!M19="","","Q7 Normal distribution probabilities: "&amp;'Mock 1 Paper 2A Results'!I19&amp;"/8")</f>
        <v/>
      </c>
    </row>
    <row r="66">
      <c r="A66">
        <f>IF('Mock 1 Paper 2A Results'!M18="","","Q8 Regression line and interpolation: "&amp;'Mock 1 Paper 2A Results'!J18&amp;"/12")</f>
        <v/>
      </c>
      <c r="K66">
        <f>IF('Mock 1 Paper 2A Results'!M19="","","Q8 Regression line and interpolation: "&amp;'Mock 1 Paper 2A Results'!J19&amp;"/12")</f>
        <v/>
      </c>
    </row>
    <row r="67">
      <c r="A67">
        <f>IF(OR('Mock 1 Paper 2A Results'!M18="",'Mock 1 Paper 2A Results'!N18=""),"",'Mock 1 Paper 2A Results'!N18)</f>
        <v/>
      </c>
      <c r="K67">
        <f>IF(OR('Mock 1 Paper 2A Results'!M19="",'Mock 1 Paper 2A Results'!N19=""),"",'Mock 1 Paper 2A Results'!N19)</f>
        <v/>
      </c>
    </row>
    <row r="69">
      <c r="A69">
        <f>IF('Mock 1 Paper 2A Results'!M20="","","Mock Exam 1 — Paper 2A")</f>
        <v/>
      </c>
      <c r="K69">
        <f>IF('Mock 1 Paper 2A Results'!M21="","","Mock Exam 1 — Paper 2A")</f>
        <v/>
      </c>
    </row>
    <row r="70">
      <c r="A70">
        <f>IF('Mock 1 Paper 2A Results'!M20="","","Name: "&amp;'Mock 1 Paper 2A Results'!B20&amp;"   Class: "&amp;'Mock 1 Paper 2A Results'!$B$3&amp;"   Date: "&amp;TEXT('Mock 1 Paper 2A Results'!$B$5,"DD/MM/YY"))</f>
        <v/>
      </c>
      <c r="K70">
        <f>IF('Mock 1 Paper 2A Results'!M21="","","Name: "&amp;'Mock 1 Paper 2A Results'!B21&amp;"   Class: "&amp;'Mock 1 Paper 2A Results'!$B$3&amp;"   Date: "&amp;TEXT('Mock 1 Paper 2A Results'!$B$5,"DD/MM/YY"))</f>
        <v/>
      </c>
    </row>
    <row r="71">
      <c r="A71">
        <f>IF('Mock 1 Paper 2A Results'!M20="","","Total: "&amp;'Mock 1 Paper 2A Results'!K20&amp;"/60 ("&amp;TEXT('Mock 1 Paper 2A Results'!L20,"0%")&amp;")   Overall: "&amp;'Mock 1 Paper 2A Results'!M20)</f>
        <v/>
      </c>
      <c r="K71">
        <f>IF('Mock 1 Paper 2A Results'!M21="","","Total: "&amp;'Mock 1 Paper 2A Results'!K21&amp;"/60 ("&amp;TEXT('Mock 1 Paper 2A Results'!L21,"0%")&amp;")   Overall: "&amp;'Mock 1 Paper 2A Results'!M21)</f>
        <v/>
      </c>
    </row>
    <row r="72">
      <c r="A72">
        <f>IF('Mock 1 Paper 2A Results'!M20="","",IF('Mock 1 Paper 2A Results'!M20="Green",Parameters!$C$503,IF('Mock 1 Paper 2A Results'!M20="Yellow",Parameters!$C$502,Parameters!$C$501)))</f>
        <v/>
      </c>
      <c r="K72">
        <f>IF('Mock 1 Paper 2A Results'!M21="","",IF('Mock 1 Paper 2A Results'!M21="Green",Parameters!$C$503,IF('Mock 1 Paper 2A Results'!M21="Yellow",Parameters!$C$502,Parameters!$C$501)))</f>
        <v/>
      </c>
    </row>
    <row r="74">
      <c r="A74">
        <f>IF('Mock 1 Paper 2A Results'!M20="","","Breakdown:")</f>
        <v/>
      </c>
      <c r="K74">
        <f>IF('Mock 1 Paper 2A Results'!M21="","","Breakdown:")</f>
        <v/>
      </c>
    </row>
    <row r="75">
      <c r="A75">
        <f>IF('Mock 1 Paper 2A Results'!M20="","","Q1 Ratios and percentage constraints: "&amp;'Mock 1 Paper 2A Results'!C20&amp;"/7")</f>
        <v/>
      </c>
      <c r="K75">
        <f>IF('Mock 1 Paper 2A Results'!M21="","","Q1 Ratios and percentage constraints: "&amp;'Mock 1 Paper 2A Results'!C21&amp;"/7")</f>
        <v/>
      </c>
    </row>
    <row r="76">
      <c r="A76">
        <f>IF('Mock 1 Paper 2A Results'!M20="","","Q2 Critical analysis of claims and data: "&amp;'Mock 1 Paper 2A Results'!D20&amp;"/13")</f>
        <v/>
      </c>
      <c r="K76">
        <f>IF('Mock 1 Paper 2A Results'!M21="","","Q2 Critical analysis of claims and data: "&amp;'Mock 1 Paper 2A Results'!D21&amp;"/13")</f>
        <v/>
      </c>
    </row>
    <row r="77">
      <c r="A77">
        <f>IF('Mock 1 Paper 2A Results'!M20="","","Q3 Standard normal distribution notation: "&amp;'Mock 1 Paper 2A Results'!E20&amp;"/2")</f>
        <v/>
      </c>
      <c r="K77">
        <f>IF('Mock 1 Paper 2A Results'!M21="","","Q3 Standard normal distribution notation: "&amp;'Mock 1 Paper 2A Results'!E21&amp;"/2")</f>
        <v/>
      </c>
    </row>
    <row r="78">
      <c r="A78">
        <f>IF('Mock 1 Paper 2A Results'!M20="","","Q4 Confidence interval for a mean: "&amp;'Mock 1 Paper 2A Results'!F20&amp;"/6")</f>
        <v/>
      </c>
      <c r="K78">
        <f>IF('Mock 1 Paper 2A Results'!M21="","","Q4 Confidence interval for a mean: "&amp;'Mock 1 Paper 2A Results'!F21&amp;"/6")</f>
        <v/>
      </c>
    </row>
    <row r="79">
      <c r="A79">
        <f>IF('Mock 1 Paper 2A Results'!M20="","","Q5 Point estimates and sample size: "&amp;'Mock 1 Paper 2A Results'!G20&amp;"/9")</f>
        <v/>
      </c>
      <c r="K79">
        <f>IF('Mock 1 Paper 2A Results'!M21="","","Q5 Point estimates and sample size: "&amp;'Mock 1 Paper 2A Results'!G21&amp;"/9")</f>
        <v/>
      </c>
    </row>
    <row r="80">
      <c r="A80">
        <f>IF('Mock 1 Paper 2A Results'!M20="","","Q6 Correlation and PMCC: "&amp;'Mock 1 Paper 2A Results'!H20&amp;"/3")</f>
        <v/>
      </c>
      <c r="K80">
        <f>IF('Mock 1 Paper 2A Results'!M21="","","Q6 Correlation and PMCC: "&amp;'Mock 1 Paper 2A Results'!H21&amp;"/3")</f>
        <v/>
      </c>
    </row>
    <row r="81">
      <c r="A81">
        <f>IF('Mock 1 Paper 2A Results'!M20="","","Q7 Normal distribution probabilities: "&amp;'Mock 1 Paper 2A Results'!I20&amp;"/8")</f>
        <v/>
      </c>
      <c r="K81">
        <f>IF('Mock 1 Paper 2A Results'!M21="","","Q7 Normal distribution probabilities: "&amp;'Mock 1 Paper 2A Results'!I21&amp;"/8")</f>
        <v/>
      </c>
    </row>
    <row r="82">
      <c r="A82">
        <f>IF('Mock 1 Paper 2A Results'!M20="","","Q8 Regression line and interpolation: "&amp;'Mock 1 Paper 2A Results'!J20&amp;"/12")</f>
        <v/>
      </c>
      <c r="K82">
        <f>IF('Mock 1 Paper 2A Results'!M21="","","Q8 Regression line and interpolation: "&amp;'Mock 1 Paper 2A Results'!J21&amp;"/12")</f>
        <v/>
      </c>
    </row>
    <row r="83">
      <c r="A83">
        <f>IF(OR('Mock 1 Paper 2A Results'!M20="",'Mock 1 Paper 2A Results'!N20=""),"",'Mock 1 Paper 2A Results'!N20)</f>
        <v/>
      </c>
      <c r="K83">
        <f>IF(OR('Mock 1 Paper 2A Results'!M21="",'Mock 1 Paper 2A Results'!N21=""),"",'Mock 1 Paper 2A Results'!N21)</f>
        <v/>
      </c>
    </row>
    <row r="85">
      <c r="A85">
        <f>IF('Mock 1 Paper 2A Results'!M22="","","Mock Exam 1 — Paper 2A")</f>
        <v/>
      </c>
      <c r="K85">
        <f>IF('Mock 1 Paper 2A Results'!M23="","","Mock Exam 1 — Paper 2A")</f>
        <v/>
      </c>
    </row>
    <row r="86">
      <c r="A86">
        <f>IF('Mock 1 Paper 2A Results'!M22="","","Name: "&amp;'Mock 1 Paper 2A Results'!B22&amp;"   Class: "&amp;'Mock 1 Paper 2A Results'!$B$3&amp;"   Date: "&amp;TEXT('Mock 1 Paper 2A Results'!$B$5,"DD/MM/YY"))</f>
        <v/>
      </c>
      <c r="K86">
        <f>IF('Mock 1 Paper 2A Results'!M23="","","Name: "&amp;'Mock 1 Paper 2A Results'!B23&amp;"   Class: "&amp;'Mock 1 Paper 2A Results'!$B$3&amp;"   Date: "&amp;TEXT('Mock 1 Paper 2A Results'!$B$5,"DD/MM/YY"))</f>
        <v/>
      </c>
    </row>
    <row r="87">
      <c r="A87">
        <f>IF('Mock 1 Paper 2A Results'!M22="","","Total: "&amp;'Mock 1 Paper 2A Results'!K22&amp;"/60 ("&amp;TEXT('Mock 1 Paper 2A Results'!L22,"0%")&amp;")   Overall: "&amp;'Mock 1 Paper 2A Results'!M22)</f>
        <v/>
      </c>
      <c r="K87">
        <f>IF('Mock 1 Paper 2A Results'!M23="","","Total: "&amp;'Mock 1 Paper 2A Results'!K23&amp;"/60 ("&amp;TEXT('Mock 1 Paper 2A Results'!L23,"0%")&amp;")   Overall: "&amp;'Mock 1 Paper 2A Results'!M23)</f>
        <v/>
      </c>
    </row>
    <row r="88">
      <c r="A88">
        <f>IF('Mock 1 Paper 2A Results'!M22="","",IF('Mock 1 Paper 2A Results'!M22="Green",Parameters!$C$503,IF('Mock 1 Paper 2A Results'!M22="Yellow",Parameters!$C$502,Parameters!$C$501)))</f>
        <v/>
      </c>
      <c r="K88">
        <f>IF('Mock 1 Paper 2A Results'!M23="","",IF('Mock 1 Paper 2A Results'!M23="Green",Parameters!$C$503,IF('Mock 1 Paper 2A Results'!M23="Yellow",Parameters!$C$502,Parameters!$C$501)))</f>
        <v/>
      </c>
    </row>
    <row r="90">
      <c r="A90">
        <f>IF('Mock 1 Paper 2A Results'!M22="","","Breakdown:")</f>
        <v/>
      </c>
      <c r="K90">
        <f>IF('Mock 1 Paper 2A Results'!M23="","","Breakdown:")</f>
        <v/>
      </c>
    </row>
    <row r="91">
      <c r="A91">
        <f>IF('Mock 1 Paper 2A Results'!M22="","","Q1 Ratios and percentage constraints: "&amp;'Mock 1 Paper 2A Results'!C22&amp;"/7")</f>
        <v/>
      </c>
      <c r="K91">
        <f>IF('Mock 1 Paper 2A Results'!M23="","","Q1 Ratios and percentage constraints: "&amp;'Mock 1 Paper 2A Results'!C23&amp;"/7")</f>
        <v/>
      </c>
    </row>
    <row r="92">
      <c r="A92">
        <f>IF('Mock 1 Paper 2A Results'!M22="","","Q2 Critical analysis of claims and data: "&amp;'Mock 1 Paper 2A Results'!D22&amp;"/13")</f>
        <v/>
      </c>
      <c r="K92">
        <f>IF('Mock 1 Paper 2A Results'!M23="","","Q2 Critical analysis of claims and data: "&amp;'Mock 1 Paper 2A Results'!D23&amp;"/13")</f>
        <v/>
      </c>
    </row>
    <row r="93">
      <c r="A93">
        <f>IF('Mock 1 Paper 2A Results'!M22="","","Q3 Standard normal distribution notation: "&amp;'Mock 1 Paper 2A Results'!E22&amp;"/2")</f>
        <v/>
      </c>
      <c r="K93">
        <f>IF('Mock 1 Paper 2A Results'!M23="","","Q3 Standard normal distribution notation: "&amp;'Mock 1 Paper 2A Results'!E23&amp;"/2")</f>
        <v/>
      </c>
    </row>
    <row r="94">
      <c r="A94">
        <f>IF('Mock 1 Paper 2A Results'!M22="","","Q4 Confidence interval for a mean: "&amp;'Mock 1 Paper 2A Results'!F22&amp;"/6")</f>
        <v/>
      </c>
      <c r="K94">
        <f>IF('Mock 1 Paper 2A Results'!M23="","","Q4 Confidence interval for a mean: "&amp;'Mock 1 Paper 2A Results'!F23&amp;"/6")</f>
        <v/>
      </c>
    </row>
    <row r="95">
      <c r="A95">
        <f>IF('Mock 1 Paper 2A Results'!M22="","","Q5 Point estimates and sample size: "&amp;'Mock 1 Paper 2A Results'!G22&amp;"/9")</f>
        <v/>
      </c>
      <c r="K95">
        <f>IF('Mock 1 Paper 2A Results'!M23="","","Q5 Point estimates and sample size: "&amp;'Mock 1 Paper 2A Results'!G23&amp;"/9")</f>
        <v/>
      </c>
    </row>
    <row r="96">
      <c r="A96">
        <f>IF('Mock 1 Paper 2A Results'!M22="","","Q6 Correlation and PMCC: "&amp;'Mock 1 Paper 2A Results'!H22&amp;"/3")</f>
        <v/>
      </c>
      <c r="K96">
        <f>IF('Mock 1 Paper 2A Results'!M23="","","Q6 Correlation and PMCC: "&amp;'Mock 1 Paper 2A Results'!H23&amp;"/3")</f>
        <v/>
      </c>
    </row>
    <row r="97">
      <c r="A97">
        <f>IF('Mock 1 Paper 2A Results'!M22="","","Q7 Normal distribution probabilities: "&amp;'Mock 1 Paper 2A Results'!I22&amp;"/8")</f>
        <v/>
      </c>
      <c r="K97">
        <f>IF('Mock 1 Paper 2A Results'!M23="","","Q7 Normal distribution probabilities: "&amp;'Mock 1 Paper 2A Results'!I23&amp;"/8")</f>
        <v/>
      </c>
    </row>
    <row r="98">
      <c r="A98">
        <f>IF('Mock 1 Paper 2A Results'!M22="","","Q8 Regression line and interpolation: "&amp;'Mock 1 Paper 2A Results'!J22&amp;"/12")</f>
        <v/>
      </c>
      <c r="K98">
        <f>IF('Mock 1 Paper 2A Results'!M23="","","Q8 Regression line and interpolation: "&amp;'Mock 1 Paper 2A Results'!J23&amp;"/12")</f>
        <v/>
      </c>
    </row>
    <row r="99">
      <c r="A99">
        <f>IF(OR('Mock 1 Paper 2A Results'!M22="",'Mock 1 Paper 2A Results'!N22=""),"",'Mock 1 Paper 2A Results'!N22)</f>
        <v/>
      </c>
      <c r="K99">
        <f>IF(OR('Mock 1 Paper 2A Results'!M23="",'Mock 1 Paper 2A Results'!N23=""),"",'Mock 1 Paper 2A Results'!N23)</f>
        <v/>
      </c>
    </row>
    <row r="101">
      <c r="A101">
        <f>IF('Mock 1 Paper 2A Results'!M24="","","Mock Exam 1 — Paper 2A")</f>
        <v/>
      </c>
      <c r="K101">
        <f>IF('Mock 1 Paper 2A Results'!M25="","","Mock Exam 1 — Paper 2A")</f>
        <v/>
      </c>
    </row>
    <row r="102">
      <c r="A102">
        <f>IF('Mock 1 Paper 2A Results'!M24="","","Name: "&amp;'Mock 1 Paper 2A Results'!B24&amp;"   Class: "&amp;'Mock 1 Paper 2A Results'!$B$3&amp;"   Date: "&amp;TEXT('Mock 1 Paper 2A Results'!$B$5,"DD/MM/YY"))</f>
        <v/>
      </c>
      <c r="K102">
        <f>IF('Mock 1 Paper 2A Results'!M25="","","Name: "&amp;'Mock 1 Paper 2A Results'!B25&amp;"   Class: "&amp;'Mock 1 Paper 2A Results'!$B$3&amp;"   Date: "&amp;TEXT('Mock 1 Paper 2A Results'!$B$5,"DD/MM/YY"))</f>
        <v/>
      </c>
    </row>
    <row r="103">
      <c r="A103">
        <f>IF('Mock 1 Paper 2A Results'!M24="","","Total: "&amp;'Mock 1 Paper 2A Results'!K24&amp;"/60 ("&amp;TEXT('Mock 1 Paper 2A Results'!L24,"0%")&amp;")   Overall: "&amp;'Mock 1 Paper 2A Results'!M24)</f>
        <v/>
      </c>
      <c r="K103">
        <f>IF('Mock 1 Paper 2A Results'!M25="","","Total: "&amp;'Mock 1 Paper 2A Results'!K25&amp;"/60 ("&amp;TEXT('Mock 1 Paper 2A Results'!L25,"0%")&amp;")   Overall: "&amp;'Mock 1 Paper 2A Results'!M25)</f>
        <v/>
      </c>
    </row>
    <row r="104">
      <c r="A104">
        <f>IF('Mock 1 Paper 2A Results'!M24="","",IF('Mock 1 Paper 2A Results'!M24="Green",Parameters!$C$503,IF('Mock 1 Paper 2A Results'!M24="Yellow",Parameters!$C$502,Parameters!$C$501)))</f>
        <v/>
      </c>
      <c r="K104">
        <f>IF('Mock 1 Paper 2A Results'!M25="","",IF('Mock 1 Paper 2A Results'!M25="Green",Parameters!$C$503,IF('Mock 1 Paper 2A Results'!M25="Yellow",Parameters!$C$502,Parameters!$C$501)))</f>
        <v/>
      </c>
    </row>
    <row r="106">
      <c r="A106">
        <f>IF('Mock 1 Paper 2A Results'!M24="","","Breakdown:")</f>
        <v/>
      </c>
      <c r="K106">
        <f>IF('Mock 1 Paper 2A Results'!M25="","","Breakdown:")</f>
        <v/>
      </c>
    </row>
    <row r="107">
      <c r="A107">
        <f>IF('Mock 1 Paper 2A Results'!M24="","","Q1 Ratios and percentage constraints: "&amp;'Mock 1 Paper 2A Results'!C24&amp;"/7")</f>
        <v/>
      </c>
      <c r="K107">
        <f>IF('Mock 1 Paper 2A Results'!M25="","","Q1 Ratios and percentage constraints: "&amp;'Mock 1 Paper 2A Results'!C25&amp;"/7")</f>
        <v/>
      </c>
    </row>
    <row r="108">
      <c r="A108">
        <f>IF('Mock 1 Paper 2A Results'!M24="","","Q2 Critical analysis of claims and data: "&amp;'Mock 1 Paper 2A Results'!D24&amp;"/13")</f>
        <v/>
      </c>
      <c r="K108">
        <f>IF('Mock 1 Paper 2A Results'!M25="","","Q2 Critical analysis of claims and data: "&amp;'Mock 1 Paper 2A Results'!D25&amp;"/13")</f>
        <v/>
      </c>
    </row>
    <row r="109">
      <c r="A109">
        <f>IF('Mock 1 Paper 2A Results'!M24="","","Q3 Standard normal distribution notation: "&amp;'Mock 1 Paper 2A Results'!E24&amp;"/2")</f>
        <v/>
      </c>
      <c r="K109">
        <f>IF('Mock 1 Paper 2A Results'!M25="","","Q3 Standard normal distribution notation: "&amp;'Mock 1 Paper 2A Results'!E25&amp;"/2")</f>
        <v/>
      </c>
    </row>
    <row r="110">
      <c r="A110">
        <f>IF('Mock 1 Paper 2A Results'!M24="","","Q4 Confidence interval for a mean: "&amp;'Mock 1 Paper 2A Results'!F24&amp;"/6")</f>
        <v/>
      </c>
      <c r="K110">
        <f>IF('Mock 1 Paper 2A Results'!M25="","","Q4 Confidence interval for a mean: "&amp;'Mock 1 Paper 2A Results'!F25&amp;"/6")</f>
        <v/>
      </c>
    </row>
    <row r="111">
      <c r="A111">
        <f>IF('Mock 1 Paper 2A Results'!M24="","","Q5 Point estimates and sample size: "&amp;'Mock 1 Paper 2A Results'!G24&amp;"/9")</f>
        <v/>
      </c>
      <c r="K111">
        <f>IF('Mock 1 Paper 2A Results'!M25="","","Q5 Point estimates and sample size: "&amp;'Mock 1 Paper 2A Results'!G25&amp;"/9")</f>
        <v/>
      </c>
    </row>
    <row r="112">
      <c r="A112">
        <f>IF('Mock 1 Paper 2A Results'!M24="","","Q6 Correlation and PMCC: "&amp;'Mock 1 Paper 2A Results'!H24&amp;"/3")</f>
        <v/>
      </c>
      <c r="K112">
        <f>IF('Mock 1 Paper 2A Results'!M25="","","Q6 Correlation and PMCC: "&amp;'Mock 1 Paper 2A Results'!H25&amp;"/3")</f>
        <v/>
      </c>
    </row>
    <row r="113">
      <c r="A113">
        <f>IF('Mock 1 Paper 2A Results'!M24="","","Q7 Normal distribution probabilities: "&amp;'Mock 1 Paper 2A Results'!I24&amp;"/8")</f>
        <v/>
      </c>
      <c r="K113">
        <f>IF('Mock 1 Paper 2A Results'!M25="","","Q7 Normal distribution probabilities: "&amp;'Mock 1 Paper 2A Results'!I25&amp;"/8")</f>
        <v/>
      </c>
    </row>
    <row r="114">
      <c r="A114">
        <f>IF('Mock 1 Paper 2A Results'!M24="","","Q8 Regression line and interpolation: "&amp;'Mock 1 Paper 2A Results'!J24&amp;"/12")</f>
        <v/>
      </c>
      <c r="K114">
        <f>IF('Mock 1 Paper 2A Results'!M25="","","Q8 Regression line and interpolation: "&amp;'Mock 1 Paper 2A Results'!J25&amp;"/12")</f>
        <v/>
      </c>
    </row>
    <row r="115">
      <c r="A115">
        <f>IF(OR('Mock 1 Paper 2A Results'!M24="",'Mock 1 Paper 2A Results'!N24=""),"",'Mock 1 Paper 2A Results'!N24)</f>
        <v/>
      </c>
      <c r="K115">
        <f>IF(OR('Mock 1 Paper 2A Results'!M25="",'Mock 1 Paper 2A Results'!N25=""),"",'Mock 1 Paper 2A Results'!N25)</f>
        <v/>
      </c>
    </row>
    <row r="117">
      <c r="A117">
        <f>IF('Mock 1 Paper 2A Results'!M26="","","Mock Exam 1 — Paper 2A")</f>
        <v/>
      </c>
      <c r="K117">
        <f>IF('Mock 1 Paper 2A Results'!M27="","","Mock Exam 1 — Paper 2A")</f>
        <v/>
      </c>
    </row>
    <row r="118">
      <c r="A118">
        <f>IF('Mock 1 Paper 2A Results'!M26="","","Name: "&amp;'Mock 1 Paper 2A Results'!B26&amp;"   Class: "&amp;'Mock 1 Paper 2A Results'!$B$3&amp;"   Date: "&amp;TEXT('Mock 1 Paper 2A Results'!$B$5,"DD/MM/YY"))</f>
        <v/>
      </c>
      <c r="K118">
        <f>IF('Mock 1 Paper 2A Results'!M27="","","Name: "&amp;'Mock 1 Paper 2A Results'!B27&amp;"   Class: "&amp;'Mock 1 Paper 2A Results'!$B$3&amp;"   Date: "&amp;TEXT('Mock 1 Paper 2A Results'!$B$5,"DD/MM/YY"))</f>
        <v/>
      </c>
    </row>
    <row r="119">
      <c r="A119">
        <f>IF('Mock 1 Paper 2A Results'!M26="","","Total: "&amp;'Mock 1 Paper 2A Results'!K26&amp;"/60 ("&amp;TEXT('Mock 1 Paper 2A Results'!L26,"0%")&amp;")   Overall: "&amp;'Mock 1 Paper 2A Results'!M26)</f>
        <v/>
      </c>
      <c r="K119">
        <f>IF('Mock 1 Paper 2A Results'!M27="","","Total: "&amp;'Mock 1 Paper 2A Results'!K27&amp;"/60 ("&amp;TEXT('Mock 1 Paper 2A Results'!L27,"0%")&amp;")   Overall: "&amp;'Mock 1 Paper 2A Results'!M27)</f>
        <v/>
      </c>
    </row>
    <row r="120">
      <c r="A120">
        <f>IF('Mock 1 Paper 2A Results'!M26="","",IF('Mock 1 Paper 2A Results'!M26="Green",Parameters!$C$503,IF('Mock 1 Paper 2A Results'!M26="Yellow",Parameters!$C$502,Parameters!$C$501)))</f>
        <v/>
      </c>
      <c r="K120">
        <f>IF('Mock 1 Paper 2A Results'!M27="","",IF('Mock 1 Paper 2A Results'!M27="Green",Parameters!$C$503,IF('Mock 1 Paper 2A Results'!M27="Yellow",Parameters!$C$502,Parameters!$C$501)))</f>
        <v/>
      </c>
    </row>
    <row r="122">
      <c r="A122">
        <f>IF('Mock 1 Paper 2A Results'!M26="","","Breakdown:")</f>
        <v/>
      </c>
      <c r="K122">
        <f>IF('Mock 1 Paper 2A Results'!M27="","","Breakdown:")</f>
        <v/>
      </c>
    </row>
    <row r="123">
      <c r="A123">
        <f>IF('Mock 1 Paper 2A Results'!M26="","","Q1 Ratios and percentage constraints: "&amp;'Mock 1 Paper 2A Results'!C26&amp;"/7")</f>
        <v/>
      </c>
      <c r="K123">
        <f>IF('Mock 1 Paper 2A Results'!M27="","","Q1 Ratios and percentage constraints: "&amp;'Mock 1 Paper 2A Results'!C27&amp;"/7")</f>
        <v/>
      </c>
    </row>
    <row r="124">
      <c r="A124">
        <f>IF('Mock 1 Paper 2A Results'!M26="","","Q2 Critical analysis of claims and data: "&amp;'Mock 1 Paper 2A Results'!D26&amp;"/13")</f>
        <v/>
      </c>
      <c r="K124">
        <f>IF('Mock 1 Paper 2A Results'!M27="","","Q2 Critical analysis of claims and data: "&amp;'Mock 1 Paper 2A Results'!D27&amp;"/13")</f>
        <v/>
      </c>
    </row>
    <row r="125">
      <c r="A125">
        <f>IF('Mock 1 Paper 2A Results'!M26="","","Q3 Standard normal distribution notation: "&amp;'Mock 1 Paper 2A Results'!E26&amp;"/2")</f>
        <v/>
      </c>
      <c r="K125">
        <f>IF('Mock 1 Paper 2A Results'!M27="","","Q3 Standard normal distribution notation: "&amp;'Mock 1 Paper 2A Results'!E27&amp;"/2")</f>
        <v/>
      </c>
    </row>
    <row r="126">
      <c r="A126">
        <f>IF('Mock 1 Paper 2A Results'!M26="","","Q4 Confidence interval for a mean: "&amp;'Mock 1 Paper 2A Results'!F26&amp;"/6")</f>
        <v/>
      </c>
      <c r="K126">
        <f>IF('Mock 1 Paper 2A Results'!M27="","","Q4 Confidence interval for a mean: "&amp;'Mock 1 Paper 2A Results'!F27&amp;"/6")</f>
        <v/>
      </c>
    </row>
    <row r="127">
      <c r="A127">
        <f>IF('Mock 1 Paper 2A Results'!M26="","","Q5 Point estimates and sample size: "&amp;'Mock 1 Paper 2A Results'!G26&amp;"/9")</f>
        <v/>
      </c>
      <c r="K127">
        <f>IF('Mock 1 Paper 2A Results'!M27="","","Q5 Point estimates and sample size: "&amp;'Mock 1 Paper 2A Results'!G27&amp;"/9")</f>
        <v/>
      </c>
    </row>
    <row r="128">
      <c r="A128">
        <f>IF('Mock 1 Paper 2A Results'!M26="","","Q6 Correlation and PMCC: "&amp;'Mock 1 Paper 2A Results'!H26&amp;"/3")</f>
        <v/>
      </c>
      <c r="K128">
        <f>IF('Mock 1 Paper 2A Results'!M27="","","Q6 Correlation and PMCC: "&amp;'Mock 1 Paper 2A Results'!H27&amp;"/3")</f>
        <v/>
      </c>
    </row>
    <row r="129">
      <c r="A129">
        <f>IF('Mock 1 Paper 2A Results'!M26="","","Q7 Normal distribution probabilities: "&amp;'Mock 1 Paper 2A Results'!I26&amp;"/8")</f>
        <v/>
      </c>
      <c r="K129">
        <f>IF('Mock 1 Paper 2A Results'!M27="","","Q7 Normal distribution probabilities: "&amp;'Mock 1 Paper 2A Results'!I27&amp;"/8")</f>
        <v/>
      </c>
    </row>
    <row r="130">
      <c r="A130">
        <f>IF('Mock 1 Paper 2A Results'!M26="","","Q8 Regression line and interpolation: "&amp;'Mock 1 Paper 2A Results'!J26&amp;"/12")</f>
        <v/>
      </c>
      <c r="K130">
        <f>IF('Mock 1 Paper 2A Results'!M27="","","Q8 Regression line and interpolation: "&amp;'Mock 1 Paper 2A Results'!J27&amp;"/12")</f>
        <v/>
      </c>
    </row>
    <row r="131">
      <c r="A131">
        <f>IF(OR('Mock 1 Paper 2A Results'!M26="",'Mock 1 Paper 2A Results'!N26=""),"",'Mock 1 Paper 2A Results'!N26)</f>
        <v/>
      </c>
      <c r="K131">
        <f>IF(OR('Mock 1 Paper 2A Results'!M27="",'Mock 1 Paper 2A Results'!N27=""),"",'Mock 1 Paper 2A Results'!N27)</f>
        <v/>
      </c>
    </row>
    <row r="133">
      <c r="A133">
        <f>IF('Mock 1 Paper 2A Results'!M28="","","Mock Exam 1 — Paper 2A")</f>
        <v/>
      </c>
      <c r="K133">
        <f>IF('Mock 1 Paper 2A Results'!M29="","","Mock Exam 1 — Paper 2A")</f>
        <v/>
      </c>
    </row>
    <row r="134">
      <c r="A134">
        <f>IF('Mock 1 Paper 2A Results'!M28="","","Name: "&amp;'Mock 1 Paper 2A Results'!B28&amp;"   Class: "&amp;'Mock 1 Paper 2A Results'!$B$3&amp;"   Date: "&amp;TEXT('Mock 1 Paper 2A Results'!$B$5,"DD/MM/YY"))</f>
        <v/>
      </c>
      <c r="K134">
        <f>IF('Mock 1 Paper 2A Results'!M29="","","Name: "&amp;'Mock 1 Paper 2A Results'!B29&amp;"   Class: "&amp;'Mock 1 Paper 2A Results'!$B$3&amp;"   Date: "&amp;TEXT('Mock 1 Paper 2A Results'!$B$5,"DD/MM/YY"))</f>
        <v/>
      </c>
    </row>
    <row r="135">
      <c r="A135">
        <f>IF('Mock 1 Paper 2A Results'!M28="","","Total: "&amp;'Mock 1 Paper 2A Results'!K28&amp;"/60 ("&amp;TEXT('Mock 1 Paper 2A Results'!L28,"0%")&amp;")   Overall: "&amp;'Mock 1 Paper 2A Results'!M28)</f>
        <v/>
      </c>
      <c r="K135">
        <f>IF('Mock 1 Paper 2A Results'!M29="","","Total: "&amp;'Mock 1 Paper 2A Results'!K29&amp;"/60 ("&amp;TEXT('Mock 1 Paper 2A Results'!L29,"0%")&amp;")   Overall: "&amp;'Mock 1 Paper 2A Results'!M29)</f>
        <v/>
      </c>
    </row>
    <row r="136">
      <c r="A136">
        <f>IF('Mock 1 Paper 2A Results'!M28="","",IF('Mock 1 Paper 2A Results'!M28="Green",Parameters!$C$503,IF('Mock 1 Paper 2A Results'!M28="Yellow",Parameters!$C$502,Parameters!$C$501)))</f>
        <v/>
      </c>
      <c r="K136">
        <f>IF('Mock 1 Paper 2A Results'!M29="","",IF('Mock 1 Paper 2A Results'!M29="Green",Parameters!$C$503,IF('Mock 1 Paper 2A Results'!M29="Yellow",Parameters!$C$502,Parameters!$C$501)))</f>
        <v/>
      </c>
    </row>
    <row r="138">
      <c r="A138">
        <f>IF('Mock 1 Paper 2A Results'!M28="","","Breakdown:")</f>
        <v/>
      </c>
      <c r="K138">
        <f>IF('Mock 1 Paper 2A Results'!M29="","","Breakdown:")</f>
        <v/>
      </c>
    </row>
    <row r="139">
      <c r="A139">
        <f>IF('Mock 1 Paper 2A Results'!M28="","","Q1 Ratios and percentage constraints: "&amp;'Mock 1 Paper 2A Results'!C28&amp;"/7")</f>
        <v/>
      </c>
      <c r="K139">
        <f>IF('Mock 1 Paper 2A Results'!M29="","","Q1 Ratios and percentage constraints: "&amp;'Mock 1 Paper 2A Results'!C29&amp;"/7")</f>
        <v/>
      </c>
    </row>
    <row r="140">
      <c r="A140">
        <f>IF('Mock 1 Paper 2A Results'!M28="","","Q2 Critical analysis of claims and data: "&amp;'Mock 1 Paper 2A Results'!D28&amp;"/13")</f>
        <v/>
      </c>
      <c r="K140">
        <f>IF('Mock 1 Paper 2A Results'!M29="","","Q2 Critical analysis of claims and data: "&amp;'Mock 1 Paper 2A Results'!D29&amp;"/13")</f>
        <v/>
      </c>
    </row>
    <row r="141">
      <c r="A141">
        <f>IF('Mock 1 Paper 2A Results'!M28="","","Q3 Standard normal distribution notation: "&amp;'Mock 1 Paper 2A Results'!E28&amp;"/2")</f>
        <v/>
      </c>
      <c r="K141">
        <f>IF('Mock 1 Paper 2A Results'!M29="","","Q3 Standard normal distribution notation: "&amp;'Mock 1 Paper 2A Results'!E29&amp;"/2")</f>
        <v/>
      </c>
    </row>
    <row r="142">
      <c r="A142">
        <f>IF('Mock 1 Paper 2A Results'!M28="","","Q4 Confidence interval for a mean: "&amp;'Mock 1 Paper 2A Results'!F28&amp;"/6")</f>
        <v/>
      </c>
      <c r="K142">
        <f>IF('Mock 1 Paper 2A Results'!M29="","","Q4 Confidence interval for a mean: "&amp;'Mock 1 Paper 2A Results'!F29&amp;"/6")</f>
        <v/>
      </c>
    </row>
    <row r="143">
      <c r="A143">
        <f>IF('Mock 1 Paper 2A Results'!M28="","","Q5 Point estimates and sample size: "&amp;'Mock 1 Paper 2A Results'!G28&amp;"/9")</f>
        <v/>
      </c>
      <c r="K143">
        <f>IF('Mock 1 Paper 2A Results'!M29="","","Q5 Point estimates and sample size: "&amp;'Mock 1 Paper 2A Results'!G29&amp;"/9")</f>
        <v/>
      </c>
    </row>
    <row r="144">
      <c r="A144">
        <f>IF('Mock 1 Paper 2A Results'!M28="","","Q6 Correlation and PMCC: "&amp;'Mock 1 Paper 2A Results'!H28&amp;"/3")</f>
        <v/>
      </c>
      <c r="K144">
        <f>IF('Mock 1 Paper 2A Results'!M29="","","Q6 Correlation and PMCC: "&amp;'Mock 1 Paper 2A Results'!H29&amp;"/3")</f>
        <v/>
      </c>
    </row>
    <row r="145">
      <c r="A145">
        <f>IF('Mock 1 Paper 2A Results'!M28="","","Q7 Normal distribution probabilities: "&amp;'Mock 1 Paper 2A Results'!I28&amp;"/8")</f>
        <v/>
      </c>
      <c r="K145">
        <f>IF('Mock 1 Paper 2A Results'!M29="","","Q7 Normal distribution probabilities: "&amp;'Mock 1 Paper 2A Results'!I29&amp;"/8")</f>
        <v/>
      </c>
    </row>
    <row r="146">
      <c r="A146">
        <f>IF('Mock 1 Paper 2A Results'!M28="","","Q8 Regression line and interpolation: "&amp;'Mock 1 Paper 2A Results'!J28&amp;"/12")</f>
        <v/>
      </c>
      <c r="K146">
        <f>IF('Mock 1 Paper 2A Results'!M29="","","Q8 Regression line and interpolation: "&amp;'Mock 1 Paper 2A Results'!J29&amp;"/12")</f>
        <v/>
      </c>
    </row>
    <row r="147">
      <c r="A147">
        <f>IF(OR('Mock 1 Paper 2A Results'!M28="",'Mock 1 Paper 2A Results'!N28=""),"",'Mock 1 Paper 2A Results'!N28)</f>
        <v/>
      </c>
      <c r="K147">
        <f>IF(OR('Mock 1 Paper 2A Results'!M29="",'Mock 1 Paper 2A Results'!N29=""),"",'Mock 1 Paper 2A Results'!N29)</f>
        <v/>
      </c>
    </row>
    <row r="149">
      <c r="A149">
        <f>IF('Mock 1 Paper 2A Results'!M30="","","Mock Exam 1 — Paper 2A")</f>
        <v/>
      </c>
      <c r="K149">
        <f>IF('Mock 1 Paper 2A Results'!M31="","","Mock Exam 1 — Paper 2A")</f>
        <v/>
      </c>
    </row>
    <row r="150">
      <c r="A150">
        <f>IF('Mock 1 Paper 2A Results'!M30="","","Name: "&amp;'Mock 1 Paper 2A Results'!B30&amp;"   Class: "&amp;'Mock 1 Paper 2A Results'!$B$3&amp;"   Date: "&amp;TEXT('Mock 1 Paper 2A Results'!$B$5,"DD/MM/YY"))</f>
        <v/>
      </c>
      <c r="K150">
        <f>IF('Mock 1 Paper 2A Results'!M31="","","Name: "&amp;'Mock 1 Paper 2A Results'!B31&amp;"   Class: "&amp;'Mock 1 Paper 2A Results'!$B$3&amp;"   Date: "&amp;TEXT('Mock 1 Paper 2A Results'!$B$5,"DD/MM/YY"))</f>
        <v/>
      </c>
    </row>
    <row r="151">
      <c r="A151">
        <f>IF('Mock 1 Paper 2A Results'!M30="","","Total: "&amp;'Mock 1 Paper 2A Results'!K30&amp;"/60 ("&amp;TEXT('Mock 1 Paper 2A Results'!L30,"0%")&amp;")   Overall: "&amp;'Mock 1 Paper 2A Results'!M30)</f>
        <v/>
      </c>
      <c r="K151">
        <f>IF('Mock 1 Paper 2A Results'!M31="","","Total: "&amp;'Mock 1 Paper 2A Results'!K31&amp;"/60 ("&amp;TEXT('Mock 1 Paper 2A Results'!L31,"0%")&amp;")   Overall: "&amp;'Mock 1 Paper 2A Results'!M31)</f>
        <v/>
      </c>
    </row>
    <row r="152">
      <c r="A152">
        <f>IF('Mock 1 Paper 2A Results'!M30="","",IF('Mock 1 Paper 2A Results'!M30="Green",Parameters!$C$503,IF('Mock 1 Paper 2A Results'!M30="Yellow",Parameters!$C$502,Parameters!$C$501)))</f>
        <v/>
      </c>
      <c r="K152">
        <f>IF('Mock 1 Paper 2A Results'!M31="","",IF('Mock 1 Paper 2A Results'!M31="Green",Parameters!$C$503,IF('Mock 1 Paper 2A Results'!M31="Yellow",Parameters!$C$502,Parameters!$C$501)))</f>
        <v/>
      </c>
    </row>
    <row r="154">
      <c r="A154">
        <f>IF('Mock 1 Paper 2A Results'!M30="","","Breakdown:")</f>
        <v/>
      </c>
      <c r="K154">
        <f>IF('Mock 1 Paper 2A Results'!M31="","","Breakdown:")</f>
        <v/>
      </c>
    </row>
    <row r="155">
      <c r="A155">
        <f>IF('Mock 1 Paper 2A Results'!M30="","","Q1 Ratios and percentage constraints: "&amp;'Mock 1 Paper 2A Results'!C30&amp;"/7")</f>
        <v/>
      </c>
      <c r="K155">
        <f>IF('Mock 1 Paper 2A Results'!M31="","","Q1 Ratios and percentage constraints: "&amp;'Mock 1 Paper 2A Results'!C31&amp;"/7")</f>
        <v/>
      </c>
    </row>
    <row r="156">
      <c r="A156">
        <f>IF('Mock 1 Paper 2A Results'!M30="","","Q2 Critical analysis of claims and data: "&amp;'Mock 1 Paper 2A Results'!D30&amp;"/13")</f>
        <v/>
      </c>
      <c r="K156">
        <f>IF('Mock 1 Paper 2A Results'!M31="","","Q2 Critical analysis of claims and data: "&amp;'Mock 1 Paper 2A Results'!D31&amp;"/13")</f>
        <v/>
      </c>
    </row>
    <row r="157">
      <c r="A157">
        <f>IF('Mock 1 Paper 2A Results'!M30="","","Q3 Standard normal distribution notation: "&amp;'Mock 1 Paper 2A Results'!E30&amp;"/2")</f>
        <v/>
      </c>
      <c r="K157">
        <f>IF('Mock 1 Paper 2A Results'!M31="","","Q3 Standard normal distribution notation: "&amp;'Mock 1 Paper 2A Results'!E31&amp;"/2")</f>
        <v/>
      </c>
    </row>
    <row r="158">
      <c r="A158">
        <f>IF('Mock 1 Paper 2A Results'!M30="","","Q4 Confidence interval for a mean: "&amp;'Mock 1 Paper 2A Results'!F30&amp;"/6")</f>
        <v/>
      </c>
      <c r="K158">
        <f>IF('Mock 1 Paper 2A Results'!M31="","","Q4 Confidence interval for a mean: "&amp;'Mock 1 Paper 2A Results'!F31&amp;"/6")</f>
        <v/>
      </c>
    </row>
    <row r="159">
      <c r="A159">
        <f>IF('Mock 1 Paper 2A Results'!M30="","","Q5 Point estimates and sample size: "&amp;'Mock 1 Paper 2A Results'!G30&amp;"/9")</f>
        <v/>
      </c>
      <c r="K159">
        <f>IF('Mock 1 Paper 2A Results'!M31="","","Q5 Point estimates and sample size: "&amp;'Mock 1 Paper 2A Results'!G31&amp;"/9")</f>
        <v/>
      </c>
    </row>
    <row r="160">
      <c r="A160">
        <f>IF('Mock 1 Paper 2A Results'!M30="","","Q6 Correlation and PMCC: "&amp;'Mock 1 Paper 2A Results'!H30&amp;"/3")</f>
        <v/>
      </c>
      <c r="K160">
        <f>IF('Mock 1 Paper 2A Results'!M31="","","Q6 Correlation and PMCC: "&amp;'Mock 1 Paper 2A Results'!H31&amp;"/3")</f>
        <v/>
      </c>
    </row>
    <row r="161">
      <c r="A161">
        <f>IF('Mock 1 Paper 2A Results'!M30="","","Q7 Normal distribution probabilities: "&amp;'Mock 1 Paper 2A Results'!I30&amp;"/8")</f>
        <v/>
      </c>
      <c r="K161">
        <f>IF('Mock 1 Paper 2A Results'!M31="","","Q7 Normal distribution probabilities: "&amp;'Mock 1 Paper 2A Results'!I31&amp;"/8")</f>
        <v/>
      </c>
    </row>
    <row r="162">
      <c r="A162">
        <f>IF('Mock 1 Paper 2A Results'!M30="","","Q8 Regression line and interpolation: "&amp;'Mock 1 Paper 2A Results'!J30&amp;"/12")</f>
        <v/>
      </c>
      <c r="K162">
        <f>IF('Mock 1 Paper 2A Results'!M31="","","Q8 Regression line and interpolation: "&amp;'Mock 1 Paper 2A Results'!J31&amp;"/12")</f>
        <v/>
      </c>
    </row>
    <row r="163">
      <c r="A163">
        <f>IF(OR('Mock 1 Paper 2A Results'!M30="",'Mock 1 Paper 2A Results'!N30=""),"",'Mock 1 Paper 2A Results'!N30)</f>
        <v/>
      </c>
      <c r="K163">
        <f>IF(OR('Mock 1 Paper 2A Results'!M31="",'Mock 1 Paper 2A Results'!N31=""),"",'Mock 1 Paper 2A Results'!N31)</f>
        <v/>
      </c>
    </row>
    <row r="165">
      <c r="A165">
        <f>IF('Mock 1 Paper 2A Results'!M32="","","Mock Exam 1 — Paper 2A")</f>
        <v/>
      </c>
      <c r="K165">
        <f>IF('Mock 1 Paper 2A Results'!M33="","","Mock Exam 1 — Paper 2A")</f>
        <v/>
      </c>
    </row>
    <row r="166">
      <c r="A166">
        <f>IF('Mock 1 Paper 2A Results'!M32="","","Name: "&amp;'Mock 1 Paper 2A Results'!B32&amp;"   Class: "&amp;'Mock 1 Paper 2A Results'!$B$3&amp;"   Date: "&amp;TEXT('Mock 1 Paper 2A Results'!$B$5,"DD/MM/YY"))</f>
        <v/>
      </c>
      <c r="K166">
        <f>IF('Mock 1 Paper 2A Results'!M33="","","Name: "&amp;'Mock 1 Paper 2A Results'!B33&amp;"   Class: "&amp;'Mock 1 Paper 2A Results'!$B$3&amp;"   Date: "&amp;TEXT('Mock 1 Paper 2A Results'!$B$5,"DD/MM/YY"))</f>
        <v/>
      </c>
    </row>
    <row r="167">
      <c r="A167">
        <f>IF('Mock 1 Paper 2A Results'!M32="","","Total: "&amp;'Mock 1 Paper 2A Results'!K32&amp;"/60 ("&amp;TEXT('Mock 1 Paper 2A Results'!L32,"0%")&amp;")   Overall: "&amp;'Mock 1 Paper 2A Results'!M32)</f>
        <v/>
      </c>
      <c r="K167">
        <f>IF('Mock 1 Paper 2A Results'!M33="","","Total: "&amp;'Mock 1 Paper 2A Results'!K33&amp;"/60 ("&amp;TEXT('Mock 1 Paper 2A Results'!L33,"0%")&amp;")   Overall: "&amp;'Mock 1 Paper 2A Results'!M33)</f>
        <v/>
      </c>
    </row>
    <row r="168">
      <c r="A168">
        <f>IF('Mock 1 Paper 2A Results'!M32="","",IF('Mock 1 Paper 2A Results'!M32="Green",Parameters!$C$503,IF('Mock 1 Paper 2A Results'!M32="Yellow",Parameters!$C$502,Parameters!$C$501)))</f>
        <v/>
      </c>
      <c r="K168">
        <f>IF('Mock 1 Paper 2A Results'!M33="","",IF('Mock 1 Paper 2A Results'!M33="Green",Parameters!$C$503,IF('Mock 1 Paper 2A Results'!M33="Yellow",Parameters!$C$502,Parameters!$C$501)))</f>
        <v/>
      </c>
    </row>
    <row r="170">
      <c r="A170">
        <f>IF('Mock 1 Paper 2A Results'!M32="","","Breakdown:")</f>
        <v/>
      </c>
      <c r="K170">
        <f>IF('Mock 1 Paper 2A Results'!M33="","","Breakdown:")</f>
        <v/>
      </c>
    </row>
    <row r="171">
      <c r="A171">
        <f>IF('Mock 1 Paper 2A Results'!M32="","","Q1 Ratios and percentage constraints: "&amp;'Mock 1 Paper 2A Results'!C32&amp;"/7")</f>
        <v/>
      </c>
      <c r="K171">
        <f>IF('Mock 1 Paper 2A Results'!M33="","","Q1 Ratios and percentage constraints: "&amp;'Mock 1 Paper 2A Results'!C33&amp;"/7")</f>
        <v/>
      </c>
    </row>
    <row r="172">
      <c r="A172">
        <f>IF('Mock 1 Paper 2A Results'!M32="","","Q2 Critical analysis of claims and data: "&amp;'Mock 1 Paper 2A Results'!D32&amp;"/13")</f>
        <v/>
      </c>
      <c r="K172">
        <f>IF('Mock 1 Paper 2A Results'!M33="","","Q2 Critical analysis of claims and data: "&amp;'Mock 1 Paper 2A Results'!D33&amp;"/13")</f>
        <v/>
      </c>
    </row>
    <row r="173">
      <c r="A173">
        <f>IF('Mock 1 Paper 2A Results'!M32="","","Q3 Standard normal distribution notation: "&amp;'Mock 1 Paper 2A Results'!E32&amp;"/2")</f>
        <v/>
      </c>
      <c r="K173">
        <f>IF('Mock 1 Paper 2A Results'!M33="","","Q3 Standard normal distribution notation: "&amp;'Mock 1 Paper 2A Results'!E33&amp;"/2")</f>
        <v/>
      </c>
    </row>
    <row r="174">
      <c r="A174">
        <f>IF('Mock 1 Paper 2A Results'!M32="","","Q4 Confidence interval for a mean: "&amp;'Mock 1 Paper 2A Results'!F32&amp;"/6")</f>
        <v/>
      </c>
      <c r="K174">
        <f>IF('Mock 1 Paper 2A Results'!M33="","","Q4 Confidence interval for a mean: "&amp;'Mock 1 Paper 2A Results'!F33&amp;"/6")</f>
        <v/>
      </c>
    </row>
    <row r="175">
      <c r="A175">
        <f>IF('Mock 1 Paper 2A Results'!M32="","","Q5 Point estimates and sample size: "&amp;'Mock 1 Paper 2A Results'!G32&amp;"/9")</f>
        <v/>
      </c>
      <c r="K175">
        <f>IF('Mock 1 Paper 2A Results'!M33="","","Q5 Point estimates and sample size: "&amp;'Mock 1 Paper 2A Results'!G33&amp;"/9")</f>
        <v/>
      </c>
    </row>
    <row r="176">
      <c r="A176">
        <f>IF('Mock 1 Paper 2A Results'!M32="","","Q6 Correlation and PMCC: "&amp;'Mock 1 Paper 2A Results'!H32&amp;"/3")</f>
        <v/>
      </c>
      <c r="K176">
        <f>IF('Mock 1 Paper 2A Results'!M33="","","Q6 Correlation and PMCC: "&amp;'Mock 1 Paper 2A Results'!H33&amp;"/3")</f>
        <v/>
      </c>
    </row>
    <row r="177">
      <c r="A177">
        <f>IF('Mock 1 Paper 2A Results'!M32="","","Q7 Normal distribution probabilities: "&amp;'Mock 1 Paper 2A Results'!I32&amp;"/8")</f>
        <v/>
      </c>
      <c r="K177">
        <f>IF('Mock 1 Paper 2A Results'!M33="","","Q7 Normal distribution probabilities: "&amp;'Mock 1 Paper 2A Results'!I33&amp;"/8")</f>
        <v/>
      </c>
    </row>
    <row r="178">
      <c r="A178">
        <f>IF('Mock 1 Paper 2A Results'!M32="","","Q8 Regression line and interpolation: "&amp;'Mock 1 Paper 2A Results'!J32&amp;"/12")</f>
        <v/>
      </c>
      <c r="K178">
        <f>IF('Mock 1 Paper 2A Results'!M33="","","Q8 Regression line and interpolation: "&amp;'Mock 1 Paper 2A Results'!J33&amp;"/12")</f>
        <v/>
      </c>
    </row>
    <row r="179">
      <c r="A179">
        <f>IF(OR('Mock 1 Paper 2A Results'!M32="",'Mock 1 Paper 2A Results'!N32=""),"",'Mock 1 Paper 2A Results'!N32)</f>
        <v/>
      </c>
      <c r="K179">
        <f>IF(OR('Mock 1 Paper 2A Results'!M33="",'Mock 1 Paper 2A Results'!N33=""),"",'Mock 1 Paper 2A Results'!N33)</f>
        <v/>
      </c>
    </row>
    <row r="181">
      <c r="A181">
        <f>IF('Mock 1 Paper 2A Results'!M34="","","Mock Exam 1 — Paper 2A")</f>
        <v/>
      </c>
      <c r="K181">
        <f>IF('Mock 1 Paper 2A Results'!M35="","","Mock Exam 1 — Paper 2A")</f>
        <v/>
      </c>
    </row>
    <row r="182">
      <c r="A182">
        <f>IF('Mock 1 Paper 2A Results'!M34="","","Name: "&amp;'Mock 1 Paper 2A Results'!B34&amp;"   Class: "&amp;'Mock 1 Paper 2A Results'!$B$3&amp;"   Date: "&amp;TEXT('Mock 1 Paper 2A Results'!$B$5,"DD/MM/YY"))</f>
        <v/>
      </c>
      <c r="K182">
        <f>IF('Mock 1 Paper 2A Results'!M35="","","Name: "&amp;'Mock 1 Paper 2A Results'!B35&amp;"   Class: "&amp;'Mock 1 Paper 2A Results'!$B$3&amp;"   Date: "&amp;TEXT('Mock 1 Paper 2A Results'!$B$5,"DD/MM/YY"))</f>
        <v/>
      </c>
    </row>
    <row r="183">
      <c r="A183">
        <f>IF('Mock 1 Paper 2A Results'!M34="","","Total: "&amp;'Mock 1 Paper 2A Results'!K34&amp;"/60 ("&amp;TEXT('Mock 1 Paper 2A Results'!L34,"0%")&amp;")   Overall: "&amp;'Mock 1 Paper 2A Results'!M34)</f>
        <v/>
      </c>
      <c r="K183">
        <f>IF('Mock 1 Paper 2A Results'!M35="","","Total: "&amp;'Mock 1 Paper 2A Results'!K35&amp;"/60 ("&amp;TEXT('Mock 1 Paper 2A Results'!L35,"0%")&amp;")   Overall: "&amp;'Mock 1 Paper 2A Results'!M35)</f>
        <v/>
      </c>
    </row>
    <row r="184">
      <c r="A184">
        <f>IF('Mock 1 Paper 2A Results'!M34="","",IF('Mock 1 Paper 2A Results'!M34="Green",Parameters!$C$503,IF('Mock 1 Paper 2A Results'!M34="Yellow",Parameters!$C$502,Parameters!$C$501)))</f>
        <v/>
      </c>
      <c r="K184">
        <f>IF('Mock 1 Paper 2A Results'!M35="","",IF('Mock 1 Paper 2A Results'!M35="Green",Parameters!$C$503,IF('Mock 1 Paper 2A Results'!M35="Yellow",Parameters!$C$502,Parameters!$C$501)))</f>
        <v/>
      </c>
    </row>
    <row r="186">
      <c r="A186">
        <f>IF('Mock 1 Paper 2A Results'!M34="","","Breakdown:")</f>
        <v/>
      </c>
      <c r="K186">
        <f>IF('Mock 1 Paper 2A Results'!M35="","","Breakdown:")</f>
        <v/>
      </c>
    </row>
    <row r="187">
      <c r="A187">
        <f>IF('Mock 1 Paper 2A Results'!M34="","","Q1 Ratios and percentage constraints: "&amp;'Mock 1 Paper 2A Results'!C34&amp;"/7")</f>
        <v/>
      </c>
      <c r="K187">
        <f>IF('Mock 1 Paper 2A Results'!M35="","","Q1 Ratios and percentage constraints: "&amp;'Mock 1 Paper 2A Results'!C35&amp;"/7")</f>
        <v/>
      </c>
    </row>
    <row r="188">
      <c r="A188">
        <f>IF('Mock 1 Paper 2A Results'!M34="","","Q2 Critical analysis of claims and data: "&amp;'Mock 1 Paper 2A Results'!D34&amp;"/13")</f>
        <v/>
      </c>
      <c r="K188">
        <f>IF('Mock 1 Paper 2A Results'!M35="","","Q2 Critical analysis of claims and data: "&amp;'Mock 1 Paper 2A Results'!D35&amp;"/13")</f>
        <v/>
      </c>
    </row>
    <row r="189">
      <c r="A189">
        <f>IF('Mock 1 Paper 2A Results'!M34="","","Q3 Standard normal distribution notation: "&amp;'Mock 1 Paper 2A Results'!E34&amp;"/2")</f>
        <v/>
      </c>
      <c r="K189">
        <f>IF('Mock 1 Paper 2A Results'!M35="","","Q3 Standard normal distribution notation: "&amp;'Mock 1 Paper 2A Results'!E35&amp;"/2")</f>
        <v/>
      </c>
    </row>
    <row r="190">
      <c r="A190">
        <f>IF('Mock 1 Paper 2A Results'!M34="","","Q4 Confidence interval for a mean: "&amp;'Mock 1 Paper 2A Results'!F34&amp;"/6")</f>
        <v/>
      </c>
      <c r="K190">
        <f>IF('Mock 1 Paper 2A Results'!M35="","","Q4 Confidence interval for a mean: "&amp;'Mock 1 Paper 2A Results'!F35&amp;"/6")</f>
        <v/>
      </c>
    </row>
    <row r="191">
      <c r="A191">
        <f>IF('Mock 1 Paper 2A Results'!M34="","","Q5 Point estimates and sample size: "&amp;'Mock 1 Paper 2A Results'!G34&amp;"/9")</f>
        <v/>
      </c>
      <c r="K191">
        <f>IF('Mock 1 Paper 2A Results'!M35="","","Q5 Point estimates and sample size: "&amp;'Mock 1 Paper 2A Results'!G35&amp;"/9")</f>
        <v/>
      </c>
    </row>
    <row r="192">
      <c r="A192">
        <f>IF('Mock 1 Paper 2A Results'!M34="","","Q6 Correlation and PMCC: "&amp;'Mock 1 Paper 2A Results'!H34&amp;"/3")</f>
        <v/>
      </c>
      <c r="K192">
        <f>IF('Mock 1 Paper 2A Results'!M35="","","Q6 Correlation and PMCC: "&amp;'Mock 1 Paper 2A Results'!H35&amp;"/3")</f>
        <v/>
      </c>
    </row>
    <row r="193">
      <c r="A193">
        <f>IF('Mock 1 Paper 2A Results'!M34="","","Q7 Normal distribution probabilities: "&amp;'Mock 1 Paper 2A Results'!I34&amp;"/8")</f>
        <v/>
      </c>
      <c r="K193">
        <f>IF('Mock 1 Paper 2A Results'!M35="","","Q7 Normal distribution probabilities: "&amp;'Mock 1 Paper 2A Results'!I35&amp;"/8")</f>
        <v/>
      </c>
    </row>
    <row r="194">
      <c r="A194">
        <f>IF('Mock 1 Paper 2A Results'!M34="","","Q8 Regression line and interpolation: "&amp;'Mock 1 Paper 2A Results'!J34&amp;"/12")</f>
        <v/>
      </c>
      <c r="K194">
        <f>IF('Mock 1 Paper 2A Results'!M35="","","Q8 Regression line and interpolation: "&amp;'Mock 1 Paper 2A Results'!J35&amp;"/12")</f>
        <v/>
      </c>
    </row>
    <row r="195">
      <c r="A195">
        <f>IF(OR('Mock 1 Paper 2A Results'!M34="",'Mock 1 Paper 2A Results'!N34=""),"",'Mock 1 Paper 2A Results'!N34)</f>
        <v/>
      </c>
      <c r="K195">
        <f>IF(OR('Mock 1 Paper 2A Results'!M35="",'Mock 1 Paper 2A Results'!N35=""),"",'Mock 1 Paper 2A Results'!N35)</f>
        <v/>
      </c>
    </row>
    <row r="197">
      <c r="A197">
        <f>IF('Mock 1 Paper 2A Results'!M36="","","Mock Exam 1 — Paper 2A")</f>
        <v/>
      </c>
      <c r="K197">
        <f>IF('Mock 1 Paper 2A Results'!M37="","","Mock Exam 1 — Paper 2A")</f>
        <v/>
      </c>
    </row>
    <row r="198">
      <c r="A198">
        <f>IF('Mock 1 Paper 2A Results'!M36="","","Name: "&amp;'Mock 1 Paper 2A Results'!B36&amp;"   Class: "&amp;'Mock 1 Paper 2A Results'!$B$3&amp;"   Date: "&amp;TEXT('Mock 1 Paper 2A Results'!$B$5,"DD/MM/YY"))</f>
        <v/>
      </c>
      <c r="K198">
        <f>IF('Mock 1 Paper 2A Results'!M37="","","Name: "&amp;'Mock 1 Paper 2A Results'!B37&amp;"   Class: "&amp;'Mock 1 Paper 2A Results'!$B$3&amp;"   Date: "&amp;TEXT('Mock 1 Paper 2A Results'!$B$5,"DD/MM/YY"))</f>
        <v/>
      </c>
    </row>
    <row r="199">
      <c r="A199">
        <f>IF('Mock 1 Paper 2A Results'!M36="","","Total: "&amp;'Mock 1 Paper 2A Results'!K36&amp;"/60 ("&amp;TEXT('Mock 1 Paper 2A Results'!L36,"0%")&amp;")   Overall: "&amp;'Mock 1 Paper 2A Results'!M36)</f>
        <v/>
      </c>
      <c r="K199">
        <f>IF('Mock 1 Paper 2A Results'!M37="","","Total: "&amp;'Mock 1 Paper 2A Results'!K37&amp;"/60 ("&amp;TEXT('Mock 1 Paper 2A Results'!L37,"0%")&amp;")   Overall: "&amp;'Mock 1 Paper 2A Results'!M37)</f>
        <v/>
      </c>
    </row>
    <row r="200">
      <c r="A200">
        <f>IF('Mock 1 Paper 2A Results'!M36="","",IF('Mock 1 Paper 2A Results'!M36="Green",Parameters!$C$503,IF('Mock 1 Paper 2A Results'!M36="Yellow",Parameters!$C$502,Parameters!$C$501)))</f>
        <v/>
      </c>
      <c r="K200">
        <f>IF('Mock 1 Paper 2A Results'!M37="","",IF('Mock 1 Paper 2A Results'!M37="Green",Parameters!$C$503,IF('Mock 1 Paper 2A Results'!M37="Yellow",Parameters!$C$502,Parameters!$C$501)))</f>
        <v/>
      </c>
    </row>
    <row r="202">
      <c r="A202">
        <f>IF('Mock 1 Paper 2A Results'!M36="","","Breakdown:")</f>
        <v/>
      </c>
      <c r="K202">
        <f>IF('Mock 1 Paper 2A Results'!M37="","","Breakdown:")</f>
        <v/>
      </c>
    </row>
    <row r="203">
      <c r="A203">
        <f>IF('Mock 1 Paper 2A Results'!M36="","","Q1 Ratios and percentage constraints: "&amp;'Mock 1 Paper 2A Results'!C36&amp;"/7")</f>
        <v/>
      </c>
      <c r="K203">
        <f>IF('Mock 1 Paper 2A Results'!M37="","","Q1 Ratios and percentage constraints: "&amp;'Mock 1 Paper 2A Results'!C37&amp;"/7")</f>
        <v/>
      </c>
    </row>
    <row r="204">
      <c r="A204">
        <f>IF('Mock 1 Paper 2A Results'!M36="","","Q2 Critical analysis of claims and data: "&amp;'Mock 1 Paper 2A Results'!D36&amp;"/13")</f>
        <v/>
      </c>
      <c r="K204">
        <f>IF('Mock 1 Paper 2A Results'!M37="","","Q2 Critical analysis of claims and data: "&amp;'Mock 1 Paper 2A Results'!D37&amp;"/13")</f>
        <v/>
      </c>
    </row>
    <row r="205">
      <c r="A205">
        <f>IF('Mock 1 Paper 2A Results'!M36="","","Q3 Standard normal distribution notation: "&amp;'Mock 1 Paper 2A Results'!E36&amp;"/2")</f>
        <v/>
      </c>
      <c r="K205">
        <f>IF('Mock 1 Paper 2A Results'!M37="","","Q3 Standard normal distribution notation: "&amp;'Mock 1 Paper 2A Results'!E37&amp;"/2")</f>
        <v/>
      </c>
    </row>
    <row r="206">
      <c r="A206">
        <f>IF('Mock 1 Paper 2A Results'!M36="","","Q4 Confidence interval for a mean: "&amp;'Mock 1 Paper 2A Results'!F36&amp;"/6")</f>
        <v/>
      </c>
      <c r="K206">
        <f>IF('Mock 1 Paper 2A Results'!M37="","","Q4 Confidence interval for a mean: "&amp;'Mock 1 Paper 2A Results'!F37&amp;"/6")</f>
        <v/>
      </c>
    </row>
    <row r="207">
      <c r="A207">
        <f>IF('Mock 1 Paper 2A Results'!M36="","","Q5 Point estimates and sample size: "&amp;'Mock 1 Paper 2A Results'!G36&amp;"/9")</f>
        <v/>
      </c>
      <c r="K207">
        <f>IF('Mock 1 Paper 2A Results'!M37="","","Q5 Point estimates and sample size: "&amp;'Mock 1 Paper 2A Results'!G37&amp;"/9")</f>
        <v/>
      </c>
    </row>
    <row r="208">
      <c r="A208">
        <f>IF('Mock 1 Paper 2A Results'!M36="","","Q6 Correlation and PMCC: "&amp;'Mock 1 Paper 2A Results'!H36&amp;"/3")</f>
        <v/>
      </c>
      <c r="K208">
        <f>IF('Mock 1 Paper 2A Results'!M37="","","Q6 Correlation and PMCC: "&amp;'Mock 1 Paper 2A Results'!H37&amp;"/3")</f>
        <v/>
      </c>
    </row>
    <row r="209">
      <c r="A209">
        <f>IF('Mock 1 Paper 2A Results'!M36="","","Q7 Normal distribution probabilities: "&amp;'Mock 1 Paper 2A Results'!I36&amp;"/8")</f>
        <v/>
      </c>
      <c r="K209">
        <f>IF('Mock 1 Paper 2A Results'!M37="","","Q7 Normal distribution probabilities: "&amp;'Mock 1 Paper 2A Results'!I37&amp;"/8")</f>
        <v/>
      </c>
    </row>
    <row r="210">
      <c r="A210">
        <f>IF('Mock 1 Paper 2A Results'!M36="","","Q8 Regression line and interpolation: "&amp;'Mock 1 Paper 2A Results'!J36&amp;"/12")</f>
        <v/>
      </c>
      <c r="K210">
        <f>IF('Mock 1 Paper 2A Results'!M37="","","Q8 Regression line and interpolation: "&amp;'Mock 1 Paper 2A Results'!J37&amp;"/12")</f>
        <v/>
      </c>
    </row>
    <row r="211">
      <c r="A211">
        <f>IF(OR('Mock 1 Paper 2A Results'!M36="",'Mock 1 Paper 2A Results'!N36=""),"",'Mock 1 Paper 2A Results'!N36)</f>
        <v/>
      </c>
      <c r="K211">
        <f>IF(OR('Mock 1 Paper 2A Results'!M37="",'Mock 1 Paper 2A Results'!N37=""),"",'Mock 1 Paper 2A Results'!N37)</f>
        <v/>
      </c>
    </row>
    <row r="213">
      <c r="A213">
        <f>IF('Mock 1 Paper 2A Results'!M38="","","Mock Exam 1 — Paper 2A")</f>
        <v/>
      </c>
      <c r="K213">
        <f>IF('Mock 1 Paper 2A Results'!M39="","","Mock Exam 1 — Paper 2A")</f>
        <v/>
      </c>
    </row>
    <row r="214">
      <c r="A214">
        <f>IF('Mock 1 Paper 2A Results'!M38="","","Name: "&amp;'Mock 1 Paper 2A Results'!B38&amp;"   Class: "&amp;'Mock 1 Paper 2A Results'!$B$3&amp;"   Date: "&amp;TEXT('Mock 1 Paper 2A Results'!$B$5,"DD/MM/YY"))</f>
        <v/>
      </c>
      <c r="K214">
        <f>IF('Mock 1 Paper 2A Results'!M39="","","Name: "&amp;'Mock 1 Paper 2A Results'!B39&amp;"   Class: "&amp;'Mock 1 Paper 2A Results'!$B$3&amp;"   Date: "&amp;TEXT('Mock 1 Paper 2A Results'!$B$5,"DD/MM/YY"))</f>
        <v/>
      </c>
    </row>
    <row r="215">
      <c r="A215">
        <f>IF('Mock 1 Paper 2A Results'!M38="","","Total: "&amp;'Mock 1 Paper 2A Results'!K38&amp;"/60 ("&amp;TEXT('Mock 1 Paper 2A Results'!L38,"0%")&amp;")   Overall: "&amp;'Mock 1 Paper 2A Results'!M38)</f>
        <v/>
      </c>
      <c r="K215">
        <f>IF('Mock 1 Paper 2A Results'!M39="","","Total: "&amp;'Mock 1 Paper 2A Results'!K39&amp;"/60 ("&amp;TEXT('Mock 1 Paper 2A Results'!L39,"0%")&amp;")   Overall: "&amp;'Mock 1 Paper 2A Results'!M39)</f>
        <v/>
      </c>
    </row>
    <row r="216">
      <c r="A216">
        <f>IF('Mock 1 Paper 2A Results'!M38="","",IF('Mock 1 Paper 2A Results'!M38="Green",Parameters!$C$503,IF('Mock 1 Paper 2A Results'!M38="Yellow",Parameters!$C$502,Parameters!$C$501)))</f>
        <v/>
      </c>
      <c r="K216">
        <f>IF('Mock 1 Paper 2A Results'!M39="","",IF('Mock 1 Paper 2A Results'!M39="Green",Parameters!$C$503,IF('Mock 1 Paper 2A Results'!M39="Yellow",Parameters!$C$502,Parameters!$C$501)))</f>
        <v/>
      </c>
    </row>
    <row r="218">
      <c r="A218">
        <f>IF('Mock 1 Paper 2A Results'!M38="","","Breakdown:")</f>
        <v/>
      </c>
      <c r="K218">
        <f>IF('Mock 1 Paper 2A Results'!M39="","","Breakdown:")</f>
        <v/>
      </c>
    </row>
    <row r="219">
      <c r="A219">
        <f>IF('Mock 1 Paper 2A Results'!M38="","","Q1 Ratios and percentage constraints: "&amp;'Mock 1 Paper 2A Results'!C38&amp;"/7")</f>
        <v/>
      </c>
      <c r="K219">
        <f>IF('Mock 1 Paper 2A Results'!M39="","","Q1 Ratios and percentage constraints: "&amp;'Mock 1 Paper 2A Results'!C39&amp;"/7")</f>
        <v/>
      </c>
    </row>
    <row r="220">
      <c r="A220">
        <f>IF('Mock 1 Paper 2A Results'!M38="","","Q2 Critical analysis of claims and data: "&amp;'Mock 1 Paper 2A Results'!D38&amp;"/13")</f>
        <v/>
      </c>
      <c r="K220">
        <f>IF('Mock 1 Paper 2A Results'!M39="","","Q2 Critical analysis of claims and data: "&amp;'Mock 1 Paper 2A Results'!D39&amp;"/13")</f>
        <v/>
      </c>
    </row>
    <row r="221">
      <c r="A221">
        <f>IF('Mock 1 Paper 2A Results'!M38="","","Q3 Standard normal distribution notation: "&amp;'Mock 1 Paper 2A Results'!E38&amp;"/2")</f>
        <v/>
      </c>
      <c r="K221">
        <f>IF('Mock 1 Paper 2A Results'!M39="","","Q3 Standard normal distribution notation: "&amp;'Mock 1 Paper 2A Results'!E39&amp;"/2")</f>
        <v/>
      </c>
    </row>
    <row r="222">
      <c r="A222">
        <f>IF('Mock 1 Paper 2A Results'!M38="","","Q4 Confidence interval for a mean: "&amp;'Mock 1 Paper 2A Results'!F38&amp;"/6")</f>
        <v/>
      </c>
      <c r="K222">
        <f>IF('Mock 1 Paper 2A Results'!M39="","","Q4 Confidence interval for a mean: "&amp;'Mock 1 Paper 2A Results'!F39&amp;"/6")</f>
        <v/>
      </c>
    </row>
    <row r="223">
      <c r="A223">
        <f>IF('Mock 1 Paper 2A Results'!M38="","","Q5 Point estimates and sample size: "&amp;'Mock 1 Paper 2A Results'!G38&amp;"/9")</f>
        <v/>
      </c>
      <c r="K223">
        <f>IF('Mock 1 Paper 2A Results'!M39="","","Q5 Point estimates and sample size: "&amp;'Mock 1 Paper 2A Results'!G39&amp;"/9")</f>
        <v/>
      </c>
    </row>
    <row r="224">
      <c r="A224">
        <f>IF('Mock 1 Paper 2A Results'!M38="","","Q6 Correlation and PMCC: "&amp;'Mock 1 Paper 2A Results'!H38&amp;"/3")</f>
        <v/>
      </c>
      <c r="K224">
        <f>IF('Mock 1 Paper 2A Results'!M39="","","Q6 Correlation and PMCC: "&amp;'Mock 1 Paper 2A Results'!H39&amp;"/3")</f>
        <v/>
      </c>
    </row>
    <row r="225">
      <c r="A225">
        <f>IF('Mock 1 Paper 2A Results'!M38="","","Q7 Normal distribution probabilities: "&amp;'Mock 1 Paper 2A Results'!I38&amp;"/8")</f>
        <v/>
      </c>
      <c r="K225">
        <f>IF('Mock 1 Paper 2A Results'!M39="","","Q7 Normal distribution probabilities: "&amp;'Mock 1 Paper 2A Results'!I39&amp;"/8")</f>
        <v/>
      </c>
    </row>
    <row r="226">
      <c r="A226">
        <f>IF('Mock 1 Paper 2A Results'!M38="","","Q8 Regression line and interpolation: "&amp;'Mock 1 Paper 2A Results'!J38&amp;"/12")</f>
        <v/>
      </c>
      <c r="K226">
        <f>IF('Mock 1 Paper 2A Results'!M39="","","Q8 Regression line and interpolation: "&amp;'Mock 1 Paper 2A Results'!J39&amp;"/12")</f>
        <v/>
      </c>
    </row>
    <row r="227">
      <c r="A227">
        <f>IF(OR('Mock 1 Paper 2A Results'!M38="",'Mock 1 Paper 2A Results'!N38=""),"",'Mock 1 Paper 2A Results'!N38)</f>
        <v/>
      </c>
      <c r="K227">
        <f>IF(OR('Mock 1 Paper 2A Results'!M39="",'Mock 1 Paper 2A Results'!N39=""),"",'Mock 1 Paper 2A Results'!N39)</f>
        <v/>
      </c>
    </row>
    <row r="229">
      <c r="A229">
        <f>IF('Mock 1 Paper 2A Results'!M40="","","Mock Exam 1 — Paper 2A")</f>
        <v/>
      </c>
      <c r="K229">
        <f>IF('Mock 1 Paper 2A Results'!M41="","","Mock Exam 1 — Paper 2A")</f>
        <v/>
      </c>
    </row>
    <row r="230">
      <c r="A230">
        <f>IF('Mock 1 Paper 2A Results'!M40="","","Name: "&amp;'Mock 1 Paper 2A Results'!B40&amp;"   Class: "&amp;'Mock 1 Paper 2A Results'!$B$3&amp;"   Date: "&amp;TEXT('Mock 1 Paper 2A Results'!$B$5,"DD/MM/YY"))</f>
        <v/>
      </c>
      <c r="K230">
        <f>IF('Mock 1 Paper 2A Results'!M41="","","Name: "&amp;'Mock 1 Paper 2A Results'!B41&amp;"   Class: "&amp;'Mock 1 Paper 2A Results'!$B$3&amp;"   Date: "&amp;TEXT('Mock 1 Paper 2A Results'!$B$5,"DD/MM/YY"))</f>
        <v/>
      </c>
    </row>
    <row r="231">
      <c r="A231">
        <f>IF('Mock 1 Paper 2A Results'!M40="","","Total: "&amp;'Mock 1 Paper 2A Results'!K40&amp;"/60 ("&amp;TEXT('Mock 1 Paper 2A Results'!L40,"0%")&amp;")   Overall: "&amp;'Mock 1 Paper 2A Results'!M40)</f>
        <v/>
      </c>
      <c r="K231">
        <f>IF('Mock 1 Paper 2A Results'!M41="","","Total: "&amp;'Mock 1 Paper 2A Results'!K41&amp;"/60 ("&amp;TEXT('Mock 1 Paper 2A Results'!L41,"0%")&amp;")   Overall: "&amp;'Mock 1 Paper 2A Results'!M41)</f>
        <v/>
      </c>
    </row>
    <row r="232">
      <c r="A232">
        <f>IF('Mock 1 Paper 2A Results'!M40="","",IF('Mock 1 Paper 2A Results'!M40="Green",Parameters!$C$503,IF('Mock 1 Paper 2A Results'!M40="Yellow",Parameters!$C$502,Parameters!$C$501)))</f>
        <v/>
      </c>
      <c r="K232">
        <f>IF('Mock 1 Paper 2A Results'!M41="","",IF('Mock 1 Paper 2A Results'!M41="Green",Parameters!$C$503,IF('Mock 1 Paper 2A Results'!M41="Yellow",Parameters!$C$502,Parameters!$C$501)))</f>
        <v/>
      </c>
    </row>
    <row r="234">
      <c r="A234">
        <f>IF('Mock 1 Paper 2A Results'!M40="","","Breakdown:")</f>
        <v/>
      </c>
      <c r="K234">
        <f>IF('Mock 1 Paper 2A Results'!M41="","","Breakdown:")</f>
        <v/>
      </c>
    </row>
    <row r="235">
      <c r="A235">
        <f>IF('Mock 1 Paper 2A Results'!M40="","","Q1 Ratios and percentage constraints: "&amp;'Mock 1 Paper 2A Results'!C40&amp;"/7")</f>
        <v/>
      </c>
      <c r="K235">
        <f>IF('Mock 1 Paper 2A Results'!M41="","","Q1 Ratios and percentage constraints: "&amp;'Mock 1 Paper 2A Results'!C41&amp;"/7")</f>
        <v/>
      </c>
    </row>
    <row r="236">
      <c r="A236">
        <f>IF('Mock 1 Paper 2A Results'!M40="","","Q2 Critical analysis of claims and data: "&amp;'Mock 1 Paper 2A Results'!D40&amp;"/13")</f>
        <v/>
      </c>
      <c r="K236">
        <f>IF('Mock 1 Paper 2A Results'!M41="","","Q2 Critical analysis of claims and data: "&amp;'Mock 1 Paper 2A Results'!D41&amp;"/13")</f>
        <v/>
      </c>
    </row>
    <row r="237">
      <c r="A237">
        <f>IF('Mock 1 Paper 2A Results'!M40="","","Q3 Standard normal distribution notation: "&amp;'Mock 1 Paper 2A Results'!E40&amp;"/2")</f>
        <v/>
      </c>
      <c r="K237">
        <f>IF('Mock 1 Paper 2A Results'!M41="","","Q3 Standard normal distribution notation: "&amp;'Mock 1 Paper 2A Results'!E41&amp;"/2")</f>
        <v/>
      </c>
    </row>
    <row r="238">
      <c r="A238">
        <f>IF('Mock 1 Paper 2A Results'!M40="","","Q4 Confidence interval for a mean: "&amp;'Mock 1 Paper 2A Results'!F40&amp;"/6")</f>
        <v/>
      </c>
      <c r="K238">
        <f>IF('Mock 1 Paper 2A Results'!M41="","","Q4 Confidence interval for a mean: "&amp;'Mock 1 Paper 2A Results'!F41&amp;"/6")</f>
        <v/>
      </c>
    </row>
    <row r="239">
      <c r="A239">
        <f>IF('Mock 1 Paper 2A Results'!M40="","","Q5 Point estimates and sample size: "&amp;'Mock 1 Paper 2A Results'!G40&amp;"/9")</f>
        <v/>
      </c>
      <c r="K239">
        <f>IF('Mock 1 Paper 2A Results'!M41="","","Q5 Point estimates and sample size: "&amp;'Mock 1 Paper 2A Results'!G41&amp;"/9")</f>
        <v/>
      </c>
    </row>
    <row r="240">
      <c r="A240">
        <f>IF('Mock 1 Paper 2A Results'!M40="","","Q6 Correlation and PMCC: "&amp;'Mock 1 Paper 2A Results'!H40&amp;"/3")</f>
        <v/>
      </c>
      <c r="K240">
        <f>IF('Mock 1 Paper 2A Results'!M41="","","Q6 Correlation and PMCC: "&amp;'Mock 1 Paper 2A Results'!H41&amp;"/3")</f>
        <v/>
      </c>
    </row>
    <row r="241">
      <c r="A241">
        <f>IF('Mock 1 Paper 2A Results'!M40="","","Q7 Normal distribution probabilities: "&amp;'Mock 1 Paper 2A Results'!I40&amp;"/8")</f>
        <v/>
      </c>
      <c r="K241">
        <f>IF('Mock 1 Paper 2A Results'!M41="","","Q7 Normal distribution probabilities: "&amp;'Mock 1 Paper 2A Results'!I41&amp;"/8")</f>
        <v/>
      </c>
    </row>
    <row r="242">
      <c r="A242">
        <f>IF('Mock 1 Paper 2A Results'!M40="","","Q8 Regression line and interpolation: "&amp;'Mock 1 Paper 2A Results'!J40&amp;"/12")</f>
        <v/>
      </c>
      <c r="K242">
        <f>IF('Mock 1 Paper 2A Results'!M41="","","Q8 Regression line and interpolation: "&amp;'Mock 1 Paper 2A Results'!J41&amp;"/12")</f>
        <v/>
      </c>
    </row>
    <row r="243">
      <c r="A243">
        <f>IF(OR('Mock 1 Paper 2A Results'!M40="",'Mock 1 Paper 2A Results'!N40=""),"",'Mock 1 Paper 2A Results'!N40)</f>
        <v/>
      </c>
      <c r="K243">
        <f>IF(OR('Mock 1 Paper 2A Results'!M41="",'Mock 1 Paper 2A Results'!N41=""),"",'Mock 1 Paper 2A Results'!N41)</f>
        <v/>
      </c>
    </row>
    <row r="245">
      <c r="A245">
        <f>IF('Mock 1 Paper 2A Results'!M40="","","Comments:")</f>
        <v/>
      </c>
      <c r="K245">
        <f>IF('Mock 1 Paper 2A Results'!M41="","","Comments:")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AW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10" customWidth="1" min="48" max="48"/>
    <col width="13" customWidth="1" min="49" max="49"/>
  </cols>
  <sheetData>
    <row r="1">
      <c r="A1" s="15" t="inlineStr">
        <is>
          <t>Student Subskill Progress — average % across every test question tagged to each subskill</t>
        </is>
      </c>
    </row>
    <row r="2">
      <c r="A2" s="2" t="inlineStr">
        <is>
          <t>Blank = not attempted yet (no test question tagged to that subskill has been marked for this student). Values are %% scores (0-1) averaged across every mini-test / end-of-topic-test / mock question that tests this subskill.</t>
        </is>
      </c>
    </row>
    <row r="3">
      <c r="E3" s="2" t="inlineStr">
        <is>
          <t>Qualitative vs quantitative; discrete vs continuous data</t>
        </is>
      </c>
      <c r="F3" s="2" t="inlineStr">
        <is>
          <t>Primary vs secondary data, including processed secondary data</t>
        </is>
      </c>
      <c r="G3" s="2" t="inlineStr">
        <is>
          <t>Collecting quantitative and qualitative data</t>
        </is>
      </c>
      <c r="H3" s="2" t="inlineStr">
        <is>
          <t>Sampling: random, cluster, stratified and quota methods</t>
        </is>
      </c>
      <c r="I3" s="2" t="inlineStr">
        <is>
          <t>Mean, median, mode, quartiles, percentiles, range, IQR, SD</t>
        </is>
      </c>
      <c r="J3" s="2" t="inlineStr">
        <is>
          <t>Interpreting numerical measures and drawing conclusions</t>
        </is>
      </c>
      <c r="K3" s="2" t="inlineStr">
        <is>
          <t>Histograms, cumulative frequency, box plots, stem-and-leaf</t>
        </is>
      </c>
      <c r="L3" s="2" t="inlineStr">
        <is>
          <t>Formulae, spreadsheets and financial expressions</t>
        </is>
      </c>
      <c r="M3" s="2" t="inlineStr">
        <is>
          <t>Priority of operations, powers, roots and reciprocals</t>
        </is>
      </c>
      <c r="N3" s="2" t="inlineStr">
        <is>
          <t>Limits of accuracy and simple error intervals</t>
        </is>
      </c>
      <c r="O3" s="2" t="inlineStr">
        <is>
          <t>Approximate solutions in financial contexts</t>
        </is>
      </c>
      <c r="P3" s="2" t="inlineStr">
        <is>
          <t>Percentages, percentage change and comparison</t>
        </is>
      </c>
      <c r="Q3" s="2" t="inlineStr">
        <is>
          <t>Simple/compound interest, AER, savings and investments</t>
        </is>
      </c>
      <c r="R3" s="2" t="inlineStr">
        <is>
          <t>Loans, mortgages, APR and cost of credit</t>
        </is>
      </c>
      <c r="S3" s="2" t="inlineStr">
        <is>
          <t>Graphs in financial contexts</t>
        </is>
      </c>
      <c r="T3" s="2" t="inlineStr">
        <is>
          <t>Income tax, National Insurance and VAT</t>
        </is>
      </c>
      <c r="U3" s="2" t="inlineStr">
        <is>
          <t>Inflation, exchange rates, commission and budgeting</t>
        </is>
      </c>
      <c r="V3" s="2" t="inlineStr">
        <is>
          <t>Representing situations mathematically</t>
        </is>
      </c>
      <c r="W3" s="2" t="inlineStr">
        <is>
          <t>Selecting appropriate mathematical techniques</t>
        </is>
      </c>
      <c r="X3" s="2" t="inlineStr">
        <is>
          <t>Interpreting results in context</t>
        </is>
      </c>
      <c r="Y3" s="2" t="inlineStr">
        <is>
          <t>Evaluating methods, assumptions and solutions</t>
        </is>
      </c>
      <c r="Z3" s="2" t="inlineStr">
        <is>
          <t>Fermi estimation: fast rough estimates</t>
        </is>
      </c>
      <c r="AA3" s="2" t="inlineStr">
        <is>
          <t>Criticising the arguments of others</t>
        </is>
      </c>
      <c r="AB3" s="2" t="inlineStr">
        <is>
          <t>Summarising and report writing</t>
        </is>
      </c>
      <c r="AC3" s="2" t="inlineStr">
        <is>
          <t>Comparing model results with real data</t>
        </is>
      </c>
      <c r="AD3" s="2" t="inlineStr">
        <is>
          <t>Critical analysis of data in media/politics/marketing</t>
        </is>
      </c>
      <c r="AE3" s="2" t="inlineStr">
        <is>
          <t>Symmetrical bell curve and probability as area</t>
        </is>
      </c>
      <c r="AF3" s="2" t="inlineStr">
        <is>
          <t>68-95 rule within 1 and 2 standard deviations</t>
        </is>
      </c>
      <c r="AG3" s="2" t="inlineStr">
        <is>
          <t>Normal distribution notation and standard normal</t>
        </is>
      </c>
      <c r="AH3" s="2" t="inlineStr">
        <is>
          <t>Using calculator/tables for normal probabilities</t>
        </is>
      </c>
      <c r="AI3" s="2" t="inlineStr">
        <is>
          <t>Population in statistical terms</t>
        </is>
      </c>
      <c r="AJ3" s="2" t="inlineStr">
        <is>
          <t>Simple random samples from a population</t>
        </is>
      </c>
      <c r="AK3" s="2" t="inlineStr">
        <is>
          <t>Sample mean as a point estimate</t>
        </is>
      </c>
      <c r="AL3" s="2" t="inlineStr">
        <is>
          <t>Effect of sample size on accuracy</t>
        </is>
      </c>
      <c r="AM3" s="2" t="inlineStr">
        <is>
          <t>Confidence intervals for the mean of a normal population</t>
        </is>
      </c>
      <c r="AN3" s="2" t="inlineStr">
        <is>
          <t>Recognising positive, negative, strong, no correlation</t>
        </is>
      </c>
      <c r="AO3" s="2" t="inlineStr">
        <is>
          <t>Correlation does not necessarily imply causation</t>
        </is>
      </c>
      <c r="AP3" s="2" t="inlineStr">
        <is>
          <t>Outliers and decisions about line of best fit</t>
        </is>
      </c>
      <c r="AQ3" s="2" t="inlineStr">
        <is>
          <t>PMCC as strength of correlation, -1 to +1</t>
        </is>
      </c>
      <c r="AR3" s="2" t="inlineStr">
        <is>
          <t>Scatter diagrams and line of best fit</t>
        </is>
      </c>
      <c r="AS3" s="2" t="inlineStr">
        <is>
          <t>Regression lines, plotting equations, interpolation</t>
        </is>
      </c>
      <c r="AT3" s="2" t="inlineStr">
        <is>
          <t>Problems with extrapolation</t>
        </is>
      </c>
      <c r="AU3" s="2" t="inlineStr">
        <is>
          <t>Calculator use for PMCC and regression equation</t>
        </is>
      </c>
    </row>
    <row r="4">
      <c r="A4" s="10" t="inlineStr">
        <is>
          <t>Student ID</t>
        </is>
      </c>
      <c r="B4" s="10" t="inlineStr">
        <is>
          <t>First name</t>
        </is>
      </c>
      <c r="C4" s="10" t="inlineStr">
        <is>
          <t>Surname</t>
        </is>
      </c>
      <c r="D4" s="10" t="inlineStr">
        <is>
          <t>Group</t>
        </is>
      </c>
      <c r="E4" s="16" t="inlineStr">
        <is>
          <t>1.1</t>
        </is>
      </c>
      <c r="F4" s="16" t="inlineStr">
        <is>
          <t>1.2</t>
        </is>
      </c>
      <c r="G4" s="16" t="inlineStr">
        <is>
          <t>1.3</t>
        </is>
      </c>
      <c r="H4" s="16" t="inlineStr">
        <is>
          <t>1.4</t>
        </is>
      </c>
      <c r="I4" s="16" t="inlineStr">
        <is>
          <t>1.5</t>
        </is>
      </c>
      <c r="J4" s="16" t="inlineStr">
        <is>
          <t>1.6</t>
        </is>
      </c>
      <c r="K4" s="16" t="inlineStr">
        <is>
          <t>1.7</t>
        </is>
      </c>
      <c r="L4" s="16" t="inlineStr">
        <is>
          <t>2.1</t>
        </is>
      </c>
      <c r="M4" s="16" t="inlineStr">
        <is>
          <t>2.2</t>
        </is>
      </c>
      <c r="N4" s="16" t="inlineStr">
        <is>
          <t>2.3</t>
        </is>
      </c>
      <c r="O4" s="16" t="inlineStr">
        <is>
          <t>2.4</t>
        </is>
      </c>
      <c r="P4" s="16" t="inlineStr">
        <is>
          <t>2.5</t>
        </is>
      </c>
      <c r="Q4" s="16" t="inlineStr">
        <is>
          <t>2.6</t>
        </is>
      </c>
      <c r="R4" s="16" t="inlineStr">
        <is>
          <t>2.7</t>
        </is>
      </c>
      <c r="S4" s="16" t="inlineStr">
        <is>
          <t>2.8</t>
        </is>
      </c>
      <c r="T4" s="16" t="inlineStr">
        <is>
          <t>2.9</t>
        </is>
      </c>
      <c r="U4" s="16" t="inlineStr">
        <is>
          <t>2.10</t>
        </is>
      </c>
      <c r="V4" s="16" t="inlineStr">
        <is>
          <t>3.1</t>
        </is>
      </c>
      <c r="W4" s="16" t="inlineStr">
        <is>
          <t>3.2</t>
        </is>
      </c>
      <c r="X4" s="16" t="inlineStr">
        <is>
          <t>3.3</t>
        </is>
      </c>
      <c r="Y4" s="16" t="inlineStr">
        <is>
          <t>3.4</t>
        </is>
      </c>
      <c r="Z4" s="16" t="inlineStr">
        <is>
          <t>3.5</t>
        </is>
      </c>
      <c r="AA4" s="16" t="inlineStr">
        <is>
          <t>4.1</t>
        </is>
      </c>
      <c r="AB4" s="16" t="inlineStr">
        <is>
          <t>4.2</t>
        </is>
      </c>
      <c r="AC4" s="16" t="inlineStr">
        <is>
          <t>4.3</t>
        </is>
      </c>
      <c r="AD4" s="16" t="inlineStr">
        <is>
          <t>4.4</t>
        </is>
      </c>
      <c r="AE4" s="16" t="inlineStr">
        <is>
          <t>5.1</t>
        </is>
      </c>
      <c r="AF4" s="16" t="inlineStr">
        <is>
          <t>5.2</t>
        </is>
      </c>
      <c r="AG4" s="16" t="inlineStr">
        <is>
          <t>5.3</t>
        </is>
      </c>
      <c r="AH4" s="16" t="inlineStr">
        <is>
          <t>5.4</t>
        </is>
      </c>
      <c r="AI4" s="16" t="inlineStr">
        <is>
          <t>6.1</t>
        </is>
      </c>
      <c r="AJ4" s="16" t="inlineStr">
        <is>
          <t>6.2</t>
        </is>
      </c>
      <c r="AK4" s="16" t="inlineStr">
        <is>
          <t>6.3</t>
        </is>
      </c>
      <c r="AL4" s="16" t="inlineStr">
        <is>
          <t>6.4</t>
        </is>
      </c>
      <c r="AM4" s="16" t="inlineStr">
        <is>
          <t>6.5</t>
        </is>
      </c>
      <c r="AN4" s="16" t="inlineStr">
        <is>
          <t>7.1</t>
        </is>
      </c>
      <c r="AO4" s="16" t="inlineStr">
        <is>
          <t>7.2</t>
        </is>
      </c>
      <c r="AP4" s="16" t="inlineStr">
        <is>
          <t>7.3</t>
        </is>
      </c>
      <c r="AQ4" s="16" t="inlineStr">
        <is>
          <t>7.4</t>
        </is>
      </c>
      <c r="AR4" s="16" t="inlineStr">
        <is>
          <t>7.5</t>
        </is>
      </c>
      <c r="AS4" s="16" t="inlineStr">
        <is>
          <t>7.6</t>
        </is>
      </c>
      <c r="AT4" s="16" t="inlineStr">
        <is>
          <t>7.7</t>
        </is>
      </c>
      <c r="AU4" s="16" t="inlineStr">
        <is>
          <t>7.8</t>
        </is>
      </c>
      <c r="AV4" s="10" t="inlineStr">
        <is>
          <t>Overall %</t>
        </is>
      </c>
      <c r="AW4" s="10" t="inlineStr">
        <is>
          <t>Readiness</t>
        </is>
      </c>
    </row>
    <row r="5"/>
    <row r="12">
      <c r="A12">
        <f>'Class Roster'!A12</f>
        <v/>
      </c>
      <c r="B12">
        <f>'Class Roster'!B12</f>
        <v/>
      </c>
      <c r="C12">
        <f>'Class Roster'!C12</f>
        <v/>
      </c>
      <c r="D12">
        <f>'Class Roster'!D12</f>
        <v/>
      </c>
      <c r="E12">
        <f>IFERROR(AVERAGE('MT 1.1 Results'!K12,'Ch1 EOT Results'!M12,'Mock 1 Paper 1 Results'!Q12),"")</f>
        <v/>
      </c>
      <c r="F12">
        <f>IFERROR(AVERAGE('MT 1.1 Results'!L12),"")</f>
        <v/>
      </c>
      <c r="G12">
        <f>""</f>
        <v/>
      </c>
      <c r="H12">
        <f>IFERROR(AVERAGE('MT 1.1 Results'!M12,'MT 1.3 Results'!N12,'Ch1 EOT Results'!R12,'Ch1 EOT2 Results'!P12,'Mock 1 Paper 1 Results'!R12),"")</f>
        <v/>
      </c>
      <c r="I12">
        <f>IFERROR(AVERAGE('MT 1.2 Results'!K12,'MT 1.2 Results'!L12,'MT 1.2 Results'!M12,'Ch1 EOT Results'!N12,'Ch1 EOT2 Results'!M12),"")</f>
        <v/>
      </c>
      <c r="J12">
        <f>IFERROR(AVERAGE('MT 1.1 Results'!N12,'MT 1.2 Results'!N12,'Ch1 EOT Results'!O12,'Ch1 EOT Results'!Q12,'Mock 1 Paper 1 Results'!V12),"")</f>
        <v/>
      </c>
      <c r="K12">
        <f>IFERROR(AVERAGE('MT 1.3 Results'!K12,'MT 1.3 Results'!L12,'MT 1.3 Results'!M12,'Ch1 EOT Results'!P12,'Ch1 EOT2 Results'!L12,'Ch1 EOT2 Results'!N12,'Ch1 EOT2 Results'!O12,'Mock 1 Paper 1 Results'!Y12),"")</f>
        <v/>
      </c>
      <c r="L12">
        <f>""</f>
        <v/>
      </c>
      <c r="M12">
        <f>""</f>
        <v/>
      </c>
      <c r="N12">
        <f>""</f>
        <v/>
      </c>
      <c r="O12">
        <f>""</f>
        <v/>
      </c>
      <c r="P12">
        <f>IFERROR(AVERAGE('Mock 1 Paper 1 Results'!S12,'Mock 1 Paper 2A Results'!O12),"")</f>
        <v/>
      </c>
      <c r="Q12">
        <f>IFERROR(AVERAGE('MT 2.1 Results'!L12,'MT 2.2 Results'!M12,'Ch2 EOT Results'!S12,'Ch2 EOT2 Results'!T12,'Ch2 EOT2 Results'!U12,'Mock 1 Paper 1 Results'!U12,'Mock 1 Paper 1 Results'!Z12),"")</f>
        <v/>
      </c>
      <c r="R12">
        <f>IFERROR(AVERAGE('MT 2.2 Results'!K12,'Ch2 EOT Results'!R12,'Ch2 EOT Results'!V12,'Ch2 EOT2 Results'!S12),"")</f>
        <v/>
      </c>
      <c r="S12">
        <f>""</f>
        <v/>
      </c>
      <c r="T12">
        <f>IFERROR(AVERAGE('MT 2.1 Results'!J12,'Ch2 EOT Results'!P12,'Ch2 EOT Results'!Q12,'Ch2 EOT Results'!T12,'Ch2 EOT2 Results'!P12,'Ch2 EOT2 Results'!Q12,'Mock 1 Paper 1 Results'!X12),"")</f>
        <v/>
      </c>
      <c r="U12">
        <f>IFERROR(AVERAGE('MT 2.1 Results'!K12,'MT 2.2 Results'!L12,'MT 2.2 Results'!N12,'Ch2 EOT Results'!O12,'Ch2 EOT Results'!U12,'Ch2 EOT2 Results'!O12,'Ch2 EOT2 Results'!R12,'Ch2 EOT2 Results'!V12),"")</f>
        <v/>
      </c>
      <c r="V12">
        <f>IFERROR(AVERAGE('Ch3 EOT Results'!Q12,'Ch3 EOT2 Results'!Q12,'Mock 1 Paper 1 Results'!W12),"")</f>
        <v/>
      </c>
      <c r="W12">
        <f>IFERROR(AVERAGE('MT 3.1 Results'!M12,'MT 3.1 Results'!N12,'MT 3.2 Results'!K12,'MT 3.2 Results'!M12,'Ch3 EOT Results'!O12,'Ch3 EOT Results'!S12,'Ch3 EOT2 Results'!O12,'Ch3 EOT2 Results'!S12),"")</f>
        <v/>
      </c>
      <c r="X12">
        <f>IFERROR(AVERAGE('MT 3.2 Results'!L12),"")</f>
        <v/>
      </c>
      <c r="Y12">
        <f>IFERROR(AVERAGE('MT 3.1 Results'!L12,'Ch3 EOT Results'!R12,'Ch3 EOT2 Results'!R12),"")</f>
        <v/>
      </c>
      <c r="Z12">
        <f>IFERROR(AVERAGE('MT 3.1 Results'!K12,'MT 3.2 Results'!N12,'Ch3 EOT Results'!N12,'Ch3 EOT Results'!P12,'Ch3 EOT Results'!T12,'Ch3 EOT2 Results'!N12,'Ch3 EOT2 Results'!P12,'Ch3 EOT2 Results'!T12,'Mock 1 Paper 1 Results'!T12),"")</f>
        <v/>
      </c>
      <c r="AA12">
        <f>IFERROR(AVERAGE('MT 4.1 Results'!M12,'MT 4.2 Results'!K12,'MT 4.2 Results'!L12,'Ch4 EOT Results'!M12,'Ch4 EOT Results'!P12,'Ch4 EOT Results'!Q12,'Ch4 EOT2 Results'!M12,'Ch4 EOT2 Results'!P12,'Ch4 EOT2 Results'!Q12),"")</f>
        <v/>
      </c>
      <c r="AB12">
        <f>IFERROR(AVERAGE('Ch4 EOT Results'!N12,'Ch4 EOT2 Results'!N12),"")</f>
        <v/>
      </c>
      <c r="AC12">
        <f>IFERROR(AVERAGE('MT 4.2 Results'!M12,'MT 4.2 Results'!N12),"")</f>
        <v/>
      </c>
      <c r="AD12">
        <f>IFERROR(AVERAGE('MT 4.1 Results'!K12,'MT 4.1 Results'!L12,'MT 4.1 Results'!N12,'Ch4 EOT Results'!O12,'Ch4 EOT Results'!R12,'Ch4 EOT2 Results'!O12,'Ch4 EOT2 Results'!R12,'Mock 1 Paper 2A Results'!P12),"")</f>
        <v/>
      </c>
      <c r="AE12">
        <f>IFERROR(AVERAGE('MT 5.1 Results'!K12,'MT 5.1 Results'!N12,'MT 5.2 Results'!N12,'Ch5 EOT Results'!L12,'Ch5 EOT2 Results'!L12),"")</f>
        <v/>
      </c>
      <c r="AF12">
        <f>IFERROR(AVERAGE('Ch5 EOT Results'!O12,'Ch5 EOT2 Results'!O12),"")</f>
        <v/>
      </c>
      <c r="AG12">
        <f>IFERROR(AVERAGE('MT 5.1 Results'!L12,'Ch5 EOT Results'!P12,'Ch5 EOT2 Results'!P12,'Mock 1 Paper 2A Results'!Q12),"")</f>
        <v/>
      </c>
      <c r="AH12">
        <f>IFERROR(AVERAGE('MT 5.1 Results'!M12,'MT 5.2 Results'!K12,'MT 5.2 Results'!L12,'MT 5.2 Results'!M12,'Ch5 EOT Results'!M12,'Ch5 EOT Results'!N12,'Ch5 EOT2 Results'!M12,'Ch5 EOT2 Results'!N12,'Mock 1 Paper 2A Results'!U12),"")</f>
        <v/>
      </c>
      <c r="AI12">
        <f>""</f>
        <v/>
      </c>
      <c r="AJ12">
        <f>""</f>
        <v/>
      </c>
      <c r="AK12">
        <f>IFERROR(AVERAGE('MT 6.1 Results'!K12,'Mock 1 Paper 2A Results'!S12),"")</f>
        <v/>
      </c>
      <c r="AL12">
        <f>IFERROR(AVERAGE('MT 6.1 Results'!L12,'MT 6.2 Results'!L12,'Ch6 EOT Results'!O12,'Ch6 EOT2 Results'!O12),"")</f>
        <v/>
      </c>
      <c r="AM12">
        <f>IFERROR(AVERAGE('MT 6.1 Results'!M12,'MT 6.1 Results'!N12,'MT 6.2 Results'!K12,'MT 6.2 Results'!M12,'MT 6.2 Results'!N12,'Ch6 EOT Results'!M12,'Ch6 EOT Results'!N12,'Ch6 EOT Results'!P12,'Ch6 EOT Results'!Q12,'Ch6 EOT Results'!R12,'Ch6 EOT2 Results'!M12,'Ch6 EOT2 Results'!N12,'Ch6 EOT2 Results'!P12,'Ch6 EOT2 Results'!Q12,'Ch6 EOT2 Results'!R12,'Mock 1 Paper 2A Results'!R12),"")</f>
        <v/>
      </c>
      <c r="AN12">
        <f>IFERROR(AVERAGE('MT 7.1 Results'!K12),"")</f>
        <v/>
      </c>
      <c r="AO12">
        <f>IFERROR(AVERAGE('MT 7.1 Results'!M12,'Ch7 EOT2 Results'!L12),"")</f>
        <v/>
      </c>
      <c r="AP12">
        <f>IFERROR(AVERAGE('Ch7 EOT Results'!N12,'Ch7 EOT2 Results'!N12),"")</f>
        <v/>
      </c>
      <c r="AQ12">
        <f>IFERROR(AVERAGE('MT 7.1 Results'!L12,'MT 7.1 Results'!N12,'Ch7 EOT Results'!L12,'Ch7 EOT Results'!M12,'Ch7 EOT2 Results'!K12,'Mock 1 Paper 2A Results'!T12),"")</f>
        <v/>
      </c>
      <c r="AR12">
        <f>IFERROR(AVERAGE('MT 7.2 Results'!K12),"")</f>
        <v/>
      </c>
      <c r="AS12">
        <f>IFERROR(AVERAGE('MT 7.2 Results'!L12,'MT 7.2 Results'!N12,'Ch7 EOT Results'!O12,'Ch7 EOT2 Results'!M12,'Mock 1 Paper 2A Results'!V12),"")</f>
        <v/>
      </c>
      <c r="AT12">
        <f>IFERROR(AVERAGE('MT 7.2 Results'!M12,'Ch7 EOT Results'!P12),"")</f>
        <v/>
      </c>
      <c r="AU12">
        <f>""</f>
        <v/>
      </c>
      <c r="AV12">
        <f>IFERROR(AVERAGE(E12:AU12),"")</f>
        <v/>
      </c>
      <c r="AW12">
        <f>IF(AV12="","Not started",IF(AV12&gt;=0.8,"Ready",IF(AV12&gt;=0.65,"Nearly ready",IF(AV12&gt;=0.5,"Developing","Urgent support"))))</f>
        <v/>
      </c>
    </row>
    <row r="13">
      <c r="A13">
        <f>'Class Roster'!A13</f>
        <v/>
      </c>
      <c r="B13">
        <f>'Class Roster'!B13</f>
        <v/>
      </c>
      <c r="C13">
        <f>'Class Roster'!C13</f>
        <v/>
      </c>
      <c r="D13">
        <f>'Class Roster'!D13</f>
        <v/>
      </c>
      <c r="E13">
        <f>IFERROR(AVERAGE('MT 1.1 Results'!K13,'Ch1 EOT Results'!M13,'Mock 1 Paper 1 Results'!Q13),"")</f>
        <v/>
      </c>
      <c r="F13">
        <f>IFERROR(AVERAGE('MT 1.1 Results'!L13),"")</f>
        <v/>
      </c>
      <c r="G13">
        <f>""</f>
        <v/>
      </c>
      <c r="H13">
        <f>IFERROR(AVERAGE('MT 1.1 Results'!M13,'MT 1.3 Results'!N13,'Ch1 EOT Results'!R13,'Ch1 EOT2 Results'!P13,'Mock 1 Paper 1 Results'!R13),"")</f>
        <v/>
      </c>
      <c r="I13">
        <f>IFERROR(AVERAGE('MT 1.2 Results'!K13,'MT 1.2 Results'!L13,'MT 1.2 Results'!M13,'Ch1 EOT Results'!N13,'Ch1 EOT2 Results'!M13),"")</f>
        <v/>
      </c>
      <c r="J13">
        <f>IFERROR(AVERAGE('MT 1.1 Results'!N13,'MT 1.2 Results'!N13,'Ch1 EOT Results'!O13,'Ch1 EOT Results'!Q13,'Mock 1 Paper 1 Results'!V13),"")</f>
        <v/>
      </c>
      <c r="K13">
        <f>IFERROR(AVERAGE('MT 1.3 Results'!K13,'MT 1.3 Results'!L13,'MT 1.3 Results'!M13,'Ch1 EOT Results'!P13,'Ch1 EOT2 Results'!L13,'Ch1 EOT2 Results'!N13,'Ch1 EOT2 Results'!O13,'Mock 1 Paper 1 Results'!Y13),"")</f>
        <v/>
      </c>
      <c r="L13">
        <f>""</f>
        <v/>
      </c>
      <c r="M13">
        <f>""</f>
        <v/>
      </c>
      <c r="N13">
        <f>""</f>
        <v/>
      </c>
      <c r="O13">
        <f>""</f>
        <v/>
      </c>
      <c r="P13">
        <f>IFERROR(AVERAGE('Mock 1 Paper 1 Results'!S13,'Mock 1 Paper 2A Results'!O13),"")</f>
        <v/>
      </c>
      <c r="Q13">
        <f>IFERROR(AVERAGE('MT 2.1 Results'!L13,'MT 2.2 Results'!M13,'Ch2 EOT Results'!S13,'Ch2 EOT2 Results'!T13,'Ch2 EOT2 Results'!U13,'Mock 1 Paper 1 Results'!U13,'Mock 1 Paper 1 Results'!Z13),"")</f>
        <v/>
      </c>
      <c r="R13">
        <f>IFERROR(AVERAGE('MT 2.2 Results'!K13,'Ch2 EOT Results'!R13,'Ch2 EOT Results'!V13,'Ch2 EOT2 Results'!S13),"")</f>
        <v/>
      </c>
      <c r="S13">
        <f>""</f>
        <v/>
      </c>
      <c r="T13">
        <f>IFERROR(AVERAGE('MT 2.1 Results'!J13,'Ch2 EOT Results'!P13,'Ch2 EOT Results'!Q13,'Ch2 EOT Results'!T13,'Ch2 EOT2 Results'!P13,'Ch2 EOT2 Results'!Q13,'Mock 1 Paper 1 Results'!X13),"")</f>
        <v/>
      </c>
      <c r="U13">
        <f>IFERROR(AVERAGE('MT 2.1 Results'!K13,'MT 2.2 Results'!L13,'MT 2.2 Results'!N13,'Ch2 EOT Results'!O13,'Ch2 EOT Results'!U13,'Ch2 EOT2 Results'!O13,'Ch2 EOT2 Results'!R13,'Ch2 EOT2 Results'!V13),"")</f>
        <v/>
      </c>
      <c r="V13">
        <f>IFERROR(AVERAGE('Ch3 EOT Results'!Q13,'Ch3 EOT2 Results'!Q13,'Mock 1 Paper 1 Results'!W13),"")</f>
        <v/>
      </c>
      <c r="W13">
        <f>IFERROR(AVERAGE('MT 3.1 Results'!M13,'MT 3.1 Results'!N13,'MT 3.2 Results'!K13,'MT 3.2 Results'!M13,'Ch3 EOT Results'!O13,'Ch3 EOT Results'!S13,'Ch3 EOT2 Results'!O13,'Ch3 EOT2 Results'!S13),"")</f>
        <v/>
      </c>
      <c r="X13">
        <f>IFERROR(AVERAGE('MT 3.2 Results'!L13),"")</f>
        <v/>
      </c>
      <c r="Y13">
        <f>IFERROR(AVERAGE('MT 3.1 Results'!L13,'Ch3 EOT Results'!R13,'Ch3 EOT2 Results'!R13),"")</f>
        <v/>
      </c>
      <c r="Z13">
        <f>IFERROR(AVERAGE('MT 3.1 Results'!K13,'MT 3.2 Results'!N13,'Ch3 EOT Results'!N13,'Ch3 EOT Results'!P13,'Ch3 EOT Results'!T13,'Ch3 EOT2 Results'!N13,'Ch3 EOT2 Results'!P13,'Ch3 EOT2 Results'!T13,'Mock 1 Paper 1 Results'!T13),"")</f>
        <v/>
      </c>
      <c r="AA13">
        <f>IFERROR(AVERAGE('MT 4.1 Results'!M13,'MT 4.2 Results'!K13,'MT 4.2 Results'!L13,'Ch4 EOT Results'!M13,'Ch4 EOT Results'!P13,'Ch4 EOT Results'!Q13,'Ch4 EOT2 Results'!M13,'Ch4 EOT2 Results'!P13,'Ch4 EOT2 Results'!Q13),"")</f>
        <v/>
      </c>
      <c r="AB13">
        <f>IFERROR(AVERAGE('Ch4 EOT Results'!N13,'Ch4 EOT2 Results'!N13),"")</f>
        <v/>
      </c>
      <c r="AC13">
        <f>IFERROR(AVERAGE('MT 4.2 Results'!M13,'MT 4.2 Results'!N13),"")</f>
        <v/>
      </c>
      <c r="AD13">
        <f>IFERROR(AVERAGE('MT 4.1 Results'!K13,'MT 4.1 Results'!L13,'MT 4.1 Results'!N13,'Ch4 EOT Results'!O13,'Ch4 EOT Results'!R13,'Ch4 EOT2 Results'!O13,'Ch4 EOT2 Results'!R13,'Mock 1 Paper 2A Results'!P13),"")</f>
        <v/>
      </c>
      <c r="AE13">
        <f>IFERROR(AVERAGE('MT 5.1 Results'!K13,'MT 5.1 Results'!N13,'MT 5.2 Results'!N13,'Ch5 EOT Results'!L13,'Ch5 EOT2 Results'!L13),"")</f>
        <v/>
      </c>
      <c r="AF13">
        <f>IFERROR(AVERAGE('Ch5 EOT Results'!O13,'Ch5 EOT2 Results'!O13),"")</f>
        <v/>
      </c>
      <c r="AG13">
        <f>IFERROR(AVERAGE('MT 5.1 Results'!L13,'Ch5 EOT Results'!P13,'Ch5 EOT2 Results'!P13,'Mock 1 Paper 2A Results'!Q13),"")</f>
        <v/>
      </c>
      <c r="AH13">
        <f>IFERROR(AVERAGE('MT 5.1 Results'!M13,'MT 5.2 Results'!K13,'MT 5.2 Results'!L13,'MT 5.2 Results'!M13,'Ch5 EOT Results'!M13,'Ch5 EOT Results'!N13,'Ch5 EOT2 Results'!M13,'Ch5 EOT2 Results'!N13,'Mock 1 Paper 2A Results'!U13),"")</f>
        <v/>
      </c>
      <c r="AI13">
        <f>""</f>
        <v/>
      </c>
      <c r="AJ13">
        <f>""</f>
        <v/>
      </c>
      <c r="AK13">
        <f>IFERROR(AVERAGE('MT 6.1 Results'!K13,'Mock 1 Paper 2A Results'!S13),"")</f>
        <v/>
      </c>
      <c r="AL13">
        <f>IFERROR(AVERAGE('MT 6.1 Results'!L13,'MT 6.2 Results'!L13,'Ch6 EOT Results'!O13,'Ch6 EOT2 Results'!O13),"")</f>
        <v/>
      </c>
      <c r="AM13">
        <f>IFERROR(AVERAGE('MT 6.1 Results'!M13,'MT 6.1 Results'!N13,'MT 6.2 Results'!K13,'MT 6.2 Results'!M13,'MT 6.2 Results'!N13,'Ch6 EOT Results'!M13,'Ch6 EOT Results'!N13,'Ch6 EOT Results'!P13,'Ch6 EOT Results'!Q13,'Ch6 EOT Results'!R13,'Ch6 EOT2 Results'!M13,'Ch6 EOT2 Results'!N13,'Ch6 EOT2 Results'!P13,'Ch6 EOT2 Results'!Q13,'Ch6 EOT2 Results'!R13,'Mock 1 Paper 2A Results'!R13),"")</f>
        <v/>
      </c>
      <c r="AN13">
        <f>IFERROR(AVERAGE('MT 7.1 Results'!K13),"")</f>
        <v/>
      </c>
      <c r="AO13">
        <f>IFERROR(AVERAGE('MT 7.1 Results'!M13,'Ch7 EOT2 Results'!L13),"")</f>
        <v/>
      </c>
      <c r="AP13">
        <f>IFERROR(AVERAGE('Ch7 EOT Results'!N13,'Ch7 EOT2 Results'!N13),"")</f>
        <v/>
      </c>
      <c r="AQ13">
        <f>IFERROR(AVERAGE('MT 7.1 Results'!L13,'MT 7.1 Results'!N13,'Ch7 EOT Results'!L13,'Ch7 EOT Results'!M13,'Ch7 EOT2 Results'!K13,'Mock 1 Paper 2A Results'!T13),"")</f>
        <v/>
      </c>
      <c r="AR13">
        <f>IFERROR(AVERAGE('MT 7.2 Results'!K13),"")</f>
        <v/>
      </c>
      <c r="AS13">
        <f>IFERROR(AVERAGE('MT 7.2 Results'!L13,'MT 7.2 Results'!N13,'Ch7 EOT Results'!O13,'Ch7 EOT2 Results'!M13,'Mock 1 Paper 2A Results'!V13),"")</f>
        <v/>
      </c>
      <c r="AT13">
        <f>IFERROR(AVERAGE('MT 7.2 Results'!M13,'Ch7 EOT Results'!P13),"")</f>
        <v/>
      </c>
      <c r="AU13">
        <f>""</f>
        <v/>
      </c>
      <c r="AV13">
        <f>IFERROR(AVERAGE(E13:AU13),"")</f>
        <v/>
      </c>
      <c r="AW13">
        <f>IF(AV13="","Not started",IF(AV13&gt;=0.8,"Ready",IF(AV13&gt;=0.65,"Nearly ready",IF(AV13&gt;=0.5,"Developing","Urgent support"))))</f>
        <v/>
      </c>
    </row>
    <row r="14">
      <c r="A14">
        <f>'Class Roster'!A14</f>
        <v/>
      </c>
      <c r="B14">
        <f>'Class Roster'!B14</f>
        <v/>
      </c>
      <c r="C14">
        <f>'Class Roster'!C14</f>
        <v/>
      </c>
      <c r="D14">
        <f>'Class Roster'!D14</f>
        <v/>
      </c>
      <c r="E14">
        <f>IFERROR(AVERAGE('MT 1.1 Results'!K14,'Ch1 EOT Results'!M14,'Mock 1 Paper 1 Results'!Q14),"")</f>
        <v/>
      </c>
      <c r="F14">
        <f>IFERROR(AVERAGE('MT 1.1 Results'!L14),"")</f>
        <v/>
      </c>
      <c r="G14">
        <f>""</f>
        <v/>
      </c>
      <c r="H14">
        <f>IFERROR(AVERAGE('MT 1.1 Results'!M14,'MT 1.3 Results'!N14,'Ch1 EOT Results'!R14,'Ch1 EOT2 Results'!P14,'Mock 1 Paper 1 Results'!R14),"")</f>
        <v/>
      </c>
      <c r="I14">
        <f>IFERROR(AVERAGE('MT 1.2 Results'!K14,'MT 1.2 Results'!L14,'MT 1.2 Results'!M14,'Ch1 EOT Results'!N14,'Ch1 EOT2 Results'!M14),"")</f>
        <v/>
      </c>
      <c r="J14">
        <f>IFERROR(AVERAGE('MT 1.1 Results'!N14,'MT 1.2 Results'!N14,'Ch1 EOT Results'!O14,'Ch1 EOT Results'!Q14,'Mock 1 Paper 1 Results'!V14),"")</f>
        <v/>
      </c>
      <c r="K14">
        <f>IFERROR(AVERAGE('MT 1.3 Results'!K14,'MT 1.3 Results'!L14,'MT 1.3 Results'!M14,'Ch1 EOT Results'!P14,'Ch1 EOT2 Results'!L14,'Ch1 EOT2 Results'!N14,'Ch1 EOT2 Results'!O14,'Mock 1 Paper 1 Results'!Y14),"")</f>
        <v/>
      </c>
      <c r="L14">
        <f>""</f>
        <v/>
      </c>
      <c r="M14">
        <f>""</f>
        <v/>
      </c>
      <c r="N14">
        <f>""</f>
        <v/>
      </c>
      <c r="O14">
        <f>""</f>
        <v/>
      </c>
      <c r="P14">
        <f>IFERROR(AVERAGE('Mock 1 Paper 1 Results'!S14,'Mock 1 Paper 2A Results'!O14),"")</f>
        <v/>
      </c>
      <c r="Q14">
        <f>IFERROR(AVERAGE('MT 2.1 Results'!L14,'MT 2.2 Results'!M14,'Ch2 EOT Results'!S14,'Ch2 EOT2 Results'!T14,'Ch2 EOT2 Results'!U14,'Mock 1 Paper 1 Results'!U14,'Mock 1 Paper 1 Results'!Z14),"")</f>
        <v/>
      </c>
      <c r="R14">
        <f>IFERROR(AVERAGE('MT 2.2 Results'!K14,'Ch2 EOT Results'!R14,'Ch2 EOT Results'!V14,'Ch2 EOT2 Results'!S14),"")</f>
        <v/>
      </c>
      <c r="S14">
        <f>""</f>
        <v/>
      </c>
      <c r="T14">
        <f>IFERROR(AVERAGE('MT 2.1 Results'!J14,'Ch2 EOT Results'!P14,'Ch2 EOT Results'!Q14,'Ch2 EOT Results'!T14,'Ch2 EOT2 Results'!P14,'Ch2 EOT2 Results'!Q14,'Mock 1 Paper 1 Results'!X14),"")</f>
        <v/>
      </c>
      <c r="U14">
        <f>IFERROR(AVERAGE('MT 2.1 Results'!K14,'MT 2.2 Results'!L14,'MT 2.2 Results'!N14,'Ch2 EOT Results'!O14,'Ch2 EOT Results'!U14,'Ch2 EOT2 Results'!O14,'Ch2 EOT2 Results'!R14,'Ch2 EOT2 Results'!V14),"")</f>
        <v/>
      </c>
      <c r="V14">
        <f>IFERROR(AVERAGE('Ch3 EOT Results'!Q14,'Ch3 EOT2 Results'!Q14,'Mock 1 Paper 1 Results'!W14),"")</f>
        <v/>
      </c>
      <c r="W14">
        <f>IFERROR(AVERAGE('MT 3.1 Results'!M14,'MT 3.1 Results'!N14,'MT 3.2 Results'!K14,'MT 3.2 Results'!M14,'Ch3 EOT Results'!O14,'Ch3 EOT Results'!S14,'Ch3 EOT2 Results'!O14,'Ch3 EOT2 Results'!S14),"")</f>
        <v/>
      </c>
      <c r="X14">
        <f>IFERROR(AVERAGE('MT 3.2 Results'!L14),"")</f>
        <v/>
      </c>
      <c r="Y14">
        <f>IFERROR(AVERAGE('MT 3.1 Results'!L14,'Ch3 EOT Results'!R14,'Ch3 EOT2 Results'!R14),"")</f>
        <v/>
      </c>
      <c r="Z14">
        <f>IFERROR(AVERAGE('MT 3.1 Results'!K14,'MT 3.2 Results'!N14,'Ch3 EOT Results'!N14,'Ch3 EOT Results'!P14,'Ch3 EOT Results'!T14,'Ch3 EOT2 Results'!N14,'Ch3 EOT2 Results'!P14,'Ch3 EOT2 Results'!T14,'Mock 1 Paper 1 Results'!T14),"")</f>
        <v/>
      </c>
      <c r="AA14">
        <f>IFERROR(AVERAGE('MT 4.1 Results'!M14,'MT 4.2 Results'!K14,'MT 4.2 Results'!L14,'Ch4 EOT Results'!M14,'Ch4 EOT Results'!P14,'Ch4 EOT Results'!Q14,'Ch4 EOT2 Results'!M14,'Ch4 EOT2 Results'!P14,'Ch4 EOT2 Results'!Q14),"")</f>
        <v/>
      </c>
      <c r="AB14">
        <f>IFERROR(AVERAGE('Ch4 EOT Results'!N14,'Ch4 EOT2 Results'!N14),"")</f>
        <v/>
      </c>
      <c r="AC14">
        <f>IFERROR(AVERAGE('MT 4.2 Results'!M14,'MT 4.2 Results'!N14),"")</f>
        <v/>
      </c>
      <c r="AD14">
        <f>IFERROR(AVERAGE('MT 4.1 Results'!K14,'MT 4.1 Results'!L14,'MT 4.1 Results'!N14,'Ch4 EOT Results'!O14,'Ch4 EOT Results'!R14,'Ch4 EOT2 Results'!O14,'Ch4 EOT2 Results'!R14,'Mock 1 Paper 2A Results'!P14),"")</f>
        <v/>
      </c>
      <c r="AE14">
        <f>IFERROR(AVERAGE('MT 5.1 Results'!K14,'MT 5.1 Results'!N14,'MT 5.2 Results'!N14,'Ch5 EOT Results'!L14,'Ch5 EOT2 Results'!L14),"")</f>
        <v/>
      </c>
      <c r="AF14">
        <f>IFERROR(AVERAGE('Ch5 EOT Results'!O14,'Ch5 EOT2 Results'!O14),"")</f>
        <v/>
      </c>
      <c r="AG14">
        <f>IFERROR(AVERAGE('MT 5.1 Results'!L14,'Ch5 EOT Results'!P14,'Ch5 EOT2 Results'!P14,'Mock 1 Paper 2A Results'!Q14),"")</f>
        <v/>
      </c>
      <c r="AH14">
        <f>IFERROR(AVERAGE('MT 5.1 Results'!M14,'MT 5.2 Results'!K14,'MT 5.2 Results'!L14,'MT 5.2 Results'!M14,'Ch5 EOT Results'!M14,'Ch5 EOT Results'!N14,'Ch5 EOT2 Results'!M14,'Ch5 EOT2 Results'!N14,'Mock 1 Paper 2A Results'!U14),"")</f>
        <v/>
      </c>
      <c r="AI14">
        <f>""</f>
        <v/>
      </c>
      <c r="AJ14">
        <f>""</f>
        <v/>
      </c>
      <c r="AK14">
        <f>IFERROR(AVERAGE('MT 6.1 Results'!K14,'Mock 1 Paper 2A Results'!S14),"")</f>
        <v/>
      </c>
      <c r="AL14">
        <f>IFERROR(AVERAGE('MT 6.1 Results'!L14,'MT 6.2 Results'!L14,'Ch6 EOT Results'!O14,'Ch6 EOT2 Results'!O14),"")</f>
        <v/>
      </c>
      <c r="AM14">
        <f>IFERROR(AVERAGE('MT 6.1 Results'!M14,'MT 6.1 Results'!N14,'MT 6.2 Results'!K14,'MT 6.2 Results'!M14,'MT 6.2 Results'!N14,'Ch6 EOT Results'!M14,'Ch6 EOT Results'!N14,'Ch6 EOT Results'!P14,'Ch6 EOT Results'!Q14,'Ch6 EOT Results'!R14,'Ch6 EOT2 Results'!M14,'Ch6 EOT2 Results'!N14,'Ch6 EOT2 Results'!P14,'Ch6 EOT2 Results'!Q14,'Ch6 EOT2 Results'!R14,'Mock 1 Paper 2A Results'!R14),"")</f>
        <v/>
      </c>
      <c r="AN14">
        <f>IFERROR(AVERAGE('MT 7.1 Results'!K14),"")</f>
        <v/>
      </c>
      <c r="AO14">
        <f>IFERROR(AVERAGE('MT 7.1 Results'!M14,'Ch7 EOT2 Results'!L14),"")</f>
        <v/>
      </c>
      <c r="AP14">
        <f>IFERROR(AVERAGE('Ch7 EOT Results'!N14,'Ch7 EOT2 Results'!N14),"")</f>
        <v/>
      </c>
      <c r="AQ14">
        <f>IFERROR(AVERAGE('MT 7.1 Results'!L14,'MT 7.1 Results'!N14,'Ch7 EOT Results'!L14,'Ch7 EOT Results'!M14,'Ch7 EOT2 Results'!K14,'Mock 1 Paper 2A Results'!T14),"")</f>
        <v/>
      </c>
      <c r="AR14">
        <f>IFERROR(AVERAGE('MT 7.2 Results'!K14),"")</f>
        <v/>
      </c>
      <c r="AS14">
        <f>IFERROR(AVERAGE('MT 7.2 Results'!L14,'MT 7.2 Results'!N14,'Ch7 EOT Results'!O14,'Ch7 EOT2 Results'!M14,'Mock 1 Paper 2A Results'!V14),"")</f>
        <v/>
      </c>
      <c r="AT14">
        <f>IFERROR(AVERAGE('MT 7.2 Results'!M14,'Ch7 EOT Results'!P14),"")</f>
        <v/>
      </c>
      <c r="AU14">
        <f>""</f>
        <v/>
      </c>
      <c r="AV14">
        <f>IFERROR(AVERAGE(E14:AU14),"")</f>
        <v/>
      </c>
      <c r="AW14">
        <f>IF(AV14="","Not started",IF(AV14&gt;=0.8,"Ready",IF(AV14&gt;=0.65,"Nearly ready",IF(AV14&gt;=0.5,"Developing","Urgent support"))))</f>
        <v/>
      </c>
    </row>
    <row r="15">
      <c r="A15">
        <f>'Class Roster'!A15</f>
        <v/>
      </c>
      <c r="B15">
        <f>'Class Roster'!B15</f>
        <v/>
      </c>
      <c r="C15">
        <f>'Class Roster'!C15</f>
        <v/>
      </c>
      <c r="D15">
        <f>'Class Roster'!D15</f>
        <v/>
      </c>
      <c r="E15">
        <f>IFERROR(AVERAGE('MT 1.1 Results'!K15,'Ch1 EOT Results'!M15,'Mock 1 Paper 1 Results'!Q15),"")</f>
        <v/>
      </c>
      <c r="F15">
        <f>IFERROR(AVERAGE('MT 1.1 Results'!L15),"")</f>
        <v/>
      </c>
      <c r="G15">
        <f>""</f>
        <v/>
      </c>
      <c r="H15">
        <f>IFERROR(AVERAGE('MT 1.1 Results'!M15,'MT 1.3 Results'!N15,'Ch1 EOT Results'!R15,'Ch1 EOT2 Results'!P15,'Mock 1 Paper 1 Results'!R15),"")</f>
        <v/>
      </c>
      <c r="I15">
        <f>IFERROR(AVERAGE('MT 1.2 Results'!K15,'MT 1.2 Results'!L15,'MT 1.2 Results'!M15,'Ch1 EOT Results'!N15,'Ch1 EOT2 Results'!M15),"")</f>
        <v/>
      </c>
      <c r="J15">
        <f>IFERROR(AVERAGE('MT 1.1 Results'!N15,'MT 1.2 Results'!N15,'Ch1 EOT Results'!O15,'Ch1 EOT Results'!Q15,'Mock 1 Paper 1 Results'!V15),"")</f>
        <v/>
      </c>
      <c r="K15">
        <f>IFERROR(AVERAGE('MT 1.3 Results'!K15,'MT 1.3 Results'!L15,'MT 1.3 Results'!M15,'Ch1 EOT Results'!P15,'Ch1 EOT2 Results'!L15,'Ch1 EOT2 Results'!N15,'Ch1 EOT2 Results'!O15,'Mock 1 Paper 1 Results'!Y15),"")</f>
        <v/>
      </c>
      <c r="L15">
        <f>""</f>
        <v/>
      </c>
      <c r="M15">
        <f>""</f>
        <v/>
      </c>
      <c r="N15">
        <f>""</f>
        <v/>
      </c>
      <c r="O15">
        <f>""</f>
        <v/>
      </c>
      <c r="P15">
        <f>IFERROR(AVERAGE('Mock 1 Paper 1 Results'!S15,'Mock 1 Paper 2A Results'!O15),"")</f>
        <v/>
      </c>
      <c r="Q15">
        <f>IFERROR(AVERAGE('MT 2.1 Results'!L15,'MT 2.2 Results'!M15,'Ch2 EOT Results'!S15,'Ch2 EOT2 Results'!T15,'Ch2 EOT2 Results'!U15,'Mock 1 Paper 1 Results'!U15,'Mock 1 Paper 1 Results'!Z15),"")</f>
        <v/>
      </c>
      <c r="R15">
        <f>IFERROR(AVERAGE('MT 2.2 Results'!K15,'Ch2 EOT Results'!R15,'Ch2 EOT Results'!V15,'Ch2 EOT2 Results'!S15),"")</f>
        <v/>
      </c>
      <c r="S15">
        <f>""</f>
        <v/>
      </c>
      <c r="T15">
        <f>IFERROR(AVERAGE('MT 2.1 Results'!J15,'Ch2 EOT Results'!P15,'Ch2 EOT Results'!Q15,'Ch2 EOT Results'!T15,'Ch2 EOT2 Results'!P15,'Ch2 EOT2 Results'!Q15,'Mock 1 Paper 1 Results'!X15),"")</f>
        <v/>
      </c>
      <c r="U15">
        <f>IFERROR(AVERAGE('MT 2.1 Results'!K15,'MT 2.2 Results'!L15,'MT 2.2 Results'!N15,'Ch2 EOT Results'!O15,'Ch2 EOT Results'!U15,'Ch2 EOT2 Results'!O15,'Ch2 EOT2 Results'!R15,'Ch2 EOT2 Results'!V15),"")</f>
        <v/>
      </c>
      <c r="V15">
        <f>IFERROR(AVERAGE('Ch3 EOT Results'!Q15,'Ch3 EOT2 Results'!Q15,'Mock 1 Paper 1 Results'!W15),"")</f>
        <v/>
      </c>
      <c r="W15">
        <f>IFERROR(AVERAGE('MT 3.1 Results'!M15,'MT 3.1 Results'!N15,'MT 3.2 Results'!K15,'MT 3.2 Results'!M15,'Ch3 EOT Results'!O15,'Ch3 EOT Results'!S15,'Ch3 EOT2 Results'!O15,'Ch3 EOT2 Results'!S15),"")</f>
        <v/>
      </c>
      <c r="X15">
        <f>IFERROR(AVERAGE('MT 3.2 Results'!L15),"")</f>
        <v/>
      </c>
      <c r="Y15">
        <f>IFERROR(AVERAGE('MT 3.1 Results'!L15,'Ch3 EOT Results'!R15,'Ch3 EOT2 Results'!R15),"")</f>
        <v/>
      </c>
      <c r="Z15">
        <f>IFERROR(AVERAGE('MT 3.1 Results'!K15,'MT 3.2 Results'!N15,'Ch3 EOT Results'!N15,'Ch3 EOT Results'!P15,'Ch3 EOT Results'!T15,'Ch3 EOT2 Results'!N15,'Ch3 EOT2 Results'!P15,'Ch3 EOT2 Results'!T15,'Mock 1 Paper 1 Results'!T15),"")</f>
        <v/>
      </c>
      <c r="AA15">
        <f>IFERROR(AVERAGE('MT 4.1 Results'!M15,'MT 4.2 Results'!K15,'MT 4.2 Results'!L15,'Ch4 EOT Results'!M15,'Ch4 EOT Results'!P15,'Ch4 EOT Results'!Q15,'Ch4 EOT2 Results'!M15,'Ch4 EOT2 Results'!P15,'Ch4 EOT2 Results'!Q15),"")</f>
        <v/>
      </c>
      <c r="AB15">
        <f>IFERROR(AVERAGE('Ch4 EOT Results'!N15,'Ch4 EOT2 Results'!N15),"")</f>
        <v/>
      </c>
      <c r="AC15">
        <f>IFERROR(AVERAGE('MT 4.2 Results'!M15,'MT 4.2 Results'!N15),"")</f>
        <v/>
      </c>
      <c r="AD15">
        <f>IFERROR(AVERAGE('MT 4.1 Results'!K15,'MT 4.1 Results'!L15,'MT 4.1 Results'!N15,'Ch4 EOT Results'!O15,'Ch4 EOT Results'!R15,'Ch4 EOT2 Results'!O15,'Ch4 EOT2 Results'!R15,'Mock 1 Paper 2A Results'!P15),"")</f>
        <v/>
      </c>
      <c r="AE15">
        <f>IFERROR(AVERAGE('MT 5.1 Results'!K15,'MT 5.1 Results'!N15,'MT 5.2 Results'!N15,'Ch5 EOT Results'!L15,'Ch5 EOT2 Results'!L15),"")</f>
        <v/>
      </c>
      <c r="AF15">
        <f>IFERROR(AVERAGE('Ch5 EOT Results'!O15,'Ch5 EOT2 Results'!O15),"")</f>
        <v/>
      </c>
      <c r="AG15">
        <f>IFERROR(AVERAGE('MT 5.1 Results'!L15,'Ch5 EOT Results'!P15,'Ch5 EOT2 Results'!P15,'Mock 1 Paper 2A Results'!Q15),"")</f>
        <v/>
      </c>
      <c r="AH15">
        <f>IFERROR(AVERAGE('MT 5.1 Results'!M15,'MT 5.2 Results'!K15,'MT 5.2 Results'!L15,'MT 5.2 Results'!M15,'Ch5 EOT Results'!M15,'Ch5 EOT Results'!N15,'Ch5 EOT2 Results'!M15,'Ch5 EOT2 Results'!N15,'Mock 1 Paper 2A Results'!U15),"")</f>
        <v/>
      </c>
      <c r="AI15">
        <f>""</f>
        <v/>
      </c>
      <c r="AJ15">
        <f>""</f>
        <v/>
      </c>
      <c r="AK15">
        <f>IFERROR(AVERAGE('MT 6.1 Results'!K15,'Mock 1 Paper 2A Results'!S15),"")</f>
        <v/>
      </c>
      <c r="AL15">
        <f>IFERROR(AVERAGE('MT 6.1 Results'!L15,'MT 6.2 Results'!L15,'Ch6 EOT Results'!O15,'Ch6 EOT2 Results'!O15),"")</f>
        <v/>
      </c>
      <c r="AM15">
        <f>IFERROR(AVERAGE('MT 6.1 Results'!M15,'MT 6.1 Results'!N15,'MT 6.2 Results'!K15,'MT 6.2 Results'!M15,'MT 6.2 Results'!N15,'Ch6 EOT Results'!M15,'Ch6 EOT Results'!N15,'Ch6 EOT Results'!P15,'Ch6 EOT Results'!Q15,'Ch6 EOT Results'!R15,'Ch6 EOT2 Results'!M15,'Ch6 EOT2 Results'!N15,'Ch6 EOT2 Results'!P15,'Ch6 EOT2 Results'!Q15,'Ch6 EOT2 Results'!R15,'Mock 1 Paper 2A Results'!R15),"")</f>
        <v/>
      </c>
      <c r="AN15">
        <f>IFERROR(AVERAGE('MT 7.1 Results'!K15),"")</f>
        <v/>
      </c>
      <c r="AO15">
        <f>IFERROR(AVERAGE('MT 7.1 Results'!M15,'Ch7 EOT2 Results'!L15),"")</f>
        <v/>
      </c>
      <c r="AP15">
        <f>IFERROR(AVERAGE('Ch7 EOT Results'!N15,'Ch7 EOT2 Results'!N15),"")</f>
        <v/>
      </c>
      <c r="AQ15">
        <f>IFERROR(AVERAGE('MT 7.1 Results'!L15,'MT 7.1 Results'!N15,'Ch7 EOT Results'!L15,'Ch7 EOT Results'!M15,'Ch7 EOT2 Results'!K15,'Mock 1 Paper 2A Results'!T15),"")</f>
        <v/>
      </c>
      <c r="AR15">
        <f>IFERROR(AVERAGE('MT 7.2 Results'!K15),"")</f>
        <v/>
      </c>
      <c r="AS15">
        <f>IFERROR(AVERAGE('MT 7.2 Results'!L15,'MT 7.2 Results'!N15,'Ch7 EOT Results'!O15,'Ch7 EOT2 Results'!M15,'Mock 1 Paper 2A Results'!V15),"")</f>
        <v/>
      </c>
      <c r="AT15">
        <f>IFERROR(AVERAGE('MT 7.2 Results'!M15,'Ch7 EOT Results'!P15),"")</f>
        <v/>
      </c>
      <c r="AU15">
        <f>""</f>
        <v/>
      </c>
      <c r="AV15">
        <f>IFERROR(AVERAGE(E15:AU15),"")</f>
        <v/>
      </c>
      <c r="AW15">
        <f>IF(AV15="","Not started",IF(AV15&gt;=0.8,"Ready",IF(AV15&gt;=0.65,"Nearly ready",IF(AV15&gt;=0.5,"Developing","Urgent support"))))</f>
        <v/>
      </c>
    </row>
    <row r="16">
      <c r="A16">
        <f>'Class Roster'!A16</f>
        <v/>
      </c>
      <c r="B16">
        <f>'Class Roster'!B16</f>
        <v/>
      </c>
      <c r="C16">
        <f>'Class Roster'!C16</f>
        <v/>
      </c>
      <c r="D16">
        <f>'Class Roster'!D16</f>
        <v/>
      </c>
      <c r="E16">
        <f>IFERROR(AVERAGE('MT 1.1 Results'!K16,'Ch1 EOT Results'!M16,'Mock 1 Paper 1 Results'!Q16),"")</f>
        <v/>
      </c>
      <c r="F16">
        <f>IFERROR(AVERAGE('MT 1.1 Results'!L16),"")</f>
        <v/>
      </c>
      <c r="G16">
        <f>""</f>
        <v/>
      </c>
      <c r="H16">
        <f>IFERROR(AVERAGE('MT 1.1 Results'!M16,'MT 1.3 Results'!N16,'Ch1 EOT Results'!R16,'Ch1 EOT2 Results'!P16,'Mock 1 Paper 1 Results'!R16),"")</f>
        <v/>
      </c>
      <c r="I16">
        <f>IFERROR(AVERAGE('MT 1.2 Results'!K16,'MT 1.2 Results'!L16,'MT 1.2 Results'!M16,'Ch1 EOT Results'!N16,'Ch1 EOT2 Results'!M16),"")</f>
        <v/>
      </c>
      <c r="J16">
        <f>IFERROR(AVERAGE('MT 1.1 Results'!N16,'MT 1.2 Results'!N16,'Ch1 EOT Results'!O16,'Ch1 EOT Results'!Q16,'Mock 1 Paper 1 Results'!V16),"")</f>
        <v/>
      </c>
      <c r="K16">
        <f>IFERROR(AVERAGE('MT 1.3 Results'!K16,'MT 1.3 Results'!L16,'MT 1.3 Results'!M16,'Ch1 EOT Results'!P16,'Ch1 EOT2 Results'!L16,'Ch1 EOT2 Results'!N16,'Ch1 EOT2 Results'!O16,'Mock 1 Paper 1 Results'!Y16),"")</f>
        <v/>
      </c>
      <c r="L16">
        <f>""</f>
        <v/>
      </c>
      <c r="M16">
        <f>""</f>
        <v/>
      </c>
      <c r="N16">
        <f>""</f>
        <v/>
      </c>
      <c r="O16">
        <f>""</f>
        <v/>
      </c>
      <c r="P16">
        <f>IFERROR(AVERAGE('Mock 1 Paper 1 Results'!S16,'Mock 1 Paper 2A Results'!O16),"")</f>
        <v/>
      </c>
      <c r="Q16">
        <f>IFERROR(AVERAGE('MT 2.1 Results'!L16,'MT 2.2 Results'!M16,'Ch2 EOT Results'!S16,'Ch2 EOT2 Results'!T16,'Ch2 EOT2 Results'!U16,'Mock 1 Paper 1 Results'!U16,'Mock 1 Paper 1 Results'!Z16),"")</f>
        <v/>
      </c>
      <c r="R16">
        <f>IFERROR(AVERAGE('MT 2.2 Results'!K16,'Ch2 EOT Results'!R16,'Ch2 EOT Results'!V16,'Ch2 EOT2 Results'!S16),"")</f>
        <v/>
      </c>
      <c r="S16">
        <f>""</f>
        <v/>
      </c>
      <c r="T16">
        <f>IFERROR(AVERAGE('MT 2.1 Results'!J16,'Ch2 EOT Results'!P16,'Ch2 EOT Results'!Q16,'Ch2 EOT Results'!T16,'Ch2 EOT2 Results'!P16,'Ch2 EOT2 Results'!Q16,'Mock 1 Paper 1 Results'!X16),"")</f>
        <v/>
      </c>
      <c r="U16">
        <f>IFERROR(AVERAGE('MT 2.1 Results'!K16,'MT 2.2 Results'!L16,'MT 2.2 Results'!N16,'Ch2 EOT Results'!O16,'Ch2 EOT Results'!U16,'Ch2 EOT2 Results'!O16,'Ch2 EOT2 Results'!R16,'Ch2 EOT2 Results'!V16),"")</f>
        <v/>
      </c>
      <c r="V16">
        <f>IFERROR(AVERAGE('Ch3 EOT Results'!Q16,'Ch3 EOT2 Results'!Q16,'Mock 1 Paper 1 Results'!W16),"")</f>
        <v/>
      </c>
      <c r="W16">
        <f>IFERROR(AVERAGE('MT 3.1 Results'!M16,'MT 3.1 Results'!N16,'MT 3.2 Results'!K16,'MT 3.2 Results'!M16,'Ch3 EOT Results'!O16,'Ch3 EOT Results'!S16,'Ch3 EOT2 Results'!O16,'Ch3 EOT2 Results'!S16),"")</f>
        <v/>
      </c>
      <c r="X16">
        <f>IFERROR(AVERAGE('MT 3.2 Results'!L16),"")</f>
        <v/>
      </c>
      <c r="Y16">
        <f>IFERROR(AVERAGE('MT 3.1 Results'!L16,'Ch3 EOT Results'!R16,'Ch3 EOT2 Results'!R16),"")</f>
        <v/>
      </c>
      <c r="Z16">
        <f>IFERROR(AVERAGE('MT 3.1 Results'!K16,'MT 3.2 Results'!N16,'Ch3 EOT Results'!N16,'Ch3 EOT Results'!P16,'Ch3 EOT Results'!T16,'Ch3 EOT2 Results'!N16,'Ch3 EOT2 Results'!P16,'Ch3 EOT2 Results'!T16,'Mock 1 Paper 1 Results'!T16),"")</f>
        <v/>
      </c>
      <c r="AA16">
        <f>IFERROR(AVERAGE('MT 4.1 Results'!M16,'MT 4.2 Results'!K16,'MT 4.2 Results'!L16,'Ch4 EOT Results'!M16,'Ch4 EOT Results'!P16,'Ch4 EOT Results'!Q16,'Ch4 EOT2 Results'!M16,'Ch4 EOT2 Results'!P16,'Ch4 EOT2 Results'!Q16),"")</f>
        <v/>
      </c>
      <c r="AB16">
        <f>IFERROR(AVERAGE('Ch4 EOT Results'!N16,'Ch4 EOT2 Results'!N16),"")</f>
        <v/>
      </c>
      <c r="AC16">
        <f>IFERROR(AVERAGE('MT 4.2 Results'!M16,'MT 4.2 Results'!N16),"")</f>
        <v/>
      </c>
      <c r="AD16">
        <f>IFERROR(AVERAGE('MT 4.1 Results'!K16,'MT 4.1 Results'!L16,'MT 4.1 Results'!N16,'Ch4 EOT Results'!O16,'Ch4 EOT Results'!R16,'Ch4 EOT2 Results'!O16,'Ch4 EOT2 Results'!R16,'Mock 1 Paper 2A Results'!P16),"")</f>
        <v/>
      </c>
      <c r="AE16">
        <f>IFERROR(AVERAGE('MT 5.1 Results'!K16,'MT 5.1 Results'!N16,'MT 5.2 Results'!N16,'Ch5 EOT Results'!L16,'Ch5 EOT2 Results'!L16),"")</f>
        <v/>
      </c>
      <c r="AF16">
        <f>IFERROR(AVERAGE('Ch5 EOT Results'!O16,'Ch5 EOT2 Results'!O16),"")</f>
        <v/>
      </c>
      <c r="AG16">
        <f>IFERROR(AVERAGE('MT 5.1 Results'!L16,'Ch5 EOT Results'!P16,'Ch5 EOT2 Results'!P16,'Mock 1 Paper 2A Results'!Q16),"")</f>
        <v/>
      </c>
      <c r="AH16">
        <f>IFERROR(AVERAGE('MT 5.1 Results'!M16,'MT 5.2 Results'!K16,'MT 5.2 Results'!L16,'MT 5.2 Results'!M16,'Ch5 EOT Results'!M16,'Ch5 EOT Results'!N16,'Ch5 EOT2 Results'!M16,'Ch5 EOT2 Results'!N16,'Mock 1 Paper 2A Results'!U16),"")</f>
        <v/>
      </c>
      <c r="AI16">
        <f>""</f>
        <v/>
      </c>
      <c r="AJ16">
        <f>""</f>
        <v/>
      </c>
      <c r="AK16">
        <f>IFERROR(AVERAGE('MT 6.1 Results'!K16,'Mock 1 Paper 2A Results'!S16),"")</f>
        <v/>
      </c>
      <c r="AL16">
        <f>IFERROR(AVERAGE('MT 6.1 Results'!L16,'MT 6.2 Results'!L16,'Ch6 EOT Results'!O16,'Ch6 EOT2 Results'!O16),"")</f>
        <v/>
      </c>
      <c r="AM16">
        <f>IFERROR(AVERAGE('MT 6.1 Results'!M16,'MT 6.1 Results'!N16,'MT 6.2 Results'!K16,'MT 6.2 Results'!M16,'MT 6.2 Results'!N16,'Ch6 EOT Results'!M16,'Ch6 EOT Results'!N16,'Ch6 EOT Results'!P16,'Ch6 EOT Results'!Q16,'Ch6 EOT Results'!R16,'Ch6 EOT2 Results'!M16,'Ch6 EOT2 Results'!N16,'Ch6 EOT2 Results'!P16,'Ch6 EOT2 Results'!Q16,'Ch6 EOT2 Results'!R16,'Mock 1 Paper 2A Results'!R16),"")</f>
        <v/>
      </c>
      <c r="AN16">
        <f>IFERROR(AVERAGE('MT 7.1 Results'!K16),"")</f>
        <v/>
      </c>
      <c r="AO16">
        <f>IFERROR(AVERAGE('MT 7.1 Results'!M16,'Ch7 EOT2 Results'!L16),"")</f>
        <v/>
      </c>
      <c r="AP16">
        <f>IFERROR(AVERAGE('Ch7 EOT Results'!N16,'Ch7 EOT2 Results'!N16),"")</f>
        <v/>
      </c>
      <c r="AQ16">
        <f>IFERROR(AVERAGE('MT 7.1 Results'!L16,'MT 7.1 Results'!N16,'Ch7 EOT Results'!L16,'Ch7 EOT Results'!M16,'Ch7 EOT2 Results'!K16,'Mock 1 Paper 2A Results'!T16),"")</f>
        <v/>
      </c>
      <c r="AR16">
        <f>IFERROR(AVERAGE('MT 7.2 Results'!K16),"")</f>
        <v/>
      </c>
      <c r="AS16">
        <f>IFERROR(AVERAGE('MT 7.2 Results'!L16,'MT 7.2 Results'!N16,'Ch7 EOT Results'!O16,'Ch7 EOT2 Results'!M16,'Mock 1 Paper 2A Results'!V16),"")</f>
        <v/>
      </c>
      <c r="AT16">
        <f>IFERROR(AVERAGE('MT 7.2 Results'!M16,'Ch7 EOT Results'!P16),"")</f>
        <v/>
      </c>
      <c r="AU16">
        <f>""</f>
        <v/>
      </c>
      <c r="AV16">
        <f>IFERROR(AVERAGE(E16:AU16),"")</f>
        <v/>
      </c>
      <c r="AW16">
        <f>IF(AV16="","Not started",IF(AV16&gt;=0.8,"Ready",IF(AV16&gt;=0.65,"Nearly ready",IF(AV16&gt;=0.5,"Developing","Urgent support"))))</f>
        <v/>
      </c>
    </row>
    <row r="17">
      <c r="A17">
        <f>'Class Roster'!A17</f>
        <v/>
      </c>
      <c r="B17">
        <f>'Class Roster'!B17</f>
        <v/>
      </c>
      <c r="C17">
        <f>'Class Roster'!C17</f>
        <v/>
      </c>
      <c r="D17">
        <f>'Class Roster'!D17</f>
        <v/>
      </c>
      <c r="E17">
        <f>IFERROR(AVERAGE('MT 1.1 Results'!K17,'Ch1 EOT Results'!M17,'Mock 1 Paper 1 Results'!Q17),"")</f>
        <v/>
      </c>
      <c r="F17">
        <f>IFERROR(AVERAGE('MT 1.1 Results'!L17),"")</f>
        <v/>
      </c>
      <c r="G17">
        <f>""</f>
        <v/>
      </c>
      <c r="H17">
        <f>IFERROR(AVERAGE('MT 1.1 Results'!M17,'MT 1.3 Results'!N17,'Ch1 EOT Results'!R17,'Ch1 EOT2 Results'!P17,'Mock 1 Paper 1 Results'!R17),"")</f>
        <v/>
      </c>
      <c r="I17">
        <f>IFERROR(AVERAGE('MT 1.2 Results'!K17,'MT 1.2 Results'!L17,'MT 1.2 Results'!M17,'Ch1 EOT Results'!N17,'Ch1 EOT2 Results'!M17),"")</f>
        <v/>
      </c>
      <c r="J17">
        <f>IFERROR(AVERAGE('MT 1.1 Results'!N17,'MT 1.2 Results'!N17,'Ch1 EOT Results'!O17,'Ch1 EOT Results'!Q17,'Mock 1 Paper 1 Results'!V17),"")</f>
        <v/>
      </c>
      <c r="K17">
        <f>IFERROR(AVERAGE('MT 1.3 Results'!K17,'MT 1.3 Results'!L17,'MT 1.3 Results'!M17,'Ch1 EOT Results'!P17,'Ch1 EOT2 Results'!L17,'Ch1 EOT2 Results'!N17,'Ch1 EOT2 Results'!O17,'Mock 1 Paper 1 Results'!Y17),"")</f>
        <v/>
      </c>
      <c r="L17">
        <f>""</f>
        <v/>
      </c>
      <c r="M17">
        <f>""</f>
        <v/>
      </c>
      <c r="N17">
        <f>""</f>
        <v/>
      </c>
      <c r="O17">
        <f>""</f>
        <v/>
      </c>
      <c r="P17">
        <f>IFERROR(AVERAGE('Mock 1 Paper 1 Results'!S17,'Mock 1 Paper 2A Results'!O17),"")</f>
        <v/>
      </c>
      <c r="Q17">
        <f>IFERROR(AVERAGE('MT 2.1 Results'!L17,'MT 2.2 Results'!M17,'Ch2 EOT Results'!S17,'Ch2 EOT2 Results'!T17,'Ch2 EOT2 Results'!U17,'Mock 1 Paper 1 Results'!U17,'Mock 1 Paper 1 Results'!Z17),"")</f>
        <v/>
      </c>
      <c r="R17">
        <f>IFERROR(AVERAGE('MT 2.2 Results'!K17,'Ch2 EOT Results'!R17,'Ch2 EOT Results'!V17,'Ch2 EOT2 Results'!S17),"")</f>
        <v/>
      </c>
      <c r="S17">
        <f>""</f>
        <v/>
      </c>
      <c r="T17">
        <f>IFERROR(AVERAGE('MT 2.1 Results'!J17,'Ch2 EOT Results'!P17,'Ch2 EOT Results'!Q17,'Ch2 EOT Results'!T17,'Ch2 EOT2 Results'!P17,'Ch2 EOT2 Results'!Q17,'Mock 1 Paper 1 Results'!X17),"")</f>
        <v/>
      </c>
      <c r="U17">
        <f>IFERROR(AVERAGE('MT 2.1 Results'!K17,'MT 2.2 Results'!L17,'MT 2.2 Results'!N17,'Ch2 EOT Results'!O17,'Ch2 EOT Results'!U17,'Ch2 EOT2 Results'!O17,'Ch2 EOT2 Results'!R17,'Ch2 EOT2 Results'!V17),"")</f>
        <v/>
      </c>
      <c r="V17">
        <f>IFERROR(AVERAGE('Ch3 EOT Results'!Q17,'Ch3 EOT2 Results'!Q17,'Mock 1 Paper 1 Results'!W17),"")</f>
        <v/>
      </c>
      <c r="W17">
        <f>IFERROR(AVERAGE('MT 3.1 Results'!M17,'MT 3.1 Results'!N17,'MT 3.2 Results'!K17,'MT 3.2 Results'!M17,'Ch3 EOT Results'!O17,'Ch3 EOT Results'!S17,'Ch3 EOT2 Results'!O17,'Ch3 EOT2 Results'!S17),"")</f>
        <v/>
      </c>
      <c r="X17">
        <f>IFERROR(AVERAGE('MT 3.2 Results'!L17),"")</f>
        <v/>
      </c>
      <c r="Y17">
        <f>IFERROR(AVERAGE('MT 3.1 Results'!L17,'Ch3 EOT Results'!R17,'Ch3 EOT2 Results'!R17),"")</f>
        <v/>
      </c>
      <c r="Z17">
        <f>IFERROR(AVERAGE('MT 3.1 Results'!K17,'MT 3.2 Results'!N17,'Ch3 EOT Results'!N17,'Ch3 EOT Results'!P17,'Ch3 EOT Results'!T17,'Ch3 EOT2 Results'!N17,'Ch3 EOT2 Results'!P17,'Ch3 EOT2 Results'!T17,'Mock 1 Paper 1 Results'!T17),"")</f>
        <v/>
      </c>
      <c r="AA17">
        <f>IFERROR(AVERAGE('MT 4.1 Results'!M17,'MT 4.2 Results'!K17,'MT 4.2 Results'!L17,'Ch4 EOT Results'!M17,'Ch4 EOT Results'!P17,'Ch4 EOT Results'!Q17,'Ch4 EOT2 Results'!M17,'Ch4 EOT2 Results'!P17,'Ch4 EOT2 Results'!Q17),"")</f>
        <v/>
      </c>
      <c r="AB17">
        <f>IFERROR(AVERAGE('Ch4 EOT Results'!N17,'Ch4 EOT2 Results'!N17),"")</f>
        <v/>
      </c>
      <c r="AC17">
        <f>IFERROR(AVERAGE('MT 4.2 Results'!M17,'MT 4.2 Results'!N17),"")</f>
        <v/>
      </c>
      <c r="AD17">
        <f>IFERROR(AVERAGE('MT 4.1 Results'!K17,'MT 4.1 Results'!L17,'MT 4.1 Results'!N17,'Ch4 EOT Results'!O17,'Ch4 EOT Results'!R17,'Ch4 EOT2 Results'!O17,'Ch4 EOT2 Results'!R17,'Mock 1 Paper 2A Results'!P17),"")</f>
        <v/>
      </c>
      <c r="AE17">
        <f>IFERROR(AVERAGE('MT 5.1 Results'!K17,'MT 5.1 Results'!N17,'MT 5.2 Results'!N17,'Ch5 EOT Results'!L17,'Ch5 EOT2 Results'!L17),"")</f>
        <v/>
      </c>
      <c r="AF17">
        <f>IFERROR(AVERAGE('Ch5 EOT Results'!O17,'Ch5 EOT2 Results'!O17),"")</f>
        <v/>
      </c>
      <c r="AG17">
        <f>IFERROR(AVERAGE('MT 5.1 Results'!L17,'Ch5 EOT Results'!P17,'Ch5 EOT2 Results'!P17,'Mock 1 Paper 2A Results'!Q17),"")</f>
        <v/>
      </c>
      <c r="AH17">
        <f>IFERROR(AVERAGE('MT 5.1 Results'!M17,'MT 5.2 Results'!K17,'MT 5.2 Results'!L17,'MT 5.2 Results'!M17,'Ch5 EOT Results'!M17,'Ch5 EOT Results'!N17,'Ch5 EOT2 Results'!M17,'Ch5 EOT2 Results'!N17,'Mock 1 Paper 2A Results'!U17),"")</f>
        <v/>
      </c>
      <c r="AI17">
        <f>""</f>
        <v/>
      </c>
      <c r="AJ17">
        <f>""</f>
        <v/>
      </c>
      <c r="AK17">
        <f>IFERROR(AVERAGE('MT 6.1 Results'!K17,'Mock 1 Paper 2A Results'!S17),"")</f>
        <v/>
      </c>
      <c r="AL17">
        <f>IFERROR(AVERAGE('MT 6.1 Results'!L17,'MT 6.2 Results'!L17,'Ch6 EOT Results'!O17,'Ch6 EOT2 Results'!O17),"")</f>
        <v/>
      </c>
      <c r="AM17">
        <f>IFERROR(AVERAGE('MT 6.1 Results'!M17,'MT 6.1 Results'!N17,'MT 6.2 Results'!K17,'MT 6.2 Results'!M17,'MT 6.2 Results'!N17,'Ch6 EOT Results'!M17,'Ch6 EOT Results'!N17,'Ch6 EOT Results'!P17,'Ch6 EOT Results'!Q17,'Ch6 EOT Results'!R17,'Ch6 EOT2 Results'!M17,'Ch6 EOT2 Results'!N17,'Ch6 EOT2 Results'!P17,'Ch6 EOT2 Results'!Q17,'Ch6 EOT2 Results'!R17,'Mock 1 Paper 2A Results'!R17),"")</f>
        <v/>
      </c>
      <c r="AN17">
        <f>IFERROR(AVERAGE('MT 7.1 Results'!K17),"")</f>
        <v/>
      </c>
      <c r="AO17">
        <f>IFERROR(AVERAGE('MT 7.1 Results'!M17,'Ch7 EOT2 Results'!L17),"")</f>
        <v/>
      </c>
      <c r="AP17">
        <f>IFERROR(AVERAGE('Ch7 EOT Results'!N17,'Ch7 EOT2 Results'!N17),"")</f>
        <v/>
      </c>
      <c r="AQ17">
        <f>IFERROR(AVERAGE('MT 7.1 Results'!L17,'MT 7.1 Results'!N17,'Ch7 EOT Results'!L17,'Ch7 EOT Results'!M17,'Ch7 EOT2 Results'!K17,'Mock 1 Paper 2A Results'!T17),"")</f>
        <v/>
      </c>
      <c r="AR17">
        <f>IFERROR(AVERAGE('MT 7.2 Results'!K17),"")</f>
        <v/>
      </c>
      <c r="AS17">
        <f>IFERROR(AVERAGE('MT 7.2 Results'!L17,'MT 7.2 Results'!N17,'Ch7 EOT Results'!O17,'Ch7 EOT2 Results'!M17,'Mock 1 Paper 2A Results'!V17),"")</f>
        <v/>
      </c>
      <c r="AT17">
        <f>IFERROR(AVERAGE('MT 7.2 Results'!M17,'Ch7 EOT Results'!P17),"")</f>
        <v/>
      </c>
      <c r="AU17">
        <f>""</f>
        <v/>
      </c>
      <c r="AV17">
        <f>IFERROR(AVERAGE(E17:AU17),"")</f>
        <v/>
      </c>
      <c r="AW17">
        <f>IF(AV17="","Not started",IF(AV17&gt;=0.8,"Ready",IF(AV17&gt;=0.65,"Nearly ready",IF(AV17&gt;=0.5,"Developing","Urgent support"))))</f>
        <v/>
      </c>
    </row>
    <row r="18">
      <c r="A18">
        <f>'Class Roster'!A18</f>
        <v/>
      </c>
      <c r="B18">
        <f>'Class Roster'!B18</f>
        <v/>
      </c>
      <c r="C18">
        <f>'Class Roster'!C18</f>
        <v/>
      </c>
      <c r="D18">
        <f>'Class Roster'!D18</f>
        <v/>
      </c>
      <c r="E18">
        <f>IFERROR(AVERAGE('MT 1.1 Results'!K18,'Ch1 EOT Results'!M18,'Mock 1 Paper 1 Results'!Q18),"")</f>
        <v/>
      </c>
      <c r="F18">
        <f>IFERROR(AVERAGE('MT 1.1 Results'!L18),"")</f>
        <v/>
      </c>
      <c r="G18">
        <f>""</f>
        <v/>
      </c>
      <c r="H18">
        <f>IFERROR(AVERAGE('MT 1.1 Results'!M18,'MT 1.3 Results'!N18,'Ch1 EOT Results'!R18,'Ch1 EOT2 Results'!P18,'Mock 1 Paper 1 Results'!R18),"")</f>
        <v/>
      </c>
      <c r="I18">
        <f>IFERROR(AVERAGE('MT 1.2 Results'!K18,'MT 1.2 Results'!L18,'MT 1.2 Results'!M18,'Ch1 EOT Results'!N18,'Ch1 EOT2 Results'!M18),"")</f>
        <v/>
      </c>
      <c r="J18">
        <f>IFERROR(AVERAGE('MT 1.1 Results'!N18,'MT 1.2 Results'!N18,'Ch1 EOT Results'!O18,'Ch1 EOT Results'!Q18,'Mock 1 Paper 1 Results'!V18),"")</f>
        <v/>
      </c>
      <c r="K18">
        <f>IFERROR(AVERAGE('MT 1.3 Results'!K18,'MT 1.3 Results'!L18,'MT 1.3 Results'!M18,'Ch1 EOT Results'!P18,'Ch1 EOT2 Results'!L18,'Ch1 EOT2 Results'!N18,'Ch1 EOT2 Results'!O18,'Mock 1 Paper 1 Results'!Y18),"")</f>
        <v/>
      </c>
      <c r="L18">
        <f>""</f>
        <v/>
      </c>
      <c r="M18">
        <f>""</f>
        <v/>
      </c>
      <c r="N18">
        <f>""</f>
        <v/>
      </c>
      <c r="O18">
        <f>""</f>
        <v/>
      </c>
      <c r="P18">
        <f>IFERROR(AVERAGE('Mock 1 Paper 1 Results'!S18,'Mock 1 Paper 2A Results'!O18),"")</f>
        <v/>
      </c>
      <c r="Q18">
        <f>IFERROR(AVERAGE('MT 2.1 Results'!L18,'MT 2.2 Results'!M18,'Ch2 EOT Results'!S18,'Ch2 EOT2 Results'!T18,'Ch2 EOT2 Results'!U18,'Mock 1 Paper 1 Results'!U18,'Mock 1 Paper 1 Results'!Z18),"")</f>
        <v/>
      </c>
      <c r="R18">
        <f>IFERROR(AVERAGE('MT 2.2 Results'!K18,'Ch2 EOT Results'!R18,'Ch2 EOT Results'!V18,'Ch2 EOT2 Results'!S18),"")</f>
        <v/>
      </c>
      <c r="S18">
        <f>""</f>
        <v/>
      </c>
      <c r="T18">
        <f>IFERROR(AVERAGE('MT 2.1 Results'!J18,'Ch2 EOT Results'!P18,'Ch2 EOT Results'!Q18,'Ch2 EOT Results'!T18,'Ch2 EOT2 Results'!P18,'Ch2 EOT2 Results'!Q18,'Mock 1 Paper 1 Results'!X18),"")</f>
        <v/>
      </c>
      <c r="U18">
        <f>IFERROR(AVERAGE('MT 2.1 Results'!K18,'MT 2.2 Results'!L18,'MT 2.2 Results'!N18,'Ch2 EOT Results'!O18,'Ch2 EOT Results'!U18,'Ch2 EOT2 Results'!O18,'Ch2 EOT2 Results'!R18,'Ch2 EOT2 Results'!V18),"")</f>
        <v/>
      </c>
      <c r="V18">
        <f>IFERROR(AVERAGE('Ch3 EOT Results'!Q18,'Ch3 EOT2 Results'!Q18,'Mock 1 Paper 1 Results'!W18),"")</f>
        <v/>
      </c>
      <c r="W18">
        <f>IFERROR(AVERAGE('MT 3.1 Results'!M18,'MT 3.1 Results'!N18,'MT 3.2 Results'!K18,'MT 3.2 Results'!M18,'Ch3 EOT Results'!O18,'Ch3 EOT Results'!S18,'Ch3 EOT2 Results'!O18,'Ch3 EOT2 Results'!S18),"")</f>
        <v/>
      </c>
      <c r="X18">
        <f>IFERROR(AVERAGE('MT 3.2 Results'!L18),"")</f>
        <v/>
      </c>
      <c r="Y18">
        <f>IFERROR(AVERAGE('MT 3.1 Results'!L18,'Ch3 EOT Results'!R18,'Ch3 EOT2 Results'!R18),"")</f>
        <v/>
      </c>
      <c r="Z18">
        <f>IFERROR(AVERAGE('MT 3.1 Results'!K18,'MT 3.2 Results'!N18,'Ch3 EOT Results'!N18,'Ch3 EOT Results'!P18,'Ch3 EOT Results'!T18,'Ch3 EOT2 Results'!N18,'Ch3 EOT2 Results'!P18,'Ch3 EOT2 Results'!T18,'Mock 1 Paper 1 Results'!T18),"")</f>
        <v/>
      </c>
      <c r="AA18">
        <f>IFERROR(AVERAGE('MT 4.1 Results'!M18,'MT 4.2 Results'!K18,'MT 4.2 Results'!L18,'Ch4 EOT Results'!M18,'Ch4 EOT Results'!P18,'Ch4 EOT Results'!Q18,'Ch4 EOT2 Results'!M18,'Ch4 EOT2 Results'!P18,'Ch4 EOT2 Results'!Q18),"")</f>
        <v/>
      </c>
      <c r="AB18">
        <f>IFERROR(AVERAGE('Ch4 EOT Results'!N18,'Ch4 EOT2 Results'!N18),"")</f>
        <v/>
      </c>
      <c r="AC18">
        <f>IFERROR(AVERAGE('MT 4.2 Results'!M18,'MT 4.2 Results'!N18),"")</f>
        <v/>
      </c>
      <c r="AD18">
        <f>IFERROR(AVERAGE('MT 4.1 Results'!K18,'MT 4.1 Results'!L18,'MT 4.1 Results'!N18,'Ch4 EOT Results'!O18,'Ch4 EOT Results'!R18,'Ch4 EOT2 Results'!O18,'Ch4 EOT2 Results'!R18,'Mock 1 Paper 2A Results'!P18),"")</f>
        <v/>
      </c>
      <c r="AE18">
        <f>IFERROR(AVERAGE('MT 5.1 Results'!K18,'MT 5.1 Results'!N18,'MT 5.2 Results'!N18,'Ch5 EOT Results'!L18,'Ch5 EOT2 Results'!L18),"")</f>
        <v/>
      </c>
      <c r="AF18">
        <f>IFERROR(AVERAGE('Ch5 EOT Results'!O18,'Ch5 EOT2 Results'!O18),"")</f>
        <v/>
      </c>
      <c r="AG18">
        <f>IFERROR(AVERAGE('MT 5.1 Results'!L18,'Ch5 EOT Results'!P18,'Ch5 EOT2 Results'!P18,'Mock 1 Paper 2A Results'!Q18),"")</f>
        <v/>
      </c>
      <c r="AH18">
        <f>IFERROR(AVERAGE('MT 5.1 Results'!M18,'MT 5.2 Results'!K18,'MT 5.2 Results'!L18,'MT 5.2 Results'!M18,'Ch5 EOT Results'!M18,'Ch5 EOT Results'!N18,'Ch5 EOT2 Results'!M18,'Ch5 EOT2 Results'!N18,'Mock 1 Paper 2A Results'!U18),"")</f>
        <v/>
      </c>
      <c r="AI18">
        <f>""</f>
        <v/>
      </c>
      <c r="AJ18">
        <f>""</f>
        <v/>
      </c>
      <c r="AK18">
        <f>IFERROR(AVERAGE('MT 6.1 Results'!K18,'Mock 1 Paper 2A Results'!S18),"")</f>
        <v/>
      </c>
      <c r="AL18">
        <f>IFERROR(AVERAGE('MT 6.1 Results'!L18,'MT 6.2 Results'!L18,'Ch6 EOT Results'!O18,'Ch6 EOT2 Results'!O18),"")</f>
        <v/>
      </c>
      <c r="AM18">
        <f>IFERROR(AVERAGE('MT 6.1 Results'!M18,'MT 6.1 Results'!N18,'MT 6.2 Results'!K18,'MT 6.2 Results'!M18,'MT 6.2 Results'!N18,'Ch6 EOT Results'!M18,'Ch6 EOT Results'!N18,'Ch6 EOT Results'!P18,'Ch6 EOT Results'!Q18,'Ch6 EOT Results'!R18,'Ch6 EOT2 Results'!M18,'Ch6 EOT2 Results'!N18,'Ch6 EOT2 Results'!P18,'Ch6 EOT2 Results'!Q18,'Ch6 EOT2 Results'!R18,'Mock 1 Paper 2A Results'!R18),"")</f>
        <v/>
      </c>
      <c r="AN18">
        <f>IFERROR(AVERAGE('MT 7.1 Results'!K18),"")</f>
        <v/>
      </c>
      <c r="AO18">
        <f>IFERROR(AVERAGE('MT 7.1 Results'!M18,'Ch7 EOT2 Results'!L18),"")</f>
        <v/>
      </c>
      <c r="AP18">
        <f>IFERROR(AVERAGE('Ch7 EOT Results'!N18,'Ch7 EOT2 Results'!N18),"")</f>
        <v/>
      </c>
      <c r="AQ18">
        <f>IFERROR(AVERAGE('MT 7.1 Results'!L18,'MT 7.1 Results'!N18,'Ch7 EOT Results'!L18,'Ch7 EOT Results'!M18,'Ch7 EOT2 Results'!K18,'Mock 1 Paper 2A Results'!T18),"")</f>
        <v/>
      </c>
      <c r="AR18">
        <f>IFERROR(AVERAGE('MT 7.2 Results'!K18),"")</f>
        <v/>
      </c>
      <c r="AS18">
        <f>IFERROR(AVERAGE('MT 7.2 Results'!L18,'MT 7.2 Results'!N18,'Ch7 EOT Results'!O18,'Ch7 EOT2 Results'!M18,'Mock 1 Paper 2A Results'!V18),"")</f>
        <v/>
      </c>
      <c r="AT18">
        <f>IFERROR(AVERAGE('MT 7.2 Results'!M18,'Ch7 EOT Results'!P18),"")</f>
        <v/>
      </c>
      <c r="AU18">
        <f>""</f>
        <v/>
      </c>
      <c r="AV18">
        <f>IFERROR(AVERAGE(E18:AU18),"")</f>
        <v/>
      </c>
      <c r="AW18">
        <f>IF(AV18="","Not started",IF(AV18&gt;=0.8,"Ready",IF(AV18&gt;=0.65,"Nearly ready",IF(AV18&gt;=0.5,"Developing","Urgent support"))))</f>
        <v/>
      </c>
    </row>
    <row r="19">
      <c r="A19">
        <f>'Class Roster'!A19</f>
        <v/>
      </c>
      <c r="B19">
        <f>'Class Roster'!B19</f>
        <v/>
      </c>
      <c r="C19">
        <f>'Class Roster'!C19</f>
        <v/>
      </c>
      <c r="D19">
        <f>'Class Roster'!D19</f>
        <v/>
      </c>
      <c r="E19">
        <f>IFERROR(AVERAGE('MT 1.1 Results'!K19,'Ch1 EOT Results'!M19,'Mock 1 Paper 1 Results'!Q19),"")</f>
        <v/>
      </c>
      <c r="F19">
        <f>IFERROR(AVERAGE('MT 1.1 Results'!L19),"")</f>
        <v/>
      </c>
      <c r="G19">
        <f>""</f>
        <v/>
      </c>
      <c r="H19">
        <f>IFERROR(AVERAGE('MT 1.1 Results'!M19,'MT 1.3 Results'!N19,'Ch1 EOT Results'!R19,'Ch1 EOT2 Results'!P19,'Mock 1 Paper 1 Results'!R19),"")</f>
        <v/>
      </c>
      <c r="I19">
        <f>IFERROR(AVERAGE('MT 1.2 Results'!K19,'MT 1.2 Results'!L19,'MT 1.2 Results'!M19,'Ch1 EOT Results'!N19,'Ch1 EOT2 Results'!M19),"")</f>
        <v/>
      </c>
      <c r="J19">
        <f>IFERROR(AVERAGE('MT 1.1 Results'!N19,'MT 1.2 Results'!N19,'Ch1 EOT Results'!O19,'Ch1 EOT Results'!Q19,'Mock 1 Paper 1 Results'!V19),"")</f>
        <v/>
      </c>
      <c r="K19">
        <f>IFERROR(AVERAGE('MT 1.3 Results'!K19,'MT 1.3 Results'!L19,'MT 1.3 Results'!M19,'Ch1 EOT Results'!P19,'Ch1 EOT2 Results'!L19,'Ch1 EOT2 Results'!N19,'Ch1 EOT2 Results'!O19,'Mock 1 Paper 1 Results'!Y19),"")</f>
        <v/>
      </c>
      <c r="L19">
        <f>""</f>
        <v/>
      </c>
      <c r="M19">
        <f>""</f>
        <v/>
      </c>
      <c r="N19">
        <f>""</f>
        <v/>
      </c>
      <c r="O19">
        <f>""</f>
        <v/>
      </c>
      <c r="P19">
        <f>IFERROR(AVERAGE('Mock 1 Paper 1 Results'!S19,'Mock 1 Paper 2A Results'!O19),"")</f>
        <v/>
      </c>
      <c r="Q19">
        <f>IFERROR(AVERAGE('MT 2.1 Results'!L19,'MT 2.2 Results'!M19,'Ch2 EOT Results'!S19,'Ch2 EOT2 Results'!T19,'Ch2 EOT2 Results'!U19,'Mock 1 Paper 1 Results'!U19,'Mock 1 Paper 1 Results'!Z19),"")</f>
        <v/>
      </c>
      <c r="R19">
        <f>IFERROR(AVERAGE('MT 2.2 Results'!K19,'Ch2 EOT Results'!R19,'Ch2 EOT Results'!V19,'Ch2 EOT2 Results'!S19),"")</f>
        <v/>
      </c>
      <c r="S19">
        <f>""</f>
        <v/>
      </c>
      <c r="T19">
        <f>IFERROR(AVERAGE('MT 2.1 Results'!J19,'Ch2 EOT Results'!P19,'Ch2 EOT Results'!Q19,'Ch2 EOT Results'!T19,'Ch2 EOT2 Results'!P19,'Ch2 EOT2 Results'!Q19,'Mock 1 Paper 1 Results'!X19),"")</f>
        <v/>
      </c>
      <c r="U19">
        <f>IFERROR(AVERAGE('MT 2.1 Results'!K19,'MT 2.2 Results'!L19,'MT 2.2 Results'!N19,'Ch2 EOT Results'!O19,'Ch2 EOT Results'!U19,'Ch2 EOT2 Results'!O19,'Ch2 EOT2 Results'!R19,'Ch2 EOT2 Results'!V19),"")</f>
        <v/>
      </c>
      <c r="V19">
        <f>IFERROR(AVERAGE('Ch3 EOT Results'!Q19,'Ch3 EOT2 Results'!Q19,'Mock 1 Paper 1 Results'!W19),"")</f>
        <v/>
      </c>
      <c r="W19">
        <f>IFERROR(AVERAGE('MT 3.1 Results'!M19,'MT 3.1 Results'!N19,'MT 3.2 Results'!K19,'MT 3.2 Results'!M19,'Ch3 EOT Results'!O19,'Ch3 EOT Results'!S19,'Ch3 EOT2 Results'!O19,'Ch3 EOT2 Results'!S19),"")</f>
        <v/>
      </c>
      <c r="X19">
        <f>IFERROR(AVERAGE('MT 3.2 Results'!L19),"")</f>
        <v/>
      </c>
      <c r="Y19">
        <f>IFERROR(AVERAGE('MT 3.1 Results'!L19,'Ch3 EOT Results'!R19,'Ch3 EOT2 Results'!R19),"")</f>
        <v/>
      </c>
      <c r="Z19">
        <f>IFERROR(AVERAGE('MT 3.1 Results'!K19,'MT 3.2 Results'!N19,'Ch3 EOT Results'!N19,'Ch3 EOT Results'!P19,'Ch3 EOT Results'!T19,'Ch3 EOT2 Results'!N19,'Ch3 EOT2 Results'!P19,'Ch3 EOT2 Results'!T19,'Mock 1 Paper 1 Results'!T19),"")</f>
        <v/>
      </c>
      <c r="AA19">
        <f>IFERROR(AVERAGE('MT 4.1 Results'!M19,'MT 4.2 Results'!K19,'MT 4.2 Results'!L19,'Ch4 EOT Results'!M19,'Ch4 EOT Results'!P19,'Ch4 EOT Results'!Q19,'Ch4 EOT2 Results'!M19,'Ch4 EOT2 Results'!P19,'Ch4 EOT2 Results'!Q19),"")</f>
        <v/>
      </c>
      <c r="AB19">
        <f>IFERROR(AVERAGE('Ch4 EOT Results'!N19,'Ch4 EOT2 Results'!N19),"")</f>
        <v/>
      </c>
      <c r="AC19">
        <f>IFERROR(AVERAGE('MT 4.2 Results'!M19,'MT 4.2 Results'!N19),"")</f>
        <v/>
      </c>
      <c r="AD19">
        <f>IFERROR(AVERAGE('MT 4.1 Results'!K19,'MT 4.1 Results'!L19,'MT 4.1 Results'!N19,'Ch4 EOT Results'!O19,'Ch4 EOT Results'!R19,'Ch4 EOT2 Results'!O19,'Ch4 EOT2 Results'!R19,'Mock 1 Paper 2A Results'!P19),"")</f>
        <v/>
      </c>
      <c r="AE19">
        <f>IFERROR(AVERAGE('MT 5.1 Results'!K19,'MT 5.1 Results'!N19,'MT 5.2 Results'!N19,'Ch5 EOT Results'!L19,'Ch5 EOT2 Results'!L19),"")</f>
        <v/>
      </c>
      <c r="AF19">
        <f>IFERROR(AVERAGE('Ch5 EOT Results'!O19,'Ch5 EOT2 Results'!O19),"")</f>
        <v/>
      </c>
      <c r="AG19">
        <f>IFERROR(AVERAGE('MT 5.1 Results'!L19,'Ch5 EOT Results'!P19,'Ch5 EOT2 Results'!P19,'Mock 1 Paper 2A Results'!Q19),"")</f>
        <v/>
      </c>
      <c r="AH19">
        <f>IFERROR(AVERAGE('MT 5.1 Results'!M19,'MT 5.2 Results'!K19,'MT 5.2 Results'!L19,'MT 5.2 Results'!M19,'Ch5 EOT Results'!M19,'Ch5 EOT Results'!N19,'Ch5 EOT2 Results'!M19,'Ch5 EOT2 Results'!N19,'Mock 1 Paper 2A Results'!U19),"")</f>
        <v/>
      </c>
      <c r="AI19">
        <f>""</f>
        <v/>
      </c>
      <c r="AJ19">
        <f>""</f>
        <v/>
      </c>
      <c r="AK19">
        <f>IFERROR(AVERAGE('MT 6.1 Results'!K19,'Mock 1 Paper 2A Results'!S19),"")</f>
        <v/>
      </c>
      <c r="AL19">
        <f>IFERROR(AVERAGE('MT 6.1 Results'!L19,'MT 6.2 Results'!L19,'Ch6 EOT Results'!O19,'Ch6 EOT2 Results'!O19),"")</f>
        <v/>
      </c>
      <c r="AM19">
        <f>IFERROR(AVERAGE('MT 6.1 Results'!M19,'MT 6.1 Results'!N19,'MT 6.2 Results'!K19,'MT 6.2 Results'!M19,'MT 6.2 Results'!N19,'Ch6 EOT Results'!M19,'Ch6 EOT Results'!N19,'Ch6 EOT Results'!P19,'Ch6 EOT Results'!Q19,'Ch6 EOT Results'!R19,'Ch6 EOT2 Results'!M19,'Ch6 EOT2 Results'!N19,'Ch6 EOT2 Results'!P19,'Ch6 EOT2 Results'!Q19,'Ch6 EOT2 Results'!R19,'Mock 1 Paper 2A Results'!R19),"")</f>
        <v/>
      </c>
      <c r="AN19">
        <f>IFERROR(AVERAGE('MT 7.1 Results'!K19),"")</f>
        <v/>
      </c>
      <c r="AO19">
        <f>IFERROR(AVERAGE('MT 7.1 Results'!M19,'Ch7 EOT2 Results'!L19),"")</f>
        <v/>
      </c>
      <c r="AP19">
        <f>IFERROR(AVERAGE('Ch7 EOT Results'!N19,'Ch7 EOT2 Results'!N19),"")</f>
        <v/>
      </c>
      <c r="AQ19">
        <f>IFERROR(AVERAGE('MT 7.1 Results'!L19,'MT 7.1 Results'!N19,'Ch7 EOT Results'!L19,'Ch7 EOT Results'!M19,'Ch7 EOT2 Results'!K19,'Mock 1 Paper 2A Results'!T19),"")</f>
        <v/>
      </c>
      <c r="AR19">
        <f>IFERROR(AVERAGE('MT 7.2 Results'!K19),"")</f>
        <v/>
      </c>
      <c r="AS19">
        <f>IFERROR(AVERAGE('MT 7.2 Results'!L19,'MT 7.2 Results'!N19,'Ch7 EOT Results'!O19,'Ch7 EOT2 Results'!M19,'Mock 1 Paper 2A Results'!V19),"")</f>
        <v/>
      </c>
      <c r="AT19">
        <f>IFERROR(AVERAGE('MT 7.2 Results'!M19,'Ch7 EOT Results'!P19),"")</f>
        <v/>
      </c>
      <c r="AU19">
        <f>""</f>
        <v/>
      </c>
      <c r="AV19">
        <f>IFERROR(AVERAGE(E19:AU19),"")</f>
        <v/>
      </c>
      <c r="AW19">
        <f>IF(AV19="","Not started",IF(AV19&gt;=0.8,"Ready",IF(AV19&gt;=0.65,"Nearly ready",IF(AV19&gt;=0.5,"Developing","Urgent support"))))</f>
        <v/>
      </c>
    </row>
    <row r="20">
      <c r="A20">
        <f>'Class Roster'!A20</f>
        <v/>
      </c>
      <c r="B20">
        <f>'Class Roster'!B20</f>
        <v/>
      </c>
      <c r="C20">
        <f>'Class Roster'!C20</f>
        <v/>
      </c>
      <c r="D20">
        <f>'Class Roster'!D20</f>
        <v/>
      </c>
      <c r="E20">
        <f>IFERROR(AVERAGE('MT 1.1 Results'!K20,'Ch1 EOT Results'!M20,'Mock 1 Paper 1 Results'!Q20),"")</f>
        <v/>
      </c>
      <c r="F20">
        <f>IFERROR(AVERAGE('MT 1.1 Results'!L20),"")</f>
        <v/>
      </c>
      <c r="G20">
        <f>""</f>
        <v/>
      </c>
      <c r="H20">
        <f>IFERROR(AVERAGE('MT 1.1 Results'!M20,'MT 1.3 Results'!N20,'Ch1 EOT Results'!R20,'Ch1 EOT2 Results'!P20,'Mock 1 Paper 1 Results'!R20),"")</f>
        <v/>
      </c>
      <c r="I20">
        <f>IFERROR(AVERAGE('MT 1.2 Results'!K20,'MT 1.2 Results'!L20,'MT 1.2 Results'!M20,'Ch1 EOT Results'!N20,'Ch1 EOT2 Results'!M20),"")</f>
        <v/>
      </c>
      <c r="J20">
        <f>IFERROR(AVERAGE('MT 1.1 Results'!N20,'MT 1.2 Results'!N20,'Ch1 EOT Results'!O20,'Ch1 EOT Results'!Q20,'Mock 1 Paper 1 Results'!V20),"")</f>
        <v/>
      </c>
      <c r="K20">
        <f>IFERROR(AVERAGE('MT 1.3 Results'!K20,'MT 1.3 Results'!L20,'MT 1.3 Results'!M20,'Ch1 EOT Results'!P20,'Ch1 EOT2 Results'!L20,'Ch1 EOT2 Results'!N20,'Ch1 EOT2 Results'!O20,'Mock 1 Paper 1 Results'!Y20),"")</f>
        <v/>
      </c>
      <c r="L20">
        <f>""</f>
        <v/>
      </c>
      <c r="M20">
        <f>""</f>
        <v/>
      </c>
      <c r="N20">
        <f>""</f>
        <v/>
      </c>
      <c r="O20">
        <f>""</f>
        <v/>
      </c>
      <c r="P20">
        <f>IFERROR(AVERAGE('Mock 1 Paper 1 Results'!S20,'Mock 1 Paper 2A Results'!O20),"")</f>
        <v/>
      </c>
      <c r="Q20">
        <f>IFERROR(AVERAGE('MT 2.1 Results'!L20,'MT 2.2 Results'!M20,'Ch2 EOT Results'!S20,'Ch2 EOT2 Results'!T20,'Ch2 EOT2 Results'!U20,'Mock 1 Paper 1 Results'!U20,'Mock 1 Paper 1 Results'!Z20),"")</f>
        <v/>
      </c>
      <c r="R20">
        <f>IFERROR(AVERAGE('MT 2.2 Results'!K20,'Ch2 EOT Results'!R20,'Ch2 EOT Results'!V20,'Ch2 EOT2 Results'!S20),"")</f>
        <v/>
      </c>
      <c r="S20">
        <f>""</f>
        <v/>
      </c>
      <c r="T20">
        <f>IFERROR(AVERAGE('MT 2.1 Results'!J20,'Ch2 EOT Results'!P20,'Ch2 EOT Results'!Q20,'Ch2 EOT Results'!T20,'Ch2 EOT2 Results'!P20,'Ch2 EOT2 Results'!Q20,'Mock 1 Paper 1 Results'!X20),"")</f>
        <v/>
      </c>
      <c r="U20">
        <f>IFERROR(AVERAGE('MT 2.1 Results'!K20,'MT 2.2 Results'!L20,'MT 2.2 Results'!N20,'Ch2 EOT Results'!O20,'Ch2 EOT Results'!U20,'Ch2 EOT2 Results'!O20,'Ch2 EOT2 Results'!R20,'Ch2 EOT2 Results'!V20),"")</f>
        <v/>
      </c>
      <c r="V20">
        <f>IFERROR(AVERAGE('Ch3 EOT Results'!Q20,'Ch3 EOT2 Results'!Q20,'Mock 1 Paper 1 Results'!W20),"")</f>
        <v/>
      </c>
      <c r="W20">
        <f>IFERROR(AVERAGE('MT 3.1 Results'!M20,'MT 3.1 Results'!N20,'MT 3.2 Results'!K20,'MT 3.2 Results'!M20,'Ch3 EOT Results'!O20,'Ch3 EOT Results'!S20,'Ch3 EOT2 Results'!O20,'Ch3 EOT2 Results'!S20),"")</f>
        <v/>
      </c>
      <c r="X20">
        <f>IFERROR(AVERAGE('MT 3.2 Results'!L20),"")</f>
        <v/>
      </c>
      <c r="Y20">
        <f>IFERROR(AVERAGE('MT 3.1 Results'!L20,'Ch3 EOT Results'!R20,'Ch3 EOT2 Results'!R20),"")</f>
        <v/>
      </c>
      <c r="Z20">
        <f>IFERROR(AVERAGE('MT 3.1 Results'!K20,'MT 3.2 Results'!N20,'Ch3 EOT Results'!N20,'Ch3 EOT Results'!P20,'Ch3 EOT Results'!T20,'Ch3 EOT2 Results'!N20,'Ch3 EOT2 Results'!P20,'Ch3 EOT2 Results'!T20,'Mock 1 Paper 1 Results'!T20),"")</f>
        <v/>
      </c>
      <c r="AA20">
        <f>IFERROR(AVERAGE('MT 4.1 Results'!M20,'MT 4.2 Results'!K20,'MT 4.2 Results'!L20,'Ch4 EOT Results'!M20,'Ch4 EOT Results'!P20,'Ch4 EOT Results'!Q20,'Ch4 EOT2 Results'!M20,'Ch4 EOT2 Results'!P20,'Ch4 EOT2 Results'!Q20),"")</f>
        <v/>
      </c>
      <c r="AB20">
        <f>IFERROR(AVERAGE('Ch4 EOT Results'!N20,'Ch4 EOT2 Results'!N20),"")</f>
        <v/>
      </c>
      <c r="AC20">
        <f>IFERROR(AVERAGE('MT 4.2 Results'!M20,'MT 4.2 Results'!N20),"")</f>
        <v/>
      </c>
      <c r="AD20">
        <f>IFERROR(AVERAGE('MT 4.1 Results'!K20,'MT 4.1 Results'!L20,'MT 4.1 Results'!N20,'Ch4 EOT Results'!O20,'Ch4 EOT Results'!R20,'Ch4 EOT2 Results'!O20,'Ch4 EOT2 Results'!R20,'Mock 1 Paper 2A Results'!P20),"")</f>
        <v/>
      </c>
      <c r="AE20">
        <f>IFERROR(AVERAGE('MT 5.1 Results'!K20,'MT 5.1 Results'!N20,'MT 5.2 Results'!N20,'Ch5 EOT Results'!L20,'Ch5 EOT2 Results'!L20),"")</f>
        <v/>
      </c>
      <c r="AF20">
        <f>IFERROR(AVERAGE('Ch5 EOT Results'!O20,'Ch5 EOT2 Results'!O20),"")</f>
        <v/>
      </c>
      <c r="AG20">
        <f>IFERROR(AVERAGE('MT 5.1 Results'!L20,'Ch5 EOT Results'!P20,'Ch5 EOT2 Results'!P20,'Mock 1 Paper 2A Results'!Q20),"")</f>
        <v/>
      </c>
      <c r="AH20">
        <f>IFERROR(AVERAGE('MT 5.1 Results'!M20,'MT 5.2 Results'!K20,'MT 5.2 Results'!L20,'MT 5.2 Results'!M20,'Ch5 EOT Results'!M20,'Ch5 EOT Results'!N20,'Ch5 EOT2 Results'!M20,'Ch5 EOT2 Results'!N20,'Mock 1 Paper 2A Results'!U20),"")</f>
        <v/>
      </c>
      <c r="AI20">
        <f>""</f>
        <v/>
      </c>
      <c r="AJ20">
        <f>""</f>
        <v/>
      </c>
      <c r="AK20">
        <f>IFERROR(AVERAGE('MT 6.1 Results'!K20,'Mock 1 Paper 2A Results'!S20),"")</f>
        <v/>
      </c>
      <c r="AL20">
        <f>IFERROR(AVERAGE('MT 6.1 Results'!L20,'MT 6.2 Results'!L20,'Ch6 EOT Results'!O20,'Ch6 EOT2 Results'!O20),"")</f>
        <v/>
      </c>
      <c r="AM20">
        <f>IFERROR(AVERAGE('MT 6.1 Results'!M20,'MT 6.1 Results'!N20,'MT 6.2 Results'!K20,'MT 6.2 Results'!M20,'MT 6.2 Results'!N20,'Ch6 EOT Results'!M20,'Ch6 EOT Results'!N20,'Ch6 EOT Results'!P20,'Ch6 EOT Results'!Q20,'Ch6 EOT Results'!R20,'Ch6 EOT2 Results'!M20,'Ch6 EOT2 Results'!N20,'Ch6 EOT2 Results'!P20,'Ch6 EOT2 Results'!Q20,'Ch6 EOT2 Results'!R20,'Mock 1 Paper 2A Results'!R20),"")</f>
        <v/>
      </c>
      <c r="AN20">
        <f>IFERROR(AVERAGE('MT 7.1 Results'!K20),"")</f>
        <v/>
      </c>
      <c r="AO20">
        <f>IFERROR(AVERAGE('MT 7.1 Results'!M20,'Ch7 EOT2 Results'!L20),"")</f>
        <v/>
      </c>
      <c r="AP20">
        <f>IFERROR(AVERAGE('Ch7 EOT Results'!N20,'Ch7 EOT2 Results'!N20),"")</f>
        <v/>
      </c>
      <c r="AQ20">
        <f>IFERROR(AVERAGE('MT 7.1 Results'!L20,'MT 7.1 Results'!N20,'Ch7 EOT Results'!L20,'Ch7 EOT Results'!M20,'Ch7 EOT2 Results'!K20,'Mock 1 Paper 2A Results'!T20),"")</f>
        <v/>
      </c>
      <c r="AR20">
        <f>IFERROR(AVERAGE('MT 7.2 Results'!K20),"")</f>
        <v/>
      </c>
      <c r="AS20">
        <f>IFERROR(AVERAGE('MT 7.2 Results'!L20,'MT 7.2 Results'!N20,'Ch7 EOT Results'!O20,'Ch7 EOT2 Results'!M20,'Mock 1 Paper 2A Results'!V20),"")</f>
        <v/>
      </c>
      <c r="AT20">
        <f>IFERROR(AVERAGE('MT 7.2 Results'!M20,'Ch7 EOT Results'!P20),"")</f>
        <v/>
      </c>
      <c r="AU20">
        <f>""</f>
        <v/>
      </c>
      <c r="AV20">
        <f>IFERROR(AVERAGE(E20:AU20),"")</f>
        <v/>
      </c>
      <c r="AW20">
        <f>IF(AV20="","Not started",IF(AV20&gt;=0.8,"Ready",IF(AV20&gt;=0.65,"Nearly ready",IF(AV20&gt;=0.5,"Developing","Urgent support"))))</f>
        <v/>
      </c>
    </row>
    <row r="21">
      <c r="A21">
        <f>'Class Roster'!A21</f>
        <v/>
      </c>
      <c r="B21">
        <f>'Class Roster'!B21</f>
        <v/>
      </c>
      <c r="C21">
        <f>'Class Roster'!C21</f>
        <v/>
      </c>
      <c r="D21">
        <f>'Class Roster'!D21</f>
        <v/>
      </c>
      <c r="E21">
        <f>IFERROR(AVERAGE('MT 1.1 Results'!K21,'Ch1 EOT Results'!M21,'Mock 1 Paper 1 Results'!Q21),"")</f>
        <v/>
      </c>
      <c r="F21">
        <f>IFERROR(AVERAGE('MT 1.1 Results'!L21),"")</f>
        <v/>
      </c>
      <c r="G21">
        <f>""</f>
        <v/>
      </c>
      <c r="H21">
        <f>IFERROR(AVERAGE('MT 1.1 Results'!M21,'MT 1.3 Results'!N21,'Ch1 EOT Results'!R21,'Ch1 EOT2 Results'!P21,'Mock 1 Paper 1 Results'!R21),"")</f>
        <v/>
      </c>
      <c r="I21">
        <f>IFERROR(AVERAGE('MT 1.2 Results'!K21,'MT 1.2 Results'!L21,'MT 1.2 Results'!M21,'Ch1 EOT Results'!N21,'Ch1 EOT2 Results'!M21),"")</f>
        <v/>
      </c>
      <c r="J21">
        <f>IFERROR(AVERAGE('MT 1.1 Results'!N21,'MT 1.2 Results'!N21,'Ch1 EOT Results'!O21,'Ch1 EOT Results'!Q21,'Mock 1 Paper 1 Results'!V21),"")</f>
        <v/>
      </c>
      <c r="K21">
        <f>IFERROR(AVERAGE('MT 1.3 Results'!K21,'MT 1.3 Results'!L21,'MT 1.3 Results'!M21,'Ch1 EOT Results'!P21,'Ch1 EOT2 Results'!L21,'Ch1 EOT2 Results'!N21,'Ch1 EOT2 Results'!O21,'Mock 1 Paper 1 Results'!Y21),"")</f>
        <v/>
      </c>
      <c r="L21">
        <f>""</f>
        <v/>
      </c>
      <c r="M21">
        <f>""</f>
        <v/>
      </c>
      <c r="N21">
        <f>""</f>
        <v/>
      </c>
      <c r="O21">
        <f>""</f>
        <v/>
      </c>
      <c r="P21">
        <f>IFERROR(AVERAGE('Mock 1 Paper 1 Results'!S21,'Mock 1 Paper 2A Results'!O21),"")</f>
        <v/>
      </c>
      <c r="Q21">
        <f>IFERROR(AVERAGE('MT 2.1 Results'!L21,'MT 2.2 Results'!M21,'Ch2 EOT Results'!S21,'Ch2 EOT2 Results'!T21,'Ch2 EOT2 Results'!U21,'Mock 1 Paper 1 Results'!U21,'Mock 1 Paper 1 Results'!Z21),"")</f>
        <v/>
      </c>
      <c r="R21">
        <f>IFERROR(AVERAGE('MT 2.2 Results'!K21,'Ch2 EOT Results'!R21,'Ch2 EOT Results'!V21,'Ch2 EOT2 Results'!S21),"")</f>
        <v/>
      </c>
      <c r="S21">
        <f>""</f>
        <v/>
      </c>
      <c r="T21">
        <f>IFERROR(AVERAGE('MT 2.1 Results'!J21,'Ch2 EOT Results'!P21,'Ch2 EOT Results'!Q21,'Ch2 EOT Results'!T21,'Ch2 EOT2 Results'!P21,'Ch2 EOT2 Results'!Q21,'Mock 1 Paper 1 Results'!X21),"")</f>
        <v/>
      </c>
      <c r="U21">
        <f>IFERROR(AVERAGE('MT 2.1 Results'!K21,'MT 2.2 Results'!L21,'MT 2.2 Results'!N21,'Ch2 EOT Results'!O21,'Ch2 EOT Results'!U21,'Ch2 EOT2 Results'!O21,'Ch2 EOT2 Results'!R21,'Ch2 EOT2 Results'!V21),"")</f>
        <v/>
      </c>
      <c r="V21">
        <f>IFERROR(AVERAGE('Ch3 EOT Results'!Q21,'Ch3 EOT2 Results'!Q21,'Mock 1 Paper 1 Results'!W21),"")</f>
        <v/>
      </c>
      <c r="W21">
        <f>IFERROR(AVERAGE('MT 3.1 Results'!M21,'MT 3.1 Results'!N21,'MT 3.2 Results'!K21,'MT 3.2 Results'!M21,'Ch3 EOT Results'!O21,'Ch3 EOT Results'!S21,'Ch3 EOT2 Results'!O21,'Ch3 EOT2 Results'!S21),"")</f>
        <v/>
      </c>
      <c r="X21">
        <f>IFERROR(AVERAGE('MT 3.2 Results'!L21),"")</f>
        <v/>
      </c>
      <c r="Y21">
        <f>IFERROR(AVERAGE('MT 3.1 Results'!L21,'Ch3 EOT Results'!R21,'Ch3 EOT2 Results'!R21),"")</f>
        <v/>
      </c>
      <c r="Z21">
        <f>IFERROR(AVERAGE('MT 3.1 Results'!K21,'MT 3.2 Results'!N21,'Ch3 EOT Results'!N21,'Ch3 EOT Results'!P21,'Ch3 EOT Results'!T21,'Ch3 EOT2 Results'!N21,'Ch3 EOT2 Results'!P21,'Ch3 EOT2 Results'!T21,'Mock 1 Paper 1 Results'!T21),"")</f>
        <v/>
      </c>
      <c r="AA21">
        <f>IFERROR(AVERAGE('MT 4.1 Results'!M21,'MT 4.2 Results'!K21,'MT 4.2 Results'!L21,'Ch4 EOT Results'!M21,'Ch4 EOT Results'!P21,'Ch4 EOT Results'!Q21,'Ch4 EOT2 Results'!M21,'Ch4 EOT2 Results'!P21,'Ch4 EOT2 Results'!Q21),"")</f>
        <v/>
      </c>
      <c r="AB21">
        <f>IFERROR(AVERAGE('Ch4 EOT Results'!N21,'Ch4 EOT2 Results'!N21),"")</f>
        <v/>
      </c>
      <c r="AC21">
        <f>IFERROR(AVERAGE('MT 4.2 Results'!M21,'MT 4.2 Results'!N21),"")</f>
        <v/>
      </c>
      <c r="AD21">
        <f>IFERROR(AVERAGE('MT 4.1 Results'!K21,'MT 4.1 Results'!L21,'MT 4.1 Results'!N21,'Ch4 EOT Results'!O21,'Ch4 EOT Results'!R21,'Ch4 EOT2 Results'!O21,'Ch4 EOT2 Results'!R21,'Mock 1 Paper 2A Results'!P21),"")</f>
        <v/>
      </c>
      <c r="AE21">
        <f>IFERROR(AVERAGE('MT 5.1 Results'!K21,'MT 5.1 Results'!N21,'MT 5.2 Results'!N21,'Ch5 EOT Results'!L21,'Ch5 EOT2 Results'!L21),"")</f>
        <v/>
      </c>
      <c r="AF21">
        <f>IFERROR(AVERAGE('Ch5 EOT Results'!O21,'Ch5 EOT2 Results'!O21),"")</f>
        <v/>
      </c>
      <c r="AG21">
        <f>IFERROR(AVERAGE('MT 5.1 Results'!L21,'Ch5 EOT Results'!P21,'Ch5 EOT2 Results'!P21,'Mock 1 Paper 2A Results'!Q21),"")</f>
        <v/>
      </c>
      <c r="AH21">
        <f>IFERROR(AVERAGE('MT 5.1 Results'!M21,'MT 5.2 Results'!K21,'MT 5.2 Results'!L21,'MT 5.2 Results'!M21,'Ch5 EOT Results'!M21,'Ch5 EOT Results'!N21,'Ch5 EOT2 Results'!M21,'Ch5 EOT2 Results'!N21,'Mock 1 Paper 2A Results'!U21),"")</f>
        <v/>
      </c>
      <c r="AI21">
        <f>""</f>
        <v/>
      </c>
      <c r="AJ21">
        <f>""</f>
        <v/>
      </c>
      <c r="AK21">
        <f>IFERROR(AVERAGE('MT 6.1 Results'!K21,'Mock 1 Paper 2A Results'!S21),"")</f>
        <v/>
      </c>
      <c r="AL21">
        <f>IFERROR(AVERAGE('MT 6.1 Results'!L21,'MT 6.2 Results'!L21,'Ch6 EOT Results'!O21,'Ch6 EOT2 Results'!O21),"")</f>
        <v/>
      </c>
      <c r="AM21">
        <f>IFERROR(AVERAGE('MT 6.1 Results'!M21,'MT 6.1 Results'!N21,'MT 6.2 Results'!K21,'MT 6.2 Results'!M21,'MT 6.2 Results'!N21,'Ch6 EOT Results'!M21,'Ch6 EOT Results'!N21,'Ch6 EOT Results'!P21,'Ch6 EOT Results'!Q21,'Ch6 EOT Results'!R21,'Ch6 EOT2 Results'!M21,'Ch6 EOT2 Results'!N21,'Ch6 EOT2 Results'!P21,'Ch6 EOT2 Results'!Q21,'Ch6 EOT2 Results'!R21,'Mock 1 Paper 2A Results'!R21),"")</f>
        <v/>
      </c>
      <c r="AN21">
        <f>IFERROR(AVERAGE('MT 7.1 Results'!K21),"")</f>
        <v/>
      </c>
      <c r="AO21">
        <f>IFERROR(AVERAGE('MT 7.1 Results'!M21,'Ch7 EOT2 Results'!L21),"")</f>
        <v/>
      </c>
      <c r="AP21">
        <f>IFERROR(AVERAGE('Ch7 EOT Results'!N21,'Ch7 EOT2 Results'!N21),"")</f>
        <v/>
      </c>
      <c r="AQ21">
        <f>IFERROR(AVERAGE('MT 7.1 Results'!L21,'MT 7.1 Results'!N21,'Ch7 EOT Results'!L21,'Ch7 EOT Results'!M21,'Ch7 EOT2 Results'!K21,'Mock 1 Paper 2A Results'!T21),"")</f>
        <v/>
      </c>
      <c r="AR21">
        <f>IFERROR(AVERAGE('MT 7.2 Results'!K21),"")</f>
        <v/>
      </c>
      <c r="AS21">
        <f>IFERROR(AVERAGE('MT 7.2 Results'!L21,'MT 7.2 Results'!N21,'Ch7 EOT Results'!O21,'Ch7 EOT2 Results'!M21,'Mock 1 Paper 2A Results'!V21),"")</f>
        <v/>
      </c>
      <c r="AT21">
        <f>IFERROR(AVERAGE('MT 7.2 Results'!M21,'Ch7 EOT Results'!P21),"")</f>
        <v/>
      </c>
      <c r="AU21">
        <f>""</f>
        <v/>
      </c>
      <c r="AV21">
        <f>IFERROR(AVERAGE(E21:AU21),"")</f>
        <v/>
      </c>
      <c r="AW21">
        <f>IF(AV21="","Not started",IF(AV21&gt;=0.8,"Ready",IF(AV21&gt;=0.65,"Nearly ready",IF(AV21&gt;=0.5,"Developing","Urgent support"))))</f>
        <v/>
      </c>
    </row>
    <row r="22">
      <c r="A22">
        <f>'Class Roster'!A22</f>
        <v/>
      </c>
      <c r="B22">
        <f>'Class Roster'!B22</f>
        <v/>
      </c>
      <c r="C22">
        <f>'Class Roster'!C22</f>
        <v/>
      </c>
      <c r="D22">
        <f>'Class Roster'!D22</f>
        <v/>
      </c>
      <c r="E22">
        <f>IFERROR(AVERAGE('MT 1.1 Results'!K22,'Ch1 EOT Results'!M22,'Mock 1 Paper 1 Results'!Q22),"")</f>
        <v/>
      </c>
      <c r="F22">
        <f>IFERROR(AVERAGE('MT 1.1 Results'!L22),"")</f>
        <v/>
      </c>
      <c r="G22">
        <f>""</f>
        <v/>
      </c>
      <c r="H22">
        <f>IFERROR(AVERAGE('MT 1.1 Results'!M22,'MT 1.3 Results'!N22,'Ch1 EOT Results'!R22,'Ch1 EOT2 Results'!P22,'Mock 1 Paper 1 Results'!R22),"")</f>
        <v/>
      </c>
      <c r="I22">
        <f>IFERROR(AVERAGE('MT 1.2 Results'!K22,'MT 1.2 Results'!L22,'MT 1.2 Results'!M22,'Ch1 EOT Results'!N22,'Ch1 EOT2 Results'!M22),"")</f>
        <v/>
      </c>
      <c r="J22">
        <f>IFERROR(AVERAGE('MT 1.1 Results'!N22,'MT 1.2 Results'!N22,'Ch1 EOT Results'!O22,'Ch1 EOT Results'!Q22,'Mock 1 Paper 1 Results'!V22),"")</f>
        <v/>
      </c>
      <c r="K22">
        <f>IFERROR(AVERAGE('MT 1.3 Results'!K22,'MT 1.3 Results'!L22,'MT 1.3 Results'!M22,'Ch1 EOT Results'!P22,'Ch1 EOT2 Results'!L22,'Ch1 EOT2 Results'!N22,'Ch1 EOT2 Results'!O22,'Mock 1 Paper 1 Results'!Y22),"")</f>
        <v/>
      </c>
      <c r="L22">
        <f>""</f>
        <v/>
      </c>
      <c r="M22">
        <f>""</f>
        <v/>
      </c>
      <c r="N22">
        <f>""</f>
        <v/>
      </c>
      <c r="O22">
        <f>""</f>
        <v/>
      </c>
      <c r="P22">
        <f>IFERROR(AVERAGE('Mock 1 Paper 1 Results'!S22,'Mock 1 Paper 2A Results'!O22),"")</f>
        <v/>
      </c>
      <c r="Q22">
        <f>IFERROR(AVERAGE('MT 2.1 Results'!L22,'MT 2.2 Results'!M22,'Ch2 EOT Results'!S22,'Ch2 EOT2 Results'!T22,'Ch2 EOT2 Results'!U22,'Mock 1 Paper 1 Results'!U22,'Mock 1 Paper 1 Results'!Z22),"")</f>
        <v/>
      </c>
      <c r="R22">
        <f>IFERROR(AVERAGE('MT 2.2 Results'!K22,'Ch2 EOT Results'!R22,'Ch2 EOT Results'!V22,'Ch2 EOT2 Results'!S22),"")</f>
        <v/>
      </c>
      <c r="S22">
        <f>""</f>
        <v/>
      </c>
      <c r="T22">
        <f>IFERROR(AVERAGE('MT 2.1 Results'!J22,'Ch2 EOT Results'!P22,'Ch2 EOT Results'!Q22,'Ch2 EOT Results'!T22,'Ch2 EOT2 Results'!P22,'Ch2 EOT2 Results'!Q22,'Mock 1 Paper 1 Results'!X22),"")</f>
        <v/>
      </c>
      <c r="U22">
        <f>IFERROR(AVERAGE('MT 2.1 Results'!K22,'MT 2.2 Results'!L22,'MT 2.2 Results'!N22,'Ch2 EOT Results'!O22,'Ch2 EOT Results'!U22,'Ch2 EOT2 Results'!O22,'Ch2 EOT2 Results'!R22,'Ch2 EOT2 Results'!V22),"")</f>
        <v/>
      </c>
      <c r="V22">
        <f>IFERROR(AVERAGE('Ch3 EOT Results'!Q22,'Ch3 EOT2 Results'!Q22,'Mock 1 Paper 1 Results'!W22),"")</f>
        <v/>
      </c>
      <c r="W22">
        <f>IFERROR(AVERAGE('MT 3.1 Results'!M22,'MT 3.1 Results'!N22,'MT 3.2 Results'!K22,'MT 3.2 Results'!M22,'Ch3 EOT Results'!O22,'Ch3 EOT Results'!S22,'Ch3 EOT2 Results'!O22,'Ch3 EOT2 Results'!S22),"")</f>
        <v/>
      </c>
      <c r="X22">
        <f>IFERROR(AVERAGE('MT 3.2 Results'!L22),"")</f>
        <v/>
      </c>
      <c r="Y22">
        <f>IFERROR(AVERAGE('MT 3.1 Results'!L22,'Ch3 EOT Results'!R22,'Ch3 EOT2 Results'!R22),"")</f>
        <v/>
      </c>
      <c r="Z22">
        <f>IFERROR(AVERAGE('MT 3.1 Results'!K22,'MT 3.2 Results'!N22,'Ch3 EOT Results'!N22,'Ch3 EOT Results'!P22,'Ch3 EOT Results'!T22,'Ch3 EOT2 Results'!N22,'Ch3 EOT2 Results'!P22,'Ch3 EOT2 Results'!T22,'Mock 1 Paper 1 Results'!T22),"")</f>
        <v/>
      </c>
      <c r="AA22">
        <f>IFERROR(AVERAGE('MT 4.1 Results'!M22,'MT 4.2 Results'!K22,'MT 4.2 Results'!L22,'Ch4 EOT Results'!M22,'Ch4 EOT Results'!P22,'Ch4 EOT Results'!Q22,'Ch4 EOT2 Results'!M22,'Ch4 EOT2 Results'!P22,'Ch4 EOT2 Results'!Q22),"")</f>
        <v/>
      </c>
      <c r="AB22">
        <f>IFERROR(AVERAGE('Ch4 EOT Results'!N22,'Ch4 EOT2 Results'!N22),"")</f>
        <v/>
      </c>
      <c r="AC22">
        <f>IFERROR(AVERAGE('MT 4.2 Results'!M22,'MT 4.2 Results'!N22),"")</f>
        <v/>
      </c>
      <c r="AD22">
        <f>IFERROR(AVERAGE('MT 4.1 Results'!K22,'MT 4.1 Results'!L22,'MT 4.1 Results'!N22,'Ch4 EOT Results'!O22,'Ch4 EOT Results'!R22,'Ch4 EOT2 Results'!O22,'Ch4 EOT2 Results'!R22,'Mock 1 Paper 2A Results'!P22),"")</f>
        <v/>
      </c>
      <c r="AE22">
        <f>IFERROR(AVERAGE('MT 5.1 Results'!K22,'MT 5.1 Results'!N22,'MT 5.2 Results'!N22,'Ch5 EOT Results'!L22,'Ch5 EOT2 Results'!L22),"")</f>
        <v/>
      </c>
      <c r="AF22">
        <f>IFERROR(AVERAGE('Ch5 EOT Results'!O22,'Ch5 EOT2 Results'!O22),"")</f>
        <v/>
      </c>
      <c r="AG22">
        <f>IFERROR(AVERAGE('MT 5.1 Results'!L22,'Ch5 EOT Results'!P22,'Ch5 EOT2 Results'!P22,'Mock 1 Paper 2A Results'!Q22),"")</f>
        <v/>
      </c>
      <c r="AH22">
        <f>IFERROR(AVERAGE('MT 5.1 Results'!M22,'MT 5.2 Results'!K22,'MT 5.2 Results'!L22,'MT 5.2 Results'!M22,'Ch5 EOT Results'!M22,'Ch5 EOT Results'!N22,'Ch5 EOT2 Results'!M22,'Ch5 EOT2 Results'!N22,'Mock 1 Paper 2A Results'!U22),"")</f>
        <v/>
      </c>
      <c r="AI22">
        <f>""</f>
        <v/>
      </c>
      <c r="AJ22">
        <f>""</f>
        <v/>
      </c>
      <c r="AK22">
        <f>IFERROR(AVERAGE('MT 6.1 Results'!K22,'Mock 1 Paper 2A Results'!S22),"")</f>
        <v/>
      </c>
      <c r="AL22">
        <f>IFERROR(AVERAGE('MT 6.1 Results'!L22,'MT 6.2 Results'!L22,'Ch6 EOT Results'!O22,'Ch6 EOT2 Results'!O22),"")</f>
        <v/>
      </c>
      <c r="AM22">
        <f>IFERROR(AVERAGE('MT 6.1 Results'!M22,'MT 6.1 Results'!N22,'MT 6.2 Results'!K22,'MT 6.2 Results'!M22,'MT 6.2 Results'!N22,'Ch6 EOT Results'!M22,'Ch6 EOT Results'!N22,'Ch6 EOT Results'!P22,'Ch6 EOT Results'!Q22,'Ch6 EOT Results'!R22,'Ch6 EOT2 Results'!M22,'Ch6 EOT2 Results'!N22,'Ch6 EOT2 Results'!P22,'Ch6 EOT2 Results'!Q22,'Ch6 EOT2 Results'!R22,'Mock 1 Paper 2A Results'!R22),"")</f>
        <v/>
      </c>
      <c r="AN22">
        <f>IFERROR(AVERAGE('MT 7.1 Results'!K22),"")</f>
        <v/>
      </c>
      <c r="AO22">
        <f>IFERROR(AVERAGE('MT 7.1 Results'!M22,'Ch7 EOT2 Results'!L22),"")</f>
        <v/>
      </c>
      <c r="AP22">
        <f>IFERROR(AVERAGE('Ch7 EOT Results'!N22,'Ch7 EOT2 Results'!N22),"")</f>
        <v/>
      </c>
      <c r="AQ22">
        <f>IFERROR(AVERAGE('MT 7.1 Results'!L22,'MT 7.1 Results'!N22,'Ch7 EOT Results'!L22,'Ch7 EOT Results'!M22,'Ch7 EOT2 Results'!K22,'Mock 1 Paper 2A Results'!T22),"")</f>
        <v/>
      </c>
      <c r="AR22">
        <f>IFERROR(AVERAGE('MT 7.2 Results'!K22),"")</f>
        <v/>
      </c>
      <c r="AS22">
        <f>IFERROR(AVERAGE('MT 7.2 Results'!L22,'MT 7.2 Results'!N22,'Ch7 EOT Results'!O22,'Ch7 EOT2 Results'!M22,'Mock 1 Paper 2A Results'!V22),"")</f>
        <v/>
      </c>
      <c r="AT22">
        <f>IFERROR(AVERAGE('MT 7.2 Results'!M22,'Ch7 EOT Results'!P22),"")</f>
        <v/>
      </c>
      <c r="AU22">
        <f>""</f>
        <v/>
      </c>
      <c r="AV22">
        <f>IFERROR(AVERAGE(E22:AU22),"")</f>
        <v/>
      </c>
      <c r="AW22">
        <f>IF(AV22="","Not started",IF(AV22&gt;=0.8,"Ready",IF(AV22&gt;=0.65,"Nearly ready",IF(AV22&gt;=0.5,"Developing","Urgent support"))))</f>
        <v/>
      </c>
    </row>
    <row r="23">
      <c r="A23">
        <f>'Class Roster'!A23</f>
        <v/>
      </c>
      <c r="B23">
        <f>'Class Roster'!B23</f>
        <v/>
      </c>
      <c r="C23">
        <f>'Class Roster'!C23</f>
        <v/>
      </c>
      <c r="D23">
        <f>'Class Roster'!D23</f>
        <v/>
      </c>
      <c r="E23">
        <f>IFERROR(AVERAGE('MT 1.1 Results'!K23,'Ch1 EOT Results'!M23,'Mock 1 Paper 1 Results'!Q23),"")</f>
        <v/>
      </c>
      <c r="F23">
        <f>IFERROR(AVERAGE('MT 1.1 Results'!L23),"")</f>
        <v/>
      </c>
      <c r="G23">
        <f>""</f>
        <v/>
      </c>
      <c r="H23">
        <f>IFERROR(AVERAGE('MT 1.1 Results'!M23,'MT 1.3 Results'!N23,'Ch1 EOT Results'!R23,'Ch1 EOT2 Results'!P23,'Mock 1 Paper 1 Results'!R23),"")</f>
        <v/>
      </c>
      <c r="I23">
        <f>IFERROR(AVERAGE('MT 1.2 Results'!K23,'MT 1.2 Results'!L23,'MT 1.2 Results'!M23,'Ch1 EOT Results'!N23,'Ch1 EOT2 Results'!M23),"")</f>
        <v/>
      </c>
      <c r="J23">
        <f>IFERROR(AVERAGE('MT 1.1 Results'!N23,'MT 1.2 Results'!N23,'Ch1 EOT Results'!O23,'Ch1 EOT Results'!Q23,'Mock 1 Paper 1 Results'!V23),"")</f>
        <v/>
      </c>
      <c r="K23">
        <f>IFERROR(AVERAGE('MT 1.3 Results'!K23,'MT 1.3 Results'!L23,'MT 1.3 Results'!M23,'Ch1 EOT Results'!P23,'Ch1 EOT2 Results'!L23,'Ch1 EOT2 Results'!N23,'Ch1 EOT2 Results'!O23,'Mock 1 Paper 1 Results'!Y23),"")</f>
        <v/>
      </c>
      <c r="L23">
        <f>""</f>
        <v/>
      </c>
      <c r="M23">
        <f>""</f>
        <v/>
      </c>
      <c r="N23">
        <f>""</f>
        <v/>
      </c>
      <c r="O23">
        <f>""</f>
        <v/>
      </c>
      <c r="P23">
        <f>IFERROR(AVERAGE('Mock 1 Paper 1 Results'!S23,'Mock 1 Paper 2A Results'!O23),"")</f>
        <v/>
      </c>
      <c r="Q23">
        <f>IFERROR(AVERAGE('MT 2.1 Results'!L23,'MT 2.2 Results'!M23,'Ch2 EOT Results'!S23,'Ch2 EOT2 Results'!T23,'Ch2 EOT2 Results'!U23,'Mock 1 Paper 1 Results'!U23,'Mock 1 Paper 1 Results'!Z23),"")</f>
        <v/>
      </c>
      <c r="R23">
        <f>IFERROR(AVERAGE('MT 2.2 Results'!K23,'Ch2 EOT Results'!R23,'Ch2 EOT Results'!V23,'Ch2 EOT2 Results'!S23),"")</f>
        <v/>
      </c>
      <c r="S23">
        <f>""</f>
        <v/>
      </c>
      <c r="T23">
        <f>IFERROR(AVERAGE('MT 2.1 Results'!J23,'Ch2 EOT Results'!P23,'Ch2 EOT Results'!Q23,'Ch2 EOT Results'!T23,'Ch2 EOT2 Results'!P23,'Ch2 EOT2 Results'!Q23,'Mock 1 Paper 1 Results'!X23),"")</f>
        <v/>
      </c>
      <c r="U23">
        <f>IFERROR(AVERAGE('MT 2.1 Results'!K23,'MT 2.2 Results'!L23,'MT 2.2 Results'!N23,'Ch2 EOT Results'!O23,'Ch2 EOT Results'!U23,'Ch2 EOT2 Results'!O23,'Ch2 EOT2 Results'!R23,'Ch2 EOT2 Results'!V23),"")</f>
        <v/>
      </c>
      <c r="V23">
        <f>IFERROR(AVERAGE('Ch3 EOT Results'!Q23,'Ch3 EOT2 Results'!Q23,'Mock 1 Paper 1 Results'!W23),"")</f>
        <v/>
      </c>
      <c r="W23">
        <f>IFERROR(AVERAGE('MT 3.1 Results'!M23,'MT 3.1 Results'!N23,'MT 3.2 Results'!K23,'MT 3.2 Results'!M23,'Ch3 EOT Results'!O23,'Ch3 EOT Results'!S23,'Ch3 EOT2 Results'!O23,'Ch3 EOT2 Results'!S23),"")</f>
        <v/>
      </c>
      <c r="X23">
        <f>IFERROR(AVERAGE('MT 3.2 Results'!L23),"")</f>
        <v/>
      </c>
      <c r="Y23">
        <f>IFERROR(AVERAGE('MT 3.1 Results'!L23,'Ch3 EOT Results'!R23,'Ch3 EOT2 Results'!R23),"")</f>
        <v/>
      </c>
      <c r="Z23">
        <f>IFERROR(AVERAGE('MT 3.1 Results'!K23,'MT 3.2 Results'!N23,'Ch3 EOT Results'!N23,'Ch3 EOT Results'!P23,'Ch3 EOT Results'!T23,'Ch3 EOT2 Results'!N23,'Ch3 EOT2 Results'!P23,'Ch3 EOT2 Results'!T23,'Mock 1 Paper 1 Results'!T23),"")</f>
        <v/>
      </c>
      <c r="AA23">
        <f>IFERROR(AVERAGE('MT 4.1 Results'!M23,'MT 4.2 Results'!K23,'MT 4.2 Results'!L23,'Ch4 EOT Results'!M23,'Ch4 EOT Results'!P23,'Ch4 EOT Results'!Q23,'Ch4 EOT2 Results'!M23,'Ch4 EOT2 Results'!P23,'Ch4 EOT2 Results'!Q23),"")</f>
        <v/>
      </c>
      <c r="AB23">
        <f>IFERROR(AVERAGE('Ch4 EOT Results'!N23,'Ch4 EOT2 Results'!N23),"")</f>
        <v/>
      </c>
      <c r="AC23">
        <f>IFERROR(AVERAGE('MT 4.2 Results'!M23,'MT 4.2 Results'!N23),"")</f>
        <v/>
      </c>
      <c r="AD23">
        <f>IFERROR(AVERAGE('MT 4.1 Results'!K23,'MT 4.1 Results'!L23,'MT 4.1 Results'!N23,'Ch4 EOT Results'!O23,'Ch4 EOT Results'!R23,'Ch4 EOT2 Results'!O23,'Ch4 EOT2 Results'!R23,'Mock 1 Paper 2A Results'!P23),"")</f>
        <v/>
      </c>
      <c r="AE23">
        <f>IFERROR(AVERAGE('MT 5.1 Results'!K23,'MT 5.1 Results'!N23,'MT 5.2 Results'!N23,'Ch5 EOT Results'!L23,'Ch5 EOT2 Results'!L23),"")</f>
        <v/>
      </c>
      <c r="AF23">
        <f>IFERROR(AVERAGE('Ch5 EOT Results'!O23,'Ch5 EOT2 Results'!O23),"")</f>
        <v/>
      </c>
      <c r="AG23">
        <f>IFERROR(AVERAGE('MT 5.1 Results'!L23,'Ch5 EOT Results'!P23,'Ch5 EOT2 Results'!P23,'Mock 1 Paper 2A Results'!Q23),"")</f>
        <v/>
      </c>
      <c r="AH23">
        <f>IFERROR(AVERAGE('MT 5.1 Results'!M23,'MT 5.2 Results'!K23,'MT 5.2 Results'!L23,'MT 5.2 Results'!M23,'Ch5 EOT Results'!M23,'Ch5 EOT Results'!N23,'Ch5 EOT2 Results'!M23,'Ch5 EOT2 Results'!N23,'Mock 1 Paper 2A Results'!U23),"")</f>
        <v/>
      </c>
      <c r="AI23">
        <f>""</f>
        <v/>
      </c>
      <c r="AJ23">
        <f>""</f>
        <v/>
      </c>
      <c r="AK23">
        <f>IFERROR(AVERAGE('MT 6.1 Results'!K23,'Mock 1 Paper 2A Results'!S23),"")</f>
        <v/>
      </c>
      <c r="AL23">
        <f>IFERROR(AVERAGE('MT 6.1 Results'!L23,'MT 6.2 Results'!L23,'Ch6 EOT Results'!O23,'Ch6 EOT2 Results'!O23),"")</f>
        <v/>
      </c>
      <c r="AM23">
        <f>IFERROR(AVERAGE('MT 6.1 Results'!M23,'MT 6.1 Results'!N23,'MT 6.2 Results'!K23,'MT 6.2 Results'!M23,'MT 6.2 Results'!N23,'Ch6 EOT Results'!M23,'Ch6 EOT Results'!N23,'Ch6 EOT Results'!P23,'Ch6 EOT Results'!Q23,'Ch6 EOT Results'!R23,'Ch6 EOT2 Results'!M23,'Ch6 EOT2 Results'!N23,'Ch6 EOT2 Results'!P23,'Ch6 EOT2 Results'!Q23,'Ch6 EOT2 Results'!R23,'Mock 1 Paper 2A Results'!R23),"")</f>
        <v/>
      </c>
      <c r="AN23">
        <f>IFERROR(AVERAGE('MT 7.1 Results'!K23),"")</f>
        <v/>
      </c>
      <c r="AO23">
        <f>IFERROR(AVERAGE('MT 7.1 Results'!M23,'Ch7 EOT2 Results'!L23),"")</f>
        <v/>
      </c>
      <c r="AP23">
        <f>IFERROR(AVERAGE('Ch7 EOT Results'!N23,'Ch7 EOT2 Results'!N23),"")</f>
        <v/>
      </c>
      <c r="AQ23">
        <f>IFERROR(AVERAGE('MT 7.1 Results'!L23,'MT 7.1 Results'!N23,'Ch7 EOT Results'!L23,'Ch7 EOT Results'!M23,'Ch7 EOT2 Results'!K23,'Mock 1 Paper 2A Results'!T23),"")</f>
        <v/>
      </c>
      <c r="AR23">
        <f>IFERROR(AVERAGE('MT 7.2 Results'!K23),"")</f>
        <v/>
      </c>
      <c r="AS23">
        <f>IFERROR(AVERAGE('MT 7.2 Results'!L23,'MT 7.2 Results'!N23,'Ch7 EOT Results'!O23,'Ch7 EOT2 Results'!M23,'Mock 1 Paper 2A Results'!V23),"")</f>
        <v/>
      </c>
      <c r="AT23">
        <f>IFERROR(AVERAGE('MT 7.2 Results'!M23,'Ch7 EOT Results'!P23),"")</f>
        <v/>
      </c>
      <c r="AU23">
        <f>""</f>
        <v/>
      </c>
      <c r="AV23">
        <f>IFERROR(AVERAGE(E23:AU23),"")</f>
        <v/>
      </c>
      <c r="AW23">
        <f>IF(AV23="","Not started",IF(AV23&gt;=0.8,"Ready",IF(AV23&gt;=0.65,"Nearly ready",IF(AV23&gt;=0.5,"Developing","Urgent support"))))</f>
        <v/>
      </c>
    </row>
    <row r="24">
      <c r="A24">
        <f>'Class Roster'!A24</f>
        <v/>
      </c>
      <c r="B24">
        <f>'Class Roster'!B24</f>
        <v/>
      </c>
      <c r="C24">
        <f>'Class Roster'!C24</f>
        <v/>
      </c>
      <c r="D24">
        <f>'Class Roster'!D24</f>
        <v/>
      </c>
      <c r="E24">
        <f>IFERROR(AVERAGE('MT 1.1 Results'!K24,'Ch1 EOT Results'!M24,'Mock 1 Paper 1 Results'!Q24),"")</f>
        <v/>
      </c>
      <c r="F24">
        <f>IFERROR(AVERAGE('MT 1.1 Results'!L24),"")</f>
        <v/>
      </c>
      <c r="G24">
        <f>""</f>
        <v/>
      </c>
      <c r="H24">
        <f>IFERROR(AVERAGE('MT 1.1 Results'!M24,'MT 1.3 Results'!N24,'Ch1 EOT Results'!R24,'Ch1 EOT2 Results'!P24,'Mock 1 Paper 1 Results'!R24),"")</f>
        <v/>
      </c>
      <c r="I24">
        <f>IFERROR(AVERAGE('MT 1.2 Results'!K24,'MT 1.2 Results'!L24,'MT 1.2 Results'!M24,'Ch1 EOT Results'!N24,'Ch1 EOT2 Results'!M24),"")</f>
        <v/>
      </c>
      <c r="J24">
        <f>IFERROR(AVERAGE('MT 1.1 Results'!N24,'MT 1.2 Results'!N24,'Ch1 EOT Results'!O24,'Ch1 EOT Results'!Q24,'Mock 1 Paper 1 Results'!V24),"")</f>
        <v/>
      </c>
      <c r="K24">
        <f>IFERROR(AVERAGE('MT 1.3 Results'!K24,'MT 1.3 Results'!L24,'MT 1.3 Results'!M24,'Ch1 EOT Results'!P24,'Ch1 EOT2 Results'!L24,'Ch1 EOT2 Results'!N24,'Ch1 EOT2 Results'!O24,'Mock 1 Paper 1 Results'!Y24),"")</f>
        <v/>
      </c>
      <c r="L24">
        <f>""</f>
        <v/>
      </c>
      <c r="M24">
        <f>""</f>
        <v/>
      </c>
      <c r="N24">
        <f>""</f>
        <v/>
      </c>
      <c r="O24">
        <f>""</f>
        <v/>
      </c>
      <c r="P24">
        <f>IFERROR(AVERAGE('Mock 1 Paper 1 Results'!S24,'Mock 1 Paper 2A Results'!O24),"")</f>
        <v/>
      </c>
      <c r="Q24">
        <f>IFERROR(AVERAGE('MT 2.1 Results'!L24,'MT 2.2 Results'!M24,'Ch2 EOT Results'!S24,'Ch2 EOT2 Results'!T24,'Ch2 EOT2 Results'!U24,'Mock 1 Paper 1 Results'!U24,'Mock 1 Paper 1 Results'!Z24),"")</f>
        <v/>
      </c>
      <c r="R24">
        <f>IFERROR(AVERAGE('MT 2.2 Results'!K24,'Ch2 EOT Results'!R24,'Ch2 EOT Results'!V24,'Ch2 EOT2 Results'!S24),"")</f>
        <v/>
      </c>
      <c r="S24">
        <f>""</f>
        <v/>
      </c>
      <c r="T24">
        <f>IFERROR(AVERAGE('MT 2.1 Results'!J24,'Ch2 EOT Results'!P24,'Ch2 EOT Results'!Q24,'Ch2 EOT Results'!T24,'Ch2 EOT2 Results'!P24,'Ch2 EOT2 Results'!Q24,'Mock 1 Paper 1 Results'!X24),"")</f>
        <v/>
      </c>
      <c r="U24">
        <f>IFERROR(AVERAGE('MT 2.1 Results'!K24,'MT 2.2 Results'!L24,'MT 2.2 Results'!N24,'Ch2 EOT Results'!O24,'Ch2 EOT Results'!U24,'Ch2 EOT2 Results'!O24,'Ch2 EOT2 Results'!R24,'Ch2 EOT2 Results'!V24),"")</f>
        <v/>
      </c>
      <c r="V24">
        <f>IFERROR(AVERAGE('Ch3 EOT Results'!Q24,'Ch3 EOT2 Results'!Q24,'Mock 1 Paper 1 Results'!W24),"")</f>
        <v/>
      </c>
      <c r="W24">
        <f>IFERROR(AVERAGE('MT 3.1 Results'!M24,'MT 3.1 Results'!N24,'MT 3.2 Results'!K24,'MT 3.2 Results'!M24,'Ch3 EOT Results'!O24,'Ch3 EOT Results'!S24,'Ch3 EOT2 Results'!O24,'Ch3 EOT2 Results'!S24),"")</f>
        <v/>
      </c>
      <c r="X24">
        <f>IFERROR(AVERAGE('MT 3.2 Results'!L24),"")</f>
        <v/>
      </c>
      <c r="Y24">
        <f>IFERROR(AVERAGE('MT 3.1 Results'!L24,'Ch3 EOT Results'!R24,'Ch3 EOT2 Results'!R24),"")</f>
        <v/>
      </c>
      <c r="Z24">
        <f>IFERROR(AVERAGE('MT 3.1 Results'!K24,'MT 3.2 Results'!N24,'Ch3 EOT Results'!N24,'Ch3 EOT Results'!P24,'Ch3 EOT Results'!T24,'Ch3 EOT2 Results'!N24,'Ch3 EOT2 Results'!P24,'Ch3 EOT2 Results'!T24,'Mock 1 Paper 1 Results'!T24),"")</f>
        <v/>
      </c>
      <c r="AA24">
        <f>IFERROR(AVERAGE('MT 4.1 Results'!M24,'MT 4.2 Results'!K24,'MT 4.2 Results'!L24,'Ch4 EOT Results'!M24,'Ch4 EOT Results'!P24,'Ch4 EOT Results'!Q24,'Ch4 EOT2 Results'!M24,'Ch4 EOT2 Results'!P24,'Ch4 EOT2 Results'!Q24),"")</f>
        <v/>
      </c>
      <c r="AB24">
        <f>IFERROR(AVERAGE('Ch4 EOT Results'!N24,'Ch4 EOT2 Results'!N24),"")</f>
        <v/>
      </c>
      <c r="AC24">
        <f>IFERROR(AVERAGE('MT 4.2 Results'!M24,'MT 4.2 Results'!N24),"")</f>
        <v/>
      </c>
      <c r="AD24">
        <f>IFERROR(AVERAGE('MT 4.1 Results'!K24,'MT 4.1 Results'!L24,'MT 4.1 Results'!N24,'Ch4 EOT Results'!O24,'Ch4 EOT Results'!R24,'Ch4 EOT2 Results'!O24,'Ch4 EOT2 Results'!R24,'Mock 1 Paper 2A Results'!P24),"")</f>
        <v/>
      </c>
      <c r="AE24">
        <f>IFERROR(AVERAGE('MT 5.1 Results'!K24,'MT 5.1 Results'!N24,'MT 5.2 Results'!N24,'Ch5 EOT Results'!L24,'Ch5 EOT2 Results'!L24),"")</f>
        <v/>
      </c>
      <c r="AF24">
        <f>IFERROR(AVERAGE('Ch5 EOT Results'!O24,'Ch5 EOT2 Results'!O24),"")</f>
        <v/>
      </c>
      <c r="AG24">
        <f>IFERROR(AVERAGE('MT 5.1 Results'!L24,'Ch5 EOT Results'!P24,'Ch5 EOT2 Results'!P24,'Mock 1 Paper 2A Results'!Q24),"")</f>
        <v/>
      </c>
      <c r="AH24">
        <f>IFERROR(AVERAGE('MT 5.1 Results'!M24,'MT 5.2 Results'!K24,'MT 5.2 Results'!L24,'MT 5.2 Results'!M24,'Ch5 EOT Results'!M24,'Ch5 EOT Results'!N24,'Ch5 EOT2 Results'!M24,'Ch5 EOT2 Results'!N24,'Mock 1 Paper 2A Results'!U24),"")</f>
        <v/>
      </c>
      <c r="AI24">
        <f>""</f>
        <v/>
      </c>
      <c r="AJ24">
        <f>""</f>
        <v/>
      </c>
      <c r="AK24">
        <f>IFERROR(AVERAGE('MT 6.1 Results'!K24,'Mock 1 Paper 2A Results'!S24),"")</f>
        <v/>
      </c>
      <c r="AL24">
        <f>IFERROR(AVERAGE('MT 6.1 Results'!L24,'MT 6.2 Results'!L24,'Ch6 EOT Results'!O24,'Ch6 EOT2 Results'!O24),"")</f>
        <v/>
      </c>
      <c r="AM24">
        <f>IFERROR(AVERAGE('MT 6.1 Results'!M24,'MT 6.1 Results'!N24,'MT 6.2 Results'!K24,'MT 6.2 Results'!M24,'MT 6.2 Results'!N24,'Ch6 EOT Results'!M24,'Ch6 EOT Results'!N24,'Ch6 EOT Results'!P24,'Ch6 EOT Results'!Q24,'Ch6 EOT Results'!R24,'Ch6 EOT2 Results'!M24,'Ch6 EOT2 Results'!N24,'Ch6 EOT2 Results'!P24,'Ch6 EOT2 Results'!Q24,'Ch6 EOT2 Results'!R24,'Mock 1 Paper 2A Results'!R24),"")</f>
        <v/>
      </c>
      <c r="AN24">
        <f>IFERROR(AVERAGE('MT 7.1 Results'!K24),"")</f>
        <v/>
      </c>
      <c r="AO24">
        <f>IFERROR(AVERAGE('MT 7.1 Results'!M24,'Ch7 EOT2 Results'!L24),"")</f>
        <v/>
      </c>
      <c r="AP24">
        <f>IFERROR(AVERAGE('Ch7 EOT Results'!N24,'Ch7 EOT2 Results'!N24),"")</f>
        <v/>
      </c>
      <c r="AQ24">
        <f>IFERROR(AVERAGE('MT 7.1 Results'!L24,'MT 7.1 Results'!N24,'Ch7 EOT Results'!L24,'Ch7 EOT Results'!M24,'Ch7 EOT2 Results'!K24,'Mock 1 Paper 2A Results'!T24),"")</f>
        <v/>
      </c>
      <c r="AR24">
        <f>IFERROR(AVERAGE('MT 7.2 Results'!K24),"")</f>
        <v/>
      </c>
      <c r="AS24">
        <f>IFERROR(AVERAGE('MT 7.2 Results'!L24,'MT 7.2 Results'!N24,'Ch7 EOT Results'!O24,'Ch7 EOT2 Results'!M24,'Mock 1 Paper 2A Results'!V24),"")</f>
        <v/>
      </c>
      <c r="AT24">
        <f>IFERROR(AVERAGE('MT 7.2 Results'!M24,'Ch7 EOT Results'!P24),"")</f>
        <v/>
      </c>
      <c r="AU24">
        <f>""</f>
        <v/>
      </c>
      <c r="AV24">
        <f>IFERROR(AVERAGE(E24:AU24),"")</f>
        <v/>
      </c>
      <c r="AW24">
        <f>IF(AV24="","Not started",IF(AV24&gt;=0.8,"Ready",IF(AV24&gt;=0.65,"Nearly ready",IF(AV24&gt;=0.5,"Developing","Urgent support"))))</f>
        <v/>
      </c>
    </row>
    <row r="25">
      <c r="A25">
        <f>'Class Roster'!A25</f>
        <v/>
      </c>
      <c r="B25">
        <f>'Class Roster'!B25</f>
        <v/>
      </c>
      <c r="C25">
        <f>'Class Roster'!C25</f>
        <v/>
      </c>
      <c r="D25">
        <f>'Class Roster'!D25</f>
        <v/>
      </c>
      <c r="E25">
        <f>IFERROR(AVERAGE('MT 1.1 Results'!K25,'Ch1 EOT Results'!M25,'Mock 1 Paper 1 Results'!Q25),"")</f>
        <v/>
      </c>
      <c r="F25">
        <f>IFERROR(AVERAGE('MT 1.1 Results'!L25),"")</f>
        <v/>
      </c>
      <c r="G25">
        <f>""</f>
        <v/>
      </c>
      <c r="H25">
        <f>IFERROR(AVERAGE('MT 1.1 Results'!M25,'MT 1.3 Results'!N25,'Ch1 EOT Results'!R25,'Ch1 EOT2 Results'!P25,'Mock 1 Paper 1 Results'!R25),"")</f>
        <v/>
      </c>
      <c r="I25">
        <f>IFERROR(AVERAGE('MT 1.2 Results'!K25,'MT 1.2 Results'!L25,'MT 1.2 Results'!M25,'Ch1 EOT Results'!N25,'Ch1 EOT2 Results'!M25),"")</f>
        <v/>
      </c>
      <c r="J25">
        <f>IFERROR(AVERAGE('MT 1.1 Results'!N25,'MT 1.2 Results'!N25,'Ch1 EOT Results'!O25,'Ch1 EOT Results'!Q25,'Mock 1 Paper 1 Results'!V25),"")</f>
        <v/>
      </c>
      <c r="K25">
        <f>IFERROR(AVERAGE('MT 1.3 Results'!K25,'MT 1.3 Results'!L25,'MT 1.3 Results'!M25,'Ch1 EOT Results'!P25,'Ch1 EOT2 Results'!L25,'Ch1 EOT2 Results'!N25,'Ch1 EOT2 Results'!O25,'Mock 1 Paper 1 Results'!Y25),"")</f>
        <v/>
      </c>
      <c r="L25">
        <f>""</f>
        <v/>
      </c>
      <c r="M25">
        <f>""</f>
        <v/>
      </c>
      <c r="N25">
        <f>""</f>
        <v/>
      </c>
      <c r="O25">
        <f>""</f>
        <v/>
      </c>
      <c r="P25">
        <f>IFERROR(AVERAGE('Mock 1 Paper 1 Results'!S25,'Mock 1 Paper 2A Results'!O25),"")</f>
        <v/>
      </c>
      <c r="Q25">
        <f>IFERROR(AVERAGE('MT 2.1 Results'!L25,'MT 2.2 Results'!M25,'Ch2 EOT Results'!S25,'Ch2 EOT2 Results'!T25,'Ch2 EOT2 Results'!U25,'Mock 1 Paper 1 Results'!U25,'Mock 1 Paper 1 Results'!Z25),"")</f>
        <v/>
      </c>
      <c r="R25">
        <f>IFERROR(AVERAGE('MT 2.2 Results'!K25,'Ch2 EOT Results'!R25,'Ch2 EOT Results'!V25,'Ch2 EOT2 Results'!S25),"")</f>
        <v/>
      </c>
      <c r="S25">
        <f>""</f>
        <v/>
      </c>
      <c r="T25">
        <f>IFERROR(AVERAGE('MT 2.1 Results'!J25,'Ch2 EOT Results'!P25,'Ch2 EOT Results'!Q25,'Ch2 EOT Results'!T25,'Ch2 EOT2 Results'!P25,'Ch2 EOT2 Results'!Q25,'Mock 1 Paper 1 Results'!X25),"")</f>
        <v/>
      </c>
      <c r="U25">
        <f>IFERROR(AVERAGE('MT 2.1 Results'!K25,'MT 2.2 Results'!L25,'MT 2.2 Results'!N25,'Ch2 EOT Results'!O25,'Ch2 EOT Results'!U25,'Ch2 EOT2 Results'!O25,'Ch2 EOT2 Results'!R25,'Ch2 EOT2 Results'!V25),"")</f>
        <v/>
      </c>
      <c r="V25">
        <f>IFERROR(AVERAGE('Ch3 EOT Results'!Q25,'Ch3 EOT2 Results'!Q25,'Mock 1 Paper 1 Results'!W25),"")</f>
        <v/>
      </c>
      <c r="W25">
        <f>IFERROR(AVERAGE('MT 3.1 Results'!M25,'MT 3.1 Results'!N25,'MT 3.2 Results'!K25,'MT 3.2 Results'!M25,'Ch3 EOT Results'!O25,'Ch3 EOT Results'!S25,'Ch3 EOT2 Results'!O25,'Ch3 EOT2 Results'!S25),"")</f>
        <v/>
      </c>
      <c r="X25">
        <f>IFERROR(AVERAGE('MT 3.2 Results'!L25),"")</f>
        <v/>
      </c>
      <c r="Y25">
        <f>IFERROR(AVERAGE('MT 3.1 Results'!L25,'Ch3 EOT Results'!R25,'Ch3 EOT2 Results'!R25),"")</f>
        <v/>
      </c>
      <c r="Z25">
        <f>IFERROR(AVERAGE('MT 3.1 Results'!K25,'MT 3.2 Results'!N25,'Ch3 EOT Results'!N25,'Ch3 EOT Results'!P25,'Ch3 EOT Results'!T25,'Ch3 EOT2 Results'!N25,'Ch3 EOT2 Results'!P25,'Ch3 EOT2 Results'!T25,'Mock 1 Paper 1 Results'!T25),"")</f>
        <v/>
      </c>
      <c r="AA25">
        <f>IFERROR(AVERAGE('MT 4.1 Results'!M25,'MT 4.2 Results'!K25,'MT 4.2 Results'!L25,'Ch4 EOT Results'!M25,'Ch4 EOT Results'!P25,'Ch4 EOT Results'!Q25,'Ch4 EOT2 Results'!M25,'Ch4 EOT2 Results'!P25,'Ch4 EOT2 Results'!Q25),"")</f>
        <v/>
      </c>
      <c r="AB25">
        <f>IFERROR(AVERAGE('Ch4 EOT Results'!N25,'Ch4 EOT2 Results'!N25),"")</f>
        <v/>
      </c>
      <c r="AC25">
        <f>IFERROR(AVERAGE('MT 4.2 Results'!M25,'MT 4.2 Results'!N25),"")</f>
        <v/>
      </c>
      <c r="AD25">
        <f>IFERROR(AVERAGE('MT 4.1 Results'!K25,'MT 4.1 Results'!L25,'MT 4.1 Results'!N25,'Ch4 EOT Results'!O25,'Ch4 EOT Results'!R25,'Ch4 EOT2 Results'!O25,'Ch4 EOT2 Results'!R25,'Mock 1 Paper 2A Results'!P25),"")</f>
        <v/>
      </c>
      <c r="AE25">
        <f>IFERROR(AVERAGE('MT 5.1 Results'!K25,'MT 5.1 Results'!N25,'MT 5.2 Results'!N25,'Ch5 EOT Results'!L25,'Ch5 EOT2 Results'!L25),"")</f>
        <v/>
      </c>
      <c r="AF25">
        <f>IFERROR(AVERAGE('Ch5 EOT Results'!O25,'Ch5 EOT2 Results'!O25),"")</f>
        <v/>
      </c>
      <c r="AG25">
        <f>IFERROR(AVERAGE('MT 5.1 Results'!L25,'Ch5 EOT Results'!P25,'Ch5 EOT2 Results'!P25,'Mock 1 Paper 2A Results'!Q25),"")</f>
        <v/>
      </c>
      <c r="AH25">
        <f>IFERROR(AVERAGE('MT 5.1 Results'!M25,'MT 5.2 Results'!K25,'MT 5.2 Results'!L25,'MT 5.2 Results'!M25,'Ch5 EOT Results'!M25,'Ch5 EOT Results'!N25,'Ch5 EOT2 Results'!M25,'Ch5 EOT2 Results'!N25,'Mock 1 Paper 2A Results'!U25),"")</f>
        <v/>
      </c>
      <c r="AI25">
        <f>""</f>
        <v/>
      </c>
      <c r="AJ25">
        <f>""</f>
        <v/>
      </c>
      <c r="AK25">
        <f>IFERROR(AVERAGE('MT 6.1 Results'!K25,'Mock 1 Paper 2A Results'!S25),"")</f>
        <v/>
      </c>
      <c r="AL25">
        <f>IFERROR(AVERAGE('MT 6.1 Results'!L25,'MT 6.2 Results'!L25,'Ch6 EOT Results'!O25,'Ch6 EOT2 Results'!O25),"")</f>
        <v/>
      </c>
      <c r="AM25">
        <f>IFERROR(AVERAGE('MT 6.1 Results'!M25,'MT 6.1 Results'!N25,'MT 6.2 Results'!K25,'MT 6.2 Results'!M25,'MT 6.2 Results'!N25,'Ch6 EOT Results'!M25,'Ch6 EOT Results'!N25,'Ch6 EOT Results'!P25,'Ch6 EOT Results'!Q25,'Ch6 EOT Results'!R25,'Ch6 EOT2 Results'!M25,'Ch6 EOT2 Results'!N25,'Ch6 EOT2 Results'!P25,'Ch6 EOT2 Results'!Q25,'Ch6 EOT2 Results'!R25,'Mock 1 Paper 2A Results'!R25),"")</f>
        <v/>
      </c>
      <c r="AN25">
        <f>IFERROR(AVERAGE('MT 7.1 Results'!K25),"")</f>
        <v/>
      </c>
      <c r="AO25">
        <f>IFERROR(AVERAGE('MT 7.1 Results'!M25,'Ch7 EOT2 Results'!L25),"")</f>
        <v/>
      </c>
      <c r="AP25">
        <f>IFERROR(AVERAGE('Ch7 EOT Results'!N25,'Ch7 EOT2 Results'!N25),"")</f>
        <v/>
      </c>
      <c r="AQ25">
        <f>IFERROR(AVERAGE('MT 7.1 Results'!L25,'MT 7.1 Results'!N25,'Ch7 EOT Results'!L25,'Ch7 EOT Results'!M25,'Ch7 EOT2 Results'!K25,'Mock 1 Paper 2A Results'!T25),"")</f>
        <v/>
      </c>
      <c r="AR25">
        <f>IFERROR(AVERAGE('MT 7.2 Results'!K25),"")</f>
        <v/>
      </c>
      <c r="AS25">
        <f>IFERROR(AVERAGE('MT 7.2 Results'!L25,'MT 7.2 Results'!N25,'Ch7 EOT Results'!O25,'Ch7 EOT2 Results'!M25,'Mock 1 Paper 2A Results'!V25),"")</f>
        <v/>
      </c>
      <c r="AT25">
        <f>IFERROR(AVERAGE('MT 7.2 Results'!M25,'Ch7 EOT Results'!P25),"")</f>
        <v/>
      </c>
      <c r="AU25">
        <f>""</f>
        <v/>
      </c>
      <c r="AV25">
        <f>IFERROR(AVERAGE(E25:AU25),"")</f>
        <v/>
      </c>
      <c r="AW25">
        <f>IF(AV25="","Not started",IF(AV25&gt;=0.8,"Ready",IF(AV25&gt;=0.65,"Nearly ready",IF(AV25&gt;=0.5,"Developing","Urgent support"))))</f>
        <v/>
      </c>
    </row>
    <row r="26">
      <c r="A26">
        <f>'Class Roster'!A26</f>
        <v/>
      </c>
      <c r="B26">
        <f>'Class Roster'!B26</f>
        <v/>
      </c>
      <c r="C26">
        <f>'Class Roster'!C26</f>
        <v/>
      </c>
      <c r="D26">
        <f>'Class Roster'!D26</f>
        <v/>
      </c>
      <c r="E26">
        <f>IFERROR(AVERAGE('MT 1.1 Results'!K26,'Ch1 EOT Results'!M26,'Mock 1 Paper 1 Results'!Q26),"")</f>
        <v/>
      </c>
      <c r="F26">
        <f>IFERROR(AVERAGE('MT 1.1 Results'!L26),"")</f>
        <v/>
      </c>
      <c r="G26">
        <f>""</f>
        <v/>
      </c>
      <c r="H26">
        <f>IFERROR(AVERAGE('MT 1.1 Results'!M26,'MT 1.3 Results'!N26,'Ch1 EOT Results'!R26,'Ch1 EOT2 Results'!P26,'Mock 1 Paper 1 Results'!R26),"")</f>
        <v/>
      </c>
      <c r="I26">
        <f>IFERROR(AVERAGE('MT 1.2 Results'!K26,'MT 1.2 Results'!L26,'MT 1.2 Results'!M26,'Ch1 EOT Results'!N26,'Ch1 EOT2 Results'!M26),"")</f>
        <v/>
      </c>
      <c r="J26">
        <f>IFERROR(AVERAGE('MT 1.1 Results'!N26,'MT 1.2 Results'!N26,'Ch1 EOT Results'!O26,'Ch1 EOT Results'!Q26,'Mock 1 Paper 1 Results'!V26),"")</f>
        <v/>
      </c>
      <c r="K26">
        <f>IFERROR(AVERAGE('MT 1.3 Results'!K26,'MT 1.3 Results'!L26,'MT 1.3 Results'!M26,'Ch1 EOT Results'!P26,'Ch1 EOT2 Results'!L26,'Ch1 EOT2 Results'!N26,'Ch1 EOT2 Results'!O26,'Mock 1 Paper 1 Results'!Y26),"")</f>
        <v/>
      </c>
      <c r="L26">
        <f>""</f>
        <v/>
      </c>
      <c r="M26">
        <f>""</f>
        <v/>
      </c>
      <c r="N26">
        <f>""</f>
        <v/>
      </c>
      <c r="O26">
        <f>""</f>
        <v/>
      </c>
      <c r="P26">
        <f>IFERROR(AVERAGE('Mock 1 Paper 1 Results'!S26,'Mock 1 Paper 2A Results'!O26),"")</f>
        <v/>
      </c>
      <c r="Q26">
        <f>IFERROR(AVERAGE('MT 2.1 Results'!L26,'MT 2.2 Results'!M26,'Ch2 EOT Results'!S26,'Ch2 EOT2 Results'!T26,'Ch2 EOT2 Results'!U26,'Mock 1 Paper 1 Results'!U26,'Mock 1 Paper 1 Results'!Z26),"")</f>
        <v/>
      </c>
      <c r="R26">
        <f>IFERROR(AVERAGE('MT 2.2 Results'!K26,'Ch2 EOT Results'!R26,'Ch2 EOT Results'!V26,'Ch2 EOT2 Results'!S26),"")</f>
        <v/>
      </c>
      <c r="S26">
        <f>""</f>
        <v/>
      </c>
      <c r="T26">
        <f>IFERROR(AVERAGE('MT 2.1 Results'!J26,'Ch2 EOT Results'!P26,'Ch2 EOT Results'!Q26,'Ch2 EOT Results'!T26,'Ch2 EOT2 Results'!P26,'Ch2 EOT2 Results'!Q26,'Mock 1 Paper 1 Results'!X26),"")</f>
        <v/>
      </c>
      <c r="U26">
        <f>IFERROR(AVERAGE('MT 2.1 Results'!K26,'MT 2.2 Results'!L26,'MT 2.2 Results'!N26,'Ch2 EOT Results'!O26,'Ch2 EOT Results'!U26,'Ch2 EOT2 Results'!O26,'Ch2 EOT2 Results'!R26,'Ch2 EOT2 Results'!V26),"")</f>
        <v/>
      </c>
      <c r="V26">
        <f>IFERROR(AVERAGE('Ch3 EOT Results'!Q26,'Ch3 EOT2 Results'!Q26,'Mock 1 Paper 1 Results'!W26),"")</f>
        <v/>
      </c>
      <c r="W26">
        <f>IFERROR(AVERAGE('MT 3.1 Results'!M26,'MT 3.1 Results'!N26,'MT 3.2 Results'!K26,'MT 3.2 Results'!M26,'Ch3 EOT Results'!O26,'Ch3 EOT Results'!S26,'Ch3 EOT2 Results'!O26,'Ch3 EOT2 Results'!S26),"")</f>
        <v/>
      </c>
      <c r="X26">
        <f>IFERROR(AVERAGE('MT 3.2 Results'!L26),"")</f>
        <v/>
      </c>
      <c r="Y26">
        <f>IFERROR(AVERAGE('MT 3.1 Results'!L26,'Ch3 EOT Results'!R26,'Ch3 EOT2 Results'!R26),"")</f>
        <v/>
      </c>
      <c r="Z26">
        <f>IFERROR(AVERAGE('MT 3.1 Results'!K26,'MT 3.2 Results'!N26,'Ch3 EOT Results'!N26,'Ch3 EOT Results'!P26,'Ch3 EOT Results'!T26,'Ch3 EOT2 Results'!N26,'Ch3 EOT2 Results'!P26,'Ch3 EOT2 Results'!T26,'Mock 1 Paper 1 Results'!T26),"")</f>
        <v/>
      </c>
      <c r="AA26">
        <f>IFERROR(AVERAGE('MT 4.1 Results'!M26,'MT 4.2 Results'!K26,'MT 4.2 Results'!L26,'Ch4 EOT Results'!M26,'Ch4 EOT Results'!P26,'Ch4 EOT Results'!Q26,'Ch4 EOT2 Results'!M26,'Ch4 EOT2 Results'!P26,'Ch4 EOT2 Results'!Q26),"")</f>
        <v/>
      </c>
      <c r="AB26">
        <f>IFERROR(AVERAGE('Ch4 EOT Results'!N26,'Ch4 EOT2 Results'!N26),"")</f>
        <v/>
      </c>
      <c r="AC26">
        <f>IFERROR(AVERAGE('MT 4.2 Results'!M26,'MT 4.2 Results'!N26),"")</f>
        <v/>
      </c>
      <c r="AD26">
        <f>IFERROR(AVERAGE('MT 4.1 Results'!K26,'MT 4.1 Results'!L26,'MT 4.1 Results'!N26,'Ch4 EOT Results'!O26,'Ch4 EOT Results'!R26,'Ch4 EOT2 Results'!O26,'Ch4 EOT2 Results'!R26,'Mock 1 Paper 2A Results'!P26),"")</f>
        <v/>
      </c>
      <c r="AE26">
        <f>IFERROR(AVERAGE('MT 5.1 Results'!K26,'MT 5.1 Results'!N26,'MT 5.2 Results'!N26,'Ch5 EOT Results'!L26,'Ch5 EOT2 Results'!L26),"")</f>
        <v/>
      </c>
      <c r="AF26">
        <f>IFERROR(AVERAGE('Ch5 EOT Results'!O26,'Ch5 EOT2 Results'!O26),"")</f>
        <v/>
      </c>
      <c r="AG26">
        <f>IFERROR(AVERAGE('MT 5.1 Results'!L26,'Ch5 EOT Results'!P26,'Ch5 EOT2 Results'!P26,'Mock 1 Paper 2A Results'!Q26),"")</f>
        <v/>
      </c>
      <c r="AH26">
        <f>IFERROR(AVERAGE('MT 5.1 Results'!M26,'MT 5.2 Results'!K26,'MT 5.2 Results'!L26,'MT 5.2 Results'!M26,'Ch5 EOT Results'!M26,'Ch5 EOT Results'!N26,'Ch5 EOT2 Results'!M26,'Ch5 EOT2 Results'!N26,'Mock 1 Paper 2A Results'!U26),"")</f>
        <v/>
      </c>
      <c r="AI26">
        <f>""</f>
        <v/>
      </c>
      <c r="AJ26">
        <f>""</f>
        <v/>
      </c>
      <c r="AK26">
        <f>IFERROR(AVERAGE('MT 6.1 Results'!K26,'Mock 1 Paper 2A Results'!S26),"")</f>
        <v/>
      </c>
      <c r="AL26">
        <f>IFERROR(AVERAGE('MT 6.1 Results'!L26,'MT 6.2 Results'!L26,'Ch6 EOT Results'!O26,'Ch6 EOT2 Results'!O26),"")</f>
        <v/>
      </c>
      <c r="AM26">
        <f>IFERROR(AVERAGE('MT 6.1 Results'!M26,'MT 6.1 Results'!N26,'MT 6.2 Results'!K26,'MT 6.2 Results'!M26,'MT 6.2 Results'!N26,'Ch6 EOT Results'!M26,'Ch6 EOT Results'!N26,'Ch6 EOT Results'!P26,'Ch6 EOT Results'!Q26,'Ch6 EOT Results'!R26,'Ch6 EOT2 Results'!M26,'Ch6 EOT2 Results'!N26,'Ch6 EOT2 Results'!P26,'Ch6 EOT2 Results'!Q26,'Ch6 EOT2 Results'!R26,'Mock 1 Paper 2A Results'!R26),"")</f>
        <v/>
      </c>
      <c r="AN26">
        <f>IFERROR(AVERAGE('MT 7.1 Results'!K26),"")</f>
        <v/>
      </c>
      <c r="AO26">
        <f>IFERROR(AVERAGE('MT 7.1 Results'!M26,'Ch7 EOT2 Results'!L26),"")</f>
        <v/>
      </c>
      <c r="AP26">
        <f>IFERROR(AVERAGE('Ch7 EOT Results'!N26,'Ch7 EOT2 Results'!N26),"")</f>
        <v/>
      </c>
      <c r="AQ26">
        <f>IFERROR(AVERAGE('MT 7.1 Results'!L26,'MT 7.1 Results'!N26,'Ch7 EOT Results'!L26,'Ch7 EOT Results'!M26,'Ch7 EOT2 Results'!K26,'Mock 1 Paper 2A Results'!T26),"")</f>
        <v/>
      </c>
      <c r="AR26">
        <f>IFERROR(AVERAGE('MT 7.2 Results'!K26),"")</f>
        <v/>
      </c>
      <c r="AS26">
        <f>IFERROR(AVERAGE('MT 7.2 Results'!L26,'MT 7.2 Results'!N26,'Ch7 EOT Results'!O26,'Ch7 EOT2 Results'!M26,'Mock 1 Paper 2A Results'!V26),"")</f>
        <v/>
      </c>
      <c r="AT26">
        <f>IFERROR(AVERAGE('MT 7.2 Results'!M26,'Ch7 EOT Results'!P26),"")</f>
        <v/>
      </c>
      <c r="AU26">
        <f>""</f>
        <v/>
      </c>
      <c r="AV26">
        <f>IFERROR(AVERAGE(E26:AU26),"")</f>
        <v/>
      </c>
      <c r="AW26">
        <f>IF(AV26="","Not started",IF(AV26&gt;=0.8,"Ready",IF(AV26&gt;=0.65,"Nearly ready",IF(AV26&gt;=0.5,"Developing","Urgent support"))))</f>
        <v/>
      </c>
    </row>
    <row r="27">
      <c r="A27">
        <f>'Class Roster'!A27</f>
        <v/>
      </c>
      <c r="B27">
        <f>'Class Roster'!B27</f>
        <v/>
      </c>
      <c r="C27">
        <f>'Class Roster'!C27</f>
        <v/>
      </c>
      <c r="D27">
        <f>'Class Roster'!D27</f>
        <v/>
      </c>
      <c r="E27">
        <f>IFERROR(AVERAGE('MT 1.1 Results'!K27,'Ch1 EOT Results'!M27,'Mock 1 Paper 1 Results'!Q27),"")</f>
        <v/>
      </c>
      <c r="F27">
        <f>IFERROR(AVERAGE('MT 1.1 Results'!L27),"")</f>
        <v/>
      </c>
      <c r="G27">
        <f>""</f>
        <v/>
      </c>
      <c r="H27">
        <f>IFERROR(AVERAGE('MT 1.1 Results'!M27,'MT 1.3 Results'!N27,'Ch1 EOT Results'!R27,'Ch1 EOT2 Results'!P27,'Mock 1 Paper 1 Results'!R27),"")</f>
        <v/>
      </c>
      <c r="I27">
        <f>IFERROR(AVERAGE('MT 1.2 Results'!K27,'MT 1.2 Results'!L27,'MT 1.2 Results'!M27,'Ch1 EOT Results'!N27,'Ch1 EOT2 Results'!M27),"")</f>
        <v/>
      </c>
      <c r="J27">
        <f>IFERROR(AVERAGE('MT 1.1 Results'!N27,'MT 1.2 Results'!N27,'Ch1 EOT Results'!O27,'Ch1 EOT Results'!Q27,'Mock 1 Paper 1 Results'!V27),"")</f>
        <v/>
      </c>
      <c r="K27">
        <f>IFERROR(AVERAGE('MT 1.3 Results'!K27,'MT 1.3 Results'!L27,'MT 1.3 Results'!M27,'Ch1 EOT Results'!P27,'Ch1 EOT2 Results'!L27,'Ch1 EOT2 Results'!N27,'Ch1 EOT2 Results'!O27,'Mock 1 Paper 1 Results'!Y27),"")</f>
        <v/>
      </c>
      <c r="L27">
        <f>""</f>
        <v/>
      </c>
      <c r="M27">
        <f>""</f>
        <v/>
      </c>
      <c r="N27">
        <f>""</f>
        <v/>
      </c>
      <c r="O27">
        <f>""</f>
        <v/>
      </c>
      <c r="P27">
        <f>IFERROR(AVERAGE('Mock 1 Paper 1 Results'!S27,'Mock 1 Paper 2A Results'!O27),"")</f>
        <v/>
      </c>
      <c r="Q27">
        <f>IFERROR(AVERAGE('MT 2.1 Results'!L27,'MT 2.2 Results'!M27,'Ch2 EOT Results'!S27,'Ch2 EOT2 Results'!T27,'Ch2 EOT2 Results'!U27,'Mock 1 Paper 1 Results'!U27,'Mock 1 Paper 1 Results'!Z27),"")</f>
        <v/>
      </c>
      <c r="R27">
        <f>IFERROR(AVERAGE('MT 2.2 Results'!K27,'Ch2 EOT Results'!R27,'Ch2 EOT Results'!V27,'Ch2 EOT2 Results'!S27),"")</f>
        <v/>
      </c>
      <c r="S27">
        <f>""</f>
        <v/>
      </c>
      <c r="T27">
        <f>IFERROR(AVERAGE('MT 2.1 Results'!J27,'Ch2 EOT Results'!P27,'Ch2 EOT Results'!Q27,'Ch2 EOT Results'!T27,'Ch2 EOT2 Results'!P27,'Ch2 EOT2 Results'!Q27,'Mock 1 Paper 1 Results'!X27),"")</f>
        <v/>
      </c>
      <c r="U27">
        <f>IFERROR(AVERAGE('MT 2.1 Results'!K27,'MT 2.2 Results'!L27,'MT 2.2 Results'!N27,'Ch2 EOT Results'!O27,'Ch2 EOT Results'!U27,'Ch2 EOT2 Results'!O27,'Ch2 EOT2 Results'!R27,'Ch2 EOT2 Results'!V27),"")</f>
        <v/>
      </c>
      <c r="V27">
        <f>IFERROR(AVERAGE('Ch3 EOT Results'!Q27,'Ch3 EOT2 Results'!Q27,'Mock 1 Paper 1 Results'!W27),"")</f>
        <v/>
      </c>
      <c r="W27">
        <f>IFERROR(AVERAGE('MT 3.1 Results'!M27,'MT 3.1 Results'!N27,'MT 3.2 Results'!K27,'MT 3.2 Results'!M27,'Ch3 EOT Results'!O27,'Ch3 EOT Results'!S27,'Ch3 EOT2 Results'!O27,'Ch3 EOT2 Results'!S27),"")</f>
        <v/>
      </c>
      <c r="X27">
        <f>IFERROR(AVERAGE('MT 3.2 Results'!L27),"")</f>
        <v/>
      </c>
      <c r="Y27">
        <f>IFERROR(AVERAGE('MT 3.1 Results'!L27,'Ch3 EOT Results'!R27,'Ch3 EOT2 Results'!R27),"")</f>
        <v/>
      </c>
      <c r="Z27">
        <f>IFERROR(AVERAGE('MT 3.1 Results'!K27,'MT 3.2 Results'!N27,'Ch3 EOT Results'!N27,'Ch3 EOT Results'!P27,'Ch3 EOT Results'!T27,'Ch3 EOT2 Results'!N27,'Ch3 EOT2 Results'!P27,'Ch3 EOT2 Results'!T27,'Mock 1 Paper 1 Results'!T27),"")</f>
        <v/>
      </c>
      <c r="AA27">
        <f>IFERROR(AVERAGE('MT 4.1 Results'!M27,'MT 4.2 Results'!K27,'MT 4.2 Results'!L27,'Ch4 EOT Results'!M27,'Ch4 EOT Results'!P27,'Ch4 EOT Results'!Q27,'Ch4 EOT2 Results'!M27,'Ch4 EOT2 Results'!P27,'Ch4 EOT2 Results'!Q27),"")</f>
        <v/>
      </c>
      <c r="AB27">
        <f>IFERROR(AVERAGE('Ch4 EOT Results'!N27,'Ch4 EOT2 Results'!N27),"")</f>
        <v/>
      </c>
      <c r="AC27">
        <f>IFERROR(AVERAGE('MT 4.2 Results'!M27,'MT 4.2 Results'!N27),"")</f>
        <v/>
      </c>
      <c r="AD27">
        <f>IFERROR(AVERAGE('MT 4.1 Results'!K27,'MT 4.1 Results'!L27,'MT 4.1 Results'!N27,'Ch4 EOT Results'!O27,'Ch4 EOT Results'!R27,'Ch4 EOT2 Results'!O27,'Ch4 EOT2 Results'!R27,'Mock 1 Paper 2A Results'!P27),"")</f>
        <v/>
      </c>
      <c r="AE27">
        <f>IFERROR(AVERAGE('MT 5.1 Results'!K27,'MT 5.1 Results'!N27,'MT 5.2 Results'!N27,'Ch5 EOT Results'!L27,'Ch5 EOT2 Results'!L27),"")</f>
        <v/>
      </c>
      <c r="AF27">
        <f>IFERROR(AVERAGE('Ch5 EOT Results'!O27,'Ch5 EOT2 Results'!O27),"")</f>
        <v/>
      </c>
      <c r="AG27">
        <f>IFERROR(AVERAGE('MT 5.1 Results'!L27,'Ch5 EOT Results'!P27,'Ch5 EOT2 Results'!P27,'Mock 1 Paper 2A Results'!Q27),"")</f>
        <v/>
      </c>
      <c r="AH27">
        <f>IFERROR(AVERAGE('MT 5.1 Results'!M27,'MT 5.2 Results'!K27,'MT 5.2 Results'!L27,'MT 5.2 Results'!M27,'Ch5 EOT Results'!M27,'Ch5 EOT Results'!N27,'Ch5 EOT2 Results'!M27,'Ch5 EOT2 Results'!N27,'Mock 1 Paper 2A Results'!U27),"")</f>
        <v/>
      </c>
      <c r="AI27">
        <f>""</f>
        <v/>
      </c>
      <c r="AJ27">
        <f>""</f>
        <v/>
      </c>
      <c r="AK27">
        <f>IFERROR(AVERAGE('MT 6.1 Results'!K27,'Mock 1 Paper 2A Results'!S27),"")</f>
        <v/>
      </c>
      <c r="AL27">
        <f>IFERROR(AVERAGE('MT 6.1 Results'!L27,'MT 6.2 Results'!L27,'Ch6 EOT Results'!O27,'Ch6 EOT2 Results'!O27),"")</f>
        <v/>
      </c>
      <c r="AM27">
        <f>IFERROR(AVERAGE('MT 6.1 Results'!M27,'MT 6.1 Results'!N27,'MT 6.2 Results'!K27,'MT 6.2 Results'!M27,'MT 6.2 Results'!N27,'Ch6 EOT Results'!M27,'Ch6 EOT Results'!N27,'Ch6 EOT Results'!P27,'Ch6 EOT Results'!Q27,'Ch6 EOT Results'!R27,'Ch6 EOT2 Results'!M27,'Ch6 EOT2 Results'!N27,'Ch6 EOT2 Results'!P27,'Ch6 EOT2 Results'!Q27,'Ch6 EOT2 Results'!R27,'Mock 1 Paper 2A Results'!R27),"")</f>
        <v/>
      </c>
      <c r="AN27">
        <f>IFERROR(AVERAGE('MT 7.1 Results'!K27),"")</f>
        <v/>
      </c>
      <c r="AO27">
        <f>IFERROR(AVERAGE('MT 7.1 Results'!M27,'Ch7 EOT2 Results'!L27),"")</f>
        <v/>
      </c>
      <c r="AP27">
        <f>IFERROR(AVERAGE('Ch7 EOT Results'!N27,'Ch7 EOT2 Results'!N27),"")</f>
        <v/>
      </c>
      <c r="AQ27">
        <f>IFERROR(AVERAGE('MT 7.1 Results'!L27,'MT 7.1 Results'!N27,'Ch7 EOT Results'!L27,'Ch7 EOT Results'!M27,'Ch7 EOT2 Results'!K27,'Mock 1 Paper 2A Results'!T27),"")</f>
        <v/>
      </c>
      <c r="AR27">
        <f>IFERROR(AVERAGE('MT 7.2 Results'!K27),"")</f>
        <v/>
      </c>
      <c r="AS27">
        <f>IFERROR(AVERAGE('MT 7.2 Results'!L27,'MT 7.2 Results'!N27,'Ch7 EOT Results'!O27,'Ch7 EOT2 Results'!M27,'Mock 1 Paper 2A Results'!V27),"")</f>
        <v/>
      </c>
      <c r="AT27">
        <f>IFERROR(AVERAGE('MT 7.2 Results'!M27,'Ch7 EOT Results'!P27),"")</f>
        <v/>
      </c>
      <c r="AU27">
        <f>""</f>
        <v/>
      </c>
      <c r="AV27">
        <f>IFERROR(AVERAGE(E27:AU27),"")</f>
        <v/>
      </c>
      <c r="AW27">
        <f>IF(AV27="","Not started",IF(AV27&gt;=0.8,"Ready",IF(AV27&gt;=0.65,"Nearly ready",IF(AV27&gt;=0.5,"Developing","Urgent support"))))</f>
        <v/>
      </c>
    </row>
    <row r="28">
      <c r="A28">
        <f>'Class Roster'!A28</f>
        <v/>
      </c>
      <c r="B28">
        <f>'Class Roster'!B28</f>
        <v/>
      </c>
      <c r="C28">
        <f>'Class Roster'!C28</f>
        <v/>
      </c>
      <c r="D28">
        <f>'Class Roster'!D28</f>
        <v/>
      </c>
      <c r="E28">
        <f>IFERROR(AVERAGE('MT 1.1 Results'!K28,'Ch1 EOT Results'!M28,'Mock 1 Paper 1 Results'!Q28),"")</f>
        <v/>
      </c>
      <c r="F28">
        <f>IFERROR(AVERAGE('MT 1.1 Results'!L28),"")</f>
        <v/>
      </c>
      <c r="G28">
        <f>""</f>
        <v/>
      </c>
      <c r="H28">
        <f>IFERROR(AVERAGE('MT 1.1 Results'!M28,'MT 1.3 Results'!N28,'Ch1 EOT Results'!R28,'Ch1 EOT2 Results'!P28,'Mock 1 Paper 1 Results'!R28),"")</f>
        <v/>
      </c>
      <c r="I28">
        <f>IFERROR(AVERAGE('MT 1.2 Results'!K28,'MT 1.2 Results'!L28,'MT 1.2 Results'!M28,'Ch1 EOT Results'!N28,'Ch1 EOT2 Results'!M28),"")</f>
        <v/>
      </c>
      <c r="J28">
        <f>IFERROR(AVERAGE('MT 1.1 Results'!N28,'MT 1.2 Results'!N28,'Ch1 EOT Results'!O28,'Ch1 EOT Results'!Q28,'Mock 1 Paper 1 Results'!V28),"")</f>
        <v/>
      </c>
      <c r="K28">
        <f>IFERROR(AVERAGE('MT 1.3 Results'!K28,'MT 1.3 Results'!L28,'MT 1.3 Results'!M28,'Ch1 EOT Results'!P28,'Ch1 EOT2 Results'!L28,'Ch1 EOT2 Results'!N28,'Ch1 EOT2 Results'!O28,'Mock 1 Paper 1 Results'!Y28),"")</f>
        <v/>
      </c>
      <c r="L28">
        <f>""</f>
        <v/>
      </c>
      <c r="M28">
        <f>""</f>
        <v/>
      </c>
      <c r="N28">
        <f>""</f>
        <v/>
      </c>
      <c r="O28">
        <f>""</f>
        <v/>
      </c>
      <c r="P28">
        <f>IFERROR(AVERAGE('Mock 1 Paper 1 Results'!S28,'Mock 1 Paper 2A Results'!O28),"")</f>
        <v/>
      </c>
      <c r="Q28">
        <f>IFERROR(AVERAGE('MT 2.1 Results'!L28,'MT 2.2 Results'!M28,'Ch2 EOT Results'!S28,'Ch2 EOT2 Results'!T28,'Ch2 EOT2 Results'!U28,'Mock 1 Paper 1 Results'!U28,'Mock 1 Paper 1 Results'!Z28),"")</f>
        <v/>
      </c>
      <c r="R28">
        <f>IFERROR(AVERAGE('MT 2.2 Results'!K28,'Ch2 EOT Results'!R28,'Ch2 EOT Results'!V28,'Ch2 EOT2 Results'!S28),"")</f>
        <v/>
      </c>
      <c r="S28">
        <f>""</f>
        <v/>
      </c>
      <c r="T28">
        <f>IFERROR(AVERAGE('MT 2.1 Results'!J28,'Ch2 EOT Results'!P28,'Ch2 EOT Results'!Q28,'Ch2 EOT Results'!T28,'Ch2 EOT2 Results'!P28,'Ch2 EOT2 Results'!Q28,'Mock 1 Paper 1 Results'!X28),"")</f>
        <v/>
      </c>
      <c r="U28">
        <f>IFERROR(AVERAGE('MT 2.1 Results'!K28,'MT 2.2 Results'!L28,'MT 2.2 Results'!N28,'Ch2 EOT Results'!O28,'Ch2 EOT Results'!U28,'Ch2 EOT2 Results'!O28,'Ch2 EOT2 Results'!R28,'Ch2 EOT2 Results'!V28),"")</f>
        <v/>
      </c>
      <c r="V28">
        <f>IFERROR(AVERAGE('Ch3 EOT Results'!Q28,'Ch3 EOT2 Results'!Q28,'Mock 1 Paper 1 Results'!W28),"")</f>
        <v/>
      </c>
      <c r="W28">
        <f>IFERROR(AVERAGE('MT 3.1 Results'!M28,'MT 3.1 Results'!N28,'MT 3.2 Results'!K28,'MT 3.2 Results'!M28,'Ch3 EOT Results'!O28,'Ch3 EOT Results'!S28,'Ch3 EOT2 Results'!O28,'Ch3 EOT2 Results'!S28),"")</f>
        <v/>
      </c>
      <c r="X28">
        <f>IFERROR(AVERAGE('MT 3.2 Results'!L28),"")</f>
        <v/>
      </c>
      <c r="Y28">
        <f>IFERROR(AVERAGE('MT 3.1 Results'!L28,'Ch3 EOT Results'!R28,'Ch3 EOT2 Results'!R28),"")</f>
        <v/>
      </c>
      <c r="Z28">
        <f>IFERROR(AVERAGE('MT 3.1 Results'!K28,'MT 3.2 Results'!N28,'Ch3 EOT Results'!N28,'Ch3 EOT Results'!P28,'Ch3 EOT Results'!T28,'Ch3 EOT2 Results'!N28,'Ch3 EOT2 Results'!P28,'Ch3 EOT2 Results'!T28,'Mock 1 Paper 1 Results'!T28),"")</f>
        <v/>
      </c>
      <c r="AA28">
        <f>IFERROR(AVERAGE('MT 4.1 Results'!M28,'MT 4.2 Results'!K28,'MT 4.2 Results'!L28,'Ch4 EOT Results'!M28,'Ch4 EOT Results'!P28,'Ch4 EOT Results'!Q28,'Ch4 EOT2 Results'!M28,'Ch4 EOT2 Results'!P28,'Ch4 EOT2 Results'!Q28),"")</f>
        <v/>
      </c>
      <c r="AB28">
        <f>IFERROR(AVERAGE('Ch4 EOT Results'!N28,'Ch4 EOT2 Results'!N28),"")</f>
        <v/>
      </c>
      <c r="AC28">
        <f>IFERROR(AVERAGE('MT 4.2 Results'!M28,'MT 4.2 Results'!N28),"")</f>
        <v/>
      </c>
      <c r="AD28">
        <f>IFERROR(AVERAGE('MT 4.1 Results'!K28,'MT 4.1 Results'!L28,'MT 4.1 Results'!N28,'Ch4 EOT Results'!O28,'Ch4 EOT Results'!R28,'Ch4 EOT2 Results'!O28,'Ch4 EOT2 Results'!R28,'Mock 1 Paper 2A Results'!P28),"")</f>
        <v/>
      </c>
      <c r="AE28">
        <f>IFERROR(AVERAGE('MT 5.1 Results'!K28,'MT 5.1 Results'!N28,'MT 5.2 Results'!N28,'Ch5 EOT Results'!L28,'Ch5 EOT2 Results'!L28),"")</f>
        <v/>
      </c>
      <c r="AF28">
        <f>IFERROR(AVERAGE('Ch5 EOT Results'!O28,'Ch5 EOT2 Results'!O28),"")</f>
        <v/>
      </c>
      <c r="AG28">
        <f>IFERROR(AVERAGE('MT 5.1 Results'!L28,'Ch5 EOT Results'!P28,'Ch5 EOT2 Results'!P28,'Mock 1 Paper 2A Results'!Q28),"")</f>
        <v/>
      </c>
      <c r="AH28">
        <f>IFERROR(AVERAGE('MT 5.1 Results'!M28,'MT 5.2 Results'!K28,'MT 5.2 Results'!L28,'MT 5.2 Results'!M28,'Ch5 EOT Results'!M28,'Ch5 EOT Results'!N28,'Ch5 EOT2 Results'!M28,'Ch5 EOT2 Results'!N28,'Mock 1 Paper 2A Results'!U28),"")</f>
        <v/>
      </c>
      <c r="AI28">
        <f>""</f>
        <v/>
      </c>
      <c r="AJ28">
        <f>""</f>
        <v/>
      </c>
      <c r="AK28">
        <f>IFERROR(AVERAGE('MT 6.1 Results'!K28,'Mock 1 Paper 2A Results'!S28),"")</f>
        <v/>
      </c>
      <c r="AL28">
        <f>IFERROR(AVERAGE('MT 6.1 Results'!L28,'MT 6.2 Results'!L28,'Ch6 EOT Results'!O28,'Ch6 EOT2 Results'!O28),"")</f>
        <v/>
      </c>
      <c r="AM28">
        <f>IFERROR(AVERAGE('MT 6.1 Results'!M28,'MT 6.1 Results'!N28,'MT 6.2 Results'!K28,'MT 6.2 Results'!M28,'MT 6.2 Results'!N28,'Ch6 EOT Results'!M28,'Ch6 EOT Results'!N28,'Ch6 EOT Results'!P28,'Ch6 EOT Results'!Q28,'Ch6 EOT Results'!R28,'Ch6 EOT2 Results'!M28,'Ch6 EOT2 Results'!N28,'Ch6 EOT2 Results'!P28,'Ch6 EOT2 Results'!Q28,'Ch6 EOT2 Results'!R28,'Mock 1 Paper 2A Results'!R28),"")</f>
        <v/>
      </c>
      <c r="AN28">
        <f>IFERROR(AVERAGE('MT 7.1 Results'!K28),"")</f>
        <v/>
      </c>
      <c r="AO28">
        <f>IFERROR(AVERAGE('MT 7.1 Results'!M28,'Ch7 EOT2 Results'!L28),"")</f>
        <v/>
      </c>
      <c r="AP28">
        <f>IFERROR(AVERAGE('Ch7 EOT Results'!N28,'Ch7 EOT2 Results'!N28),"")</f>
        <v/>
      </c>
      <c r="AQ28">
        <f>IFERROR(AVERAGE('MT 7.1 Results'!L28,'MT 7.1 Results'!N28,'Ch7 EOT Results'!L28,'Ch7 EOT Results'!M28,'Ch7 EOT2 Results'!K28,'Mock 1 Paper 2A Results'!T28),"")</f>
        <v/>
      </c>
      <c r="AR28">
        <f>IFERROR(AVERAGE('MT 7.2 Results'!K28),"")</f>
        <v/>
      </c>
      <c r="AS28">
        <f>IFERROR(AVERAGE('MT 7.2 Results'!L28,'MT 7.2 Results'!N28,'Ch7 EOT Results'!O28,'Ch7 EOT2 Results'!M28,'Mock 1 Paper 2A Results'!V28),"")</f>
        <v/>
      </c>
      <c r="AT28">
        <f>IFERROR(AVERAGE('MT 7.2 Results'!M28,'Ch7 EOT Results'!P28),"")</f>
        <v/>
      </c>
      <c r="AU28">
        <f>""</f>
        <v/>
      </c>
      <c r="AV28">
        <f>IFERROR(AVERAGE(E28:AU28),"")</f>
        <v/>
      </c>
      <c r="AW28">
        <f>IF(AV28="","Not started",IF(AV28&gt;=0.8,"Ready",IF(AV28&gt;=0.65,"Nearly ready",IF(AV28&gt;=0.5,"Developing","Urgent support"))))</f>
        <v/>
      </c>
    </row>
    <row r="29">
      <c r="A29">
        <f>'Class Roster'!A29</f>
        <v/>
      </c>
      <c r="B29">
        <f>'Class Roster'!B29</f>
        <v/>
      </c>
      <c r="C29">
        <f>'Class Roster'!C29</f>
        <v/>
      </c>
      <c r="D29">
        <f>'Class Roster'!D29</f>
        <v/>
      </c>
      <c r="E29">
        <f>IFERROR(AVERAGE('MT 1.1 Results'!K29,'Ch1 EOT Results'!M29,'Mock 1 Paper 1 Results'!Q29),"")</f>
        <v/>
      </c>
      <c r="F29">
        <f>IFERROR(AVERAGE('MT 1.1 Results'!L29),"")</f>
        <v/>
      </c>
      <c r="G29">
        <f>""</f>
        <v/>
      </c>
      <c r="H29">
        <f>IFERROR(AVERAGE('MT 1.1 Results'!M29,'MT 1.3 Results'!N29,'Ch1 EOT Results'!R29,'Ch1 EOT2 Results'!P29,'Mock 1 Paper 1 Results'!R29),"")</f>
        <v/>
      </c>
      <c r="I29">
        <f>IFERROR(AVERAGE('MT 1.2 Results'!K29,'MT 1.2 Results'!L29,'MT 1.2 Results'!M29,'Ch1 EOT Results'!N29,'Ch1 EOT2 Results'!M29),"")</f>
        <v/>
      </c>
      <c r="J29">
        <f>IFERROR(AVERAGE('MT 1.1 Results'!N29,'MT 1.2 Results'!N29,'Ch1 EOT Results'!O29,'Ch1 EOT Results'!Q29,'Mock 1 Paper 1 Results'!V29),"")</f>
        <v/>
      </c>
      <c r="K29">
        <f>IFERROR(AVERAGE('MT 1.3 Results'!K29,'MT 1.3 Results'!L29,'MT 1.3 Results'!M29,'Ch1 EOT Results'!P29,'Ch1 EOT2 Results'!L29,'Ch1 EOT2 Results'!N29,'Ch1 EOT2 Results'!O29,'Mock 1 Paper 1 Results'!Y29),"")</f>
        <v/>
      </c>
      <c r="L29">
        <f>""</f>
        <v/>
      </c>
      <c r="M29">
        <f>""</f>
        <v/>
      </c>
      <c r="N29">
        <f>""</f>
        <v/>
      </c>
      <c r="O29">
        <f>""</f>
        <v/>
      </c>
      <c r="P29">
        <f>IFERROR(AVERAGE('Mock 1 Paper 1 Results'!S29,'Mock 1 Paper 2A Results'!O29),"")</f>
        <v/>
      </c>
      <c r="Q29">
        <f>IFERROR(AVERAGE('MT 2.1 Results'!L29,'MT 2.2 Results'!M29,'Ch2 EOT Results'!S29,'Ch2 EOT2 Results'!T29,'Ch2 EOT2 Results'!U29,'Mock 1 Paper 1 Results'!U29,'Mock 1 Paper 1 Results'!Z29),"")</f>
        <v/>
      </c>
      <c r="R29">
        <f>IFERROR(AVERAGE('MT 2.2 Results'!K29,'Ch2 EOT Results'!R29,'Ch2 EOT Results'!V29,'Ch2 EOT2 Results'!S29),"")</f>
        <v/>
      </c>
      <c r="S29">
        <f>""</f>
        <v/>
      </c>
      <c r="T29">
        <f>IFERROR(AVERAGE('MT 2.1 Results'!J29,'Ch2 EOT Results'!P29,'Ch2 EOT Results'!Q29,'Ch2 EOT Results'!T29,'Ch2 EOT2 Results'!P29,'Ch2 EOT2 Results'!Q29,'Mock 1 Paper 1 Results'!X29),"")</f>
        <v/>
      </c>
      <c r="U29">
        <f>IFERROR(AVERAGE('MT 2.1 Results'!K29,'MT 2.2 Results'!L29,'MT 2.2 Results'!N29,'Ch2 EOT Results'!O29,'Ch2 EOT Results'!U29,'Ch2 EOT2 Results'!O29,'Ch2 EOT2 Results'!R29,'Ch2 EOT2 Results'!V29),"")</f>
        <v/>
      </c>
      <c r="V29">
        <f>IFERROR(AVERAGE('Ch3 EOT Results'!Q29,'Ch3 EOT2 Results'!Q29,'Mock 1 Paper 1 Results'!W29),"")</f>
        <v/>
      </c>
      <c r="W29">
        <f>IFERROR(AVERAGE('MT 3.1 Results'!M29,'MT 3.1 Results'!N29,'MT 3.2 Results'!K29,'MT 3.2 Results'!M29,'Ch3 EOT Results'!O29,'Ch3 EOT Results'!S29,'Ch3 EOT2 Results'!O29,'Ch3 EOT2 Results'!S29),"")</f>
        <v/>
      </c>
      <c r="X29">
        <f>IFERROR(AVERAGE('MT 3.2 Results'!L29),"")</f>
        <v/>
      </c>
      <c r="Y29">
        <f>IFERROR(AVERAGE('MT 3.1 Results'!L29,'Ch3 EOT Results'!R29,'Ch3 EOT2 Results'!R29),"")</f>
        <v/>
      </c>
      <c r="Z29">
        <f>IFERROR(AVERAGE('MT 3.1 Results'!K29,'MT 3.2 Results'!N29,'Ch3 EOT Results'!N29,'Ch3 EOT Results'!P29,'Ch3 EOT Results'!T29,'Ch3 EOT2 Results'!N29,'Ch3 EOT2 Results'!P29,'Ch3 EOT2 Results'!T29,'Mock 1 Paper 1 Results'!T29),"")</f>
        <v/>
      </c>
      <c r="AA29">
        <f>IFERROR(AVERAGE('MT 4.1 Results'!M29,'MT 4.2 Results'!K29,'MT 4.2 Results'!L29,'Ch4 EOT Results'!M29,'Ch4 EOT Results'!P29,'Ch4 EOT Results'!Q29,'Ch4 EOT2 Results'!M29,'Ch4 EOT2 Results'!P29,'Ch4 EOT2 Results'!Q29),"")</f>
        <v/>
      </c>
      <c r="AB29">
        <f>IFERROR(AVERAGE('Ch4 EOT Results'!N29,'Ch4 EOT2 Results'!N29),"")</f>
        <v/>
      </c>
      <c r="AC29">
        <f>IFERROR(AVERAGE('MT 4.2 Results'!M29,'MT 4.2 Results'!N29),"")</f>
        <v/>
      </c>
      <c r="AD29">
        <f>IFERROR(AVERAGE('MT 4.1 Results'!K29,'MT 4.1 Results'!L29,'MT 4.1 Results'!N29,'Ch4 EOT Results'!O29,'Ch4 EOT Results'!R29,'Ch4 EOT2 Results'!O29,'Ch4 EOT2 Results'!R29,'Mock 1 Paper 2A Results'!P29),"")</f>
        <v/>
      </c>
      <c r="AE29">
        <f>IFERROR(AVERAGE('MT 5.1 Results'!K29,'MT 5.1 Results'!N29,'MT 5.2 Results'!N29,'Ch5 EOT Results'!L29,'Ch5 EOT2 Results'!L29),"")</f>
        <v/>
      </c>
      <c r="AF29">
        <f>IFERROR(AVERAGE('Ch5 EOT Results'!O29,'Ch5 EOT2 Results'!O29),"")</f>
        <v/>
      </c>
      <c r="AG29">
        <f>IFERROR(AVERAGE('MT 5.1 Results'!L29,'Ch5 EOT Results'!P29,'Ch5 EOT2 Results'!P29,'Mock 1 Paper 2A Results'!Q29),"")</f>
        <v/>
      </c>
      <c r="AH29">
        <f>IFERROR(AVERAGE('MT 5.1 Results'!M29,'MT 5.2 Results'!K29,'MT 5.2 Results'!L29,'MT 5.2 Results'!M29,'Ch5 EOT Results'!M29,'Ch5 EOT Results'!N29,'Ch5 EOT2 Results'!M29,'Ch5 EOT2 Results'!N29,'Mock 1 Paper 2A Results'!U29),"")</f>
        <v/>
      </c>
      <c r="AI29">
        <f>""</f>
        <v/>
      </c>
      <c r="AJ29">
        <f>""</f>
        <v/>
      </c>
      <c r="AK29">
        <f>IFERROR(AVERAGE('MT 6.1 Results'!K29,'Mock 1 Paper 2A Results'!S29),"")</f>
        <v/>
      </c>
      <c r="AL29">
        <f>IFERROR(AVERAGE('MT 6.1 Results'!L29,'MT 6.2 Results'!L29,'Ch6 EOT Results'!O29,'Ch6 EOT2 Results'!O29),"")</f>
        <v/>
      </c>
      <c r="AM29">
        <f>IFERROR(AVERAGE('MT 6.1 Results'!M29,'MT 6.1 Results'!N29,'MT 6.2 Results'!K29,'MT 6.2 Results'!M29,'MT 6.2 Results'!N29,'Ch6 EOT Results'!M29,'Ch6 EOT Results'!N29,'Ch6 EOT Results'!P29,'Ch6 EOT Results'!Q29,'Ch6 EOT Results'!R29,'Ch6 EOT2 Results'!M29,'Ch6 EOT2 Results'!N29,'Ch6 EOT2 Results'!P29,'Ch6 EOT2 Results'!Q29,'Ch6 EOT2 Results'!R29,'Mock 1 Paper 2A Results'!R29),"")</f>
        <v/>
      </c>
      <c r="AN29">
        <f>IFERROR(AVERAGE('MT 7.1 Results'!K29),"")</f>
        <v/>
      </c>
      <c r="AO29">
        <f>IFERROR(AVERAGE('MT 7.1 Results'!M29,'Ch7 EOT2 Results'!L29),"")</f>
        <v/>
      </c>
      <c r="AP29">
        <f>IFERROR(AVERAGE('Ch7 EOT Results'!N29,'Ch7 EOT2 Results'!N29),"")</f>
        <v/>
      </c>
      <c r="AQ29">
        <f>IFERROR(AVERAGE('MT 7.1 Results'!L29,'MT 7.1 Results'!N29,'Ch7 EOT Results'!L29,'Ch7 EOT Results'!M29,'Ch7 EOT2 Results'!K29,'Mock 1 Paper 2A Results'!T29),"")</f>
        <v/>
      </c>
      <c r="AR29">
        <f>IFERROR(AVERAGE('MT 7.2 Results'!K29),"")</f>
        <v/>
      </c>
      <c r="AS29">
        <f>IFERROR(AVERAGE('MT 7.2 Results'!L29,'MT 7.2 Results'!N29,'Ch7 EOT Results'!O29,'Ch7 EOT2 Results'!M29,'Mock 1 Paper 2A Results'!V29),"")</f>
        <v/>
      </c>
      <c r="AT29">
        <f>IFERROR(AVERAGE('MT 7.2 Results'!M29,'Ch7 EOT Results'!P29),"")</f>
        <v/>
      </c>
      <c r="AU29">
        <f>""</f>
        <v/>
      </c>
      <c r="AV29">
        <f>IFERROR(AVERAGE(E29:AU29),"")</f>
        <v/>
      </c>
      <c r="AW29">
        <f>IF(AV29="","Not started",IF(AV29&gt;=0.8,"Ready",IF(AV29&gt;=0.65,"Nearly ready",IF(AV29&gt;=0.5,"Developing","Urgent support"))))</f>
        <v/>
      </c>
    </row>
    <row r="30">
      <c r="A30">
        <f>'Class Roster'!A30</f>
        <v/>
      </c>
      <c r="B30">
        <f>'Class Roster'!B30</f>
        <v/>
      </c>
      <c r="C30">
        <f>'Class Roster'!C30</f>
        <v/>
      </c>
      <c r="D30">
        <f>'Class Roster'!D30</f>
        <v/>
      </c>
      <c r="E30">
        <f>IFERROR(AVERAGE('MT 1.1 Results'!K30,'Ch1 EOT Results'!M30,'Mock 1 Paper 1 Results'!Q30),"")</f>
        <v/>
      </c>
      <c r="F30">
        <f>IFERROR(AVERAGE('MT 1.1 Results'!L30),"")</f>
        <v/>
      </c>
      <c r="G30">
        <f>""</f>
        <v/>
      </c>
      <c r="H30">
        <f>IFERROR(AVERAGE('MT 1.1 Results'!M30,'MT 1.3 Results'!N30,'Ch1 EOT Results'!R30,'Ch1 EOT2 Results'!P30,'Mock 1 Paper 1 Results'!R30),"")</f>
        <v/>
      </c>
      <c r="I30">
        <f>IFERROR(AVERAGE('MT 1.2 Results'!K30,'MT 1.2 Results'!L30,'MT 1.2 Results'!M30,'Ch1 EOT Results'!N30,'Ch1 EOT2 Results'!M30),"")</f>
        <v/>
      </c>
      <c r="J30">
        <f>IFERROR(AVERAGE('MT 1.1 Results'!N30,'MT 1.2 Results'!N30,'Ch1 EOT Results'!O30,'Ch1 EOT Results'!Q30,'Mock 1 Paper 1 Results'!V30),"")</f>
        <v/>
      </c>
      <c r="K30">
        <f>IFERROR(AVERAGE('MT 1.3 Results'!K30,'MT 1.3 Results'!L30,'MT 1.3 Results'!M30,'Ch1 EOT Results'!P30,'Ch1 EOT2 Results'!L30,'Ch1 EOT2 Results'!N30,'Ch1 EOT2 Results'!O30,'Mock 1 Paper 1 Results'!Y30),"")</f>
        <v/>
      </c>
      <c r="L30">
        <f>""</f>
        <v/>
      </c>
      <c r="M30">
        <f>""</f>
        <v/>
      </c>
      <c r="N30">
        <f>""</f>
        <v/>
      </c>
      <c r="O30">
        <f>""</f>
        <v/>
      </c>
      <c r="P30">
        <f>IFERROR(AVERAGE('Mock 1 Paper 1 Results'!S30,'Mock 1 Paper 2A Results'!O30),"")</f>
        <v/>
      </c>
      <c r="Q30">
        <f>IFERROR(AVERAGE('MT 2.1 Results'!L30,'MT 2.2 Results'!M30,'Ch2 EOT Results'!S30,'Ch2 EOT2 Results'!T30,'Ch2 EOT2 Results'!U30,'Mock 1 Paper 1 Results'!U30,'Mock 1 Paper 1 Results'!Z30),"")</f>
        <v/>
      </c>
      <c r="R30">
        <f>IFERROR(AVERAGE('MT 2.2 Results'!K30,'Ch2 EOT Results'!R30,'Ch2 EOT Results'!V30,'Ch2 EOT2 Results'!S30),"")</f>
        <v/>
      </c>
      <c r="S30">
        <f>""</f>
        <v/>
      </c>
      <c r="T30">
        <f>IFERROR(AVERAGE('MT 2.1 Results'!J30,'Ch2 EOT Results'!P30,'Ch2 EOT Results'!Q30,'Ch2 EOT Results'!T30,'Ch2 EOT2 Results'!P30,'Ch2 EOT2 Results'!Q30,'Mock 1 Paper 1 Results'!X30),"")</f>
        <v/>
      </c>
      <c r="U30">
        <f>IFERROR(AVERAGE('MT 2.1 Results'!K30,'MT 2.2 Results'!L30,'MT 2.2 Results'!N30,'Ch2 EOT Results'!O30,'Ch2 EOT Results'!U30,'Ch2 EOT2 Results'!O30,'Ch2 EOT2 Results'!R30,'Ch2 EOT2 Results'!V30),"")</f>
        <v/>
      </c>
      <c r="V30">
        <f>IFERROR(AVERAGE('Ch3 EOT Results'!Q30,'Ch3 EOT2 Results'!Q30,'Mock 1 Paper 1 Results'!W30),"")</f>
        <v/>
      </c>
      <c r="W30">
        <f>IFERROR(AVERAGE('MT 3.1 Results'!M30,'MT 3.1 Results'!N30,'MT 3.2 Results'!K30,'MT 3.2 Results'!M30,'Ch3 EOT Results'!O30,'Ch3 EOT Results'!S30,'Ch3 EOT2 Results'!O30,'Ch3 EOT2 Results'!S30),"")</f>
        <v/>
      </c>
      <c r="X30">
        <f>IFERROR(AVERAGE('MT 3.2 Results'!L30),"")</f>
        <v/>
      </c>
      <c r="Y30">
        <f>IFERROR(AVERAGE('MT 3.1 Results'!L30,'Ch3 EOT Results'!R30,'Ch3 EOT2 Results'!R30),"")</f>
        <v/>
      </c>
      <c r="Z30">
        <f>IFERROR(AVERAGE('MT 3.1 Results'!K30,'MT 3.2 Results'!N30,'Ch3 EOT Results'!N30,'Ch3 EOT Results'!P30,'Ch3 EOT Results'!T30,'Ch3 EOT2 Results'!N30,'Ch3 EOT2 Results'!P30,'Ch3 EOT2 Results'!T30,'Mock 1 Paper 1 Results'!T30),"")</f>
        <v/>
      </c>
      <c r="AA30">
        <f>IFERROR(AVERAGE('MT 4.1 Results'!M30,'MT 4.2 Results'!K30,'MT 4.2 Results'!L30,'Ch4 EOT Results'!M30,'Ch4 EOT Results'!P30,'Ch4 EOT Results'!Q30,'Ch4 EOT2 Results'!M30,'Ch4 EOT2 Results'!P30,'Ch4 EOT2 Results'!Q30),"")</f>
        <v/>
      </c>
      <c r="AB30">
        <f>IFERROR(AVERAGE('Ch4 EOT Results'!N30,'Ch4 EOT2 Results'!N30),"")</f>
        <v/>
      </c>
      <c r="AC30">
        <f>IFERROR(AVERAGE('MT 4.2 Results'!M30,'MT 4.2 Results'!N30),"")</f>
        <v/>
      </c>
      <c r="AD30">
        <f>IFERROR(AVERAGE('MT 4.1 Results'!K30,'MT 4.1 Results'!L30,'MT 4.1 Results'!N30,'Ch4 EOT Results'!O30,'Ch4 EOT Results'!R30,'Ch4 EOT2 Results'!O30,'Ch4 EOT2 Results'!R30,'Mock 1 Paper 2A Results'!P30),"")</f>
        <v/>
      </c>
      <c r="AE30">
        <f>IFERROR(AVERAGE('MT 5.1 Results'!K30,'MT 5.1 Results'!N30,'MT 5.2 Results'!N30,'Ch5 EOT Results'!L30,'Ch5 EOT2 Results'!L30),"")</f>
        <v/>
      </c>
      <c r="AF30">
        <f>IFERROR(AVERAGE('Ch5 EOT Results'!O30,'Ch5 EOT2 Results'!O30),"")</f>
        <v/>
      </c>
      <c r="AG30">
        <f>IFERROR(AVERAGE('MT 5.1 Results'!L30,'Ch5 EOT Results'!P30,'Ch5 EOT2 Results'!P30,'Mock 1 Paper 2A Results'!Q30),"")</f>
        <v/>
      </c>
      <c r="AH30">
        <f>IFERROR(AVERAGE('MT 5.1 Results'!M30,'MT 5.2 Results'!K30,'MT 5.2 Results'!L30,'MT 5.2 Results'!M30,'Ch5 EOT Results'!M30,'Ch5 EOT Results'!N30,'Ch5 EOT2 Results'!M30,'Ch5 EOT2 Results'!N30,'Mock 1 Paper 2A Results'!U30),"")</f>
        <v/>
      </c>
      <c r="AI30">
        <f>""</f>
        <v/>
      </c>
      <c r="AJ30">
        <f>""</f>
        <v/>
      </c>
      <c r="AK30">
        <f>IFERROR(AVERAGE('MT 6.1 Results'!K30,'Mock 1 Paper 2A Results'!S30),"")</f>
        <v/>
      </c>
      <c r="AL30">
        <f>IFERROR(AVERAGE('MT 6.1 Results'!L30,'MT 6.2 Results'!L30,'Ch6 EOT Results'!O30,'Ch6 EOT2 Results'!O30),"")</f>
        <v/>
      </c>
      <c r="AM30">
        <f>IFERROR(AVERAGE('MT 6.1 Results'!M30,'MT 6.1 Results'!N30,'MT 6.2 Results'!K30,'MT 6.2 Results'!M30,'MT 6.2 Results'!N30,'Ch6 EOT Results'!M30,'Ch6 EOT Results'!N30,'Ch6 EOT Results'!P30,'Ch6 EOT Results'!Q30,'Ch6 EOT Results'!R30,'Ch6 EOT2 Results'!M30,'Ch6 EOT2 Results'!N30,'Ch6 EOT2 Results'!P30,'Ch6 EOT2 Results'!Q30,'Ch6 EOT2 Results'!R30,'Mock 1 Paper 2A Results'!R30),"")</f>
        <v/>
      </c>
      <c r="AN30">
        <f>IFERROR(AVERAGE('MT 7.1 Results'!K30),"")</f>
        <v/>
      </c>
      <c r="AO30">
        <f>IFERROR(AVERAGE('MT 7.1 Results'!M30,'Ch7 EOT2 Results'!L30),"")</f>
        <v/>
      </c>
      <c r="AP30">
        <f>IFERROR(AVERAGE('Ch7 EOT Results'!N30,'Ch7 EOT2 Results'!N30),"")</f>
        <v/>
      </c>
      <c r="AQ30">
        <f>IFERROR(AVERAGE('MT 7.1 Results'!L30,'MT 7.1 Results'!N30,'Ch7 EOT Results'!L30,'Ch7 EOT Results'!M30,'Ch7 EOT2 Results'!K30,'Mock 1 Paper 2A Results'!T30),"")</f>
        <v/>
      </c>
      <c r="AR30">
        <f>IFERROR(AVERAGE('MT 7.2 Results'!K30),"")</f>
        <v/>
      </c>
      <c r="AS30">
        <f>IFERROR(AVERAGE('MT 7.2 Results'!L30,'MT 7.2 Results'!N30,'Ch7 EOT Results'!O30,'Ch7 EOT2 Results'!M30,'Mock 1 Paper 2A Results'!V30),"")</f>
        <v/>
      </c>
      <c r="AT30">
        <f>IFERROR(AVERAGE('MT 7.2 Results'!M30,'Ch7 EOT Results'!P30),"")</f>
        <v/>
      </c>
      <c r="AU30">
        <f>""</f>
        <v/>
      </c>
      <c r="AV30">
        <f>IFERROR(AVERAGE(E30:AU30),"")</f>
        <v/>
      </c>
      <c r="AW30">
        <f>IF(AV30="","Not started",IF(AV30&gt;=0.8,"Ready",IF(AV30&gt;=0.65,"Nearly ready",IF(AV30&gt;=0.5,"Developing","Urgent support"))))</f>
        <v/>
      </c>
    </row>
    <row r="31">
      <c r="A31">
        <f>'Class Roster'!A31</f>
        <v/>
      </c>
      <c r="B31">
        <f>'Class Roster'!B31</f>
        <v/>
      </c>
      <c r="C31">
        <f>'Class Roster'!C31</f>
        <v/>
      </c>
      <c r="D31">
        <f>'Class Roster'!D31</f>
        <v/>
      </c>
      <c r="E31">
        <f>IFERROR(AVERAGE('MT 1.1 Results'!K31,'Ch1 EOT Results'!M31,'Mock 1 Paper 1 Results'!Q31),"")</f>
        <v/>
      </c>
      <c r="F31">
        <f>IFERROR(AVERAGE('MT 1.1 Results'!L31),"")</f>
        <v/>
      </c>
      <c r="G31">
        <f>""</f>
        <v/>
      </c>
      <c r="H31">
        <f>IFERROR(AVERAGE('MT 1.1 Results'!M31,'MT 1.3 Results'!N31,'Ch1 EOT Results'!R31,'Ch1 EOT2 Results'!P31,'Mock 1 Paper 1 Results'!R31),"")</f>
        <v/>
      </c>
      <c r="I31">
        <f>IFERROR(AVERAGE('MT 1.2 Results'!K31,'MT 1.2 Results'!L31,'MT 1.2 Results'!M31,'Ch1 EOT Results'!N31,'Ch1 EOT2 Results'!M31),"")</f>
        <v/>
      </c>
      <c r="J31">
        <f>IFERROR(AVERAGE('MT 1.1 Results'!N31,'MT 1.2 Results'!N31,'Ch1 EOT Results'!O31,'Ch1 EOT Results'!Q31,'Mock 1 Paper 1 Results'!V31),"")</f>
        <v/>
      </c>
      <c r="K31">
        <f>IFERROR(AVERAGE('MT 1.3 Results'!K31,'MT 1.3 Results'!L31,'MT 1.3 Results'!M31,'Ch1 EOT Results'!P31,'Ch1 EOT2 Results'!L31,'Ch1 EOT2 Results'!N31,'Ch1 EOT2 Results'!O31,'Mock 1 Paper 1 Results'!Y31),"")</f>
        <v/>
      </c>
      <c r="L31">
        <f>""</f>
        <v/>
      </c>
      <c r="M31">
        <f>""</f>
        <v/>
      </c>
      <c r="N31">
        <f>""</f>
        <v/>
      </c>
      <c r="O31">
        <f>""</f>
        <v/>
      </c>
      <c r="P31">
        <f>IFERROR(AVERAGE('Mock 1 Paper 1 Results'!S31,'Mock 1 Paper 2A Results'!O31),"")</f>
        <v/>
      </c>
      <c r="Q31">
        <f>IFERROR(AVERAGE('MT 2.1 Results'!L31,'MT 2.2 Results'!M31,'Ch2 EOT Results'!S31,'Ch2 EOT2 Results'!T31,'Ch2 EOT2 Results'!U31,'Mock 1 Paper 1 Results'!U31,'Mock 1 Paper 1 Results'!Z31),"")</f>
        <v/>
      </c>
      <c r="R31">
        <f>IFERROR(AVERAGE('MT 2.2 Results'!K31,'Ch2 EOT Results'!R31,'Ch2 EOT Results'!V31,'Ch2 EOT2 Results'!S31),"")</f>
        <v/>
      </c>
      <c r="S31">
        <f>""</f>
        <v/>
      </c>
      <c r="T31">
        <f>IFERROR(AVERAGE('MT 2.1 Results'!J31,'Ch2 EOT Results'!P31,'Ch2 EOT Results'!Q31,'Ch2 EOT Results'!T31,'Ch2 EOT2 Results'!P31,'Ch2 EOT2 Results'!Q31,'Mock 1 Paper 1 Results'!X31),"")</f>
        <v/>
      </c>
      <c r="U31">
        <f>IFERROR(AVERAGE('MT 2.1 Results'!K31,'MT 2.2 Results'!L31,'MT 2.2 Results'!N31,'Ch2 EOT Results'!O31,'Ch2 EOT Results'!U31,'Ch2 EOT2 Results'!O31,'Ch2 EOT2 Results'!R31,'Ch2 EOT2 Results'!V31),"")</f>
        <v/>
      </c>
      <c r="V31">
        <f>IFERROR(AVERAGE('Ch3 EOT Results'!Q31,'Ch3 EOT2 Results'!Q31,'Mock 1 Paper 1 Results'!W31),"")</f>
        <v/>
      </c>
      <c r="W31">
        <f>IFERROR(AVERAGE('MT 3.1 Results'!M31,'MT 3.1 Results'!N31,'MT 3.2 Results'!K31,'MT 3.2 Results'!M31,'Ch3 EOT Results'!O31,'Ch3 EOT Results'!S31,'Ch3 EOT2 Results'!O31,'Ch3 EOT2 Results'!S31),"")</f>
        <v/>
      </c>
      <c r="X31">
        <f>IFERROR(AVERAGE('MT 3.2 Results'!L31),"")</f>
        <v/>
      </c>
      <c r="Y31">
        <f>IFERROR(AVERAGE('MT 3.1 Results'!L31,'Ch3 EOT Results'!R31,'Ch3 EOT2 Results'!R31),"")</f>
        <v/>
      </c>
      <c r="Z31">
        <f>IFERROR(AVERAGE('MT 3.1 Results'!K31,'MT 3.2 Results'!N31,'Ch3 EOT Results'!N31,'Ch3 EOT Results'!P31,'Ch3 EOT Results'!T31,'Ch3 EOT2 Results'!N31,'Ch3 EOT2 Results'!P31,'Ch3 EOT2 Results'!T31,'Mock 1 Paper 1 Results'!T31),"")</f>
        <v/>
      </c>
      <c r="AA31">
        <f>IFERROR(AVERAGE('MT 4.1 Results'!M31,'MT 4.2 Results'!K31,'MT 4.2 Results'!L31,'Ch4 EOT Results'!M31,'Ch4 EOT Results'!P31,'Ch4 EOT Results'!Q31,'Ch4 EOT2 Results'!M31,'Ch4 EOT2 Results'!P31,'Ch4 EOT2 Results'!Q31),"")</f>
        <v/>
      </c>
      <c r="AB31">
        <f>IFERROR(AVERAGE('Ch4 EOT Results'!N31,'Ch4 EOT2 Results'!N31),"")</f>
        <v/>
      </c>
      <c r="AC31">
        <f>IFERROR(AVERAGE('MT 4.2 Results'!M31,'MT 4.2 Results'!N31),"")</f>
        <v/>
      </c>
      <c r="AD31">
        <f>IFERROR(AVERAGE('MT 4.1 Results'!K31,'MT 4.1 Results'!L31,'MT 4.1 Results'!N31,'Ch4 EOT Results'!O31,'Ch4 EOT Results'!R31,'Ch4 EOT2 Results'!O31,'Ch4 EOT2 Results'!R31,'Mock 1 Paper 2A Results'!P31),"")</f>
        <v/>
      </c>
      <c r="AE31">
        <f>IFERROR(AVERAGE('MT 5.1 Results'!K31,'MT 5.1 Results'!N31,'MT 5.2 Results'!N31,'Ch5 EOT Results'!L31,'Ch5 EOT2 Results'!L31),"")</f>
        <v/>
      </c>
      <c r="AF31">
        <f>IFERROR(AVERAGE('Ch5 EOT Results'!O31,'Ch5 EOT2 Results'!O31),"")</f>
        <v/>
      </c>
      <c r="AG31">
        <f>IFERROR(AVERAGE('MT 5.1 Results'!L31,'Ch5 EOT Results'!P31,'Ch5 EOT2 Results'!P31,'Mock 1 Paper 2A Results'!Q31),"")</f>
        <v/>
      </c>
      <c r="AH31">
        <f>IFERROR(AVERAGE('MT 5.1 Results'!M31,'MT 5.2 Results'!K31,'MT 5.2 Results'!L31,'MT 5.2 Results'!M31,'Ch5 EOT Results'!M31,'Ch5 EOT Results'!N31,'Ch5 EOT2 Results'!M31,'Ch5 EOT2 Results'!N31,'Mock 1 Paper 2A Results'!U31),"")</f>
        <v/>
      </c>
      <c r="AI31">
        <f>""</f>
        <v/>
      </c>
      <c r="AJ31">
        <f>""</f>
        <v/>
      </c>
      <c r="AK31">
        <f>IFERROR(AVERAGE('MT 6.1 Results'!K31,'Mock 1 Paper 2A Results'!S31),"")</f>
        <v/>
      </c>
      <c r="AL31">
        <f>IFERROR(AVERAGE('MT 6.1 Results'!L31,'MT 6.2 Results'!L31,'Ch6 EOT Results'!O31,'Ch6 EOT2 Results'!O31),"")</f>
        <v/>
      </c>
      <c r="AM31">
        <f>IFERROR(AVERAGE('MT 6.1 Results'!M31,'MT 6.1 Results'!N31,'MT 6.2 Results'!K31,'MT 6.2 Results'!M31,'MT 6.2 Results'!N31,'Ch6 EOT Results'!M31,'Ch6 EOT Results'!N31,'Ch6 EOT Results'!P31,'Ch6 EOT Results'!Q31,'Ch6 EOT Results'!R31,'Ch6 EOT2 Results'!M31,'Ch6 EOT2 Results'!N31,'Ch6 EOT2 Results'!P31,'Ch6 EOT2 Results'!Q31,'Ch6 EOT2 Results'!R31,'Mock 1 Paper 2A Results'!R31),"")</f>
        <v/>
      </c>
      <c r="AN31">
        <f>IFERROR(AVERAGE('MT 7.1 Results'!K31),"")</f>
        <v/>
      </c>
      <c r="AO31">
        <f>IFERROR(AVERAGE('MT 7.1 Results'!M31,'Ch7 EOT2 Results'!L31),"")</f>
        <v/>
      </c>
      <c r="AP31">
        <f>IFERROR(AVERAGE('Ch7 EOT Results'!N31,'Ch7 EOT2 Results'!N31),"")</f>
        <v/>
      </c>
      <c r="AQ31">
        <f>IFERROR(AVERAGE('MT 7.1 Results'!L31,'MT 7.1 Results'!N31,'Ch7 EOT Results'!L31,'Ch7 EOT Results'!M31,'Ch7 EOT2 Results'!K31,'Mock 1 Paper 2A Results'!T31),"")</f>
        <v/>
      </c>
      <c r="AR31">
        <f>IFERROR(AVERAGE('MT 7.2 Results'!K31),"")</f>
        <v/>
      </c>
      <c r="AS31">
        <f>IFERROR(AVERAGE('MT 7.2 Results'!L31,'MT 7.2 Results'!N31,'Ch7 EOT Results'!O31,'Ch7 EOT2 Results'!M31,'Mock 1 Paper 2A Results'!V31),"")</f>
        <v/>
      </c>
      <c r="AT31">
        <f>IFERROR(AVERAGE('MT 7.2 Results'!M31,'Ch7 EOT Results'!P31),"")</f>
        <v/>
      </c>
      <c r="AU31">
        <f>""</f>
        <v/>
      </c>
      <c r="AV31">
        <f>IFERROR(AVERAGE(E31:AU31),"")</f>
        <v/>
      </c>
      <c r="AW31">
        <f>IF(AV31="","Not started",IF(AV31&gt;=0.8,"Ready",IF(AV31&gt;=0.65,"Nearly ready",IF(AV31&gt;=0.5,"Developing","Urgent support"))))</f>
        <v/>
      </c>
    </row>
    <row r="32">
      <c r="A32">
        <f>'Class Roster'!A32</f>
        <v/>
      </c>
      <c r="B32">
        <f>'Class Roster'!B32</f>
        <v/>
      </c>
      <c r="C32">
        <f>'Class Roster'!C32</f>
        <v/>
      </c>
      <c r="D32">
        <f>'Class Roster'!D32</f>
        <v/>
      </c>
      <c r="E32">
        <f>IFERROR(AVERAGE('MT 1.1 Results'!K32,'Ch1 EOT Results'!M32,'Mock 1 Paper 1 Results'!Q32),"")</f>
        <v/>
      </c>
      <c r="F32">
        <f>IFERROR(AVERAGE('MT 1.1 Results'!L32),"")</f>
        <v/>
      </c>
      <c r="G32">
        <f>""</f>
        <v/>
      </c>
      <c r="H32">
        <f>IFERROR(AVERAGE('MT 1.1 Results'!M32,'MT 1.3 Results'!N32,'Ch1 EOT Results'!R32,'Ch1 EOT2 Results'!P32,'Mock 1 Paper 1 Results'!R32),"")</f>
        <v/>
      </c>
      <c r="I32">
        <f>IFERROR(AVERAGE('MT 1.2 Results'!K32,'MT 1.2 Results'!L32,'MT 1.2 Results'!M32,'Ch1 EOT Results'!N32,'Ch1 EOT2 Results'!M32),"")</f>
        <v/>
      </c>
      <c r="J32">
        <f>IFERROR(AVERAGE('MT 1.1 Results'!N32,'MT 1.2 Results'!N32,'Ch1 EOT Results'!O32,'Ch1 EOT Results'!Q32,'Mock 1 Paper 1 Results'!V32),"")</f>
        <v/>
      </c>
      <c r="K32">
        <f>IFERROR(AVERAGE('MT 1.3 Results'!K32,'MT 1.3 Results'!L32,'MT 1.3 Results'!M32,'Ch1 EOT Results'!P32,'Ch1 EOT2 Results'!L32,'Ch1 EOT2 Results'!N32,'Ch1 EOT2 Results'!O32,'Mock 1 Paper 1 Results'!Y32),"")</f>
        <v/>
      </c>
      <c r="L32">
        <f>""</f>
        <v/>
      </c>
      <c r="M32">
        <f>""</f>
        <v/>
      </c>
      <c r="N32">
        <f>""</f>
        <v/>
      </c>
      <c r="O32">
        <f>""</f>
        <v/>
      </c>
      <c r="P32">
        <f>IFERROR(AVERAGE('Mock 1 Paper 1 Results'!S32,'Mock 1 Paper 2A Results'!O32),"")</f>
        <v/>
      </c>
      <c r="Q32">
        <f>IFERROR(AVERAGE('MT 2.1 Results'!L32,'MT 2.2 Results'!M32,'Ch2 EOT Results'!S32,'Ch2 EOT2 Results'!T32,'Ch2 EOT2 Results'!U32,'Mock 1 Paper 1 Results'!U32,'Mock 1 Paper 1 Results'!Z32),"")</f>
        <v/>
      </c>
      <c r="R32">
        <f>IFERROR(AVERAGE('MT 2.2 Results'!K32,'Ch2 EOT Results'!R32,'Ch2 EOT Results'!V32,'Ch2 EOT2 Results'!S32),"")</f>
        <v/>
      </c>
      <c r="S32">
        <f>""</f>
        <v/>
      </c>
      <c r="T32">
        <f>IFERROR(AVERAGE('MT 2.1 Results'!J32,'Ch2 EOT Results'!P32,'Ch2 EOT Results'!Q32,'Ch2 EOT Results'!T32,'Ch2 EOT2 Results'!P32,'Ch2 EOT2 Results'!Q32,'Mock 1 Paper 1 Results'!X32),"")</f>
        <v/>
      </c>
      <c r="U32">
        <f>IFERROR(AVERAGE('MT 2.1 Results'!K32,'MT 2.2 Results'!L32,'MT 2.2 Results'!N32,'Ch2 EOT Results'!O32,'Ch2 EOT Results'!U32,'Ch2 EOT2 Results'!O32,'Ch2 EOT2 Results'!R32,'Ch2 EOT2 Results'!V32),"")</f>
        <v/>
      </c>
      <c r="V32">
        <f>IFERROR(AVERAGE('Ch3 EOT Results'!Q32,'Ch3 EOT2 Results'!Q32,'Mock 1 Paper 1 Results'!W32),"")</f>
        <v/>
      </c>
      <c r="W32">
        <f>IFERROR(AVERAGE('MT 3.1 Results'!M32,'MT 3.1 Results'!N32,'MT 3.2 Results'!K32,'MT 3.2 Results'!M32,'Ch3 EOT Results'!O32,'Ch3 EOT Results'!S32,'Ch3 EOT2 Results'!O32,'Ch3 EOT2 Results'!S32),"")</f>
        <v/>
      </c>
      <c r="X32">
        <f>IFERROR(AVERAGE('MT 3.2 Results'!L32),"")</f>
        <v/>
      </c>
      <c r="Y32">
        <f>IFERROR(AVERAGE('MT 3.1 Results'!L32,'Ch3 EOT Results'!R32,'Ch3 EOT2 Results'!R32),"")</f>
        <v/>
      </c>
      <c r="Z32">
        <f>IFERROR(AVERAGE('MT 3.1 Results'!K32,'MT 3.2 Results'!N32,'Ch3 EOT Results'!N32,'Ch3 EOT Results'!P32,'Ch3 EOT Results'!T32,'Ch3 EOT2 Results'!N32,'Ch3 EOT2 Results'!P32,'Ch3 EOT2 Results'!T32,'Mock 1 Paper 1 Results'!T32),"")</f>
        <v/>
      </c>
      <c r="AA32">
        <f>IFERROR(AVERAGE('MT 4.1 Results'!M32,'MT 4.2 Results'!K32,'MT 4.2 Results'!L32,'Ch4 EOT Results'!M32,'Ch4 EOT Results'!P32,'Ch4 EOT Results'!Q32,'Ch4 EOT2 Results'!M32,'Ch4 EOT2 Results'!P32,'Ch4 EOT2 Results'!Q32),"")</f>
        <v/>
      </c>
      <c r="AB32">
        <f>IFERROR(AVERAGE('Ch4 EOT Results'!N32,'Ch4 EOT2 Results'!N32),"")</f>
        <v/>
      </c>
      <c r="AC32">
        <f>IFERROR(AVERAGE('MT 4.2 Results'!M32,'MT 4.2 Results'!N32),"")</f>
        <v/>
      </c>
      <c r="AD32">
        <f>IFERROR(AVERAGE('MT 4.1 Results'!K32,'MT 4.1 Results'!L32,'MT 4.1 Results'!N32,'Ch4 EOT Results'!O32,'Ch4 EOT Results'!R32,'Ch4 EOT2 Results'!O32,'Ch4 EOT2 Results'!R32,'Mock 1 Paper 2A Results'!P32),"")</f>
        <v/>
      </c>
      <c r="AE32">
        <f>IFERROR(AVERAGE('MT 5.1 Results'!K32,'MT 5.1 Results'!N32,'MT 5.2 Results'!N32,'Ch5 EOT Results'!L32,'Ch5 EOT2 Results'!L32),"")</f>
        <v/>
      </c>
      <c r="AF32">
        <f>IFERROR(AVERAGE('Ch5 EOT Results'!O32,'Ch5 EOT2 Results'!O32),"")</f>
        <v/>
      </c>
      <c r="AG32">
        <f>IFERROR(AVERAGE('MT 5.1 Results'!L32,'Ch5 EOT Results'!P32,'Ch5 EOT2 Results'!P32,'Mock 1 Paper 2A Results'!Q32),"")</f>
        <v/>
      </c>
      <c r="AH32">
        <f>IFERROR(AVERAGE('MT 5.1 Results'!M32,'MT 5.2 Results'!K32,'MT 5.2 Results'!L32,'MT 5.2 Results'!M32,'Ch5 EOT Results'!M32,'Ch5 EOT Results'!N32,'Ch5 EOT2 Results'!M32,'Ch5 EOT2 Results'!N32,'Mock 1 Paper 2A Results'!U32),"")</f>
        <v/>
      </c>
      <c r="AI32">
        <f>""</f>
        <v/>
      </c>
      <c r="AJ32">
        <f>""</f>
        <v/>
      </c>
      <c r="AK32">
        <f>IFERROR(AVERAGE('MT 6.1 Results'!K32,'Mock 1 Paper 2A Results'!S32),"")</f>
        <v/>
      </c>
      <c r="AL32">
        <f>IFERROR(AVERAGE('MT 6.1 Results'!L32,'MT 6.2 Results'!L32,'Ch6 EOT Results'!O32,'Ch6 EOT2 Results'!O32),"")</f>
        <v/>
      </c>
      <c r="AM32">
        <f>IFERROR(AVERAGE('MT 6.1 Results'!M32,'MT 6.1 Results'!N32,'MT 6.2 Results'!K32,'MT 6.2 Results'!M32,'MT 6.2 Results'!N32,'Ch6 EOT Results'!M32,'Ch6 EOT Results'!N32,'Ch6 EOT Results'!P32,'Ch6 EOT Results'!Q32,'Ch6 EOT Results'!R32,'Ch6 EOT2 Results'!M32,'Ch6 EOT2 Results'!N32,'Ch6 EOT2 Results'!P32,'Ch6 EOT2 Results'!Q32,'Ch6 EOT2 Results'!R32,'Mock 1 Paper 2A Results'!R32),"")</f>
        <v/>
      </c>
      <c r="AN32">
        <f>IFERROR(AVERAGE('MT 7.1 Results'!K32),"")</f>
        <v/>
      </c>
      <c r="AO32">
        <f>IFERROR(AVERAGE('MT 7.1 Results'!M32,'Ch7 EOT2 Results'!L32),"")</f>
        <v/>
      </c>
      <c r="AP32">
        <f>IFERROR(AVERAGE('Ch7 EOT Results'!N32,'Ch7 EOT2 Results'!N32),"")</f>
        <v/>
      </c>
      <c r="AQ32">
        <f>IFERROR(AVERAGE('MT 7.1 Results'!L32,'MT 7.1 Results'!N32,'Ch7 EOT Results'!L32,'Ch7 EOT Results'!M32,'Ch7 EOT2 Results'!K32,'Mock 1 Paper 2A Results'!T32),"")</f>
        <v/>
      </c>
      <c r="AR32">
        <f>IFERROR(AVERAGE('MT 7.2 Results'!K32),"")</f>
        <v/>
      </c>
      <c r="AS32">
        <f>IFERROR(AVERAGE('MT 7.2 Results'!L32,'MT 7.2 Results'!N32,'Ch7 EOT Results'!O32,'Ch7 EOT2 Results'!M32,'Mock 1 Paper 2A Results'!V32),"")</f>
        <v/>
      </c>
      <c r="AT32">
        <f>IFERROR(AVERAGE('MT 7.2 Results'!M32,'Ch7 EOT Results'!P32),"")</f>
        <v/>
      </c>
      <c r="AU32">
        <f>""</f>
        <v/>
      </c>
      <c r="AV32">
        <f>IFERROR(AVERAGE(E32:AU32),"")</f>
        <v/>
      </c>
      <c r="AW32">
        <f>IF(AV32="","Not started",IF(AV32&gt;=0.8,"Ready",IF(AV32&gt;=0.65,"Nearly ready",IF(AV32&gt;=0.5,"Developing","Urgent support"))))</f>
        <v/>
      </c>
    </row>
    <row r="33">
      <c r="A33">
        <f>'Class Roster'!A33</f>
        <v/>
      </c>
      <c r="B33">
        <f>'Class Roster'!B33</f>
        <v/>
      </c>
      <c r="C33">
        <f>'Class Roster'!C33</f>
        <v/>
      </c>
      <c r="D33">
        <f>'Class Roster'!D33</f>
        <v/>
      </c>
      <c r="E33">
        <f>IFERROR(AVERAGE('MT 1.1 Results'!K33,'Ch1 EOT Results'!M33,'Mock 1 Paper 1 Results'!Q33),"")</f>
        <v/>
      </c>
      <c r="F33">
        <f>IFERROR(AVERAGE('MT 1.1 Results'!L33),"")</f>
        <v/>
      </c>
      <c r="G33">
        <f>""</f>
        <v/>
      </c>
      <c r="H33">
        <f>IFERROR(AVERAGE('MT 1.1 Results'!M33,'MT 1.3 Results'!N33,'Ch1 EOT Results'!R33,'Ch1 EOT2 Results'!P33,'Mock 1 Paper 1 Results'!R33),"")</f>
        <v/>
      </c>
      <c r="I33">
        <f>IFERROR(AVERAGE('MT 1.2 Results'!K33,'MT 1.2 Results'!L33,'MT 1.2 Results'!M33,'Ch1 EOT Results'!N33,'Ch1 EOT2 Results'!M33),"")</f>
        <v/>
      </c>
      <c r="J33">
        <f>IFERROR(AVERAGE('MT 1.1 Results'!N33,'MT 1.2 Results'!N33,'Ch1 EOT Results'!O33,'Ch1 EOT Results'!Q33,'Mock 1 Paper 1 Results'!V33),"")</f>
        <v/>
      </c>
      <c r="K33">
        <f>IFERROR(AVERAGE('MT 1.3 Results'!K33,'MT 1.3 Results'!L33,'MT 1.3 Results'!M33,'Ch1 EOT Results'!P33,'Ch1 EOT2 Results'!L33,'Ch1 EOT2 Results'!N33,'Ch1 EOT2 Results'!O33,'Mock 1 Paper 1 Results'!Y33),"")</f>
        <v/>
      </c>
      <c r="L33">
        <f>""</f>
        <v/>
      </c>
      <c r="M33">
        <f>""</f>
        <v/>
      </c>
      <c r="N33">
        <f>""</f>
        <v/>
      </c>
      <c r="O33">
        <f>""</f>
        <v/>
      </c>
      <c r="P33">
        <f>IFERROR(AVERAGE('Mock 1 Paper 1 Results'!S33,'Mock 1 Paper 2A Results'!O33),"")</f>
        <v/>
      </c>
      <c r="Q33">
        <f>IFERROR(AVERAGE('MT 2.1 Results'!L33,'MT 2.2 Results'!M33,'Ch2 EOT Results'!S33,'Ch2 EOT2 Results'!T33,'Ch2 EOT2 Results'!U33,'Mock 1 Paper 1 Results'!U33,'Mock 1 Paper 1 Results'!Z33),"")</f>
        <v/>
      </c>
      <c r="R33">
        <f>IFERROR(AVERAGE('MT 2.2 Results'!K33,'Ch2 EOT Results'!R33,'Ch2 EOT Results'!V33,'Ch2 EOT2 Results'!S33),"")</f>
        <v/>
      </c>
      <c r="S33">
        <f>""</f>
        <v/>
      </c>
      <c r="T33">
        <f>IFERROR(AVERAGE('MT 2.1 Results'!J33,'Ch2 EOT Results'!P33,'Ch2 EOT Results'!Q33,'Ch2 EOT Results'!T33,'Ch2 EOT2 Results'!P33,'Ch2 EOT2 Results'!Q33,'Mock 1 Paper 1 Results'!X33),"")</f>
        <v/>
      </c>
      <c r="U33">
        <f>IFERROR(AVERAGE('MT 2.1 Results'!K33,'MT 2.2 Results'!L33,'MT 2.2 Results'!N33,'Ch2 EOT Results'!O33,'Ch2 EOT Results'!U33,'Ch2 EOT2 Results'!O33,'Ch2 EOT2 Results'!R33,'Ch2 EOT2 Results'!V33),"")</f>
        <v/>
      </c>
      <c r="V33">
        <f>IFERROR(AVERAGE('Ch3 EOT Results'!Q33,'Ch3 EOT2 Results'!Q33,'Mock 1 Paper 1 Results'!W33),"")</f>
        <v/>
      </c>
      <c r="W33">
        <f>IFERROR(AVERAGE('MT 3.1 Results'!M33,'MT 3.1 Results'!N33,'MT 3.2 Results'!K33,'MT 3.2 Results'!M33,'Ch3 EOT Results'!O33,'Ch3 EOT Results'!S33,'Ch3 EOT2 Results'!O33,'Ch3 EOT2 Results'!S33),"")</f>
        <v/>
      </c>
      <c r="X33">
        <f>IFERROR(AVERAGE('MT 3.2 Results'!L33),"")</f>
        <v/>
      </c>
      <c r="Y33">
        <f>IFERROR(AVERAGE('MT 3.1 Results'!L33,'Ch3 EOT Results'!R33,'Ch3 EOT2 Results'!R33),"")</f>
        <v/>
      </c>
      <c r="Z33">
        <f>IFERROR(AVERAGE('MT 3.1 Results'!K33,'MT 3.2 Results'!N33,'Ch3 EOT Results'!N33,'Ch3 EOT Results'!P33,'Ch3 EOT Results'!T33,'Ch3 EOT2 Results'!N33,'Ch3 EOT2 Results'!P33,'Ch3 EOT2 Results'!T33,'Mock 1 Paper 1 Results'!T33),"")</f>
        <v/>
      </c>
      <c r="AA33">
        <f>IFERROR(AVERAGE('MT 4.1 Results'!M33,'MT 4.2 Results'!K33,'MT 4.2 Results'!L33,'Ch4 EOT Results'!M33,'Ch4 EOT Results'!P33,'Ch4 EOT Results'!Q33,'Ch4 EOT2 Results'!M33,'Ch4 EOT2 Results'!P33,'Ch4 EOT2 Results'!Q33),"")</f>
        <v/>
      </c>
      <c r="AB33">
        <f>IFERROR(AVERAGE('Ch4 EOT Results'!N33,'Ch4 EOT2 Results'!N33),"")</f>
        <v/>
      </c>
      <c r="AC33">
        <f>IFERROR(AVERAGE('MT 4.2 Results'!M33,'MT 4.2 Results'!N33),"")</f>
        <v/>
      </c>
      <c r="AD33">
        <f>IFERROR(AVERAGE('MT 4.1 Results'!K33,'MT 4.1 Results'!L33,'MT 4.1 Results'!N33,'Ch4 EOT Results'!O33,'Ch4 EOT Results'!R33,'Ch4 EOT2 Results'!O33,'Ch4 EOT2 Results'!R33,'Mock 1 Paper 2A Results'!P33),"")</f>
        <v/>
      </c>
      <c r="AE33">
        <f>IFERROR(AVERAGE('MT 5.1 Results'!K33,'MT 5.1 Results'!N33,'MT 5.2 Results'!N33,'Ch5 EOT Results'!L33,'Ch5 EOT2 Results'!L33),"")</f>
        <v/>
      </c>
      <c r="AF33">
        <f>IFERROR(AVERAGE('Ch5 EOT Results'!O33,'Ch5 EOT2 Results'!O33),"")</f>
        <v/>
      </c>
      <c r="AG33">
        <f>IFERROR(AVERAGE('MT 5.1 Results'!L33,'Ch5 EOT Results'!P33,'Ch5 EOT2 Results'!P33,'Mock 1 Paper 2A Results'!Q33),"")</f>
        <v/>
      </c>
      <c r="AH33">
        <f>IFERROR(AVERAGE('MT 5.1 Results'!M33,'MT 5.2 Results'!K33,'MT 5.2 Results'!L33,'MT 5.2 Results'!M33,'Ch5 EOT Results'!M33,'Ch5 EOT Results'!N33,'Ch5 EOT2 Results'!M33,'Ch5 EOT2 Results'!N33,'Mock 1 Paper 2A Results'!U33),"")</f>
        <v/>
      </c>
      <c r="AI33">
        <f>""</f>
        <v/>
      </c>
      <c r="AJ33">
        <f>""</f>
        <v/>
      </c>
      <c r="AK33">
        <f>IFERROR(AVERAGE('MT 6.1 Results'!K33,'Mock 1 Paper 2A Results'!S33),"")</f>
        <v/>
      </c>
      <c r="AL33">
        <f>IFERROR(AVERAGE('MT 6.1 Results'!L33,'MT 6.2 Results'!L33,'Ch6 EOT Results'!O33,'Ch6 EOT2 Results'!O33),"")</f>
        <v/>
      </c>
      <c r="AM33">
        <f>IFERROR(AVERAGE('MT 6.1 Results'!M33,'MT 6.1 Results'!N33,'MT 6.2 Results'!K33,'MT 6.2 Results'!M33,'MT 6.2 Results'!N33,'Ch6 EOT Results'!M33,'Ch6 EOT Results'!N33,'Ch6 EOT Results'!P33,'Ch6 EOT Results'!Q33,'Ch6 EOT Results'!R33,'Ch6 EOT2 Results'!M33,'Ch6 EOT2 Results'!N33,'Ch6 EOT2 Results'!P33,'Ch6 EOT2 Results'!Q33,'Ch6 EOT2 Results'!R33,'Mock 1 Paper 2A Results'!R33),"")</f>
        <v/>
      </c>
      <c r="AN33">
        <f>IFERROR(AVERAGE('MT 7.1 Results'!K33),"")</f>
        <v/>
      </c>
      <c r="AO33">
        <f>IFERROR(AVERAGE('MT 7.1 Results'!M33,'Ch7 EOT2 Results'!L33),"")</f>
        <v/>
      </c>
      <c r="AP33">
        <f>IFERROR(AVERAGE('Ch7 EOT Results'!N33,'Ch7 EOT2 Results'!N33),"")</f>
        <v/>
      </c>
      <c r="AQ33">
        <f>IFERROR(AVERAGE('MT 7.1 Results'!L33,'MT 7.1 Results'!N33,'Ch7 EOT Results'!L33,'Ch7 EOT Results'!M33,'Ch7 EOT2 Results'!K33,'Mock 1 Paper 2A Results'!T33),"")</f>
        <v/>
      </c>
      <c r="AR33">
        <f>IFERROR(AVERAGE('MT 7.2 Results'!K33),"")</f>
        <v/>
      </c>
      <c r="AS33">
        <f>IFERROR(AVERAGE('MT 7.2 Results'!L33,'MT 7.2 Results'!N33,'Ch7 EOT Results'!O33,'Ch7 EOT2 Results'!M33,'Mock 1 Paper 2A Results'!V33),"")</f>
        <v/>
      </c>
      <c r="AT33">
        <f>IFERROR(AVERAGE('MT 7.2 Results'!M33,'Ch7 EOT Results'!P33),"")</f>
        <v/>
      </c>
      <c r="AU33">
        <f>""</f>
        <v/>
      </c>
      <c r="AV33">
        <f>IFERROR(AVERAGE(E33:AU33),"")</f>
        <v/>
      </c>
      <c r="AW33">
        <f>IF(AV33="","Not started",IF(AV33&gt;=0.8,"Ready",IF(AV33&gt;=0.65,"Nearly ready",IF(AV33&gt;=0.5,"Developing","Urgent support"))))</f>
        <v/>
      </c>
    </row>
    <row r="34">
      <c r="A34">
        <f>'Class Roster'!A34</f>
        <v/>
      </c>
      <c r="B34">
        <f>'Class Roster'!B34</f>
        <v/>
      </c>
      <c r="C34">
        <f>'Class Roster'!C34</f>
        <v/>
      </c>
      <c r="D34">
        <f>'Class Roster'!D34</f>
        <v/>
      </c>
      <c r="E34">
        <f>IFERROR(AVERAGE('MT 1.1 Results'!K34,'Ch1 EOT Results'!M34,'Mock 1 Paper 1 Results'!Q34),"")</f>
        <v/>
      </c>
      <c r="F34">
        <f>IFERROR(AVERAGE('MT 1.1 Results'!L34),"")</f>
        <v/>
      </c>
      <c r="G34">
        <f>""</f>
        <v/>
      </c>
      <c r="H34">
        <f>IFERROR(AVERAGE('MT 1.1 Results'!M34,'MT 1.3 Results'!N34,'Ch1 EOT Results'!R34,'Ch1 EOT2 Results'!P34,'Mock 1 Paper 1 Results'!R34),"")</f>
        <v/>
      </c>
      <c r="I34">
        <f>IFERROR(AVERAGE('MT 1.2 Results'!K34,'MT 1.2 Results'!L34,'MT 1.2 Results'!M34,'Ch1 EOT Results'!N34,'Ch1 EOT2 Results'!M34),"")</f>
        <v/>
      </c>
      <c r="J34">
        <f>IFERROR(AVERAGE('MT 1.1 Results'!N34,'MT 1.2 Results'!N34,'Ch1 EOT Results'!O34,'Ch1 EOT Results'!Q34,'Mock 1 Paper 1 Results'!V34),"")</f>
        <v/>
      </c>
      <c r="K34">
        <f>IFERROR(AVERAGE('MT 1.3 Results'!K34,'MT 1.3 Results'!L34,'MT 1.3 Results'!M34,'Ch1 EOT Results'!P34,'Ch1 EOT2 Results'!L34,'Ch1 EOT2 Results'!N34,'Ch1 EOT2 Results'!O34,'Mock 1 Paper 1 Results'!Y34),"")</f>
        <v/>
      </c>
      <c r="L34">
        <f>""</f>
        <v/>
      </c>
      <c r="M34">
        <f>""</f>
        <v/>
      </c>
      <c r="N34">
        <f>""</f>
        <v/>
      </c>
      <c r="O34">
        <f>""</f>
        <v/>
      </c>
      <c r="P34">
        <f>IFERROR(AVERAGE('Mock 1 Paper 1 Results'!S34,'Mock 1 Paper 2A Results'!O34),"")</f>
        <v/>
      </c>
      <c r="Q34">
        <f>IFERROR(AVERAGE('MT 2.1 Results'!L34,'MT 2.2 Results'!M34,'Ch2 EOT Results'!S34,'Ch2 EOT2 Results'!T34,'Ch2 EOT2 Results'!U34,'Mock 1 Paper 1 Results'!U34,'Mock 1 Paper 1 Results'!Z34),"")</f>
        <v/>
      </c>
      <c r="R34">
        <f>IFERROR(AVERAGE('MT 2.2 Results'!K34,'Ch2 EOT Results'!R34,'Ch2 EOT Results'!V34,'Ch2 EOT2 Results'!S34),"")</f>
        <v/>
      </c>
      <c r="S34">
        <f>""</f>
        <v/>
      </c>
      <c r="T34">
        <f>IFERROR(AVERAGE('MT 2.1 Results'!J34,'Ch2 EOT Results'!P34,'Ch2 EOT Results'!Q34,'Ch2 EOT Results'!T34,'Ch2 EOT2 Results'!P34,'Ch2 EOT2 Results'!Q34,'Mock 1 Paper 1 Results'!X34),"")</f>
        <v/>
      </c>
      <c r="U34">
        <f>IFERROR(AVERAGE('MT 2.1 Results'!K34,'MT 2.2 Results'!L34,'MT 2.2 Results'!N34,'Ch2 EOT Results'!O34,'Ch2 EOT Results'!U34,'Ch2 EOT2 Results'!O34,'Ch2 EOT2 Results'!R34,'Ch2 EOT2 Results'!V34),"")</f>
        <v/>
      </c>
      <c r="V34">
        <f>IFERROR(AVERAGE('Ch3 EOT Results'!Q34,'Ch3 EOT2 Results'!Q34,'Mock 1 Paper 1 Results'!W34),"")</f>
        <v/>
      </c>
      <c r="W34">
        <f>IFERROR(AVERAGE('MT 3.1 Results'!M34,'MT 3.1 Results'!N34,'MT 3.2 Results'!K34,'MT 3.2 Results'!M34,'Ch3 EOT Results'!O34,'Ch3 EOT Results'!S34,'Ch3 EOT2 Results'!O34,'Ch3 EOT2 Results'!S34),"")</f>
        <v/>
      </c>
      <c r="X34">
        <f>IFERROR(AVERAGE('MT 3.2 Results'!L34),"")</f>
        <v/>
      </c>
      <c r="Y34">
        <f>IFERROR(AVERAGE('MT 3.1 Results'!L34,'Ch3 EOT Results'!R34,'Ch3 EOT2 Results'!R34),"")</f>
        <v/>
      </c>
      <c r="Z34">
        <f>IFERROR(AVERAGE('MT 3.1 Results'!K34,'MT 3.2 Results'!N34,'Ch3 EOT Results'!N34,'Ch3 EOT Results'!P34,'Ch3 EOT Results'!T34,'Ch3 EOT2 Results'!N34,'Ch3 EOT2 Results'!P34,'Ch3 EOT2 Results'!T34,'Mock 1 Paper 1 Results'!T34),"")</f>
        <v/>
      </c>
      <c r="AA34">
        <f>IFERROR(AVERAGE('MT 4.1 Results'!M34,'MT 4.2 Results'!K34,'MT 4.2 Results'!L34,'Ch4 EOT Results'!M34,'Ch4 EOT Results'!P34,'Ch4 EOT Results'!Q34,'Ch4 EOT2 Results'!M34,'Ch4 EOT2 Results'!P34,'Ch4 EOT2 Results'!Q34),"")</f>
        <v/>
      </c>
      <c r="AB34">
        <f>IFERROR(AVERAGE('Ch4 EOT Results'!N34,'Ch4 EOT2 Results'!N34),"")</f>
        <v/>
      </c>
      <c r="AC34">
        <f>IFERROR(AVERAGE('MT 4.2 Results'!M34,'MT 4.2 Results'!N34),"")</f>
        <v/>
      </c>
      <c r="AD34">
        <f>IFERROR(AVERAGE('MT 4.1 Results'!K34,'MT 4.1 Results'!L34,'MT 4.1 Results'!N34,'Ch4 EOT Results'!O34,'Ch4 EOT Results'!R34,'Ch4 EOT2 Results'!O34,'Ch4 EOT2 Results'!R34,'Mock 1 Paper 2A Results'!P34),"")</f>
        <v/>
      </c>
      <c r="AE34">
        <f>IFERROR(AVERAGE('MT 5.1 Results'!K34,'MT 5.1 Results'!N34,'MT 5.2 Results'!N34,'Ch5 EOT Results'!L34,'Ch5 EOT2 Results'!L34),"")</f>
        <v/>
      </c>
      <c r="AF34">
        <f>IFERROR(AVERAGE('Ch5 EOT Results'!O34,'Ch5 EOT2 Results'!O34),"")</f>
        <v/>
      </c>
      <c r="AG34">
        <f>IFERROR(AVERAGE('MT 5.1 Results'!L34,'Ch5 EOT Results'!P34,'Ch5 EOT2 Results'!P34,'Mock 1 Paper 2A Results'!Q34),"")</f>
        <v/>
      </c>
      <c r="AH34">
        <f>IFERROR(AVERAGE('MT 5.1 Results'!M34,'MT 5.2 Results'!K34,'MT 5.2 Results'!L34,'MT 5.2 Results'!M34,'Ch5 EOT Results'!M34,'Ch5 EOT Results'!N34,'Ch5 EOT2 Results'!M34,'Ch5 EOT2 Results'!N34,'Mock 1 Paper 2A Results'!U34),"")</f>
        <v/>
      </c>
      <c r="AI34">
        <f>""</f>
        <v/>
      </c>
      <c r="AJ34">
        <f>""</f>
        <v/>
      </c>
      <c r="AK34">
        <f>IFERROR(AVERAGE('MT 6.1 Results'!K34,'Mock 1 Paper 2A Results'!S34),"")</f>
        <v/>
      </c>
      <c r="AL34">
        <f>IFERROR(AVERAGE('MT 6.1 Results'!L34,'MT 6.2 Results'!L34,'Ch6 EOT Results'!O34,'Ch6 EOT2 Results'!O34),"")</f>
        <v/>
      </c>
      <c r="AM34">
        <f>IFERROR(AVERAGE('MT 6.1 Results'!M34,'MT 6.1 Results'!N34,'MT 6.2 Results'!K34,'MT 6.2 Results'!M34,'MT 6.2 Results'!N34,'Ch6 EOT Results'!M34,'Ch6 EOT Results'!N34,'Ch6 EOT Results'!P34,'Ch6 EOT Results'!Q34,'Ch6 EOT Results'!R34,'Ch6 EOT2 Results'!M34,'Ch6 EOT2 Results'!N34,'Ch6 EOT2 Results'!P34,'Ch6 EOT2 Results'!Q34,'Ch6 EOT2 Results'!R34,'Mock 1 Paper 2A Results'!R34),"")</f>
        <v/>
      </c>
      <c r="AN34">
        <f>IFERROR(AVERAGE('MT 7.1 Results'!K34),"")</f>
        <v/>
      </c>
      <c r="AO34">
        <f>IFERROR(AVERAGE('MT 7.1 Results'!M34,'Ch7 EOT2 Results'!L34),"")</f>
        <v/>
      </c>
      <c r="AP34">
        <f>IFERROR(AVERAGE('Ch7 EOT Results'!N34,'Ch7 EOT2 Results'!N34),"")</f>
        <v/>
      </c>
      <c r="AQ34">
        <f>IFERROR(AVERAGE('MT 7.1 Results'!L34,'MT 7.1 Results'!N34,'Ch7 EOT Results'!L34,'Ch7 EOT Results'!M34,'Ch7 EOT2 Results'!K34,'Mock 1 Paper 2A Results'!T34),"")</f>
        <v/>
      </c>
      <c r="AR34">
        <f>IFERROR(AVERAGE('MT 7.2 Results'!K34),"")</f>
        <v/>
      </c>
      <c r="AS34">
        <f>IFERROR(AVERAGE('MT 7.2 Results'!L34,'MT 7.2 Results'!N34,'Ch7 EOT Results'!O34,'Ch7 EOT2 Results'!M34,'Mock 1 Paper 2A Results'!V34),"")</f>
        <v/>
      </c>
      <c r="AT34">
        <f>IFERROR(AVERAGE('MT 7.2 Results'!M34,'Ch7 EOT Results'!P34),"")</f>
        <v/>
      </c>
      <c r="AU34">
        <f>""</f>
        <v/>
      </c>
      <c r="AV34">
        <f>IFERROR(AVERAGE(E34:AU34),"")</f>
        <v/>
      </c>
      <c r="AW34">
        <f>IF(AV34="","Not started",IF(AV34&gt;=0.8,"Ready",IF(AV34&gt;=0.65,"Nearly ready",IF(AV34&gt;=0.5,"Developing","Urgent support"))))</f>
        <v/>
      </c>
    </row>
    <row r="35">
      <c r="A35">
        <f>'Class Roster'!A35</f>
        <v/>
      </c>
      <c r="B35">
        <f>'Class Roster'!B35</f>
        <v/>
      </c>
      <c r="C35">
        <f>'Class Roster'!C35</f>
        <v/>
      </c>
      <c r="D35">
        <f>'Class Roster'!D35</f>
        <v/>
      </c>
      <c r="E35">
        <f>IFERROR(AVERAGE('MT 1.1 Results'!K35,'Ch1 EOT Results'!M35,'Mock 1 Paper 1 Results'!Q35),"")</f>
        <v/>
      </c>
      <c r="F35">
        <f>IFERROR(AVERAGE('MT 1.1 Results'!L35),"")</f>
        <v/>
      </c>
      <c r="G35">
        <f>""</f>
        <v/>
      </c>
      <c r="H35">
        <f>IFERROR(AVERAGE('MT 1.1 Results'!M35,'MT 1.3 Results'!N35,'Ch1 EOT Results'!R35,'Ch1 EOT2 Results'!P35,'Mock 1 Paper 1 Results'!R35),"")</f>
        <v/>
      </c>
      <c r="I35">
        <f>IFERROR(AVERAGE('MT 1.2 Results'!K35,'MT 1.2 Results'!L35,'MT 1.2 Results'!M35,'Ch1 EOT Results'!N35,'Ch1 EOT2 Results'!M35),"")</f>
        <v/>
      </c>
      <c r="J35">
        <f>IFERROR(AVERAGE('MT 1.1 Results'!N35,'MT 1.2 Results'!N35,'Ch1 EOT Results'!O35,'Ch1 EOT Results'!Q35,'Mock 1 Paper 1 Results'!V35),"")</f>
        <v/>
      </c>
      <c r="K35">
        <f>IFERROR(AVERAGE('MT 1.3 Results'!K35,'MT 1.3 Results'!L35,'MT 1.3 Results'!M35,'Ch1 EOT Results'!P35,'Ch1 EOT2 Results'!L35,'Ch1 EOT2 Results'!N35,'Ch1 EOT2 Results'!O35,'Mock 1 Paper 1 Results'!Y35),"")</f>
        <v/>
      </c>
      <c r="L35">
        <f>""</f>
        <v/>
      </c>
      <c r="M35">
        <f>""</f>
        <v/>
      </c>
      <c r="N35">
        <f>""</f>
        <v/>
      </c>
      <c r="O35">
        <f>""</f>
        <v/>
      </c>
      <c r="P35">
        <f>IFERROR(AVERAGE('Mock 1 Paper 1 Results'!S35,'Mock 1 Paper 2A Results'!O35),"")</f>
        <v/>
      </c>
      <c r="Q35">
        <f>IFERROR(AVERAGE('MT 2.1 Results'!L35,'MT 2.2 Results'!M35,'Ch2 EOT Results'!S35,'Ch2 EOT2 Results'!T35,'Ch2 EOT2 Results'!U35,'Mock 1 Paper 1 Results'!U35,'Mock 1 Paper 1 Results'!Z35),"")</f>
        <v/>
      </c>
      <c r="R35">
        <f>IFERROR(AVERAGE('MT 2.2 Results'!K35,'Ch2 EOT Results'!R35,'Ch2 EOT Results'!V35,'Ch2 EOT2 Results'!S35),"")</f>
        <v/>
      </c>
      <c r="S35">
        <f>""</f>
        <v/>
      </c>
      <c r="T35">
        <f>IFERROR(AVERAGE('MT 2.1 Results'!J35,'Ch2 EOT Results'!P35,'Ch2 EOT Results'!Q35,'Ch2 EOT Results'!T35,'Ch2 EOT2 Results'!P35,'Ch2 EOT2 Results'!Q35,'Mock 1 Paper 1 Results'!X35),"")</f>
        <v/>
      </c>
      <c r="U35">
        <f>IFERROR(AVERAGE('MT 2.1 Results'!K35,'MT 2.2 Results'!L35,'MT 2.2 Results'!N35,'Ch2 EOT Results'!O35,'Ch2 EOT Results'!U35,'Ch2 EOT2 Results'!O35,'Ch2 EOT2 Results'!R35,'Ch2 EOT2 Results'!V35),"")</f>
        <v/>
      </c>
      <c r="V35">
        <f>IFERROR(AVERAGE('Ch3 EOT Results'!Q35,'Ch3 EOT2 Results'!Q35,'Mock 1 Paper 1 Results'!W35),"")</f>
        <v/>
      </c>
      <c r="W35">
        <f>IFERROR(AVERAGE('MT 3.1 Results'!M35,'MT 3.1 Results'!N35,'MT 3.2 Results'!K35,'MT 3.2 Results'!M35,'Ch3 EOT Results'!O35,'Ch3 EOT Results'!S35,'Ch3 EOT2 Results'!O35,'Ch3 EOT2 Results'!S35),"")</f>
        <v/>
      </c>
      <c r="X35">
        <f>IFERROR(AVERAGE('MT 3.2 Results'!L35),"")</f>
        <v/>
      </c>
      <c r="Y35">
        <f>IFERROR(AVERAGE('MT 3.1 Results'!L35,'Ch3 EOT Results'!R35,'Ch3 EOT2 Results'!R35),"")</f>
        <v/>
      </c>
      <c r="Z35">
        <f>IFERROR(AVERAGE('MT 3.1 Results'!K35,'MT 3.2 Results'!N35,'Ch3 EOT Results'!N35,'Ch3 EOT Results'!P35,'Ch3 EOT Results'!T35,'Ch3 EOT2 Results'!N35,'Ch3 EOT2 Results'!P35,'Ch3 EOT2 Results'!T35,'Mock 1 Paper 1 Results'!T35),"")</f>
        <v/>
      </c>
      <c r="AA35">
        <f>IFERROR(AVERAGE('MT 4.1 Results'!M35,'MT 4.2 Results'!K35,'MT 4.2 Results'!L35,'Ch4 EOT Results'!M35,'Ch4 EOT Results'!P35,'Ch4 EOT Results'!Q35,'Ch4 EOT2 Results'!M35,'Ch4 EOT2 Results'!P35,'Ch4 EOT2 Results'!Q35),"")</f>
        <v/>
      </c>
      <c r="AB35">
        <f>IFERROR(AVERAGE('Ch4 EOT Results'!N35,'Ch4 EOT2 Results'!N35),"")</f>
        <v/>
      </c>
      <c r="AC35">
        <f>IFERROR(AVERAGE('MT 4.2 Results'!M35,'MT 4.2 Results'!N35),"")</f>
        <v/>
      </c>
      <c r="AD35">
        <f>IFERROR(AVERAGE('MT 4.1 Results'!K35,'MT 4.1 Results'!L35,'MT 4.1 Results'!N35,'Ch4 EOT Results'!O35,'Ch4 EOT Results'!R35,'Ch4 EOT2 Results'!O35,'Ch4 EOT2 Results'!R35,'Mock 1 Paper 2A Results'!P35),"")</f>
        <v/>
      </c>
      <c r="AE35">
        <f>IFERROR(AVERAGE('MT 5.1 Results'!K35,'MT 5.1 Results'!N35,'MT 5.2 Results'!N35,'Ch5 EOT Results'!L35,'Ch5 EOT2 Results'!L35),"")</f>
        <v/>
      </c>
      <c r="AF35">
        <f>IFERROR(AVERAGE('Ch5 EOT Results'!O35,'Ch5 EOT2 Results'!O35),"")</f>
        <v/>
      </c>
      <c r="AG35">
        <f>IFERROR(AVERAGE('MT 5.1 Results'!L35,'Ch5 EOT Results'!P35,'Ch5 EOT2 Results'!P35,'Mock 1 Paper 2A Results'!Q35),"")</f>
        <v/>
      </c>
      <c r="AH35">
        <f>IFERROR(AVERAGE('MT 5.1 Results'!M35,'MT 5.2 Results'!K35,'MT 5.2 Results'!L35,'MT 5.2 Results'!M35,'Ch5 EOT Results'!M35,'Ch5 EOT Results'!N35,'Ch5 EOT2 Results'!M35,'Ch5 EOT2 Results'!N35,'Mock 1 Paper 2A Results'!U35),"")</f>
        <v/>
      </c>
      <c r="AI35">
        <f>""</f>
        <v/>
      </c>
      <c r="AJ35">
        <f>""</f>
        <v/>
      </c>
      <c r="AK35">
        <f>IFERROR(AVERAGE('MT 6.1 Results'!K35,'Mock 1 Paper 2A Results'!S35),"")</f>
        <v/>
      </c>
      <c r="AL35">
        <f>IFERROR(AVERAGE('MT 6.1 Results'!L35,'MT 6.2 Results'!L35,'Ch6 EOT Results'!O35,'Ch6 EOT2 Results'!O35),"")</f>
        <v/>
      </c>
      <c r="AM35">
        <f>IFERROR(AVERAGE('MT 6.1 Results'!M35,'MT 6.1 Results'!N35,'MT 6.2 Results'!K35,'MT 6.2 Results'!M35,'MT 6.2 Results'!N35,'Ch6 EOT Results'!M35,'Ch6 EOT Results'!N35,'Ch6 EOT Results'!P35,'Ch6 EOT Results'!Q35,'Ch6 EOT Results'!R35,'Ch6 EOT2 Results'!M35,'Ch6 EOT2 Results'!N35,'Ch6 EOT2 Results'!P35,'Ch6 EOT2 Results'!Q35,'Ch6 EOT2 Results'!R35,'Mock 1 Paper 2A Results'!R35),"")</f>
        <v/>
      </c>
      <c r="AN35">
        <f>IFERROR(AVERAGE('MT 7.1 Results'!K35),"")</f>
        <v/>
      </c>
      <c r="AO35">
        <f>IFERROR(AVERAGE('MT 7.1 Results'!M35,'Ch7 EOT2 Results'!L35),"")</f>
        <v/>
      </c>
      <c r="AP35">
        <f>IFERROR(AVERAGE('Ch7 EOT Results'!N35,'Ch7 EOT2 Results'!N35),"")</f>
        <v/>
      </c>
      <c r="AQ35">
        <f>IFERROR(AVERAGE('MT 7.1 Results'!L35,'MT 7.1 Results'!N35,'Ch7 EOT Results'!L35,'Ch7 EOT Results'!M35,'Ch7 EOT2 Results'!K35,'Mock 1 Paper 2A Results'!T35),"")</f>
        <v/>
      </c>
      <c r="AR35">
        <f>IFERROR(AVERAGE('MT 7.2 Results'!K35),"")</f>
        <v/>
      </c>
      <c r="AS35">
        <f>IFERROR(AVERAGE('MT 7.2 Results'!L35,'MT 7.2 Results'!N35,'Ch7 EOT Results'!O35,'Ch7 EOT2 Results'!M35,'Mock 1 Paper 2A Results'!V35),"")</f>
        <v/>
      </c>
      <c r="AT35">
        <f>IFERROR(AVERAGE('MT 7.2 Results'!M35,'Ch7 EOT Results'!P35),"")</f>
        <v/>
      </c>
      <c r="AU35">
        <f>""</f>
        <v/>
      </c>
      <c r="AV35">
        <f>IFERROR(AVERAGE(E35:AU35),"")</f>
        <v/>
      </c>
      <c r="AW35">
        <f>IF(AV35="","Not started",IF(AV35&gt;=0.8,"Ready",IF(AV35&gt;=0.65,"Nearly ready",IF(AV35&gt;=0.5,"Developing","Urgent support"))))</f>
        <v/>
      </c>
    </row>
    <row r="36">
      <c r="A36">
        <f>'Class Roster'!A36</f>
        <v/>
      </c>
      <c r="B36">
        <f>'Class Roster'!B36</f>
        <v/>
      </c>
      <c r="C36">
        <f>'Class Roster'!C36</f>
        <v/>
      </c>
      <c r="D36">
        <f>'Class Roster'!D36</f>
        <v/>
      </c>
      <c r="E36">
        <f>IFERROR(AVERAGE('MT 1.1 Results'!K36,'Ch1 EOT Results'!M36,'Mock 1 Paper 1 Results'!Q36),"")</f>
        <v/>
      </c>
      <c r="F36">
        <f>IFERROR(AVERAGE('MT 1.1 Results'!L36),"")</f>
        <v/>
      </c>
      <c r="G36">
        <f>""</f>
        <v/>
      </c>
      <c r="H36">
        <f>IFERROR(AVERAGE('MT 1.1 Results'!M36,'MT 1.3 Results'!N36,'Ch1 EOT Results'!R36,'Ch1 EOT2 Results'!P36,'Mock 1 Paper 1 Results'!R36),"")</f>
        <v/>
      </c>
      <c r="I36">
        <f>IFERROR(AVERAGE('MT 1.2 Results'!K36,'MT 1.2 Results'!L36,'MT 1.2 Results'!M36,'Ch1 EOT Results'!N36,'Ch1 EOT2 Results'!M36),"")</f>
        <v/>
      </c>
      <c r="J36">
        <f>IFERROR(AVERAGE('MT 1.1 Results'!N36,'MT 1.2 Results'!N36,'Ch1 EOT Results'!O36,'Ch1 EOT Results'!Q36,'Mock 1 Paper 1 Results'!V36),"")</f>
        <v/>
      </c>
      <c r="K36">
        <f>IFERROR(AVERAGE('MT 1.3 Results'!K36,'MT 1.3 Results'!L36,'MT 1.3 Results'!M36,'Ch1 EOT Results'!P36,'Ch1 EOT2 Results'!L36,'Ch1 EOT2 Results'!N36,'Ch1 EOT2 Results'!O36,'Mock 1 Paper 1 Results'!Y36),"")</f>
        <v/>
      </c>
      <c r="L36">
        <f>""</f>
        <v/>
      </c>
      <c r="M36">
        <f>""</f>
        <v/>
      </c>
      <c r="N36">
        <f>""</f>
        <v/>
      </c>
      <c r="O36">
        <f>""</f>
        <v/>
      </c>
      <c r="P36">
        <f>IFERROR(AVERAGE('Mock 1 Paper 1 Results'!S36,'Mock 1 Paper 2A Results'!O36),"")</f>
        <v/>
      </c>
      <c r="Q36">
        <f>IFERROR(AVERAGE('MT 2.1 Results'!L36,'MT 2.2 Results'!M36,'Ch2 EOT Results'!S36,'Ch2 EOT2 Results'!T36,'Ch2 EOT2 Results'!U36,'Mock 1 Paper 1 Results'!U36,'Mock 1 Paper 1 Results'!Z36),"")</f>
        <v/>
      </c>
      <c r="R36">
        <f>IFERROR(AVERAGE('MT 2.2 Results'!K36,'Ch2 EOT Results'!R36,'Ch2 EOT Results'!V36,'Ch2 EOT2 Results'!S36),"")</f>
        <v/>
      </c>
      <c r="S36">
        <f>""</f>
        <v/>
      </c>
      <c r="T36">
        <f>IFERROR(AVERAGE('MT 2.1 Results'!J36,'Ch2 EOT Results'!P36,'Ch2 EOT Results'!Q36,'Ch2 EOT Results'!T36,'Ch2 EOT2 Results'!P36,'Ch2 EOT2 Results'!Q36,'Mock 1 Paper 1 Results'!X36),"")</f>
        <v/>
      </c>
      <c r="U36">
        <f>IFERROR(AVERAGE('MT 2.1 Results'!K36,'MT 2.2 Results'!L36,'MT 2.2 Results'!N36,'Ch2 EOT Results'!O36,'Ch2 EOT Results'!U36,'Ch2 EOT2 Results'!O36,'Ch2 EOT2 Results'!R36,'Ch2 EOT2 Results'!V36),"")</f>
        <v/>
      </c>
      <c r="V36">
        <f>IFERROR(AVERAGE('Ch3 EOT Results'!Q36,'Ch3 EOT2 Results'!Q36,'Mock 1 Paper 1 Results'!W36),"")</f>
        <v/>
      </c>
      <c r="W36">
        <f>IFERROR(AVERAGE('MT 3.1 Results'!M36,'MT 3.1 Results'!N36,'MT 3.2 Results'!K36,'MT 3.2 Results'!M36,'Ch3 EOT Results'!O36,'Ch3 EOT Results'!S36,'Ch3 EOT2 Results'!O36,'Ch3 EOT2 Results'!S36),"")</f>
        <v/>
      </c>
      <c r="X36">
        <f>IFERROR(AVERAGE('MT 3.2 Results'!L36),"")</f>
        <v/>
      </c>
      <c r="Y36">
        <f>IFERROR(AVERAGE('MT 3.1 Results'!L36,'Ch3 EOT Results'!R36,'Ch3 EOT2 Results'!R36),"")</f>
        <v/>
      </c>
      <c r="Z36">
        <f>IFERROR(AVERAGE('MT 3.1 Results'!K36,'MT 3.2 Results'!N36,'Ch3 EOT Results'!N36,'Ch3 EOT Results'!P36,'Ch3 EOT Results'!T36,'Ch3 EOT2 Results'!N36,'Ch3 EOT2 Results'!P36,'Ch3 EOT2 Results'!T36,'Mock 1 Paper 1 Results'!T36),"")</f>
        <v/>
      </c>
      <c r="AA36">
        <f>IFERROR(AVERAGE('MT 4.1 Results'!M36,'MT 4.2 Results'!K36,'MT 4.2 Results'!L36,'Ch4 EOT Results'!M36,'Ch4 EOT Results'!P36,'Ch4 EOT Results'!Q36,'Ch4 EOT2 Results'!M36,'Ch4 EOT2 Results'!P36,'Ch4 EOT2 Results'!Q36),"")</f>
        <v/>
      </c>
      <c r="AB36">
        <f>IFERROR(AVERAGE('Ch4 EOT Results'!N36,'Ch4 EOT2 Results'!N36),"")</f>
        <v/>
      </c>
      <c r="AC36">
        <f>IFERROR(AVERAGE('MT 4.2 Results'!M36,'MT 4.2 Results'!N36),"")</f>
        <v/>
      </c>
      <c r="AD36">
        <f>IFERROR(AVERAGE('MT 4.1 Results'!K36,'MT 4.1 Results'!L36,'MT 4.1 Results'!N36,'Ch4 EOT Results'!O36,'Ch4 EOT Results'!R36,'Ch4 EOT2 Results'!O36,'Ch4 EOT2 Results'!R36,'Mock 1 Paper 2A Results'!P36),"")</f>
        <v/>
      </c>
      <c r="AE36">
        <f>IFERROR(AVERAGE('MT 5.1 Results'!K36,'MT 5.1 Results'!N36,'MT 5.2 Results'!N36,'Ch5 EOT Results'!L36,'Ch5 EOT2 Results'!L36),"")</f>
        <v/>
      </c>
      <c r="AF36">
        <f>IFERROR(AVERAGE('Ch5 EOT Results'!O36,'Ch5 EOT2 Results'!O36),"")</f>
        <v/>
      </c>
      <c r="AG36">
        <f>IFERROR(AVERAGE('MT 5.1 Results'!L36,'Ch5 EOT Results'!P36,'Ch5 EOT2 Results'!P36,'Mock 1 Paper 2A Results'!Q36),"")</f>
        <v/>
      </c>
      <c r="AH36">
        <f>IFERROR(AVERAGE('MT 5.1 Results'!M36,'MT 5.2 Results'!K36,'MT 5.2 Results'!L36,'MT 5.2 Results'!M36,'Ch5 EOT Results'!M36,'Ch5 EOT Results'!N36,'Ch5 EOT2 Results'!M36,'Ch5 EOT2 Results'!N36,'Mock 1 Paper 2A Results'!U36),"")</f>
        <v/>
      </c>
      <c r="AI36">
        <f>""</f>
        <v/>
      </c>
      <c r="AJ36">
        <f>""</f>
        <v/>
      </c>
      <c r="AK36">
        <f>IFERROR(AVERAGE('MT 6.1 Results'!K36,'Mock 1 Paper 2A Results'!S36),"")</f>
        <v/>
      </c>
      <c r="AL36">
        <f>IFERROR(AVERAGE('MT 6.1 Results'!L36,'MT 6.2 Results'!L36,'Ch6 EOT Results'!O36,'Ch6 EOT2 Results'!O36),"")</f>
        <v/>
      </c>
      <c r="AM36">
        <f>IFERROR(AVERAGE('MT 6.1 Results'!M36,'MT 6.1 Results'!N36,'MT 6.2 Results'!K36,'MT 6.2 Results'!M36,'MT 6.2 Results'!N36,'Ch6 EOT Results'!M36,'Ch6 EOT Results'!N36,'Ch6 EOT Results'!P36,'Ch6 EOT Results'!Q36,'Ch6 EOT Results'!R36,'Ch6 EOT2 Results'!M36,'Ch6 EOT2 Results'!N36,'Ch6 EOT2 Results'!P36,'Ch6 EOT2 Results'!Q36,'Ch6 EOT2 Results'!R36,'Mock 1 Paper 2A Results'!R36),"")</f>
        <v/>
      </c>
      <c r="AN36">
        <f>IFERROR(AVERAGE('MT 7.1 Results'!K36),"")</f>
        <v/>
      </c>
      <c r="AO36">
        <f>IFERROR(AVERAGE('MT 7.1 Results'!M36,'Ch7 EOT2 Results'!L36),"")</f>
        <v/>
      </c>
      <c r="AP36">
        <f>IFERROR(AVERAGE('Ch7 EOT Results'!N36,'Ch7 EOT2 Results'!N36),"")</f>
        <v/>
      </c>
      <c r="AQ36">
        <f>IFERROR(AVERAGE('MT 7.1 Results'!L36,'MT 7.1 Results'!N36,'Ch7 EOT Results'!L36,'Ch7 EOT Results'!M36,'Ch7 EOT2 Results'!K36,'Mock 1 Paper 2A Results'!T36),"")</f>
        <v/>
      </c>
      <c r="AR36">
        <f>IFERROR(AVERAGE('MT 7.2 Results'!K36),"")</f>
        <v/>
      </c>
      <c r="AS36">
        <f>IFERROR(AVERAGE('MT 7.2 Results'!L36,'MT 7.2 Results'!N36,'Ch7 EOT Results'!O36,'Ch7 EOT2 Results'!M36,'Mock 1 Paper 2A Results'!V36),"")</f>
        <v/>
      </c>
      <c r="AT36">
        <f>IFERROR(AVERAGE('MT 7.2 Results'!M36,'Ch7 EOT Results'!P36),"")</f>
        <v/>
      </c>
      <c r="AU36">
        <f>""</f>
        <v/>
      </c>
      <c r="AV36">
        <f>IFERROR(AVERAGE(E36:AU36),"")</f>
        <v/>
      </c>
      <c r="AW36">
        <f>IF(AV36="","Not started",IF(AV36&gt;=0.8,"Ready",IF(AV36&gt;=0.65,"Nearly ready",IF(AV36&gt;=0.5,"Developing","Urgent support"))))</f>
        <v/>
      </c>
    </row>
    <row r="37">
      <c r="A37">
        <f>'Class Roster'!A37</f>
        <v/>
      </c>
      <c r="B37">
        <f>'Class Roster'!B37</f>
        <v/>
      </c>
      <c r="C37">
        <f>'Class Roster'!C37</f>
        <v/>
      </c>
      <c r="D37">
        <f>'Class Roster'!D37</f>
        <v/>
      </c>
      <c r="E37">
        <f>IFERROR(AVERAGE('MT 1.1 Results'!K37,'Ch1 EOT Results'!M37,'Mock 1 Paper 1 Results'!Q37),"")</f>
        <v/>
      </c>
      <c r="F37">
        <f>IFERROR(AVERAGE('MT 1.1 Results'!L37),"")</f>
        <v/>
      </c>
      <c r="G37">
        <f>""</f>
        <v/>
      </c>
      <c r="H37">
        <f>IFERROR(AVERAGE('MT 1.1 Results'!M37,'MT 1.3 Results'!N37,'Ch1 EOT Results'!R37,'Ch1 EOT2 Results'!P37,'Mock 1 Paper 1 Results'!R37),"")</f>
        <v/>
      </c>
      <c r="I37">
        <f>IFERROR(AVERAGE('MT 1.2 Results'!K37,'MT 1.2 Results'!L37,'MT 1.2 Results'!M37,'Ch1 EOT Results'!N37,'Ch1 EOT2 Results'!M37),"")</f>
        <v/>
      </c>
      <c r="J37">
        <f>IFERROR(AVERAGE('MT 1.1 Results'!N37,'MT 1.2 Results'!N37,'Ch1 EOT Results'!O37,'Ch1 EOT Results'!Q37,'Mock 1 Paper 1 Results'!V37),"")</f>
        <v/>
      </c>
      <c r="K37">
        <f>IFERROR(AVERAGE('MT 1.3 Results'!K37,'MT 1.3 Results'!L37,'MT 1.3 Results'!M37,'Ch1 EOT Results'!P37,'Ch1 EOT2 Results'!L37,'Ch1 EOT2 Results'!N37,'Ch1 EOT2 Results'!O37,'Mock 1 Paper 1 Results'!Y37),"")</f>
        <v/>
      </c>
      <c r="L37">
        <f>""</f>
        <v/>
      </c>
      <c r="M37">
        <f>""</f>
        <v/>
      </c>
      <c r="N37">
        <f>""</f>
        <v/>
      </c>
      <c r="O37">
        <f>""</f>
        <v/>
      </c>
      <c r="P37">
        <f>IFERROR(AVERAGE('Mock 1 Paper 1 Results'!S37,'Mock 1 Paper 2A Results'!O37),"")</f>
        <v/>
      </c>
      <c r="Q37">
        <f>IFERROR(AVERAGE('MT 2.1 Results'!L37,'MT 2.2 Results'!M37,'Ch2 EOT Results'!S37,'Ch2 EOT2 Results'!T37,'Ch2 EOT2 Results'!U37,'Mock 1 Paper 1 Results'!U37,'Mock 1 Paper 1 Results'!Z37),"")</f>
        <v/>
      </c>
      <c r="R37">
        <f>IFERROR(AVERAGE('MT 2.2 Results'!K37,'Ch2 EOT Results'!R37,'Ch2 EOT Results'!V37,'Ch2 EOT2 Results'!S37),"")</f>
        <v/>
      </c>
      <c r="S37">
        <f>""</f>
        <v/>
      </c>
      <c r="T37">
        <f>IFERROR(AVERAGE('MT 2.1 Results'!J37,'Ch2 EOT Results'!P37,'Ch2 EOT Results'!Q37,'Ch2 EOT Results'!T37,'Ch2 EOT2 Results'!P37,'Ch2 EOT2 Results'!Q37,'Mock 1 Paper 1 Results'!X37),"")</f>
        <v/>
      </c>
      <c r="U37">
        <f>IFERROR(AVERAGE('MT 2.1 Results'!K37,'MT 2.2 Results'!L37,'MT 2.2 Results'!N37,'Ch2 EOT Results'!O37,'Ch2 EOT Results'!U37,'Ch2 EOT2 Results'!O37,'Ch2 EOT2 Results'!R37,'Ch2 EOT2 Results'!V37),"")</f>
        <v/>
      </c>
      <c r="V37">
        <f>IFERROR(AVERAGE('Ch3 EOT Results'!Q37,'Ch3 EOT2 Results'!Q37,'Mock 1 Paper 1 Results'!W37),"")</f>
        <v/>
      </c>
      <c r="W37">
        <f>IFERROR(AVERAGE('MT 3.1 Results'!M37,'MT 3.1 Results'!N37,'MT 3.2 Results'!K37,'MT 3.2 Results'!M37,'Ch3 EOT Results'!O37,'Ch3 EOT Results'!S37,'Ch3 EOT2 Results'!O37,'Ch3 EOT2 Results'!S37),"")</f>
        <v/>
      </c>
      <c r="X37">
        <f>IFERROR(AVERAGE('MT 3.2 Results'!L37),"")</f>
        <v/>
      </c>
      <c r="Y37">
        <f>IFERROR(AVERAGE('MT 3.1 Results'!L37,'Ch3 EOT Results'!R37,'Ch3 EOT2 Results'!R37),"")</f>
        <v/>
      </c>
      <c r="Z37">
        <f>IFERROR(AVERAGE('MT 3.1 Results'!K37,'MT 3.2 Results'!N37,'Ch3 EOT Results'!N37,'Ch3 EOT Results'!P37,'Ch3 EOT Results'!T37,'Ch3 EOT2 Results'!N37,'Ch3 EOT2 Results'!P37,'Ch3 EOT2 Results'!T37,'Mock 1 Paper 1 Results'!T37),"")</f>
        <v/>
      </c>
      <c r="AA37">
        <f>IFERROR(AVERAGE('MT 4.1 Results'!M37,'MT 4.2 Results'!K37,'MT 4.2 Results'!L37,'Ch4 EOT Results'!M37,'Ch4 EOT Results'!P37,'Ch4 EOT Results'!Q37,'Ch4 EOT2 Results'!M37,'Ch4 EOT2 Results'!P37,'Ch4 EOT2 Results'!Q37),"")</f>
        <v/>
      </c>
      <c r="AB37">
        <f>IFERROR(AVERAGE('Ch4 EOT Results'!N37,'Ch4 EOT2 Results'!N37),"")</f>
        <v/>
      </c>
      <c r="AC37">
        <f>IFERROR(AVERAGE('MT 4.2 Results'!M37,'MT 4.2 Results'!N37),"")</f>
        <v/>
      </c>
      <c r="AD37">
        <f>IFERROR(AVERAGE('MT 4.1 Results'!K37,'MT 4.1 Results'!L37,'MT 4.1 Results'!N37,'Ch4 EOT Results'!O37,'Ch4 EOT Results'!R37,'Ch4 EOT2 Results'!O37,'Ch4 EOT2 Results'!R37,'Mock 1 Paper 2A Results'!P37),"")</f>
        <v/>
      </c>
      <c r="AE37">
        <f>IFERROR(AVERAGE('MT 5.1 Results'!K37,'MT 5.1 Results'!N37,'MT 5.2 Results'!N37,'Ch5 EOT Results'!L37,'Ch5 EOT2 Results'!L37),"")</f>
        <v/>
      </c>
      <c r="AF37">
        <f>IFERROR(AVERAGE('Ch5 EOT Results'!O37,'Ch5 EOT2 Results'!O37),"")</f>
        <v/>
      </c>
      <c r="AG37">
        <f>IFERROR(AVERAGE('MT 5.1 Results'!L37,'Ch5 EOT Results'!P37,'Ch5 EOT2 Results'!P37,'Mock 1 Paper 2A Results'!Q37),"")</f>
        <v/>
      </c>
      <c r="AH37">
        <f>IFERROR(AVERAGE('MT 5.1 Results'!M37,'MT 5.2 Results'!K37,'MT 5.2 Results'!L37,'MT 5.2 Results'!M37,'Ch5 EOT Results'!M37,'Ch5 EOT Results'!N37,'Ch5 EOT2 Results'!M37,'Ch5 EOT2 Results'!N37,'Mock 1 Paper 2A Results'!U37),"")</f>
        <v/>
      </c>
      <c r="AI37">
        <f>""</f>
        <v/>
      </c>
      <c r="AJ37">
        <f>""</f>
        <v/>
      </c>
      <c r="AK37">
        <f>IFERROR(AVERAGE('MT 6.1 Results'!K37,'Mock 1 Paper 2A Results'!S37),"")</f>
        <v/>
      </c>
      <c r="AL37">
        <f>IFERROR(AVERAGE('MT 6.1 Results'!L37,'MT 6.2 Results'!L37,'Ch6 EOT Results'!O37,'Ch6 EOT2 Results'!O37),"")</f>
        <v/>
      </c>
      <c r="AM37">
        <f>IFERROR(AVERAGE('MT 6.1 Results'!M37,'MT 6.1 Results'!N37,'MT 6.2 Results'!K37,'MT 6.2 Results'!M37,'MT 6.2 Results'!N37,'Ch6 EOT Results'!M37,'Ch6 EOT Results'!N37,'Ch6 EOT Results'!P37,'Ch6 EOT Results'!Q37,'Ch6 EOT Results'!R37,'Ch6 EOT2 Results'!M37,'Ch6 EOT2 Results'!N37,'Ch6 EOT2 Results'!P37,'Ch6 EOT2 Results'!Q37,'Ch6 EOT2 Results'!R37,'Mock 1 Paper 2A Results'!R37),"")</f>
        <v/>
      </c>
      <c r="AN37">
        <f>IFERROR(AVERAGE('MT 7.1 Results'!K37),"")</f>
        <v/>
      </c>
      <c r="AO37">
        <f>IFERROR(AVERAGE('MT 7.1 Results'!M37,'Ch7 EOT2 Results'!L37),"")</f>
        <v/>
      </c>
      <c r="AP37">
        <f>IFERROR(AVERAGE('Ch7 EOT Results'!N37,'Ch7 EOT2 Results'!N37),"")</f>
        <v/>
      </c>
      <c r="AQ37">
        <f>IFERROR(AVERAGE('MT 7.1 Results'!L37,'MT 7.1 Results'!N37,'Ch7 EOT Results'!L37,'Ch7 EOT Results'!M37,'Ch7 EOT2 Results'!K37,'Mock 1 Paper 2A Results'!T37),"")</f>
        <v/>
      </c>
      <c r="AR37">
        <f>IFERROR(AVERAGE('MT 7.2 Results'!K37),"")</f>
        <v/>
      </c>
      <c r="AS37">
        <f>IFERROR(AVERAGE('MT 7.2 Results'!L37,'MT 7.2 Results'!N37,'Ch7 EOT Results'!O37,'Ch7 EOT2 Results'!M37,'Mock 1 Paper 2A Results'!V37),"")</f>
        <v/>
      </c>
      <c r="AT37">
        <f>IFERROR(AVERAGE('MT 7.2 Results'!M37,'Ch7 EOT Results'!P37),"")</f>
        <v/>
      </c>
      <c r="AU37">
        <f>""</f>
        <v/>
      </c>
      <c r="AV37">
        <f>IFERROR(AVERAGE(E37:AU37),"")</f>
        <v/>
      </c>
      <c r="AW37">
        <f>IF(AV37="","Not started",IF(AV37&gt;=0.8,"Ready",IF(AV37&gt;=0.65,"Nearly ready",IF(AV37&gt;=0.5,"Developing","Urgent support"))))</f>
        <v/>
      </c>
    </row>
    <row r="38">
      <c r="A38">
        <f>'Class Roster'!A38</f>
        <v/>
      </c>
      <c r="B38">
        <f>'Class Roster'!B38</f>
        <v/>
      </c>
      <c r="C38">
        <f>'Class Roster'!C38</f>
        <v/>
      </c>
      <c r="D38">
        <f>'Class Roster'!D38</f>
        <v/>
      </c>
      <c r="E38">
        <f>IFERROR(AVERAGE('MT 1.1 Results'!K38,'Ch1 EOT Results'!M38,'Mock 1 Paper 1 Results'!Q38),"")</f>
        <v/>
      </c>
      <c r="F38">
        <f>IFERROR(AVERAGE('MT 1.1 Results'!L38),"")</f>
        <v/>
      </c>
      <c r="G38">
        <f>""</f>
        <v/>
      </c>
      <c r="H38">
        <f>IFERROR(AVERAGE('MT 1.1 Results'!M38,'MT 1.3 Results'!N38,'Ch1 EOT Results'!R38,'Ch1 EOT2 Results'!P38,'Mock 1 Paper 1 Results'!R38),"")</f>
        <v/>
      </c>
      <c r="I38">
        <f>IFERROR(AVERAGE('MT 1.2 Results'!K38,'MT 1.2 Results'!L38,'MT 1.2 Results'!M38,'Ch1 EOT Results'!N38,'Ch1 EOT2 Results'!M38),"")</f>
        <v/>
      </c>
      <c r="J38">
        <f>IFERROR(AVERAGE('MT 1.1 Results'!N38,'MT 1.2 Results'!N38,'Ch1 EOT Results'!O38,'Ch1 EOT Results'!Q38,'Mock 1 Paper 1 Results'!V38),"")</f>
        <v/>
      </c>
      <c r="K38">
        <f>IFERROR(AVERAGE('MT 1.3 Results'!K38,'MT 1.3 Results'!L38,'MT 1.3 Results'!M38,'Ch1 EOT Results'!P38,'Ch1 EOT2 Results'!L38,'Ch1 EOT2 Results'!N38,'Ch1 EOT2 Results'!O38,'Mock 1 Paper 1 Results'!Y38),"")</f>
        <v/>
      </c>
      <c r="L38">
        <f>""</f>
        <v/>
      </c>
      <c r="M38">
        <f>""</f>
        <v/>
      </c>
      <c r="N38">
        <f>""</f>
        <v/>
      </c>
      <c r="O38">
        <f>""</f>
        <v/>
      </c>
      <c r="P38">
        <f>IFERROR(AVERAGE('Mock 1 Paper 1 Results'!S38,'Mock 1 Paper 2A Results'!O38),"")</f>
        <v/>
      </c>
      <c r="Q38">
        <f>IFERROR(AVERAGE('MT 2.1 Results'!L38,'MT 2.2 Results'!M38,'Ch2 EOT Results'!S38,'Ch2 EOT2 Results'!T38,'Ch2 EOT2 Results'!U38,'Mock 1 Paper 1 Results'!U38,'Mock 1 Paper 1 Results'!Z38),"")</f>
        <v/>
      </c>
      <c r="R38">
        <f>IFERROR(AVERAGE('MT 2.2 Results'!K38,'Ch2 EOT Results'!R38,'Ch2 EOT Results'!V38,'Ch2 EOT2 Results'!S38),"")</f>
        <v/>
      </c>
      <c r="S38">
        <f>""</f>
        <v/>
      </c>
      <c r="T38">
        <f>IFERROR(AVERAGE('MT 2.1 Results'!J38,'Ch2 EOT Results'!P38,'Ch2 EOT Results'!Q38,'Ch2 EOT Results'!T38,'Ch2 EOT2 Results'!P38,'Ch2 EOT2 Results'!Q38,'Mock 1 Paper 1 Results'!X38),"")</f>
        <v/>
      </c>
      <c r="U38">
        <f>IFERROR(AVERAGE('MT 2.1 Results'!K38,'MT 2.2 Results'!L38,'MT 2.2 Results'!N38,'Ch2 EOT Results'!O38,'Ch2 EOT Results'!U38,'Ch2 EOT2 Results'!O38,'Ch2 EOT2 Results'!R38,'Ch2 EOT2 Results'!V38),"")</f>
        <v/>
      </c>
      <c r="V38">
        <f>IFERROR(AVERAGE('Ch3 EOT Results'!Q38,'Ch3 EOT2 Results'!Q38,'Mock 1 Paper 1 Results'!W38),"")</f>
        <v/>
      </c>
      <c r="W38">
        <f>IFERROR(AVERAGE('MT 3.1 Results'!M38,'MT 3.1 Results'!N38,'MT 3.2 Results'!K38,'MT 3.2 Results'!M38,'Ch3 EOT Results'!O38,'Ch3 EOT Results'!S38,'Ch3 EOT2 Results'!O38,'Ch3 EOT2 Results'!S38),"")</f>
        <v/>
      </c>
      <c r="X38">
        <f>IFERROR(AVERAGE('MT 3.2 Results'!L38),"")</f>
        <v/>
      </c>
      <c r="Y38">
        <f>IFERROR(AVERAGE('MT 3.1 Results'!L38,'Ch3 EOT Results'!R38,'Ch3 EOT2 Results'!R38),"")</f>
        <v/>
      </c>
      <c r="Z38">
        <f>IFERROR(AVERAGE('MT 3.1 Results'!K38,'MT 3.2 Results'!N38,'Ch3 EOT Results'!N38,'Ch3 EOT Results'!P38,'Ch3 EOT Results'!T38,'Ch3 EOT2 Results'!N38,'Ch3 EOT2 Results'!P38,'Ch3 EOT2 Results'!T38,'Mock 1 Paper 1 Results'!T38),"")</f>
        <v/>
      </c>
      <c r="AA38">
        <f>IFERROR(AVERAGE('MT 4.1 Results'!M38,'MT 4.2 Results'!K38,'MT 4.2 Results'!L38,'Ch4 EOT Results'!M38,'Ch4 EOT Results'!P38,'Ch4 EOT Results'!Q38,'Ch4 EOT2 Results'!M38,'Ch4 EOT2 Results'!P38,'Ch4 EOT2 Results'!Q38),"")</f>
        <v/>
      </c>
      <c r="AB38">
        <f>IFERROR(AVERAGE('Ch4 EOT Results'!N38,'Ch4 EOT2 Results'!N38),"")</f>
        <v/>
      </c>
      <c r="AC38">
        <f>IFERROR(AVERAGE('MT 4.2 Results'!M38,'MT 4.2 Results'!N38),"")</f>
        <v/>
      </c>
      <c r="AD38">
        <f>IFERROR(AVERAGE('MT 4.1 Results'!K38,'MT 4.1 Results'!L38,'MT 4.1 Results'!N38,'Ch4 EOT Results'!O38,'Ch4 EOT Results'!R38,'Ch4 EOT2 Results'!O38,'Ch4 EOT2 Results'!R38,'Mock 1 Paper 2A Results'!P38),"")</f>
        <v/>
      </c>
      <c r="AE38">
        <f>IFERROR(AVERAGE('MT 5.1 Results'!K38,'MT 5.1 Results'!N38,'MT 5.2 Results'!N38,'Ch5 EOT Results'!L38,'Ch5 EOT2 Results'!L38),"")</f>
        <v/>
      </c>
      <c r="AF38">
        <f>IFERROR(AVERAGE('Ch5 EOT Results'!O38,'Ch5 EOT2 Results'!O38),"")</f>
        <v/>
      </c>
      <c r="AG38">
        <f>IFERROR(AVERAGE('MT 5.1 Results'!L38,'Ch5 EOT Results'!P38,'Ch5 EOT2 Results'!P38,'Mock 1 Paper 2A Results'!Q38),"")</f>
        <v/>
      </c>
      <c r="AH38">
        <f>IFERROR(AVERAGE('MT 5.1 Results'!M38,'MT 5.2 Results'!K38,'MT 5.2 Results'!L38,'MT 5.2 Results'!M38,'Ch5 EOT Results'!M38,'Ch5 EOT Results'!N38,'Ch5 EOT2 Results'!M38,'Ch5 EOT2 Results'!N38,'Mock 1 Paper 2A Results'!U38),"")</f>
        <v/>
      </c>
      <c r="AI38">
        <f>""</f>
        <v/>
      </c>
      <c r="AJ38">
        <f>""</f>
        <v/>
      </c>
      <c r="AK38">
        <f>IFERROR(AVERAGE('MT 6.1 Results'!K38,'Mock 1 Paper 2A Results'!S38),"")</f>
        <v/>
      </c>
      <c r="AL38">
        <f>IFERROR(AVERAGE('MT 6.1 Results'!L38,'MT 6.2 Results'!L38,'Ch6 EOT Results'!O38,'Ch6 EOT2 Results'!O38),"")</f>
        <v/>
      </c>
      <c r="AM38">
        <f>IFERROR(AVERAGE('MT 6.1 Results'!M38,'MT 6.1 Results'!N38,'MT 6.2 Results'!K38,'MT 6.2 Results'!M38,'MT 6.2 Results'!N38,'Ch6 EOT Results'!M38,'Ch6 EOT Results'!N38,'Ch6 EOT Results'!P38,'Ch6 EOT Results'!Q38,'Ch6 EOT Results'!R38,'Ch6 EOT2 Results'!M38,'Ch6 EOT2 Results'!N38,'Ch6 EOT2 Results'!P38,'Ch6 EOT2 Results'!Q38,'Ch6 EOT2 Results'!R38,'Mock 1 Paper 2A Results'!R38),"")</f>
        <v/>
      </c>
      <c r="AN38">
        <f>IFERROR(AVERAGE('MT 7.1 Results'!K38),"")</f>
        <v/>
      </c>
      <c r="AO38">
        <f>IFERROR(AVERAGE('MT 7.1 Results'!M38,'Ch7 EOT2 Results'!L38),"")</f>
        <v/>
      </c>
      <c r="AP38">
        <f>IFERROR(AVERAGE('Ch7 EOT Results'!N38,'Ch7 EOT2 Results'!N38),"")</f>
        <v/>
      </c>
      <c r="AQ38">
        <f>IFERROR(AVERAGE('MT 7.1 Results'!L38,'MT 7.1 Results'!N38,'Ch7 EOT Results'!L38,'Ch7 EOT Results'!M38,'Ch7 EOT2 Results'!K38,'Mock 1 Paper 2A Results'!T38),"")</f>
        <v/>
      </c>
      <c r="AR38">
        <f>IFERROR(AVERAGE('MT 7.2 Results'!K38),"")</f>
        <v/>
      </c>
      <c r="AS38">
        <f>IFERROR(AVERAGE('MT 7.2 Results'!L38,'MT 7.2 Results'!N38,'Ch7 EOT Results'!O38,'Ch7 EOT2 Results'!M38,'Mock 1 Paper 2A Results'!V38),"")</f>
        <v/>
      </c>
      <c r="AT38">
        <f>IFERROR(AVERAGE('MT 7.2 Results'!M38,'Ch7 EOT Results'!P38),"")</f>
        <v/>
      </c>
      <c r="AU38">
        <f>""</f>
        <v/>
      </c>
      <c r="AV38">
        <f>IFERROR(AVERAGE(E38:AU38),"")</f>
        <v/>
      </c>
      <c r="AW38">
        <f>IF(AV38="","Not started",IF(AV38&gt;=0.8,"Ready",IF(AV38&gt;=0.65,"Nearly ready",IF(AV38&gt;=0.5,"Developing","Urgent support"))))</f>
        <v/>
      </c>
    </row>
    <row r="39">
      <c r="A39">
        <f>'Class Roster'!A39</f>
        <v/>
      </c>
      <c r="B39">
        <f>'Class Roster'!B39</f>
        <v/>
      </c>
      <c r="C39">
        <f>'Class Roster'!C39</f>
        <v/>
      </c>
      <c r="D39">
        <f>'Class Roster'!D39</f>
        <v/>
      </c>
      <c r="E39">
        <f>IFERROR(AVERAGE('MT 1.1 Results'!K39,'Ch1 EOT Results'!M39,'Mock 1 Paper 1 Results'!Q39),"")</f>
        <v/>
      </c>
      <c r="F39">
        <f>IFERROR(AVERAGE('MT 1.1 Results'!L39),"")</f>
        <v/>
      </c>
      <c r="G39">
        <f>""</f>
        <v/>
      </c>
      <c r="H39">
        <f>IFERROR(AVERAGE('MT 1.1 Results'!M39,'MT 1.3 Results'!N39,'Ch1 EOT Results'!R39,'Ch1 EOT2 Results'!P39,'Mock 1 Paper 1 Results'!R39),"")</f>
        <v/>
      </c>
      <c r="I39">
        <f>IFERROR(AVERAGE('MT 1.2 Results'!K39,'MT 1.2 Results'!L39,'MT 1.2 Results'!M39,'Ch1 EOT Results'!N39,'Ch1 EOT2 Results'!M39),"")</f>
        <v/>
      </c>
      <c r="J39">
        <f>IFERROR(AVERAGE('MT 1.1 Results'!N39,'MT 1.2 Results'!N39,'Ch1 EOT Results'!O39,'Ch1 EOT Results'!Q39,'Mock 1 Paper 1 Results'!V39),"")</f>
        <v/>
      </c>
      <c r="K39">
        <f>IFERROR(AVERAGE('MT 1.3 Results'!K39,'MT 1.3 Results'!L39,'MT 1.3 Results'!M39,'Ch1 EOT Results'!P39,'Ch1 EOT2 Results'!L39,'Ch1 EOT2 Results'!N39,'Ch1 EOT2 Results'!O39,'Mock 1 Paper 1 Results'!Y39),"")</f>
        <v/>
      </c>
      <c r="L39">
        <f>""</f>
        <v/>
      </c>
      <c r="M39">
        <f>""</f>
        <v/>
      </c>
      <c r="N39">
        <f>""</f>
        <v/>
      </c>
      <c r="O39">
        <f>""</f>
        <v/>
      </c>
      <c r="P39">
        <f>IFERROR(AVERAGE('Mock 1 Paper 1 Results'!S39,'Mock 1 Paper 2A Results'!O39),"")</f>
        <v/>
      </c>
      <c r="Q39">
        <f>IFERROR(AVERAGE('MT 2.1 Results'!L39,'MT 2.2 Results'!M39,'Ch2 EOT Results'!S39,'Ch2 EOT2 Results'!T39,'Ch2 EOT2 Results'!U39,'Mock 1 Paper 1 Results'!U39,'Mock 1 Paper 1 Results'!Z39),"")</f>
        <v/>
      </c>
      <c r="R39">
        <f>IFERROR(AVERAGE('MT 2.2 Results'!K39,'Ch2 EOT Results'!R39,'Ch2 EOT Results'!V39,'Ch2 EOT2 Results'!S39),"")</f>
        <v/>
      </c>
      <c r="S39">
        <f>""</f>
        <v/>
      </c>
      <c r="T39">
        <f>IFERROR(AVERAGE('MT 2.1 Results'!J39,'Ch2 EOT Results'!P39,'Ch2 EOT Results'!Q39,'Ch2 EOT Results'!T39,'Ch2 EOT2 Results'!P39,'Ch2 EOT2 Results'!Q39,'Mock 1 Paper 1 Results'!X39),"")</f>
        <v/>
      </c>
      <c r="U39">
        <f>IFERROR(AVERAGE('MT 2.1 Results'!K39,'MT 2.2 Results'!L39,'MT 2.2 Results'!N39,'Ch2 EOT Results'!O39,'Ch2 EOT Results'!U39,'Ch2 EOT2 Results'!O39,'Ch2 EOT2 Results'!R39,'Ch2 EOT2 Results'!V39),"")</f>
        <v/>
      </c>
      <c r="V39">
        <f>IFERROR(AVERAGE('Ch3 EOT Results'!Q39,'Ch3 EOT2 Results'!Q39,'Mock 1 Paper 1 Results'!W39),"")</f>
        <v/>
      </c>
      <c r="W39">
        <f>IFERROR(AVERAGE('MT 3.1 Results'!M39,'MT 3.1 Results'!N39,'MT 3.2 Results'!K39,'MT 3.2 Results'!M39,'Ch3 EOT Results'!O39,'Ch3 EOT Results'!S39,'Ch3 EOT2 Results'!O39,'Ch3 EOT2 Results'!S39),"")</f>
        <v/>
      </c>
      <c r="X39">
        <f>IFERROR(AVERAGE('MT 3.2 Results'!L39),"")</f>
        <v/>
      </c>
      <c r="Y39">
        <f>IFERROR(AVERAGE('MT 3.1 Results'!L39,'Ch3 EOT Results'!R39,'Ch3 EOT2 Results'!R39),"")</f>
        <v/>
      </c>
      <c r="Z39">
        <f>IFERROR(AVERAGE('MT 3.1 Results'!K39,'MT 3.2 Results'!N39,'Ch3 EOT Results'!N39,'Ch3 EOT Results'!P39,'Ch3 EOT Results'!T39,'Ch3 EOT2 Results'!N39,'Ch3 EOT2 Results'!P39,'Ch3 EOT2 Results'!T39,'Mock 1 Paper 1 Results'!T39),"")</f>
        <v/>
      </c>
      <c r="AA39">
        <f>IFERROR(AVERAGE('MT 4.1 Results'!M39,'MT 4.2 Results'!K39,'MT 4.2 Results'!L39,'Ch4 EOT Results'!M39,'Ch4 EOT Results'!P39,'Ch4 EOT Results'!Q39,'Ch4 EOT2 Results'!M39,'Ch4 EOT2 Results'!P39,'Ch4 EOT2 Results'!Q39),"")</f>
        <v/>
      </c>
      <c r="AB39">
        <f>IFERROR(AVERAGE('Ch4 EOT Results'!N39,'Ch4 EOT2 Results'!N39),"")</f>
        <v/>
      </c>
      <c r="AC39">
        <f>IFERROR(AVERAGE('MT 4.2 Results'!M39,'MT 4.2 Results'!N39),"")</f>
        <v/>
      </c>
      <c r="AD39">
        <f>IFERROR(AVERAGE('MT 4.1 Results'!K39,'MT 4.1 Results'!L39,'MT 4.1 Results'!N39,'Ch4 EOT Results'!O39,'Ch4 EOT Results'!R39,'Ch4 EOT2 Results'!O39,'Ch4 EOT2 Results'!R39,'Mock 1 Paper 2A Results'!P39),"")</f>
        <v/>
      </c>
      <c r="AE39">
        <f>IFERROR(AVERAGE('MT 5.1 Results'!K39,'MT 5.1 Results'!N39,'MT 5.2 Results'!N39,'Ch5 EOT Results'!L39,'Ch5 EOT2 Results'!L39),"")</f>
        <v/>
      </c>
      <c r="AF39">
        <f>IFERROR(AVERAGE('Ch5 EOT Results'!O39,'Ch5 EOT2 Results'!O39),"")</f>
        <v/>
      </c>
      <c r="AG39">
        <f>IFERROR(AVERAGE('MT 5.1 Results'!L39,'Ch5 EOT Results'!P39,'Ch5 EOT2 Results'!P39,'Mock 1 Paper 2A Results'!Q39),"")</f>
        <v/>
      </c>
      <c r="AH39">
        <f>IFERROR(AVERAGE('MT 5.1 Results'!M39,'MT 5.2 Results'!K39,'MT 5.2 Results'!L39,'MT 5.2 Results'!M39,'Ch5 EOT Results'!M39,'Ch5 EOT Results'!N39,'Ch5 EOT2 Results'!M39,'Ch5 EOT2 Results'!N39,'Mock 1 Paper 2A Results'!U39),"")</f>
        <v/>
      </c>
      <c r="AI39">
        <f>""</f>
        <v/>
      </c>
      <c r="AJ39">
        <f>""</f>
        <v/>
      </c>
      <c r="AK39">
        <f>IFERROR(AVERAGE('MT 6.1 Results'!K39,'Mock 1 Paper 2A Results'!S39),"")</f>
        <v/>
      </c>
      <c r="AL39">
        <f>IFERROR(AVERAGE('MT 6.1 Results'!L39,'MT 6.2 Results'!L39,'Ch6 EOT Results'!O39,'Ch6 EOT2 Results'!O39),"")</f>
        <v/>
      </c>
      <c r="AM39">
        <f>IFERROR(AVERAGE('MT 6.1 Results'!M39,'MT 6.1 Results'!N39,'MT 6.2 Results'!K39,'MT 6.2 Results'!M39,'MT 6.2 Results'!N39,'Ch6 EOT Results'!M39,'Ch6 EOT Results'!N39,'Ch6 EOT Results'!P39,'Ch6 EOT Results'!Q39,'Ch6 EOT Results'!R39,'Ch6 EOT2 Results'!M39,'Ch6 EOT2 Results'!N39,'Ch6 EOT2 Results'!P39,'Ch6 EOT2 Results'!Q39,'Ch6 EOT2 Results'!R39,'Mock 1 Paper 2A Results'!R39),"")</f>
        <v/>
      </c>
      <c r="AN39">
        <f>IFERROR(AVERAGE('MT 7.1 Results'!K39),"")</f>
        <v/>
      </c>
      <c r="AO39">
        <f>IFERROR(AVERAGE('MT 7.1 Results'!M39,'Ch7 EOT2 Results'!L39),"")</f>
        <v/>
      </c>
      <c r="AP39">
        <f>IFERROR(AVERAGE('Ch7 EOT Results'!N39,'Ch7 EOT2 Results'!N39),"")</f>
        <v/>
      </c>
      <c r="AQ39">
        <f>IFERROR(AVERAGE('MT 7.1 Results'!L39,'MT 7.1 Results'!N39,'Ch7 EOT Results'!L39,'Ch7 EOT Results'!M39,'Ch7 EOT2 Results'!K39,'Mock 1 Paper 2A Results'!T39),"")</f>
        <v/>
      </c>
      <c r="AR39">
        <f>IFERROR(AVERAGE('MT 7.2 Results'!K39),"")</f>
        <v/>
      </c>
      <c r="AS39">
        <f>IFERROR(AVERAGE('MT 7.2 Results'!L39,'MT 7.2 Results'!N39,'Ch7 EOT Results'!O39,'Ch7 EOT2 Results'!M39,'Mock 1 Paper 2A Results'!V39),"")</f>
        <v/>
      </c>
      <c r="AT39">
        <f>IFERROR(AVERAGE('MT 7.2 Results'!M39,'Ch7 EOT Results'!P39),"")</f>
        <v/>
      </c>
      <c r="AU39">
        <f>""</f>
        <v/>
      </c>
      <c r="AV39">
        <f>IFERROR(AVERAGE(E39:AU39),"")</f>
        <v/>
      </c>
      <c r="AW39">
        <f>IF(AV39="","Not started",IF(AV39&gt;=0.8,"Ready",IF(AV39&gt;=0.65,"Nearly ready",IF(AV39&gt;=0.5,"Developing","Urgent support"))))</f>
        <v/>
      </c>
    </row>
    <row r="40">
      <c r="A40">
        <f>'Class Roster'!A40</f>
        <v/>
      </c>
      <c r="B40">
        <f>'Class Roster'!B40</f>
        <v/>
      </c>
      <c r="C40">
        <f>'Class Roster'!C40</f>
        <v/>
      </c>
      <c r="D40">
        <f>'Class Roster'!D40</f>
        <v/>
      </c>
      <c r="E40">
        <f>IFERROR(AVERAGE('MT 1.1 Results'!K40,'Ch1 EOT Results'!M40,'Mock 1 Paper 1 Results'!Q40),"")</f>
        <v/>
      </c>
      <c r="F40">
        <f>IFERROR(AVERAGE('MT 1.1 Results'!L40),"")</f>
        <v/>
      </c>
      <c r="G40">
        <f>""</f>
        <v/>
      </c>
      <c r="H40">
        <f>IFERROR(AVERAGE('MT 1.1 Results'!M40,'MT 1.3 Results'!N40,'Ch1 EOT Results'!R40,'Ch1 EOT2 Results'!P40,'Mock 1 Paper 1 Results'!R40),"")</f>
        <v/>
      </c>
      <c r="I40">
        <f>IFERROR(AVERAGE('MT 1.2 Results'!K40,'MT 1.2 Results'!L40,'MT 1.2 Results'!M40,'Ch1 EOT Results'!N40,'Ch1 EOT2 Results'!M40),"")</f>
        <v/>
      </c>
      <c r="J40">
        <f>IFERROR(AVERAGE('MT 1.1 Results'!N40,'MT 1.2 Results'!N40,'Ch1 EOT Results'!O40,'Ch1 EOT Results'!Q40,'Mock 1 Paper 1 Results'!V40),"")</f>
        <v/>
      </c>
      <c r="K40">
        <f>IFERROR(AVERAGE('MT 1.3 Results'!K40,'MT 1.3 Results'!L40,'MT 1.3 Results'!M40,'Ch1 EOT Results'!P40,'Ch1 EOT2 Results'!L40,'Ch1 EOT2 Results'!N40,'Ch1 EOT2 Results'!O40,'Mock 1 Paper 1 Results'!Y40),"")</f>
        <v/>
      </c>
      <c r="L40">
        <f>""</f>
        <v/>
      </c>
      <c r="M40">
        <f>""</f>
        <v/>
      </c>
      <c r="N40">
        <f>""</f>
        <v/>
      </c>
      <c r="O40">
        <f>""</f>
        <v/>
      </c>
      <c r="P40">
        <f>IFERROR(AVERAGE('Mock 1 Paper 1 Results'!S40,'Mock 1 Paper 2A Results'!O40),"")</f>
        <v/>
      </c>
      <c r="Q40">
        <f>IFERROR(AVERAGE('MT 2.1 Results'!L40,'MT 2.2 Results'!M40,'Ch2 EOT Results'!S40,'Ch2 EOT2 Results'!T40,'Ch2 EOT2 Results'!U40,'Mock 1 Paper 1 Results'!U40,'Mock 1 Paper 1 Results'!Z40),"")</f>
        <v/>
      </c>
      <c r="R40">
        <f>IFERROR(AVERAGE('MT 2.2 Results'!K40,'Ch2 EOT Results'!R40,'Ch2 EOT Results'!V40,'Ch2 EOT2 Results'!S40),"")</f>
        <v/>
      </c>
      <c r="S40">
        <f>""</f>
        <v/>
      </c>
      <c r="T40">
        <f>IFERROR(AVERAGE('MT 2.1 Results'!J40,'Ch2 EOT Results'!P40,'Ch2 EOT Results'!Q40,'Ch2 EOT Results'!T40,'Ch2 EOT2 Results'!P40,'Ch2 EOT2 Results'!Q40,'Mock 1 Paper 1 Results'!X40),"")</f>
        <v/>
      </c>
      <c r="U40">
        <f>IFERROR(AVERAGE('MT 2.1 Results'!K40,'MT 2.2 Results'!L40,'MT 2.2 Results'!N40,'Ch2 EOT Results'!O40,'Ch2 EOT Results'!U40,'Ch2 EOT2 Results'!O40,'Ch2 EOT2 Results'!R40,'Ch2 EOT2 Results'!V40),"")</f>
        <v/>
      </c>
      <c r="V40">
        <f>IFERROR(AVERAGE('Ch3 EOT Results'!Q40,'Ch3 EOT2 Results'!Q40,'Mock 1 Paper 1 Results'!W40),"")</f>
        <v/>
      </c>
      <c r="W40">
        <f>IFERROR(AVERAGE('MT 3.1 Results'!M40,'MT 3.1 Results'!N40,'MT 3.2 Results'!K40,'MT 3.2 Results'!M40,'Ch3 EOT Results'!O40,'Ch3 EOT Results'!S40,'Ch3 EOT2 Results'!O40,'Ch3 EOT2 Results'!S40),"")</f>
        <v/>
      </c>
      <c r="X40">
        <f>IFERROR(AVERAGE('MT 3.2 Results'!L40),"")</f>
        <v/>
      </c>
      <c r="Y40">
        <f>IFERROR(AVERAGE('MT 3.1 Results'!L40,'Ch3 EOT Results'!R40,'Ch3 EOT2 Results'!R40),"")</f>
        <v/>
      </c>
      <c r="Z40">
        <f>IFERROR(AVERAGE('MT 3.1 Results'!K40,'MT 3.2 Results'!N40,'Ch3 EOT Results'!N40,'Ch3 EOT Results'!P40,'Ch3 EOT Results'!T40,'Ch3 EOT2 Results'!N40,'Ch3 EOT2 Results'!P40,'Ch3 EOT2 Results'!T40,'Mock 1 Paper 1 Results'!T40),"")</f>
        <v/>
      </c>
      <c r="AA40">
        <f>IFERROR(AVERAGE('MT 4.1 Results'!M40,'MT 4.2 Results'!K40,'MT 4.2 Results'!L40,'Ch4 EOT Results'!M40,'Ch4 EOT Results'!P40,'Ch4 EOT Results'!Q40,'Ch4 EOT2 Results'!M40,'Ch4 EOT2 Results'!P40,'Ch4 EOT2 Results'!Q40),"")</f>
        <v/>
      </c>
      <c r="AB40">
        <f>IFERROR(AVERAGE('Ch4 EOT Results'!N40,'Ch4 EOT2 Results'!N40),"")</f>
        <v/>
      </c>
      <c r="AC40">
        <f>IFERROR(AVERAGE('MT 4.2 Results'!M40,'MT 4.2 Results'!N40),"")</f>
        <v/>
      </c>
      <c r="AD40">
        <f>IFERROR(AVERAGE('MT 4.1 Results'!K40,'MT 4.1 Results'!L40,'MT 4.1 Results'!N40,'Ch4 EOT Results'!O40,'Ch4 EOT Results'!R40,'Ch4 EOT2 Results'!O40,'Ch4 EOT2 Results'!R40,'Mock 1 Paper 2A Results'!P40),"")</f>
        <v/>
      </c>
      <c r="AE40">
        <f>IFERROR(AVERAGE('MT 5.1 Results'!K40,'MT 5.1 Results'!N40,'MT 5.2 Results'!N40,'Ch5 EOT Results'!L40,'Ch5 EOT2 Results'!L40),"")</f>
        <v/>
      </c>
      <c r="AF40">
        <f>IFERROR(AVERAGE('Ch5 EOT Results'!O40,'Ch5 EOT2 Results'!O40),"")</f>
        <v/>
      </c>
      <c r="AG40">
        <f>IFERROR(AVERAGE('MT 5.1 Results'!L40,'Ch5 EOT Results'!P40,'Ch5 EOT2 Results'!P40,'Mock 1 Paper 2A Results'!Q40),"")</f>
        <v/>
      </c>
      <c r="AH40">
        <f>IFERROR(AVERAGE('MT 5.1 Results'!M40,'MT 5.2 Results'!K40,'MT 5.2 Results'!L40,'MT 5.2 Results'!M40,'Ch5 EOT Results'!M40,'Ch5 EOT Results'!N40,'Ch5 EOT2 Results'!M40,'Ch5 EOT2 Results'!N40,'Mock 1 Paper 2A Results'!U40),"")</f>
        <v/>
      </c>
      <c r="AI40">
        <f>""</f>
        <v/>
      </c>
      <c r="AJ40">
        <f>""</f>
        <v/>
      </c>
      <c r="AK40">
        <f>IFERROR(AVERAGE('MT 6.1 Results'!K40,'Mock 1 Paper 2A Results'!S40),"")</f>
        <v/>
      </c>
      <c r="AL40">
        <f>IFERROR(AVERAGE('MT 6.1 Results'!L40,'MT 6.2 Results'!L40,'Ch6 EOT Results'!O40,'Ch6 EOT2 Results'!O40),"")</f>
        <v/>
      </c>
      <c r="AM40">
        <f>IFERROR(AVERAGE('MT 6.1 Results'!M40,'MT 6.1 Results'!N40,'MT 6.2 Results'!K40,'MT 6.2 Results'!M40,'MT 6.2 Results'!N40,'Ch6 EOT Results'!M40,'Ch6 EOT Results'!N40,'Ch6 EOT Results'!P40,'Ch6 EOT Results'!Q40,'Ch6 EOT Results'!R40,'Ch6 EOT2 Results'!M40,'Ch6 EOT2 Results'!N40,'Ch6 EOT2 Results'!P40,'Ch6 EOT2 Results'!Q40,'Ch6 EOT2 Results'!R40,'Mock 1 Paper 2A Results'!R40),"")</f>
        <v/>
      </c>
      <c r="AN40">
        <f>IFERROR(AVERAGE('MT 7.1 Results'!K40),"")</f>
        <v/>
      </c>
      <c r="AO40">
        <f>IFERROR(AVERAGE('MT 7.1 Results'!M40,'Ch7 EOT2 Results'!L40),"")</f>
        <v/>
      </c>
      <c r="AP40">
        <f>IFERROR(AVERAGE('Ch7 EOT Results'!N40,'Ch7 EOT2 Results'!N40),"")</f>
        <v/>
      </c>
      <c r="AQ40">
        <f>IFERROR(AVERAGE('MT 7.1 Results'!L40,'MT 7.1 Results'!N40,'Ch7 EOT Results'!L40,'Ch7 EOT Results'!M40,'Ch7 EOT2 Results'!K40,'Mock 1 Paper 2A Results'!T40),"")</f>
        <v/>
      </c>
      <c r="AR40">
        <f>IFERROR(AVERAGE('MT 7.2 Results'!K40),"")</f>
        <v/>
      </c>
      <c r="AS40">
        <f>IFERROR(AVERAGE('MT 7.2 Results'!L40,'MT 7.2 Results'!N40,'Ch7 EOT Results'!O40,'Ch7 EOT2 Results'!M40,'Mock 1 Paper 2A Results'!V40),"")</f>
        <v/>
      </c>
      <c r="AT40">
        <f>IFERROR(AVERAGE('MT 7.2 Results'!M40,'Ch7 EOT Results'!P40),"")</f>
        <v/>
      </c>
      <c r="AU40">
        <f>""</f>
        <v/>
      </c>
      <c r="AV40">
        <f>IFERROR(AVERAGE(E40:AU40),"")</f>
        <v/>
      </c>
      <c r="AW40">
        <f>IF(AV40="","Not started",IF(AV40&gt;=0.8,"Ready",IF(AV40&gt;=0.65,"Nearly ready",IF(AV40&gt;=0.5,"Developing","Urgent support"))))</f>
        <v/>
      </c>
    </row>
    <row r="41">
      <c r="A41">
        <f>'Class Roster'!A41</f>
        <v/>
      </c>
      <c r="B41">
        <f>'Class Roster'!B41</f>
        <v/>
      </c>
      <c r="C41">
        <f>'Class Roster'!C41</f>
        <v/>
      </c>
      <c r="D41">
        <f>'Class Roster'!D41</f>
        <v/>
      </c>
      <c r="E41">
        <f>IFERROR(AVERAGE('MT 1.1 Results'!K41,'Ch1 EOT Results'!M41,'Mock 1 Paper 1 Results'!Q41),"")</f>
        <v/>
      </c>
      <c r="F41">
        <f>IFERROR(AVERAGE('MT 1.1 Results'!L41),"")</f>
        <v/>
      </c>
      <c r="G41">
        <f>""</f>
        <v/>
      </c>
      <c r="H41">
        <f>IFERROR(AVERAGE('MT 1.1 Results'!M41,'MT 1.3 Results'!N41,'Ch1 EOT Results'!R41,'Ch1 EOT2 Results'!P41,'Mock 1 Paper 1 Results'!R41),"")</f>
        <v/>
      </c>
      <c r="I41">
        <f>IFERROR(AVERAGE('MT 1.2 Results'!K41,'MT 1.2 Results'!L41,'MT 1.2 Results'!M41,'Ch1 EOT Results'!N41,'Ch1 EOT2 Results'!M41),"")</f>
        <v/>
      </c>
      <c r="J41">
        <f>IFERROR(AVERAGE('MT 1.1 Results'!N41,'MT 1.2 Results'!N41,'Ch1 EOT Results'!O41,'Ch1 EOT Results'!Q41,'Mock 1 Paper 1 Results'!V41),"")</f>
        <v/>
      </c>
      <c r="K41">
        <f>IFERROR(AVERAGE('MT 1.3 Results'!K41,'MT 1.3 Results'!L41,'MT 1.3 Results'!M41,'Ch1 EOT Results'!P41,'Ch1 EOT2 Results'!L41,'Ch1 EOT2 Results'!N41,'Ch1 EOT2 Results'!O41,'Mock 1 Paper 1 Results'!Y41),"")</f>
        <v/>
      </c>
      <c r="L41">
        <f>""</f>
        <v/>
      </c>
      <c r="M41">
        <f>""</f>
        <v/>
      </c>
      <c r="N41">
        <f>""</f>
        <v/>
      </c>
      <c r="O41">
        <f>""</f>
        <v/>
      </c>
      <c r="P41">
        <f>IFERROR(AVERAGE('Mock 1 Paper 1 Results'!S41,'Mock 1 Paper 2A Results'!O41),"")</f>
        <v/>
      </c>
      <c r="Q41">
        <f>IFERROR(AVERAGE('MT 2.1 Results'!L41,'MT 2.2 Results'!M41,'Ch2 EOT Results'!S41,'Ch2 EOT2 Results'!T41,'Ch2 EOT2 Results'!U41,'Mock 1 Paper 1 Results'!U41,'Mock 1 Paper 1 Results'!Z41),"")</f>
        <v/>
      </c>
      <c r="R41">
        <f>IFERROR(AVERAGE('MT 2.2 Results'!K41,'Ch2 EOT Results'!R41,'Ch2 EOT Results'!V41,'Ch2 EOT2 Results'!S41),"")</f>
        <v/>
      </c>
      <c r="S41">
        <f>""</f>
        <v/>
      </c>
      <c r="T41">
        <f>IFERROR(AVERAGE('MT 2.1 Results'!J41,'Ch2 EOT Results'!P41,'Ch2 EOT Results'!Q41,'Ch2 EOT Results'!T41,'Ch2 EOT2 Results'!P41,'Ch2 EOT2 Results'!Q41,'Mock 1 Paper 1 Results'!X41),"")</f>
        <v/>
      </c>
      <c r="U41">
        <f>IFERROR(AVERAGE('MT 2.1 Results'!K41,'MT 2.2 Results'!L41,'MT 2.2 Results'!N41,'Ch2 EOT Results'!O41,'Ch2 EOT Results'!U41,'Ch2 EOT2 Results'!O41,'Ch2 EOT2 Results'!R41,'Ch2 EOT2 Results'!V41),"")</f>
        <v/>
      </c>
      <c r="V41">
        <f>IFERROR(AVERAGE('Ch3 EOT Results'!Q41,'Ch3 EOT2 Results'!Q41,'Mock 1 Paper 1 Results'!W41),"")</f>
        <v/>
      </c>
      <c r="W41">
        <f>IFERROR(AVERAGE('MT 3.1 Results'!M41,'MT 3.1 Results'!N41,'MT 3.2 Results'!K41,'MT 3.2 Results'!M41,'Ch3 EOT Results'!O41,'Ch3 EOT Results'!S41,'Ch3 EOT2 Results'!O41,'Ch3 EOT2 Results'!S41),"")</f>
        <v/>
      </c>
      <c r="X41">
        <f>IFERROR(AVERAGE('MT 3.2 Results'!L41),"")</f>
        <v/>
      </c>
      <c r="Y41">
        <f>IFERROR(AVERAGE('MT 3.1 Results'!L41,'Ch3 EOT Results'!R41,'Ch3 EOT2 Results'!R41),"")</f>
        <v/>
      </c>
      <c r="Z41">
        <f>IFERROR(AVERAGE('MT 3.1 Results'!K41,'MT 3.2 Results'!N41,'Ch3 EOT Results'!N41,'Ch3 EOT Results'!P41,'Ch3 EOT Results'!T41,'Ch3 EOT2 Results'!N41,'Ch3 EOT2 Results'!P41,'Ch3 EOT2 Results'!T41,'Mock 1 Paper 1 Results'!T41),"")</f>
        <v/>
      </c>
      <c r="AA41">
        <f>IFERROR(AVERAGE('MT 4.1 Results'!M41,'MT 4.2 Results'!K41,'MT 4.2 Results'!L41,'Ch4 EOT Results'!M41,'Ch4 EOT Results'!P41,'Ch4 EOT Results'!Q41,'Ch4 EOT2 Results'!M41,'Ch4 EOT2 Results'!P41,'Ch4 EOT2 Results'!Q41),"")</f>
        <v/>
      </c>
      <c r="AB41">
        <f>IFERROR(AVERAGE('Ch4 EOT Results'!N41,'Ch4 EOT2 Results'!N41),"")</f>
        <v/>
      </c>
      <c r="AC41">
        <f>IFERROR(AVERAGE('MT 4.2 Results'!M41,'MT 4.2 Results'!N41),"")</f>
        <v/>
      </c>
      <c r="AD41">
        <f>IFERROR(AVERAGE('MT 4.1 Results'!K41,'MT 4.1 Results'!L41,'MT 4.1 Results'!N41,'Ch4 EOT Results'!O41,'Ch4 EOT Results'!R41,'Ch4 EOT2 Results'!O41,'Ch4 EOT2 Results'!R41,'Mock 1 Paper 2A Results'!P41),"")</f>
        <v/>
      </c>
      <c r="AE41">
        <f>IFERROR(AVERAGE('MT 5.1 Results'!K41,'MT 5.1 Results'!N41,'MT 5.2 Results'!N41,'Ch5 EOT Results'!L41,'Ch5 EOT2 Results'!L41),"")</f>
        <v/>
      </c>
      <c r="AF41">
        <f>IFERROR(AVERAGE('Ch5 EOT Results'!O41,'Ch5 EOT2 Results'!O41),"")</f>
        <v/>
      </c>
      <c r="AG41">
        <f>IFERROR(AVERAGE('MT 5.1 Results'!L41,'Ch5 EOT Results'!P41,'Ch5 EOT2 Results'!P41,'Mock 1 Paper 2A Results'!Q41),"")</f>
        <v/>
      </c>
      <c r="AH41">
        <f>IFERROR(AVERAGE('MT 5.1 Results'!M41,'MT 5.2 Results'!K41,'MT 5.2 Results'!L41,'MT 5.2 Results'!M41,'Ch5 EOT Results'!M41,'Ch5 EOT Results'!N41,'Ch5 EOT2 Results'!M41,'Ch5 EOT2 Results'!N41,'Mock 1 Paper 2A Results'!U41),"")</f>
        <v/>
      </c>
      <c r="AI41">
        <f>""</f>
        <v/>
      </c>
      <c r="AJ41">
        <f>""</f>
        <v/>
      </c>
      <c r="AK41">
        <f>IFERROR(AVERAGE('MT 6.1 Results'!K41,'Mock 1 Paper 2A Results'!S41),"")</f>
        <v/>
      </c>
      <c r="AL41">
        <f>IFERROR(AVERAGE('MT 6.1 Results'!L41,'MT 6.2 Results'!L41,'Ch6 EOT Results'!O41,'Ch6 EOT2 Results'!O41),"")</f>
        <v/>
      </c>
      <c r="AM41">
        <f>IFERROR(AVERAGE('MT 6.1 Results'!M41,'MT 6.1 Results'!N41,'MT 6.2 Results'!K41,'MT 6.2 Results'!M41,'MT 6.2 Results'!N41,'Ch6 EOT Results'!M41,'Ch6 EOT Results'!N41,'Ch6 EOT Results'!P41,'Ch6 EOT Results'!Q41,'Ch6 EOT Results'!R41,'Ch6 EOT2 Results'!M41,'Ch6 EOT2 Results'!N41,'Ch6 EOT2 Results'!P41,'Ch6 EOT2 Results'!Q41,'Ch6 EOT2 Results'!R41,'Mock 1 Paper 2A Results'!R41),"")</f>
        <v/>
      </c>
      <c r="AN41">
        <f>IFERROR(AVERAGE('MT 7.1 Results'!K41),"")</f>
        <v/>
      </c>
      <c r="AO41">
        <f>IFERROR(AVERAGE('MT 7.1 Results'!M41,'Ch7 EOT2 Results'!L41),"")</f>
        <v/>
      </c>
      <c r="AP41">
        <f>IFERROR(AVERAGE('Ch7 EOT Results'!N41,'Ch7 EOT2 Results'!N41),"")</f>
        <v/>
      </c>
      <c r="AQ41">
        <f>IFERROR(AVERAGE('MT 7.1 Results'!L41,'MT 7.1 Results'!N41,'Ch7 EOT Results'!L41,'Ch7 EOT Results'!M41,'Ch7 EOT2 Results'!K41,'Mock 1 Paper 2A Results'!T41),"")</f>
        <v/>
      </c>
      <c r="AR41">
        <f>IFERROR(AVERAGE('MT 7.2 Results'!K41),"")</f>
        <v/>
      </c>
      <c r="AS41">
        <f>IFERROR(AVERAGE('MT 7.2 Results'!L41,'MT 7.2 Results'!N41,'Ch7 EOT Results'!O41,'Ch7 EOT2 Results'!M41,'Mock 1 Paper 2A Results'!V41),"")</f>
        <v/>
      </c>
      <c r="AT41">
        <f>IFERROR(AVERAGE('MT 7.2 Results'!M41,'Ch7 EOT Results'!P41),"")</f>
        <v/>
      </c>
      <c r="AU41">
        <f>""</f>
        <v/>
      </c>
      <c r="AV41">
        <f>IFERROR(AVERAGE(E41:AU41),"")</f>
        <v/>
      </c>
      <c r="AW41">
        <f>IF(AV41="","Not started",IF(AV41&gt;=0.8,"Ready",IF(AV41&gt;=0.65,"Nearly ready",IF(AV41&gt;=0.5,"Developing","Urgent support"))))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2026-07-18T18:06:36Z</dcterms:created>
  <dcterms:modified xmlns:dcterms="http://purl.org/dc/terms/" xmlns:xsi="http://www.w3.org/2001/XMLSchema-instance" xsi:type="dcterms:W3CDTF">2026-07-18T18:06:37Z</dcterms:modified>
</cp:coreProperties>
</file>